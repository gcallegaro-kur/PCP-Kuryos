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updateLinks="always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uryos.sharepoint.com/sites/ServidorKuryos/Shared Documents/04. Design de Produtos e PCP/1. PCP/"/>
    </mc:Choice>
  </mc:AlternateContent>
  <xr:revisionPtr revIDLastSave="423" documentId="6_{DB6BE67A-39B9-4B64-8ACF-9FDA5166CF60}" xr6:coauthVersionLast="47" xr6:coauthVersionMax="47" xr10:uidLastSave="{1FE3FB70-FBFE-44C3-B9DE-F2AC0C25DA93}"/>
  <bookViews>
    <workbookView xWindow="-120" yWindow="-120" windowWidth="29040" windowHeight="15720" tabRatio="676" xr2:uid="{96550651-4EA1-4084-A650-04494DC304D7}"/>
  </bookViews>
  <sheets>
    <sheet name="Pedidos" sheetId="5" r:id="rId1"/>
    <sheet name="Pedidos Concluídos" sheetId="7" r:id="rId2"/>
    <sheet name="Feriados" sheetId="4" r:id="rId3"/>
  </sheets>
  <externalReferences>
    <externalReference r:id="rId4"/>
    <externalReference r:id="rId5"/>
    <externalReference r:id="rId6"/>
  </externalReferences>
  <definedNames>
    <definedName name="_xlnm._FilterDatabase" localSheetId="2" hidden="1">Feriados!$B$4:$D$19</definedName>
    <definedName name="_xlnm._FilterDatabase" localSheetId="0" hidden="1">Pedidos!$A$4:$AQ$427</definedName>
    <definedName name="_xlnm._FilterDatabase" localSheetId="1" hidden="1">'Pedidos Concluídos'!$B$4:$AN$34</definedName>
    <definedName name="_FiltrarBancodeDados" localSheetId="0" hidden="1">Pedidos!$A$4:$AQ$427</definedName>
    <definedName name="_xleta.NOW" hidden="1" xlm="1">#NAME?</definedName>
    <definedName name="_xleta.SUMIFS" hidden="1" xlm="1">#NAME?</definedName>
    <definedName name="_xleta.TODAY" hidden="1" xlm="1">#NAME?</definedName>
    <definedName name="Created_With" localSheetId="2">"WinCalendar"</definedName>
    <definedName name="H_Date" localSheetId="2">Feriados!$B$5:$B$19</definedName>
    <definedName name="H_Name" localSheetId="2">Feriados!$D$5:$D$19</definedName>
    <definedName name="H_Type" localSheetId="2">Feriados!$C$5:$C$19</definedName>
    <definedName name="_xlnm.Print_Area" localSheetId="2">Feriados!$A$1:$E$20</definedName>
    <definedName name="wc.L_Courtesy_of" localSheetId="2">Feriados!$B$20</definedName>
    <definedName name="wc.L_Date" localSheetId="2">Feriados!$B$4</definedName>
    <definedName name="wc.L_Holiday_Name" localSheetId="2">Feriados!$D$4</definedName>
    <definedName name="wc.L_Holiday_Type" localSheetId="2">Feriados!$C$4</definedName>
    <definedName name="WinCalendar.HolidaysTable" localSheetId="2">Feriados!$B$5:$D$19</definedName>
    <definedName name="Z_0062149A_4D7D_4BD3_B69E_807331ED001C_.wvu.PrintArea" localSheetId="2" hidden="1">Feriados!$A$1:$E$20</definedName>
    <definedName name="Z_BEACA824_AFC2_4EC9_AAE6_CB68D96AADDD_.wvu.PrintArea" localSheetId="2" hidden="1">Feriados!$A$1:$E$20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5" l="1"/>
  <c r="E27" i="5"/>
  <c r="O27" i="5"/>
  <c r="P27" i="5"/>
  <c r="Q27" i="5"/>
  <c r="AO27" i="5" a="1"/>
  <c r="AO35" i="5" a="1"/>
  <c r="Q35" i="5"/>
  <c r="P35" i="5"/>
  <c r="O35" i="5"/>
  <c r="E35" i="5"/>
  <c r="C35" i="5"/>
  <c r="E213" i="5"/>
  <c r="E34" i="5"/>
  <c r="E31" i="5"/>
  <c r="AO219" i="5" a="1"/>
  <c r="Q219" i="5"/>
  <c r="P219" i="5"/>
  <c r="O219" i="5"/>
  <c r="E219" i="5"/>
  <c r="C219" i="5"/>
  <c r="N35" i="5" l="1"/>
  <c r="J219" i="5" a="1"/>
  <c r="E22" i="5"/>
  <c r="E21" i="5"/>
  <c r="AO218" i="5" a="1"/>
  <c r="Q218" i="5"/>
  <c r="P218" i="5"/>
  <c r="O218" i="5"/>
  <c r="E218" i="5"/>
  <c r="C218" i="5"/>
  <c r="AO38" i="5" a="1"/>
  <c r="Q38" i="5"/>
  <c r="P38" i="5"/>
  <c r="O38" i="5"/>
  <c r="E38" i="5"/>
  <c r="C38" i="5"/>
  <c r="AO217" i="5" a="1"/>
  <c r="Q217" i="5"/>
  <c r="P217" i="5"/>
  <c r="O217" i="5"/>
  <c r="E217" i="5"/>
  <c r="C217" i="5"/>
  <c r="V35" i="5" l="1"/>
  <c r="Z35" i="5"/>
  <c r="W35" i="5"/>
  <c r="J218" i="5" a="1"/>
  <c r="AA35" i="5" l="1"/>
  <c r="E24" i="5"/>
  <c r="AO24" i="5" l="1" a="1"/>
  <c r="Q24" i="5"/>
  <c r="P24" i="5"/>
  <c r="O24" i="5"/>
  <c r="C24" i="5"/>
  <c r="Q216" i="5"/>
  <c r="P216" i="5"/>
  <c r="O216" i="5"/>
  <c r="E216" i="5"/>
  <c r="C216" i="5"/>
  <c r="Q40" i="5"/>
  <c r="P40" i="5"/>
  <c r="O40" i="5"/>
  <c r="E40" i="5"/>
  <c r="C40" i="5"/>
  <c r="Q36" i="5"/>
  <c r="P36" i="5"/>
  <c r="O36" i="5"/>
  <c r="E36" i="5"/>
  <c r="C36" i="5"/>
  <c r="Q215" i="5"/>
  <c r="P215" i="5"/>
  <c r="O215" i="5"/>
  <c r="E215" i="5"/>
  <c r="C215" i="5"/>
  <c r="Q214" i="5"/>
  <c r="P214" i="5"/>
  <c r="O214" i="5"/>
  <c r="E214" i="5"/>
  <c r="C214" i="5"/>
  <c r="Q26" i="5"/>
  <c r="P26" i="5"/>
  <c r="O26" i="5"/>
  <c r="E26" i="5"/>
  <c r="C26" i="5"/>
  <c r="Q213" i="5"/>
  <c r="P213" i="5"/>
  <c r="O213" i="5"/>
  <c r="C213" i="5"/>
  <c r="E15" i="5"/>
  <c r="J216" i="5" l="1" a="1"/>
  <c r="J40" i="5" a="1"/>
  <c r="J213" i="5" a="1"/>
  <c r="J215" i="5" a="1"/>
  <c r="J214" i="5" a="1"/>
  <c r="E18" i="5"/>
  <c r="AO13" i="5" l="1" a="1"/>
  <c r="O13" i="5"/>
  <c r="P13" i="5"/>
  <c r="Q13" i="5"/>
  <c r="C13" i="5"/>
  <c r="E13" i="5"/>
  <c r="E7" i="5"/>
  <c r="N13" i="5" l="1"/>
  <c r="AO239" i="5" a="1"/>
  <c r="AO238" i="5" a="1"/>
  <c r="AO237" i="5" a="1"/>
  <c r="AO236" i="5" a="1"/>
  <c r="AO205" i="5" a="1"/>
  <c r="AO204" i="5" a="1"/>
  <c r="AO203" i="5" a="1"/>
  <c r="AO6" i="5" a="1"/>
  <c r="C239" i="5"/>
  <c r="E239" i="5"/>
  <c r="E238" i="5"/>
  <c r="E237" i="5"/>
  <c r="E236" i="5"/>
  <c r="E205" i="5"/>
  <c r="E204" i="5"/>
  <c r="E203" i="5"/>
  <c r="E6" i="5"/>
  <c r="C238" i="5"/>
  <c r="N238" i="5" s="1"/>
  <c r="W238" i="5" s="1"/>
  <c r="C237" i="5"/>
  <c r="N237" i="5" s="1"/>
  <c r="W237" i="5" s="1"/>
  <c r="C236" i="5"/>
  <c r="N236" i="5" s="1"/>
  <c r="W236" i="5" s="1"/>
  <c r="C205" i="5"/>
  <c r="C204" i="5"/>
  <c r="C203" i="5"/>
  <c r="C6" i="5"/>
  <c r="Q236" i="5"/>
  <c r="Q237" i="5"/>
  <c r="Q238" i="5"/>
  <c r="Q239" i="5"/>
  <c r="P236" i="5"/>
  <c r="P237" i="5"/>
  <c r="P238" i="5"/>
  <c r="P239" i="5"/>
  <c r="O236" i="5"/>
  <c r="O237" i="5"/>
  <c r="O238" i="5"/>
  <c r="O239" i="5"/>
  <c r="T6" i="5"/>
  <c r="U6" i="5" s="1"/>
  <c r="Q6" i="5"/>
  <c r="Q203" i="5"/>
  <c r="Q204" i="5"/>
  <c r="Q205" i="5"/>
  <c r="P6" i="5"/>
  <c r="P203" i="5"/>
  <c r="P204" i="5"/>
  <c r="P205" i="5"/>
  <c r="O6" i="5"/>
  <c r="O203" i="5"/>
  <c r="O204" i="5"/>
  <c r="O205" i="5"/>
  <c r="V13" i="5" l="1"/>
  <c r="Z13" i="5"/>
  <c r="W13" i="5"/>
  <c r="V238" i="5"/>
  <c r="V237" i="5"/>
  <c r="V236" i="5"/>
  <c r="R6" i="5"/>
  <c r="C304" i="5"/>
  <c r="N304" i="5" s="1"/>
  <c r="W304" i="5" s="1"/>
  <c r="E304" i="5"/>
  <c r="O304" i="5"/>
  <c r="P304" i="5"/>
  <c r="Q304" i="5"/>
  <c r="AO304" i="5" a="1"/>
  <c r="C305" i="5"/>
  <c r="N305" i="5" s="1"/>
  <c r="W305" i="5" s="1"/>
  <c r="E305" i="5"/>
  <c r="O305" i="5"/>
  <c r="P305" i="5"/>
  <c r="Q305" i="5"/>
  <c r="AO305" i="5" a="1"/>
  <c r="C316" i="5"/>
  <c r="E316" i="5"/>
  <c r="O316" i="5"/>
  <c r="P316" i="5"/>
  <c r="Q316" i="5"/>
  <c r="AO316" i="5" a="1"/>
  <c r="C306" i="5"/>
  <c r="N306" i="5" s="1"/>
  <c r="W306" i="5" s="1"/>
  <c r="E306" i="5"/>
  <c r="O306" i="5"/>
  <c r="P306" i="5"/>
  <c r="Q306" i="5"/>
  <c r="AO306" i="5" a="1"/>
  <c r="C307" i="5"/>
  <c r="N307" i="5" s="1"/>
  <c r="W307" i="5" s="1"/>
  <c r="E307" i="5"/>
  <c r="O307" i="5"/>
  <c r="P307" i="5"/>
  <c r="Q307" i="5"/>
  <c r="AO307" i="5" a="1"/>
  <c r="C320" i="5"/>
  <c r="N320" i="5" s="1"/>
  <c r="W320" i="5" s="1"/>
  <c r="E320" i="5"/>
  <c r="O320" i="5"/>
  <c r="P320" i="5"/>
  <c r="Q320" i="5"/>
  <c r="AO320" i="5" a="1"/>
  <c r="C321" i="5"/>
  <c r="N321" i="5" s="1"/>
  <c r="W321" i="5" s="1"/>
  <c r="E321" i="5"/>
  <c r="O321" i="5"/>
  <c r="P321" i="5"/>
  <c r="Q321" i="5"/>
  <c r="AO321" i="5" a="1"/>
  <c r="C317" i="5"/>
  <c r="E317" i="5"/>
  <c r="O317" i="5"/>
  <c r="P317" i="5"/>
  <c r="Q317" i="5"/>
  <c r="AO317" i="5" a="1"/>
  <c r="C322" i="5"/>
  <c r="N322" i="5" s="1"/>
  <c r="W322" i="5" s="1"/>
  <c r="E322" i="5"/>
  <c r="O322" i="5"/>
  <c r="P322" i="5"/>
  <c r="Q322" i="5"/>
  <c r="AO322" i="5" a="1"/>
  <c r="C318" i="5"/>
  <c r="E318" i="5"/>
  <c r="O318" i="5"/>
  <c r="P318" i="5"/>
  <c r="Q318" i="5"/>
  <c r="AO318" i="5" a="1"/>
  <c r="C308" i="5"/>
  <c r="N308" i="5" s="1"/>
  <c r="W308" i="5" s="1"/>
  <c r="E308" i="5"/>
  <c r="O308" i="5"/>
  <c r="P308" i="5"/>
  <c r="Q308" i="5"/>
  <c r="AO308" i="5" a="1"/>
  <c r="C309" i="5"/>
  <c r="N309" i="5" s="1"/>
  <c r="W309" i="5" s="1"/>
  <c r="E309" i="5"/>
  <c r="O309" i="5"/>
  <c r="P309" i="5"/>
  <c r="Q309" i="5"/>
  <c r="AO309" i="5" a="1"/>
  <c r="C319" i="5"/>
  <c r="E319" i="5"/>
  <c r="O319" i="5"/>
  <c r="P319" i="5"/>
  <c r="Q319" i="5"/>
  <c r="AO319" i="5" a="1"/>
  <c r="C310" i="5"/>
  <c r="N310" i="5" s="1"/>
  <c r="W310" i="5" s="1"/>
  <c r="E310" i="5"/>
  <c r="O310" i="5"/>
  <c r="P310" i="5"/>
  <c r="Q310" i="5"/>
  <c r="AO310" i="5" a="1"/>
  <c r="C311" i="5"/>
  <c r="N311" i="5" s="1"/>
  <c r="W311" i="5" s="1"/>
  <c r="E311" i="5"/>
  <c r="O311" i="5"/>
  <c r="P311" i="5"/>
  <c r="Q311" i="5"/>
  <c r="AO311" i="5" a="1"/>
  <c r="C312" i="5"/>
  <c r="N312" i="5" s="1"/>
  <c r="W312" i="5" s="1"/>
  <c r="E312" i="5"/>
  <c r="O312" i="5"/>
  <c r="P312" i="5"/>
  <c r="Q312" i="5"/>
  <c r="AO312" i="5" a="1"/>
  <c r="C302" i="5"/>
  <c r="N302" i="5" s="1"/>
  <c r="W302" i="5" s="1"/>
  <c r="E302" i="5"/>
  <c r="O302" i="5"/>
  <c r="P302" i="5"/>
  <c r="Q302" i="5"/>
  <c r="AO302" i="5" a="1"/>
  <c r="C303" i="5"/>
  <c r="N303" i="5" s="1"/>
  <c r="W303" i="5" s="1"/>
  <c r="E303" i="5"/>
  <c r="O303" i="5"/>
  <c r="P303" i="5"/>
  <c r="Q303" i="5"/>
  <c r="AO303" i="5" a="1"/>
  <c r="C313" i="5"/>
  <c r="E313" i="5"/>
  <c r="O313" i="5"/>
  <c r="P313" i="5"/>
  <c r="Q313" i="5"/>
  <c r="AO313" i="5" a="1"/>
  <c r="C314" i="5"/>
  <c r="E314" i="5"/>
  <c r="O314" i="5"/>
  <c r="P314" i="5"/>
  <c r="Q314" i="5"/>
  <c r="AO314" i="5" a="1"/>
  <c r="C315" i="5"/>
  <c r="E315" i="5"/>
  <c r="O315" i="5"/>
  <c r="P315" i="5"/>
  <c r="Q315" i="5"/>
  <c r="AO315" i="5" a="1"/>
  <c r="C295" i="5"/>
  <c r="N295" i="5" s="1"/>
  <c r="W295" i="5" s="1"/>
  <c r="E295" i="5"/>
  <c r="O295" i="5"/>
  <c r="P295" i="5"/>
  <c r="Q295" i="5"/>
  <c r="AO295" i="5" a="1"/>
  <c r="C296" i="5"/>
  <c r="N296" i="5" s="1"/>
  <c r="W296" i="5" s="1"/>
  <c r="E296" i="5"/>
  <c r="O296" i="5"/>
  <c r="P296" i="5"/>
  <c r="Q296" i="5"/>
  <c r="AO296" i="5" a="1"/>
  <c r="C297" i="5"/>
  <c r="N297" i="5" s="1"/>
  <c r="W297" i="5" s="1"/>
  <c r="E297" i="5"/>
  <c r="O297" i="5"/>
  <c r="P297" i="5"/>
  <c r="Q297" i="5"/>
  <c r="AO297" i="5" a="1"/>
  <c r="C298" i="5"/>
  <c r="N298" i="5" s="1"/>
  <c r="W298" i="5" s="1"/>
  <c r="E298" i="5"/>
  <c r="O298" i="5"/>
  <c r="P298" i="5"/>
  <c r="Q298" i="5"/>
  <c r="AO298" i="5" a="1"/>
  <c r="C299" i="5"/>
  <c r="N299" i="5" s="1"/>
  <c r="W299" i="5" s="1"/>
  <c r="E299" i="5"/>
  <c r="O299" i="5"/>
  <c r="P299" i="5"/>
  <c r="Q299" i="5"/>
  <c r="AO299" i="5" a="1"/>
  <c r="C300" i="5"/>
  <c r="N300" i="5" s="1"/>
  <c r="W300" i="5" s="1"/>
  <c r="E300" i="5"/>
  <c r="O300" i="5"/>
  <c r="P300" i="5"/>
  <c r="Q300" i="5"/>
  <c r="AO300" i="5" a="1"/>
  <c r="C301" i="5"/>
  <c r="N301" i="5" s="1"/>
  <c r="W301" i="5" s="1"/>
  <c r="E301" i="5"/>
  <c r="O301" i="5"/>
  <c r="P301" i="5"/>
  <c r="Q301" i="5"/>
  <c r="AO301" i="5" a="1"/>
  <c r="AA13" i="5" l="1"/>
  <c r="Z304" i="5"/>
  <c r="Z303" i="5"/>
  <c r="V320" i="5"/>
  <c r="Z306" i="5"/>
  <c r="V305" i="5"/>
  <c r="Z322" i="5"/>
  <c r="V302" i="5"/>
  <c r="V310" i="5"/>
  <c r="V309" i="5"/>
  <c r="V300" i="5"/>
  <c r="V296" i="5"/>
  <c r="Z320" i="5"/>
  <c r="V303" i="5"/>
  <c r="Z295" i="5"/>
  <c r="V304" i="5"/>
  <c r="V306" i="5" l="1"/>
  <c r="V321" i="5"/>
  <c r="Z321" i="5"/>
  <c r="V295" i="5"/>
  <c r="Z296" i="5"/>
  <c r="AA300" i="5"/>
  <c r="Z309" i="5"/>
  <c r="Z310" i="5"/>
  <c r="Z300" i="5"/>
  <c r="Z302" i="5"/>
  <c r="AA310" i="5"/>
  <c r="Z305" i="5"/>
  <c r="V322" i="5"/>
  <c r="V312" i="5"/>
  <c r="Z312" i="5"/>
  <c r="Z297" i="5"/>
  <c r="V297" i="5"/>
  <c r="Z299" i="5"/>
  <c r="V299" i="5"/>
  <c r="V307" i="5"/>
  <c r="Z307" i="5"/>
  <c r="Z311" i="5"/>
  <c r="V311" i="5"/>
  <c r="V298" i="5"/>
  <c r="V301" i="5"/>
  <c r="Z301" i="5"/>
  <c r="Z298" i="5"/>
  <c r="V308" i="5"/>
  <c r="Z308" i="5"/>
  <c r="AA304" i="5"/>
  <c r="AA320" i="5"/>
  <c r="AA309" i="5"/>
  <c r="AA302" i="5"/>
  <c r="AA296" i="5"/>
  <c r="AA307" i="5" l="1"/>
  <c r="AA295" i="5"/>
  <c r="AA322" i="5"/>
  <c r="AA298" i="5"/>
  <c r="AA306" i="5"/>
  <c r="AA321" i="5"/>
  <c r="AA312" i="5"/>
  <c r="AA297" i="5"/>
  <c r="AA301" i="5"/>
  <c r="AA308" i="5"/>
  <c r="AA311" i="5"/>
  <c r="AA303" i="5"/>
  <c r="AA299" i="5"/>
  <c r="AA305" i="5"/>
  <c r="E5" i="5" l="1"/>
  <c r="O212" i="5" l="1"/>
  <c r="E212" i="5" l="1"/>
  <c r="E202" i="5"/>
  <c r="E90" i="5"/>
  <c r="E264" i="5"/>
  <c r="E17" i="5"/>
  <c r="E345" i="5"/>
  <c r="E156" i="5"/>
  <c r="E266" i="5"/>
  <c r="E240" i="5"/>
  <c r="E146" i="5"/>
  <c r="E210" i="5"/>
  <c r="E184" i="5"/>
  <c r="E397" i="5"/>
  <c r="E398" i="5"/>
  <c r="E30" i="5"/>
  <c r="E29" i="5"/>
  <c r="E228" i="5"/>
  <c r="E272" i="5"/>
  <c r="E39" i="5"/>
  <c r="E265" i="5"/>
  <c r="E267" i="5"/>
  <c r="E229" i="5"/>
  <c r="E246" i="5"/>
  <c r="E33" i="5"/>
  <c r="E28" i="5"/>
  <c r="E37" i="5"/>
  <c r="E134" i="5"/>
  <c r="E393" i="5"/>
  <c r="E369" i="5"/>
  <c r="E375" i="5"/>
  <c r="E370" i="5"/>
  <c r="E392" i="5"/>
  <c r="E371" i="5"/>
  <c r="E394" i="5"/>
  <c r="E372" i="5"/>
  <c r="E323" i="5"/>
  <c r="E351" i="5"/>
  <c r="E373" i="5"/>
  <c r="E374" i="5"/>
  <c r="E324" i="5"/>
  <c r="E325" i="5"/>
  <c r="E326" i="5"/>
  <c r="E327" i="5"/>
  <c r="E8" i="5"/>
  <c r="E11" i="5"/>
  <c r="E9" i="5"/>
  <c r="E20" i="5"/>
  <c r="E232" i="5"/>
  <c r="E396" i="5"/>
  <c r="E395" i="5"/>
  <c r="E231" i="5"/>
  <c r="E155" i="5"/>
  <c r="E235" i="5"/>
  <c r="E233" i="5"/>
  <c r="E234" i="5"/>
  <c r="E23" i="5"/>
  <c r="E25" i="5"/>
  <c r="E10" i="5"/>
  <c r="E12" i="5"/>
  <c r="E14" i="5"/>
  <c r="E19" i="5"/>
  <c r="E16" i="5"/>
  <c r="E399" i="5"/>
  <c r="E330" i="5"/>
  <c r="E331" i="5"/>
  <c r="E332" i="5"/>
  <c r="E333" i="5"/>
  <c r="E334" i="5"/>
  <c r="E335" i="5"/>
  <c r="E336" i="5"/>
  <c r="E249" i="5"/>
  <c r="E250" i="5"/>
  <c r="E251" i="5"/>
  <c r="E252" i="5"/>
  <c r="E253" i="5"/>
  <c r="E254" i="5"/>
  <c r="E255" i="5"/>
  <c r="E247" i="5"/>
  <c r="E248" i="5"/>
  <c r="E256" i="5"/>
  <c r="E258" i="5"/>
  <c r="E257" i="5"/>
  <c r="E245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3" i="5"/>
  <c r="E294" i="5"/>
  <c r="E292" i="5"/>
  <c r="E259" i="5"/>
  <c r="E101" i="5"/>
  <c r="E230" i="5"/>
  <c r="E220" i="5"/>
  <c r="E227" i="5"/>
  <c r="E221" i="5"/>
  <c r="E270" i="5"/>
  <c r="E114" i="5"/>
  <c r="E99" i="5"/>
  <c r="E349" i="5"/>
  <c r="E242" i="5"/>
  <c r="E243" i="5"/>
  <c r="E244" i="5"/>
  <c r="E123" i="5"/>
  <c r="E124" i="5"/>
  <c r="E125" i="5"/>
  <c r="E126" i="5"/>
  <c r="E337" i="5"/>
  <c r="E340" i="5"/>
  <c r="E338" i="5"/>
  <c r="E400" i="5"/>
  <c r="E339" i="5"/>
  <c r="E352" i="5"/>
  <c r="E353" i="5"/>
  <c r="E129" i="5"/>
  <c r="E68" i="5"/>
  <c r="E130" i="5"/>
  <c r="E360" i="5"/>
  <c r="E366" i="5"/>
  <c r="E178" i="5"/>
  <c r="E404" i="5"/>
  <c r="E138" i="5"/>
  <c r="E139" i="5"/>
  <c r="E140" i="5"/>
  <c r="E179" i="5"/>
  <c r="E180" i="5"/>
  <c r="E181" i="5"/>
  <c r="E71" i="5"/>
  <c r="E72" i="5"/>
  <c r="E341" i="5"/>
  <c r="E73" i="5"/>
  <c r="E137" i="5"/>
  <c r="E143" i="5"/>
  <c r="E368" i="5"/>
  <c r="E80" i="5"/>
  <c r="E81" i="5"/>
  <c r="E261" i="5"/>
  <c r="E342" i="5"/>
  <c r="E206" i="5"/>
  <c r="E74" i="5"/>
  <c r="E274" i="5"/>
  <c r="E407" i="5"/>
  <c r="E275" i="5"/>
  <c r="E276" i="5"/>
  <c r="E277" i="5"/>
  <c r="E278" i="5"/>
  <c r="E185" i="5"/>
  <c r="E147" i="5"/>
  <c r="E148" i="5"/>
  <c r="E149" i="5"/>
  <c r="E150" i="5"/>
  <c r="E211" i="5"/>
  <c r="E91" i="5"/>
  <c r="E92" i="5"/>
  <c r="E93" i="5"/>
  <c r="E151" i="5"/>
  <c r="E152" i="5"/>
  <c r="E153" i="5"/>
  <c r="E157" i="5"/>
  <c r="E158" i="5"/>
  <c r="E159" i="5"/>
  <c r="E161" i="5"/>
  <c r="E154" i="5"/>
  <c r="E160" i="5"/>
  <c r="E168" i="5"/>
  <c r="E163" i="5"/>
  <c r="E169" i="5"/>
  <c r="E94" i="5"/>
  <c r="E96" i="5"/>
  <c r="E95" i="5"/>
  <c r="E162" i="5"/>
  <c r="E164" i="5"/>
  <c r="E108" i="5"/>
  <c r="E115" i="5"/>
  <c r="E111" i="5"/>
  <c r="E32" i="5"/>
  <c r="E98" i="5"/>
  <c r="E109" i="5"/>
  <c r="E110" i="5"/>
  <c r="E112" i="5"/>
  <c r="E171" i="5"/>
  <c r="E170" i="5"/>
  <c r="E172" i="5"/>
  <c r="E113" i="5"/>
  <c r="E350" i="5"/>
  <c r="E116" i="5"/>
  <c r="E118" i="5"/>
  <c r="E119" i="5"/>
  <c r="E117" i="5"/>
  <c r="E120" i="5"/>
  <c r="E174" i="5"/>
  <c r="E173" i="5"/>
  <c r="E177" i="5"/>
  <c r="E175" i="5"/>
  <c r="E176" i="5"/>
  <c r="E191" i="5"/>
  <c r="E192" i="5"/>
  <c r="E186" i="5"/>
  <c r="E187" i="5"/>
  <c r="E193" i="5"/>
  <c r="E190" i="5"/>
  <c r="E194" i="5"/>
  <c r="E188" i="5"/>
  <c r="E195" i="5"/>
  <c r="E196" i="5"/>
  <c r="E189" i="5"/>
  <c r="E197" i="5"/>
  <c r="E198" i="5"/>
  <c r="E200" i="5"/>
  <c r="E201" i="5"/>
  <c r="E199" i="5"/>
  <c r="E222" i="5"/>
  <c r="E223" i="5"/>
  <c r="E224" i="5"/>
  <c r="E225" i="5"/>
  <c r="E226" i="5"/>
  <c r="E135" i="5"/>
  <c r="E136" i="5"/>
  <c r="E359" i="5"/>
  <c r="E141" i="5"/>
  <c r="E361" i="5"/>
  <c r="E362" i="5"/>
  <c r="E142" i="5"/>
  <c r="E363" i="5"/>
  <c r="E144" i="5"/>
  <c r="E145" i="5"/>
  <c r="E183" i="5"/>
  <c r="E83" i="5"/>
  <c r="E84" i="5"/>
  <c r="E82" i="5"/>
  <c r="E85" i="5"/>
  <c r="E262" i="5"/>
  <c r="E86" i="5"/>
  <c r="E165" i="5"/>
  <c r="E166" i="5"/>
  <c r="E365" i="5"/>
  <c r="E167" i="5"/>
  <c r="E241" i="5"/>
  <c r="E97" i="5"/>
  <c r="E103" i="5"/>
  <c r="E122" i="5"/>
  <c r="E104" i="5"/>
  <c r="E121" i="5"/>
  <c r="E346" i="5"/>
  <c r="E100" i="5"/>
  <c r="E328" i="5"/>
  <c r="E131" i="5"/>
  <c r="E132" i="5"/>
  <c r="E354" i="5"/>
  <c r="E355" i="5"/>
  <c r="E356" i="5"/>
  <c r="E133" i="5"/>
  <c r="E357" i="5"/>
  <c r="E358" i="5"/>
  <c r="E182" i="5"/>
  <c r="E75" i="5"/>
  <c r="E76" i="5"/>
  <c r="E406" i="5"/>
  <c r="E77" i="5"/>
  <c r="E78" i="5"/>
  <c r="E79" i="5"/>
  <c r="E105" i="5"/>
  <c r="E127" i="5"/>
  <c r="E128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367" i="5"/>
  <c r="E364" i="5"/>
  <c r="E343" i="5"/>
  <c r="E344" i="5"/>
  <c r="E107" i="5"/>
  <c r="E347" i="5"/>
  <c r="E348" i="5"/>
  <c r="E59" i="5"/>
  <c r="E60" i="5"/>
  <c r="E329" i="5"/>
  <c r="E61" i="5"/>
  <c r="E62" i="5"/>
  <c r="E63" i="5"/>
  <c r="E64" i="5"/>
  <c r="E65" i="5"/>
  <c r="E66" i="5"/>
  <c r="E67" i="5"/>
  <c r="E263" i="5"/>
  <c r="E271" i="5"/>
  <c r="E273" i="5"/>
  <c r="E268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269" i="5"/>
  <c r="E401" i="5"/>
  <c r="E402" i="5"/>
  <c r="E403" i="5"/>
  <c r="E260" i="5"/>
  <c r="E70" i="5"/>
  <c r="E405" i="5"/>
  <c r="E207" i="5"/>
  <c r="E208" i="5"/>
  <c r="E209" i="5"/>
  <c r="E89" i="5"/>
  <c r="E87" i="5"/>
  <c r="E88" i="5"/>
  <c r="E408" i="5"/>
  <c r="E102" i="5"/>
  <c r="E69" i="5"/>
  <c r="E106" i="5"/>
  <c r="AO20" i="5" l="1" a="1"/>
  <c r="Q20" i="5"/>
  <c r="P20" i="5"/>
  <c r="O20" i="5"/>
  <c r="C20" i="5"/>
  <c r="AO9" i="5" a="1"/>
  <c r="Q9" i="5"/>
  <c r="P9" i="5"/>
  <c r="O9" i="5"/>
  <c r="C9" i="5"/>
  <c r="AO18" i="5" a="1"/>
  <c r="Q18" i="5"/>
  <c r="P18" i="5"/>
  <c r="O18" i="5"/>
  <c r="C18" i="5"/>
  <c r="AO11" i="5" a="1"/>
  <c r="Q11" i="5"/>
  <c r="P11" i="5"/>
  <c r="O11" i="5"/>
  <c r="C11" i="5"/>
  <c r="AO7" i="5" a="1"/>
  <c r="Q7" i="5"/>
  <c r="P7" i="5"/>
  <c r="O7" i="5"/>
  <c r="C7" i="5"/>
  <c r="AO8" i="5" a="1"/>
  <c r="Q8" i="5"/>
  <c r="P8" i="5"/>
  <c r="O8" i="5"/>
  <c r="C8" i="5"/>
  <c r="AO232" i="5" l="1" a="1"/>
  <c r="Q232" i="5"/>
  <c r="P232" i="5"/>
  <c r="O232" i="5"/>
  <c r="C232" i="5"/>
  <c r="AO25" i="5" a="1"/>
  <c r="Q25" i="5"/>
  <c r="P25" i="5"/>
  <c r="O25" i="5"/>
  <c r="C25" i="5"/>
  <c r="AO22" i="5" a="1"/>
  <c r="Q22" i="5"/>
  <c r="P22" i="5"/>
  <c r="O22" i="5"/>
  <c r="C22" i="5"/>
  <c r="AO23" i="5" a="1"/>
  <c r="Q23" i="5"/>
  <c r="P23" i="5"/>
  <c r="O23" i="5"/>
  <c r="C23" i="5"/>
  <c r="AO234" i="5" a="1"/>
  <c r="Q234" i="5"/>
  <c r="P234" i="5"/>
  <c r="O234" i="5"/>
  <c r="C234" i="5"/>
  <c r="AO233" i="5" a="1"/>
  <c r="Q233" i="5"/>
  <c r="P233" i="5"/>
  <c r="O233" i="5"/>
  <c r="C233" i="5"/>
  <c r="AO235" i="5" a="1"/>
  <c r="Q235" i="5"/>
  <c r="P235" i="5"/>
  <c r="O235" i="5"/>
  <c r="C235" i="5"/>
  <c r="B1" i="5"/>
  <c r="S427" i="5"/>
  <c r="T427" i="5" s="1"/>
  <c r="U427" i="5" s="1"/>
  <c r="S426" i="5"/>
  <c r="T426" i="5" s="1"/>
  <c r="U426" i="5" s="1"/>
  <c r="S425" i="5"/>
  <c r="T425" i="5" s="1"/>
  <c r="U425" i="5" s="1"/>
  <c r="S424" i="5"/>
  <c r="T424" i="5" s="1"/>
  <c r="U424" i="5" s="1"/>
  <c r="S423" i="5"/>
  <c r="T423" i="5" s="1"/>
  <c r="U423" i="5" s="1"/>
  <c r="S422" i="5"/>
  <c r="T422" i="5" s="1"/>
  <c r="U422" i="5" s="1"/>
  <c r="S421" i="5"/>
  <c r="R421" i="5" s="1"/>
  <c r="S420" i="5"/>
  <c r="R420" i="5" s="1"/>
  <c r="S419" i="5"/>
  <c r="T419" i="5" s="1"/>
  <c r="U419" i="5" s="1"/>
  <c r="S418" i="5"/>
  <c r="T418" i="5" s="1"/>
  <c r="U418" i="5" s="1"/>
  <c r="S417" i="5"/>
  <c r="R417" i="5" s="1"/>
  <c r="S416" i="5"/>
  <c r="T416" i="5" s="1"/>
  <c r="U416" i="5" s="1"/>
  <c r="S415" i="5"/>
  <c r="T415" i="5" s="1"/>
  <c r="U415" i="5" s="1"/>
  <c r="S414" i="5"/>
  <c r="T414" i="5" s="1"/>
  <c r="U414" i="5" s="1"/>
  <c r="S413" i="5"/>
  <c r="T413" i="5" s="1"/>
  <c r="U413" i="5" s="1"/>
  <c r="S412" i="5"/>
  <c r="R412" i="5" s="1"/>
  <c r="S411" i="5"/>
  <c r="T411" i="5" s="1"/>
  <c r="U411" i="5" s="1"/>
  <c r="S410" i="5"/>
  <c r="T410" i="5" s="1"/>
  <c r="U410" i="5" s="1"/>
  <c r="S409" i="5"/>
  <c r="T409" i="5" s="1"/>
  <c r="U409" i="5" s="1"/>
  <c r="Q427" i="5"/>
  <c r="Q426" i="5"/>
  <c r="Q425" i="5"/>
  <c r="Q424" i="5"/>
  <c r="Q423" i="5"/>
  <c r="Q422" i="5"/>
  <c r="Q421" i="5"/>
  <c r="Q420" i="5"/>
  <c r="Q419" i="5"/>
  <c r="Q418" i="5"/>
  <c r="Q417" i="5"/>
  <c r="Q416" i="5"/>
  <c r="Q415" i="5"/>
  <c r="Q414" i="5"/>
  <c r="Q413" i="5"/>
  <c r="Q412" i="5"/>
  <c r="Q411" i="5"/>
  <c r="Q410" i="5"/>
  <c r="Q69" i="5"/>
  <c r="Q106" i="5"/>
  <c r="Q409" i="5"/>
  <c r="Q102" i="5"/>
  <c r="Q408" i="5"/>
  <c r="Q88" i="5"/>
  <c r="Q87" i="5"/>
  <c r="Q89" i="5"/>
  <c r="Q209" i="5"/>
  <c r="Q208" i="5"/>
  <c r="Q207" i="5"/>
  <c r="Q405" i="5"/>
  <c r="Q70" i="5"/>
  <c r="Q260" i="5"/>
  <c r="Q403" i="5"/>
  <c r="Q402" i="5"/>
  <c r="Q401" i="5"/>
  <c r="Q269" i="5"/>
  <c r="Q391" i="5"/>
  <c r="Q390" i="5"/>
  <c r="Q389" i="5"/>
  <c r="Q388" i="5"/>
  <c r="Q387" i="5"/>
  <c r="Q386" i="5"/>
  <c r="Q385" i="5"/>
  <c r="Q384" i="5"/>
  <c r="Q383" i="5"/>
  <c r="Q382" i="5"/>
  <c r="Q381" i="5"/>
  <c r="Q380" i="5"/>
  <c r="Q379" i="5"/>
  <c r="Q378" i="5"/>
  <c r="Q377" i="5"/>
  <c r="Q376" i="5"/>
  <c r="Q268" i="5"/>
  <c r="Q273" i="5"/>
  <c r="Q271" i="5"/>
  <c r="Q263" i="5"/>
  <c r="Q67" i="5"/>
  <c r="Q66" i="5"/>
  <c r="Q65" i="5"/>
  <c r="Q64" i="5"/>
  <c r="Q63" i="5"/>
  <c r="Q62" i="5"/>
  <c r="Q61" i="5"/>
  <c r="Q329" i="5"/>
  <c r="Q60" i="5"/>
  <c r="Q59" i="5"/>
  <c r="Q348" i="5"/>
  <c r="Q347" i="5"/>
  <c r="Q107" i="5"/>
  <c r="Q344" i="5"/>
  <c r="Q343" i="5"/>
  <c r="Q364" i="5"/>
  <c r="Q367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128" i="5"/>
  <c r="Q127" i="5"/>
  <c r="Q105" i="5"/>
  <c r="Q79" i="5"/>
  <c r="Q78" i="5"/>
  <c r="Q77" i="5"/>
  <c r="Q406" i="5"/>
  <c r="Q76" i="5"/>
  <c r="Q75" i="5"/>
  <c r="Q182" i="5"/>
  <c r="Q358" i="5"/>
  <c r="Q357" i="5"/>
  <c r="Q133" i="5"/>
  <c r="Q356" i="5"/>
  <c r="Q355" i="5"/>
  <c r="Q354" i="5"/>
  <c r="Q132" i="5"/>
  <c r="Q131" i="5"/>
  <c r="Q328" i="5"/>
  <c r="Q100" i="5"/>
  <c r="Q346" i="5"/>
  <c r="Q121" i="5"/>
  <c r="Q104" i="5"/>
  <c r="Q122" i="5"/>
  <c r="Q103" i="5"/>
  <c r="Q97" i="5"/>
  <c r="Q167" i="5"/>
  <c r="Q365" i="5"/>
  <c r="Q166" i="5"/>
  <c r="Q165" i="5"/>
  <c r="Q86" i="5"/>
  <c r="Q262" i="5"/>
  <c r="Q85" i="5"/>
  <c r="Q82" i="5"/>
  <c r="Q84" i="5"/>
  <c r="Q83" i="5"/>
  <c r="Q183" i="5"/>
  <c r="Q145" i="5"/>
  <c r="Q144" i="5"/>
  <c r="Q363" i="5"/>
  <c r="Q142" i="5"/>
  <c r="Q362" i="5"/>
  <c r="Q361" i="5"/>
  <c r="Q141" i="5"/>
  <c r="Q359" i="5"/>
  <c r="Q136" i="5"/>
  <c r="Q135" i="5"/>
  <c r="Q226" i="5"/>
  <c r="Q225" i="5"/>
  <c r="Q224" i="5"/>
  <c r="Q223" i="5"/>
  <c r="Q222" i="5"/>
  <c r="Q199" i="5"/>
  <c r="Q201" i="5"/>
  <c r="Q200" i="5"/>
  <c r="Q198" i="5"/>
  <c r="Q197" i="5"/>
  <c r="Q189" i="5"/>
  <c r="Q196" i="5"/>
  <c r="Q195" i="5"/>
  <c r="Q188" i="5"/>
  <c r="Q194" i="5"/>
  <c r="Q190" i="5"/>
  <c r="Q193" i="5"/>
  <c r="Q187" i="5"/>
  <c r="Q186" i="5"/>
  <c r="Q192" i="5"/>
  <c r="Q191" i="5"/>
  <c r="Q176" i="5"/>
  <c r="Q175" i="5"/>
  <c r="Q177" i="5"/>
  <c r="Q173" i="5"/>
  <c r="Q174" i="5"/>
  <c r="Q120" i="5"/>
  <c r="Q117" i="5"/>
  <c r="Q119" i="5"/>
  <c r="Q118" i="5"/>
  <c r="Q116" i="5"/>
  <c r="Q350" i="5"/>
  <c r="Q113" i="5"/>
  <c r="Q172" i="5"/>
  <c r="Q170" i="5"/>
  <c r="Q171" i="5"/>
  <c r="Q112" i="5"/>
  <c r="Q110" i="5"/>
  <c r="Q109" i="5"/>
  <c r="Q98" i="5"/>
  <c r="Q32" i="5"/>
  <c r="Q111" i="5"/>
  <c r="Q115" i="5"/>
  <c r="Q108" i="5"/>
  <c r="Q164" i="5"/>
  <c r="Q162" i="5"/>
  <c r="Q95" i="5"/>
  <c r="Q96" i="5"/>
  <c r="Q94" i="5"/>
  <c r="Q169" i="5"/>
  <c r="Q163" i="5"/>
  <c r="Q168" i="5"/>
  <c r="Q160" i="5"/>
  <c r="Q154" i="5"/>
  <c r="Q161" i="5"/>
  <c r="Q159" i="5"/>
  <c r="Q158" i="5"/>
  <c r="Q157" i="5"/>
  <c r="Q153" i="5"/>
  <c r="Q152" i="5"/>
  <c r="Q151" i="5"/>
  <c r="Q93" i="5"/>
  <c r="Q92" i="5"/>
  <c r="Q91" i="5"/>
  <c r="Q211" i="5"/>
  <c r="Q150" i="5"/>
  <c r="Q149" i="5"/>
  <c r="Q148" i="5"/>
  <c r="Q147" i="5"/>
  <c r="Q185" i="5"/>
  <c r="Q278" i="5"/>
  <c r="Q277" i="5"/>
  <c r="Q276" i="5"/>
  <c r="Q275" i="5"/>
  <c r="Q407" i="5"/>
  <c r="Q274" i="5"/>
  <c r="Q74" i="5"/>
  <c r="Q206" i="5"/>
  <c r="Q342" i="5"/>
  <c r="Q261" i="5"/>
  <c r="Q81" i="5"/>
  <c r="Q80" i="5"/>
  <c r="Q368" i="5"/>
  <c r="Q143" i="5"/>
  <c r="Q137" i="5"/>
  <c r="Q73" i="5"/>
  <c r="Q341" i="5"/>
  <c r="Q72" i="5"/>
  <c r="Q71" i="5"/>
  <c r="Q181" i="5"/>
  <c r="Q180" i="5"/>
  <c r="Q179" i="5"/>
  <c r="Q140" i="5"/>
  <c r="Q139" i="5"/>
  <c r="Q138" i="5"/>
  <c r="Q404" i="5"/>
  <c r="Q178" i="5"/>
  <c r="Q366" i="5"/>
  <c r="Q360" i="5"/>
  <c r="Q130" i="5"/>
  <c r="Q68" i="5"/>
  <c r="Q129" i="5"/>
  <c r="Q353" i="5"/>
  <c r="Q352" i="5"/>
  <c r="Q339" i="5"/>
  <c r="Q400" i="5"/>
  <c r="Q338" i="5"/>
  <c r="Q340" i="5"/>
  <c r="Q337" i="5"/>
  <c r="Q126" i="5"/>
  <c r="Q125" i="5"/>
  <c r="Q124" i="5"/>
  <c r="Q123" i="5"/>
  <c r="Q244" i="5"/>
  <c r="Q243" i="5"/>
  <c r="Q242" i="5"/>
  <c r="Q349" i="5"/>
  <c r="Q99" i="5"/>
  <c r="Q114" i="5"/>
  <c r="Q221" i="5"/>
  <c r="Q220" i="5"/>
  <c r="Q101" i="5"/>
  <c r="Q259" i="5"/>
  <c r="Q292" i="5"/>
  <c r="Q294" i="5"/>
  <c r="Q293" i="5"/>
  <c r="Q291" i="5"/>
  <c r="Q290" i="5"/>
  <c r="Q289" i="5"/>
  <c r="Q288" i="5"/>
  <c r="Q287" i="5"/>
  <c r="Q286" i="5"/>
  <c r="Q285" i="5"/>
  <c r="Q284" i="5"/>
  <c r="Q283" i="5"/>
  <c r="Q282" i="5"/>
  <c r="Q281" i="5"/>
  <c r="Q280" i="5"/>
  <c r="Q279" i="5"/>
  <c r="Q245" i="5"/>
  <c r="Q21" i="5"/>
  <c r="Q257" i="5"/>
  <c r="Q258" i="5"/>
  <c r="Q256" i="5"/>
  <c r="Q248" i="5"/>
  <c r="Q247" i="5"/>
  <c r="Q255" i="5"/>
  <c r="Q254" i="5"/>
  <c r="Q253" i="5"/>
  <c r="Q252" i="5"/>
  <c r="Q251" i="5"/>
  <c r="Q250" i="5"/>
  <c r="Q249" i="5"/>
  <c r="Q327" i="5"/>
  <c r="Q324" i="5"/>
  <c r="Q374" i="5"/>
  <c r="Q373" i="5"/>
  <c r="Q351" i="5"/>
  <c r="Q323" i="5"/>
  <c r="Q372" i="5"/>
  <c r="Q394" i="5"/>
  <c r="Q371" i="5"/>
  <c r="Q326" i="5"/>
  <c r="Q392" i="5"/>
  <c r="Q325" i="5"/>
  <c r="Q370" i="5"/>
  <c r="Q375" i="5"/>
  <c r="Q369" i="5"/>
  <c r="Q393" i="5"/>
  <c r="Q31" i="5"/>
  <c r="Q34" i="5"/>
  <c r="Q37" i="5"/>
  <c r="Q28" i="5"/>
  <c r="Q33" i="5"/>
  <c r="Q246" i="5"/>
  <c r="Q39" i="5"/>
  <c r="Q29" i="5"/>
  <c r="Q398" i="5"/>
  <c r="Q397" i="5"/>
  <c r="Q156" i="5"/>
  <c r="Q17" i="5"/>
  <c r="Q155" i="5"/>
  <c r="Q231" i="5"/>
  <c r="Q395" i="5"/>
  <c r="Q396" i="5"/>
  <c r="Q30" i="5"/>
  <c r="Q184" i="5"/>
  <c r="Q229" i="5"/>
  <c r="Q210" i="5"/>
  <c r="Q202" i="5"/>
  <c r="Q267" i="5"/>
  <c r="Q228" i="5"/>
  <c r="Q272" i="5"/>
  <c r="Q265" i="5"/>
  <c r="Q134" i="5"/>
  <c r="Q146" i="5"/>
  <c r="Q240" i="5"/>
  <c r="Q336" i="5"/>
  <c r="Q335" i="5"/>
  <c r="Q334" i="5"/>
  <c r="Q333" i="5"/>
  <c r="Q332" i="5"/>
  <c r="Q331" i="5"/>
  <c r="Q330" i="5"/>
  <c r="Q399" i="5"/>
  <c r="Q266" i="5"/>
  <c r="Q264" i="5"/>
  <c r="Q90" i="5"/>
  <c r="Q345" i="5"/>
  <c r="Q212" i="5"/>
  <c r="Q241" i="5"/>
  <c r="Q270" i="5"/>
  <c r="Q227" i="5"/>
  <c r="Q230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69" i="5"/>
  <c r="P106" i="5"/>
  <c r="P409" i="5"/>
  <c r="P102" i="5"/>
  <c r="P408" i="5"/>
  <c r="P88" i="5"/>
  <c r="P87" i="5"/>
  <c r="P89" i="5"/>
  <c r="P209" i="5"/>
  <c r="P208" i="5"/>
  <c r="P207" i="5"/>
  <c r="P405" i="5"/>
  <c r="P70" i="5"/>
  <c r="P260" i="5"/>
  <c r="P403" i="5"/>
  <c r="P402" i="5"/>
  <c r="P401" i="5"/>
  <c r="P269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268" i="5"/>
  <c r="P273" i="5"/>
  <c r="P271" i="5"/>
  <c r="P263" i="5"/>
  <c r="P67" i="5"/>
  <c r="P66" i="5"/>
  <c r="P65" i="5"/>
  <c r="P64" i="5"/>
  <c r="P63" i="5"/>
  <c r="P62" i="5"/>
  <c r="P61" i="5"/>
  <c r="P329" i="5"/>
  <c r="P60" i="5"/>
  <c r="P59" i="5"/>
  <c r="P348" i="5"/>
  <c r="P347" i="5"/>
  <c r="P107" i="5"/>
  <c r="P344" i="5"/>
  <c r="P343" i="5"/>
  <c r="P364" i="5"/>
  <c r="P367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128" i="5"/>
  <c r="P127" i="5"/>
  <c r="P105" i="5"/>
  <c r="P79" i="5"/>
  <c r="P78" i="5"/>
  <c r="P77" i="5"/>
  <c r="P406" i="5"/>
  <c r="P76" i="5"/>
  <c r="P75" i="5"/>
  <c r="P182" i="5"/>
  <c r="P358" i="5"/>
  <c r="P357" i="5"/>
  <c r="P133" i="5"/>
  <c r="P356" i="5"/>
  <c r="P355" i="5"/>
  <c r="P354" i="5"/>
  <c r="P132" i="5"/>
  <c r="P131" i="5"/>
  <c r="P328" i="5"/>
  <c r="P100" i="5"/>
  <c r="P346" i="5"/>
  <c r="P121" i="5"/>
  <c r="P104" i="5"/>
  <c r="P122" i="5"/>
  <c r="P103" i="5"/>
  <c r="P97" i="5"/>
  <c r="P167" i="5"/>
  <c r="P365" i="5"/>
  <c r="P166" i="5"/>
  <c r="P165" i="5"/>
  <c r="P86" i="5"/>
  <c r="P262" i="5"/>
  <c r="P85" i="5"/>
  <c r="P82" i="5"/>
  <c r="P84" i="5"/>
  <c r="P83" i="5"/>
  <c r="P183" i="5"/>
  <c r="P145" i="5"/>
  <c r="P144" i="5"/>
  <c r="P363" i="5"/>
  <c r="P142" i="5"/>
  <c r="P362" i="5"/>
  <c r="P361" i="5"/>
  <c r="P141" i="5"/>
  <c r="P359" i="5"/>
  <c r="P136" i="5"/>
  <c r="P135" i="5"/>
  <c r="P226" i="5"/>
  <c r="P225" i="5"/>
  <c r="P224" i="5"/>
  <c r="P223" i="5"/>
  <c r="P222" i="5"/>
  <c r="P199" i="5"/>
  <c r="P201" i="5"/>
  <c r="P200" i="5"/>
  <c r="P198" i="5"/>
  <c r="P197" i="5"/>
  <c r="P189" i="5"/>
  <c r="P196" i="5"/>
  <c r="P195" i="5"/>
  <c r="P188" i="5"/>
  <c r="P194" i="5"/>
  <c r="P190" i="5"/>
  <c r="P193" i="5"/>
  <c r="P187" i="5"/>
  <c r="P186" i="5"/>
  <c r="P192" i="5"/>
  <c r="P191" i="5"/>
  <c r="P176" i="5"/>
  <c r="P175" i="5"/>
  <c r="P177" i="5"/>
  <c r="P173" i="5"/>
  <c r="P174" i="5"/>
  <c r="P120" i="5"/>
  <c r="P117" i="5"/>
  <c r="P119" i="5"/>
  <c r="P118" i="5"/>
  <c r="P116" i="5"/>
  <c r="P350" i="5"/>
  <c r="P113" i="5"/>
  <c r="P172" i="5"/>
  <c r="P170" i="5"/>
  <c r="P171" i="5"/>
  <c r="P112" i="5"/>
  <c r="P110" i="5"/>
  <c r="P109" i="5"/>
  <c r="P98" i="5"/>
  <c r="P32" i="5"/>
  <c r="P111" i="5"/>
  <c r="P115" i="5"/>
  <c r="P108" i="5"/>
  <c r="P164" i="5"/>
  <c r="P162" i="5"/>
  <c r="P95" i="5"/>
  <c r="P96" i="5"/>
  <c r="P94" i="5"/>
  <c r="P169" i="5"/>
  <c r="P163" i="5"/>
  <c r="P168" i="5"/>
  <c r="P160" i="5"/>
  <c r="P154" i="5"/>
  <c r="P161" i="5"/>
  <c r="P159" i="5"/>
  <c r="P158" i="5"/>
  <c r="P157" i="5"/>
  <c r="P153" i="5"/>
  <c r="P152" i="5"/>
  <c r="P151" i="5"/>
  <c r="P93" i="5"/>
  <c r="P92" i="5"/>
  <c r="P91" i="5"/>
  <c r="P211" i="5"/>
  <c r="P150" i="5"/>
  <c r="P149" i="5"/>
  <c r="P148" i="5"/>
  <c r="P147" i="5"/>
  <c r="P185" i="5"/>
  <c r="P278" i="5"/>
  <c r="P277" i="5"/>
  <c r="P276" i="5"/>
  <c r="P275" i="5"/>
  <c r="P407" i="5"/>
  <c r="P274" i="5"/>
  <c r="P74" i="5"/>
  <c r="P206" i="5"/>
  <c r="P342" i="5"/>
  <c r="P261" i="5"/>
  <c r="P81" i="5"/>
  <c r="P80" i="5"/>
  <c r="P368" i="5"/>
  <c r="P143" i="5"/>
  <c r="P137" i="5"/>
  <c r="P73" i="5"/>
  <c r="P341" i="5"/>
  <c r="P72" i="5"/>
  <c r="P71" i="5"/>
  <c r="P181" i="5"/>
  <c r="P180" i="5"/>
  <c r="P179" i="5"/>
  <c r="P140" i="5"/>
  <c r="P139" i="5"/>
  <c r="P138" i="5"/>
  <c r="P404" i="5"/>
  <c r="P178" i="5"/>
  <c r="P366" i="5"/>
  <c r="P360" i="5"/>
  <c r="P130" i="5"/>
  <c r="P68" i="5"/>
  <c r="P129" i="5"/>
  <c r="P353" i="5"/>
  <c r="P352" i="5"/>
  <c r="P339" i="5"/>
  <c r="P400" i="5"/>
  <c r="P338" i="5"/>
  <c r="P340" i="5"/>
  <c r="P337" i="5"/>
  <c r="P126" i="5"/>
  <c r="P125" i="5"/>
  <c r="P124" i="5"/>
  <c r="P123" i="5"/>
  <c r="P244" i="5"/>
  <c r="P243" i="5"/>
  <c r="P242" i="5"/>
  <c r="P349" i="5"/>
  <c r="P99" i="5"/>
  <c r="P114" i="5"/>
  <c r="P221" i="5"/>
  <c r="P220" i="5"/>
  <c r="P101" i="5"/>
  <c r="P259" i="5"/>
  <c r="P292" i="5"/>
  <c r="P294" i="5"/>
  <c r="P293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45" i="5"/>
  <c r="P21" i="5"/>
  <c r="P257" i="5"/>
  <c r="P258" i="5"/>
  <c r="P256" i="5"/>
  <c r="P248" i="5"/>
  <c r="P247" i="5"/>
  <c r="P255" i="5"/>
  <c r="P254" i="5"/>
  <c r="P253" i="5"/>
  <c r="P252" i="5"/>
  <c r="P251" i="5"/>
  <c r="P250" i="5"/>
  <c r="P249" i="5"/>
  <c r="P16" i="5"/>
  <c r="P19" i="5"/>
  <c r="P15" i="5"/>
  <c r="P14" i="5"/>
  <c r="P12" i="5"/>
  <c r="P10" i="5"/>
  <c r="P327" i="5"/>
  <c r="P324" i="5"/>
  <c r="P374" i="5"/>
  <c r="P373" i="5"/>
  <c r="P351" i="5"/>
  <c r="P323" i="5"/>
  <c r="P372" i="5"/>
  <c r="P394" i="5"/>
  <c r="P371" i="5"/>
  <c r="P326" i="5"/>
  <c r="P392" i="5"/>
  <c r="P325" i="5"/>
  <c r="P370" i="5"/>
  <c r="P375" i="5"/>
  <c r="P369" i="5"/>
  <c r="P393" i="5"/>
  <c r="P31" i="5"/>
  <c r="P34" i="5"/>
  <c r="P37" i="5"/>
  <c r="P28" i="5"/>
  <c r="P33" i="5"/>
  <c r="P246" i="5"/>
  <c r="P39" i="5"/>
  <c r="P29" i="5"/>
  <c r="P398" i="5"/>
  <c r="P397" i="5"/>
  <c r="P156" i="5"/>
  <c r="P17" i="5"/>
  <c r="P155" i="5"/>
  <c r="P231" i="5"/>
  <c r="P395" i="5"/>
  <c r="P396" i="5"/>
  <c r="P30" i="5"/>
  <c r="P184" i="5"/>
  <c r="P229" i="5"/>
  <c r="P210" i="5"/>
  <c r="P202" i="5"/>
  <c r="P267" i="5"/>
  <c r="P228" i="5"/>
  <c r="P272" i="5"/>
  <c r="P265" i="5"/>
  <c r="P134" i="5"/>
  <c r="P146" i="5"/>
  <c r="P240" i="5"/>
  <c r="P336" i="5"/>
  <c r="P335" i="5"/>
  <c r="P334" i="5"/>
  <c r="P333" i="5"/>
  <c r="P332" i="5"/>
  <c r="P331" i="5"/>
  <c r="P330" i="5"/>
  <c r="P399" i="5"/>
  <c r="P266" i="5"/>
  <c r="P264" i="5"/>
  <c r="P90" i="5"/>
  <c r="P345" i="5"/>
  <c r="P212" i="5"/>
  <c r="P241" i="5"/>
  <c r="P270" i="5"/>
  <c r="P227" i="5"/>
  <c r="P230" i="5"/>
  <c r="O427" i="5"/>
  <c r="O426" i="5"/>
  <c r="O425" i="5"/>
  <c r="O424" i="5"/>
  <c r="O423" i="5"/>
  <c r="O422" i="5"/>
  <c r="O421" i="5"/>
  <c r="O420" i="5"/>
  <c r="O419" i="5"/>
  <c r="O418" i="5"/>
  <c r="O417" i="5"/>
  <c r="O416" i="5"/>
  <c r="O415" i="5"/>
  <c r="O414" i="5"/>
  <c r="O413" i="5"/>
  <c r="O412" i="5"/>
  <c r="O411" i="5"/>
  <c r="O410" i="5"/>
  <c r="O69" i="5"/>
  <c r="O106" i="5"/>
  <c r="O409" i="5"/>
  <c r="O102" i="5"/>
  <c r="O408" i="5"/>
  <c r="O88" i="5"/>
  <c r="O87" i="5"/>
  <c r="O89" i="5"/>
  <c r="O209" i="5"/>
  <c r="O208" i="5"/>
  <c r="O207" i="5"/>
  <c r="O405" i="5"/>
  <c r="O70" i="5"/>
  <c r="O260" i="5"/>
  <c r="O403" i="5"/>
  <c r="O402" i="5"/>
  <c r="O401" i="5"/>
  <c r="O269" i="5"/>
  <c r="O391" i="5"/>
  <c r="O390" i="5"/>
  <c r="O389" i="5"/>
  <c r="O388" i="5"/>
  <c r="O387" i="5"/>
  <c r="O386" i="5"/>
  <c r="O385" i="5"/>
  <c r="O384" i="5"/>
  <c r="O383" i="5"/>
  <c r="O382" i="5"/>
  <c r="O381" i="5"/>
  <c r="O380" i="5"/>
  <c r="O379" i="5"/>
  <c r="O378" i="5"/>
  <c r="O377" i="5"/>
  <c r="O376" i="5"/>
  <c r="O268" i="5"/>
  <c r="O273" i="5"/>
  <c r="O271" i="5"/>
  <c r="O263" i="5"/>
  <c r="O67" i="5"/>
  <c r="O66" i="5"/>
  <c r="O65" i="5"/>
  <c r="O64" i="5"/>
  <c r="O63" i="5"/>
  <c r="O62" i="5"/>
  <c r="O61" i="5"/>
  <c r="O329" i="5"/>
  <c r="O60" i="5"/>
  <c r="O59" i="5"/>
  <c r="O348" i="5"/>
  <c r="O347" i="5"/>
  <c r="O107" i="5"/>
  <c r="O344" i="5"/>
  <c r="O343" i="5"/>
  <c r="O364" i="5"/>
  <c r="O367" i="5"/>
  <c r="O58" i="5"/>
  <c r="O57" i="5"/>
  <c r="O56" i="5"/>
  <c r="O55" i="5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128" i="5"/>
  <c r="O127" i="5"/>
  <c r="O105" i="5"/>
  <c r="O79" i="5"/>
  <c r="O78" i="5"/>
  <c r="O77" i="5"/>
  <c r="O406" i="5"/>
  <c r="O76" i="5"/>
  <c r="O75" i="5"/>
  <c r="O182" i="5"/>
  <c r="O358" i="5"/>
  <c r="O357" i="5"/>
  <c r="O133" i="5"/>
  <c r="O356" i="5"/>
  <c r="O355" i="5"/>
  <c r="O354" i="5"/>
  <c r="O132" i="5"/>
  <c r="O131" i="5"/>
  <c r="O328" i="5"/>
  <c r="O100" i="5"/>
  <c r="O346" i="5"/>
  <c r="O121" i="5"/>
  <c r="O104" i="5"/>
  <c r="O122" i="5"/>
  <c r="O103" i="5"/>
  <c r="O97" i="5"/>
  <c r="O167" i="5"/>
  <c r="O365" i="5"/>
  <c r="O166" i="5"/>
  <c r="O165" i="5"/>
  <c r="O86" i="5"/>
  <c r="O262" i="5"/>
  <c r="O85" i="5"/>
  <c r="O82" i="5"/>
  <c r="O84" i="5"/>
  <c r="O83" i="5"/>
  <c r="O183" i="5"/>
  <c r="O145" i="5"/>
  <c r="O144" i="5"/>
  <c r="O363" i="5"/>
  <c r="O142" i="5"/>
  <c r="O362" i="5"/>
  <c r="O361" i="5"/>
  <c r="O141" i="5"/>
  <c r="O359" i="5"/>
  <c r="O136" i="5"/>
  <c r="O135" i="5"/>
  <c r="O226" i="5"/>
  <c r="O225" i="5"/>
  <c r="O224" i="5"/>
  <c r="O223" i="5"/>
  <c r="O222" i="5"/>
  <c r="O199" i="5"/>
  <c r="O201" i="5"/>
  <c r="O200" i="5"/>
  <c r="O198" i="5"/>
  <c r="O197" i="5"/>
  <c r="O189" i="5"/>
  <c r="O196" i="5"/>
  <c r="O195" i="5"/>
  <c r="O188" i="5"/>
  <c r="O194" i="5"/>
  <c r="O190" i="5"/>
  <c r="O193" i="5"/>
  <c r="O187" i="5"/>
  <c r="O186" i="5"/>
  <c r="O192" i="5"/>
  <c r="O191" i="5"/>
  <c r="O176" i="5"/>
  <c r="O175" i="5"/>
  <c r="O177" i="5"/>
  <c r="O173" i="5"/>
  <c r="O174" i="5"/>
  <c r="O120" i="5"/>
  <c r="O117" i="5"/>
  <c r="O119" i="5"/>
  <c r="O118" i="5"/>
  <c r="O116" i="5"/>
  <c r="O350" i="5"/>
  <c r="O113" i="5"/>
  <c r="O172" i="5"/>
  <c r="O170" i="5"/>
  <c r="O171" i="5"/>
  <c r="O112" i="5"/>
  <c r="O110" i="5"/>
  <c r="O109" i="5"/>
  <c r="O98" i="5"/>
  <c r="O32" i="5"/>
  <c r="O111" i="5"/>
  <c r="O115" i="5"/>
  <c r="O108" i="5"/>
  <c r="O164" i="5"/>
  <c r="O162" i="5"/>
  <c r="O95" i="5"/>
  <c r="O96" i="5"/>
  <c r="O94" i="5"/>
  <c r="O169" i="5"/>
  <c r="O163" i="5"/>
  <c r="O168" i="5"/>
  <c r="O160" i="5"/>
  <c r="O154" i="5"/>
  <c r="O161" i="5"/>
  <c r="O159" i="5"/>
  <c r="O158" i="5"/>
  <c r="O157" i="5"/>
  <c r="O153" i="5"/>
  <c r="O152" i="5"/>
  <c r="O151" i="5"/>
  <c r="O93" i="5"/>
  <c r="O92" i="5"/>
  <c r="O91" i="5"/>
  <c r="O211" i="5"/>
  <c r="O150" i="5"/>
  <c r="O149" i="5"/>
  <c r="O148" i="5"/>
  <c r="O147" i="5"/>
  <c r="O185" i="5"/>
  <c r="O278" i="5"/>
  <c r="O277" i="5"/>
  <c r="O276" i="5"/>
  <c r="O275" i="5"/>
  <c r="O407" i="5"/>
  <c r="O274" i="5"/>
  <c r="O74" i="5"/>
  <c r="O206" i="5"/>
  <c r="O342" i="5"/>
  <c r="O261" i="5"/>
  <c r="O81" i="5"/>
  <c r="O80" i="5"/>
  <c r="O368" i="5"/>
  <c r="O143" i="5"/>
  <c r="O137" i="5"/>
  <c r="O73" i="5"/>
  <c r="O341" i="5"/>
  <c r="O72" i="5"/>
  <c r="O71" i="5"/>
  <c r="O181" i="5"/>
  <c r="O180" i="5"/>
  <c r="O179" i="5"/>
  <c r="O140" i="5"/>
  <c r="O139" i="5"/>
  <c r="O138" i="5"/>
  <c r="O404" i="5"/>
  <c r="O178" i="5"/>
  <c r="O366" i="5"/>
  <c r="O360" i="5"/>
  <c r="O130" i="5"/>
  <c r="O68" i="5"/>
  <c r="O129" i="5"/>
  <c r="O353" i="5"/>
  <c r="O352" i="5"/>
  <c r="O339" i="5"/>
  <c r="O400" i="5"/>
  <c r="O338" i="5"/>
  <c r="O340" i="5"/>
  <c r="O337" i="5"/>
  <c r="O126" i="5"/>
  <c r="O125" i="5"/>
  <c r="O124" i="5"/>
  <c r="O123" i="5"/>
  <c r="O244" i="5"/>
  <c r="O243" i="5"/>
  <c r="O242" i="5"/>
  <c r="O349" i="5"/>
  <c r="O99" i="5"/>
  <c r="O114" i="5"/>
  <c r="O221" i="5"/>
  <c r="O220" i="5"/>
  <c r="O101" i="5"/>
  <c r="O259" i="5"/>
  <c r="O292" i="5"/>
  <c r="O294" i="5"/>
  <c r="O293" i="5"/>
  <c r="O291" i="5"/>
  <c r="O290" i="5"/>
  <c r="O289" i="5"/>
  <c r="O288" i="5"/>
  <c r="O287" i="5"/>
  <c r="O286" i="5"/>
  <c r="O285" i="5"/>
  <c r="O284" i="5"/>
  <c r="O283" i="5"/>
  <c r="O282" i="5"/>
  <c r="O281" i="5"/>
  <c r="O280" i="5"/>
  <c r="O279" i="5"/>
  <c r="O245" i="5"/>
  <c r="O21" i="5"/>
  <c r="O257" i="5"/>
  <c r="O258" i="5"/>
  <c r="O256" i="5"/>
  <c r="O248" i="5"/>
  <c r="O247" i="5"/>
  <c r="O255" i="5"/>
  <c r="O254" i="5"/>
  <c r="O253" i="5"/>
  <c r="O252" i="5"/>
  <c r="O251" i="5"/>
  <c r="O250" i="5"/>
  <c r="O249" i="5"/>
  <c r="O16" i="5"/>
  <c r="O19" i="5"/>
  <c r="O15" i="5"/>
  <c r="O14" i="5"/>
  <c r="O12" i="5"/>
  <c r="O10" i="5"/>
  <c r="O327" i="5"/>
  <c r="O324" i="5"/>
  <c r="O374" i="5"/>
  <c r="O373" i="5"/>
  <c r="O351" i="5"/>
  <c r="O323" i="5"/>
  <c r="O372" i="5"/>
  <c r="O394" i="5"/>
  <c r="O371" i="5"/>
  <c r="O326" i="5"/>
  <c r="O392" i="5"/>
  <c r="O325" i="5"/>
  <c r="O370" i="5"/>
  <c r="O375" i="5"/>
  <c r="O369" i="5"/>
  <c r="O393" i="5"/>
  <c r="O31" i="5"/>
  <c r="O34" i="5"/>
  <c r="O37" i="5"/>
  <c r="O28" i="5"/>
  <c r="O33" i="5"/>
  <c r="O246" i="5"/>
  <c r="O39" i="5"/>
  <c r="O29" i="5"/>
  <c r="O398" i="5"/>
  <c r="O397" i="5"/>
  <c r="O156" i="5"/>
  <c r="O17" i="5"/>
  <c r="O155" i="5"/>
  <c r="O231" i="5"/>
  <c r="O395" i="5"/>
  <c r="O396" i="5"/>
  <c r="O30" i="5"/>
  <c r="O184" i="5"/>
  <c r="O229" i="5"/>
  <c r="O210" i="5"/>
  <c r="O202" i="5"/>
  <c r="O267" i="5"/>
  <c r="O228" i="5"/>
  <c r="O272" i="5"/>
  <c r="O265" i="5"/>
  <c r="O134" i="5"/>
  <c r="O146" i="5"/>
  <c r="O240" i="5"/>
  <c r="O336" i="5"/>
  <c r="O335" i="5"/>
  <c r="O334" i="5"/>
  <c r="O333" i="5"/>
  <c r="O332" i="5"/>
  <c r="O331" i="5"/>
  <c r="O330" i="5"/>
  <c r="O399" i="5"/>
  <c r="O266" i="5"/>
  <c r="O264" i="5"/>
  <c r="O90" i="5"/>
  <c r="O345" i="5"/>
  <c r="O241" i="5"/>
  <c r="O270" i="5"/>
  <c r="O227" i="5"/>
  <c r="O230" i="5"/>
  <c r="T420" i="5" l="1"/>
  <c r="U420" i="5" s="1"/>
  <c r="T417" i="5"/>
  <c r="U417" i="5" s="1"/>
  <c r="T421" i="5"/>
  <c r="U421" i="5" s="1"/>
  <c r="R419" i="5"/>
  <c r="R413" i="5"/>
  <c r="R415" i="5"/>
  <c r="R418" i="5"/>
  <c r="R422" i="5"/>
  <c r="R411" i="5"/>
  <c r="R414" i="5"/>
  <c r="R416" i="5"/>
  <c r="R423" i="5"/>
  <c r="R424" i="5"/>
  <c r="R425" i="5"/>
  <c r="R409" i="5"/>
  <c r="R426" i="5"/>
  <c r="R410" i="5"/>
  <c r="R427" i="5"/>
  <c r="T412" i="5"/>
  <c r="U412" i="5" s="1"/>
  <c r="AO427" i="5" l="1" a="1"/>
  <c r="AO426" i="5" a="1"/>
  <c r="AO425" i="5" a="1"/>
  <c r="AO424" i="5" a="1"/>
  <c r="AO423" i="5" a="1"/>
  <c r="AO422" i="5" a="1"/>
  <c r="AO421" i="5" a="1"/>
  <c r="AO420" i="5" a="1"/>
  <c r="AO419" i="5" a="1"/>
  <c r="AO418" i="5" a="1"/>
  <c r="AO417" i="5" a="1"/>
  <c r="AO416" i="5" a="1"/>
  <c r="AO415" i="5" a="1"/>
  <c r="AO414" i="5" a="1"/>
  <c r="AO413" i="5" a="1"/>
  <c r="AO412" i="5" a="1"/>
  <c r="AO411" i="5" a="1"/>
  <c r="AO410" i="5" a="1"/>
  <c r="AO69" i="5" a="1"/>
  <c r="AO106" i="5" a="1"/>
  <c r="AO409" i="5" a="1"/>
  <c r="AO102" i="5" a="1"/>
  <c r="AO408" i="5" a="1"/>
  <c r="AO88" i="5" a="1"/>
  <c r="AO87" i="5" a="1"/>
  <c r="AO89" i="5" a="1"/>
  <c r="AO209" i="5" a="1"/>
  <c r="AO208" i="5" a="1"/>
  <c r="AO207" i="5" a="1"/>
  <c r="AO405" i="5" a="1"/>
  <c r="AO70" i="5" a="1"/>
  <c r="AO260" i="5" a="1"/>
  <c r="AO403" i="5" a="1"/>
  <c r="AO402" i="5" a="1"/>
  <c r="AO401" i="5" a="1"/>
  <c r="AO269" i="5" a="1"/>
  <c r="AO391" i="5" a="1"/>
  <c r="AO390" i="5" a="1"/>
  <c r="AO389" i="5" a="1"/>
  <c r="AO388" i="5" a="1"/>
  <c r="AO387" i="5" a="1"/>
  <c r="AO386" i="5" a="1"/>
  <c r="AO385" i="5" a="1"/>
  <c r="AO384" i="5" a="1"/>
  <c r="AO383" i="5" a="1"/>
  <c r="AO382" i="5" a="1"/>
  <c r="AO381" i="5" a="1"/>
  <c r="AO380" i="5" a="1"/>
  <c r="AO379" i="5" a="1"/>
  <c r="AO378" i="5" a="1"/>
  <c r="AO377" i="5" a="1"/>
  <c r="AO376" i="5" a="1"/>
  <c r="AO268" i="5" a="1"/>
  <c r="AO273" i="5" a="1"/>
  <c r="AO271" i="5" a="1"/>
  <c r="AO263" i="5" a="1"/>
  <c r="AO67" i="5" a="1"/>
  <c r="AO66" i="5" a="1"/>
  <c r="AO65" i="5" a="1"/>
  <c r="AO64" i="5" a="1"/>
  <c r="AO63" i="5" a="1"/>
  <c r="AO62" i="5" a="1"/>
  <c r="AO61" i="5" a="1"/>
  <c r="AO329" i="5" a="1"/>
  <c r="AO60" i="5" a="1"/>
  <c r="AO59" i="5" a="1"/>
  <c r="AO348" i="5" a="1"/>
  <c r="AO347" i="5" a="1"/>
  <c r="AO107" i="5" a="1"/>
  <c r="AO344" i="5" a="1"/>
  <c r="AO343" i="5" a="1"/>
  <c r="AO364" i="5" a="1"/>
  <c r="AO367" i="5" a="1"/>
  <c r="AO58" i="5" a="1"/>
  <c r="AO57" i="5" a="1"/>
  <c r="AO56" i="5" a="1"/>
  <c r="AO55" i="5" a="1"/>
  <c r="AO54" i="5" a="1"/>
  <c r="AO53" i="5" a="1"/>
  <c r="AO52" i="5" a="1"/>
  <c r="AO51" i="5" a="1"/>
  <c r="AO50" i="5" a="1"/>
  <c r="AO49" i="5" a="1"/>
  <c r="AO48" i="5" a="1"/>
  <c r="AO47" i="5" a="1"/>
  <c r="AO46" i="5" a="1"/>
  <c r="AO45" i="5" a="1"/>
  <c r="AO44" i="5" a="1"/>
  <c r="AO43" i="5" a="1"/>
  <c r="AO42" i="5" a="1"/>
  <c r="AO41" i="5" a="1"/>
  <c r="AO128" i="5" a="1"/>
  <c r="AO127" i="5" a="1"/>
  <c r="AO105" i="5" a="1"/>
  <c r="AO79" i="5" a="1"/>
  <c r="AO78" i="5" a="1"/>
  <c r="AO77" i="5" a="1"/>
  <c r="AO406" i="5" a="1"/>
  <c r="AO76" i="5" a="1"/>
  <c r="AO75" i="5" a="1"/>
  <c r="AO358" i="5" a="1"/>
  <c r="AO357" i="5" a="1"/>
  <c r="AO133" i="5" a="1"/>
  <c r="AO356" i="5" a="1"/>
  <c r="AO355" i="5" a="1"/>
  <c r="AO354" i="5" a="1"/>
  <c r="AO132" i="5" a="1"/>
  <c r="AO131" i="5" a="1"/>
  <c r="AO328" i="5" a="1"/>
  <c r="AO100" i="5" a="1"/>
  <c r="AO346" i="5" a="1"/>
  <c r="AO121" i="5" a="1"/>
  <c r="AO104" i="5" a="1"/>
  <c r="AO122" i="5" a="1"/>
  <c r="AO103" i="5" a="1"/>
  <c r="AO167" i="5" a="1"/>
  <c r="AO365" i="5" a="1"/>
  <c r="AO166" i="5" a="1"/>
  <c r="AO165" i="5" a="1"/>
  <c r="AO86" i="5" a="1"/>
  <c r="AO262" i="5" a="1"/>
  <c r="AO85" i="5" a="1"/>
  <c r="AO82" i="5" a="1"/>
  <c r="AO84" i="5" a="1"/>
  <c r="AO83" i="5" a="1"/>
  <c r="AO183" i="5" a="1"/>
  <c r="AO145" i="5" a="1"/>
  <c r="AO144" i="5" a="1"/>
  <c r="AO363" i="5" a="1"/>
  <c r="AO142" i="5" a="1"/>
  <c r="AO362" i="5" a="1"/>
  <c r="AO361" i="5" a="1"/>
  <c r="AO141" i="5" a="1"/>
  <c r="AO359" i="5" a="1"/>
  <c r="AO136" i="5" a="1"/>
  <c r="AO135" i="5" a="1"/>
  <c r="AO226" i="5" a="1"/>
  <c r="AO225" i="5" a="1"/>
  <c r="AO224" i="5" a="1"/>
  <c r="AO223" i="5" a="1"/>
  <c r="AO222" i="5" a="1"/>
  <c r="AO199" i="5" a="1"/>
  <c r="AO201" i="5" a="1"/>
  <c r="AO200" i="5" a="1"/>
  <c r="AO198" i="5" a="1"/>
  <c r="AO197" i="5" a="1"/>
  <c r="AO189" i="5" a="1"/>
  <c r="AO196" i="5" a="1"/>
  <c r="AO195" i="5" a="1"/>
  <c r="AO188" i="5" a="1"/>
  <c r="AO194" i="5" a="1"/>
  <c r="AO190" i="5" a="1"/>
  <c r="AO193" i="5" a="1"/>
  <c r="AO187" i="5" a="1"/>
  <c r="AO186" i="5" a="1"/>
  <c r="AO192" i="5" a="1"/>
  <c r="AO191" i="5" a="1"/>
  <c r="AO176" i="5" a="1"/>
  <c r="AO175" i="5" a="1"/>
  <c r="AO177" i="5" a="1"/>
  <c r="AO173" i="5" a="1"/>
  <c r="AO174" i="5" a="1"/>
  <c r="AO120" i="5" a="1"/>
  <c r="AO117" i="5" a="1"/>
  <c r="AO119" i="5" a="1"/>
  <c r="AO118" i="5" a="1"/>
  <c r="AO116" i="5" a="1"/>
  <c r="AO350" i="5" a="1"/>
  <c r="AO113" i="5" a="1"/>
  <c r="AO172" i="5" a="1"/>
  <c r="AO170" i="5" a="1"/>
  <c r="AO171" i="5" a="1"/>
  <c r="AO112" i="5" a="1"/>
  <c r="AO110" i="5" a="1"/>
  <c r="AO109" i="5" a="1"/>
  <c r="AO98" i="5" a="1"/>
  <c r="AO32" i="5" a="1"/>
  <c r="AO115" i="5" a="1"/>
  <c r="AO108" i="5" a="1"/>
  <c r="AO164" i="5" a="1"/>
  <c r="AO162" i="5" a="1"/>
  <c r="AO95" i="5" a="1"/>
  <c r="AO96" i="5" a="1"/>
  <c r="AO94" i="5" a="1"/>
  <c r="AO169" i="5" a="1"/>
  <c r="AO163" i="5" a="1"/>
  <c r="AO168" i="5" a="1"/>
  <c r="AO160" i="5" a="1"/>
  <c r="AO154" i="5" a="1"/>
  <c r="AO161" i="5" a="1"/>
  <c r="AO159" i="5" a="1"/>
  <c r="AO158" i="5" a="1"/>
  <c r="AO157" i="5" a="1"/>
  <c r="AO153" i="5" a="1"/>
  <c r="AO152" i="5" a="1"/>
  <c r="AO151" i="5" a="1"/>
  <c r="AO93" i="5" a="1"/>
  <c r="AO92" i="5" a="1"/>
  <c r="AO149" i="5" a="1"/>
  <c r="AO148" i="5" a="1"/>
  <c r="AO147" i="5" a="1"/>
  <c r="AO185" i="5" a="1"/>
  <c r="AO74" i="5" a="1"/>
  <c r="AO206" i="5" a="1"/>
  <c r="AO342" i="5" a="1"/>
  <c r="AO261" i="5" a="1"/>
  <c r="AO81" i="5" a="1"/>
  <c r="AO80" i="5" a="1"/>
  <c r="AO368" i="5" a="1"/>
  <c r="AO143" i="5" a="1"/>
  <c r="AO180" i="5" a="1"/>
  <c r="AO179" i="5" a="1"/>
  <c r="AO140" i="5" a="1"/>
  <c r="AO139" i="5" a="1"/>
  <c r="AO138" i="5" a="1"/>
  <c r="AO404" i="5" a="1"/>
  <c r="AO178" i="5" a="1"/>
  <c r="AO360" i="5" a="1"/>
  <c r="AO130" i="5" a="1"/>
  <c r="AO68" i="5" a="1"/>
  <c r="AO129" i="5" a="1"/>
  <c r="AO337" i="5" a="1"/>
  <c r="AO126" i="5" a="1"/>
  <c r="AO125" i="5" a="1"/>
  <c r="AO124" i="5" a="1"/>
  <c r="AO123" i="5" a="1"/>
  <c r="AO244" i="5" a="1"/>
  <c r="AO243" i="5" a="1"/>
  <c r="AO242" i="5" a="1"/>
  <c r="AO349" i="5" a="1"/>
  <c r="AO99" i="5" a="1"/>
  <c r="AO114" i="5" a="1"/>
  <c r="AO221" i="5" a="1"/>
  <c r="AO220" i="5" a="1"/>
  <c r="AO101" i="5" a="1"/>
  <c r="AO259" i="5" a="1"/>
  <c r="AO292" i="5" a="1"/>
  <c r="AO294" i="5" a="1"/>
  <c r="AO293" i="5" a="1"/>
  <c r="AO291" i="5" a="1"/>
  <c r="AO290" i="5" a="1"/>
  <c r="AO289" i="5" a="1"/>
  <c r="AO288" i="5" a="1"/>
  <c r="AO287" i="5" a="1"/>
  <c r="AO286" i="5" a="1"/>
  <c r="AO285" i="5" a="1"/>
  <c r="AO284" i="5" a="1"/>
  <c r="AO283" i="5" a="1"/>
  <c r="AO282" i="5" a="1"/>
  <c r="AO281" i="5" a="1"/>
  <c r="AO280" i="5" a="1"/>
  <c r="AO279" i="5" a="1"/>
  <c r="AO245" i="5" a="1"/>
  <c r="AO21" i="5" a="1"/>
  <c r="AO257" i="5" a="1"/>
  <c r="AO258" i="5" a="1"/>
  <c r="AO256" i="5" a="1"/>
  <c r="AO248" i="5" a="1"/>
  <c r="AO247" i="5" a="1"/>
  <c r="AO255" i="5" a="1"/>
  <c r="AO254" i="5" a="1"/>
  <c r="AO253" i="5" a="1"/>
  <c r="AO252" i="5" a="1"/>
  <c r="AO251" i="5" a="1"/>
  <c r="AO250" i="5" a="1"/>
  <c r="AO249" i="5" a="1"/>
  <c r="AO16" i="5" a="1"/>
  <c r="AO19" i="5" a="1"/>
  <c r="AO15" i="5" a="1"/>
  <c r="AO14" i="5" a="1"/>
  <c r="AO12" i="5" a="1"/>
  <c r="AO10" i="5" a="1"/>
  <c r="AO327" i="5" a="1"/>
  <c r="AO324" i="5" a="1"/>
  <c r="AO374" i="5" a="1"/>
  <c r="AO373" i="5" a="1"/>
  <c r="AO351" i="5" a="1"/>
  <c r="AO323" i="5" a="1"/>
  <c r="AO372" i="5" a="1"/>
  <c r="AO394" i="5" a="1"/>
  <c r="AO371" i="5" a="1"/>
  <c r="AO326" i="5" a="1"/>
  <c r="AO392" i="5" a="1"/>
  <c r="AO325" i="5" a="1"/>
  <c r="AO370" i="5" a="1"/>
  <c r="AO375" i="5" a="1"/>
  <c r="AO369" i="5" a="1"/>
  <c r="AO393" i="5" a="1"/>
  <c r="AO31" i="5" a="1"/>
  <c r="AO34" i="5" a="1"/>
  <c r="AO37" i="5" a="1"/>
  <c r="AO28" i="5" a="1"/>
  <c r="AO33" i="5" a="1"/>
  <c r="AO246" i="5" a="1"/>
  <c r="AO39" i="5" a="1"/>
  <c r="AO29" i="5" a="1"/>
  <c r="AO398" i="5" a="1"/>
  <c r="AO397" i="5" a="1"/>
  <c r="AO156" i="5" a="1"/>
  <c r="AO17" i="5" a="1"/>
  <c r="AO155" i="5" a="1"/>
  <c r="AO231" i="5" a="1"/>
  <c r="AO395" i="5" a="1"/>
  <c r="AO396" i="5" a="1"/>
  <c r="AO30" i="5" a="1"/>
  <c r="AO184" i="5" a="1"/>
  <c r="AO229" i="5" a="1"/>
  <c r="AO210" i="5" a="1"/>
  <c r="AO202" i="5" a="1"/>
  <c r="AO267" i="5" a="1"/>
  <c r="AO228" i="5" a="1"/>
  <c r="AO272" i="5" a="1"/>
  <c r="AO265" i="5" a="1"/>
  <c r="AO134" i="5" a="1"/>
  <c r="AO146" i="5" a="1"/>
  <c r="AO240" i="5" a="1"/>
  <c r="AO336" i="5" a="1"/>
  <c r="AO335" i="5" a="1"/>
  <c r="AO334" i="5" a="1"/>
  <c r="AO333" i="5" a="1"/>
  <c r="AO332" i="5" a="1"/>
  <c r="AO331" i="5" a="1"/>
  <c r="AO330" i="5" a="1"/>
  <c r="AO399" i="5" a="1"/>
  <c r="AO266" i="5" a="1"/>
  <c r="AO264" i="5" a="1"/>
  <c r="AO90" i="5" a="1"/>
  <c r="AO345" i="5" a="1"/>
  <c r="AO212" i="5" a="1"/>
  <c r="AO241" i="5" a="1"/>
  <c r="AO270" i="5" a="1"/>
  <c r="AO227" i="5" a="1"/>
  <c r="AO230" i="5" a="1"/>
  <c r="C246" i="5" l="1"/>
  <c r="C31" i="5"/>
  <c r="C34" i="5"/>
  <c r="C39" i="5"/>
  <c r="C33" i="5"/>
  <c r="C37" i="5"/>
  <c r="C28" i="5"/>
  <c r="C29" i="5"/>
  <c r="C17" i="5" l="1"/>
  <c r="C155" i="5" l="1"/>
  <c r="C231" i="5"/>
  <c r="C396" i="5" l="1"/>
  <c r="C395" i="5"/>
  <c r="N239" i="5"/>
  <c r="V239" i="5" l="1"/>
  <c r="W239" i="5"/>
  <c r="AO5" i="5" a="1"/>
  <c r="C397" i="5"/>
  <c r="C398" i="5"/>
  <c r="Q5" i="5"/>
  <c r="ZZ1" i="5"/>
  <c r="P5" i="5" l="1"/>
  <c r="O5" i="5"/>
  <c r="C212" i="5"/>
  <c r="C241" i="5"/>
  <c r="C5" i="5"/>
  <c r="C229" i="5" l="1"/>
  <c r="C121" i="5"/>
  <c r="C227" i="5"/>
  <c r="C230" i="5"/>
  <c r="C202" i="5"/>
  <c r="C122" i="5"/>
  <c r="C228" i="5"/>
  <c r="H260" i="5" l="1"/>
  <c r="H402" i="5" l="1"/>
  <c r="H70" i="5"/>
  <c r="C135" i="5" l="1"/>
  <c r="C359" i="5"/>
  <c r="C136" i="5"/>
  <c r="C244" i="5" l="1"/>
  <c r="C265" i="5" l="1"/>
  <c r="C184" i="5"/>
  <c r="C146" i="5" l="1"/>
  <c r="C30" i="5" l="1"/>
  <c r="C270" i="5" l="1"/>
  <c r="C267" i="5" l="1"/>
  <c r="C210" i="5"/>
  <c r="C272" i="5"/>
  <c r="C240" i="5" l="1"/>
  <c r="N240" i="5" s="1"/>
  <c r="Z240" i="5" l="1"/>
  <c r="C379" i="5"/>
  <c r="C378" i="5"/>
  <c r="V240" i="5" l="1"/>
  <c r="AA240" i="5" l="1"/>
  <c r="C134" i="5" l="1"/>
  <c r="C209" i="5" l="1"/>
  <c r="C89" i="5"/>
  <c r="C208" i="5"/>
  <c r="C87" i="5"/>
  <c r="C207" i="5"/>
  <c r="C88" i="5"/>
  <c r="C156" i="5" l="1"/>
  <c r="C102" i="5" l="1"/>
  <c r="C101" i="5"/>
  <c r="C21" i="5"/>
  <c r="C345" i="5"/>
  <c r="C401" i="5" l="1"/>
  <c r="C403" i="5"/>
  <c r="C260" i="5"/>
  <c r="C402" i="5"/>
  <c r="C70" i="5"/>
  <c r="C14" i="5"/>
  <c r="C10" i="5"/>
  <c r="C19" i="5"/>
  <c r="C16" i="5"/>
  <c r="C15" i="5"/>
  <c r="C12" i="5"/>
  <c r="C382" i="5" l="1"/>
  <c r="C383" i="5"/>
  <c r="C381" i="5"/>
  <c r="C367" i="5"/>
  <c r="C380" i="5"/>
  <c r="C107" i="5"/>
  <c r="H325" i="5"/>
  <c r="C364" i="5" l="1"/>
  <c r="C343" i="5"/>
  <c r="C344" i="5"/>
  <c r="C263" i="5" l="1"/>
  <c r="C264" i="5"/>
  <c r="C271" i="5"/>
  <c r="C90" i="5"/>
  <c r="C273" i="5"/>
  <c r="C269" i="5"/>
  <c r="C268" i="5"/>
  <c r="C266" i="5"/>
  <c r="C349" i="5" l="1"/>
  <c r="C99" i="5"/>
  <c r="C114" i="5"/>
  <c r="H323" i="5" l="1"/>
  <c r="H371" i="5"/>
  <c r="H370" i="5"/>
  <c r="H351" i="5"/>
  <c r="H372" i="5"/>
  <c r="H326" i="5"/>
  <c r="H324" i="5"/>
  <c r="H54" i="5"/>
  <c r="H49" i="5"/>
  <c r="H43" i="5"/>
  <c r="H56" i="5"/>
  <c r="H52" i="5"/>
  <c r="H45" i="5"/>
  <c r="H47" i="5"/>
  <c r="H57" i="5"/>
  <c r="C334" i="5"/>
  <c r="C332" i="5"/>
  <c r="C399" i="5"/>
  <c r="C335" i="5"/>
  <c r="C333" i="5"/>
  <c r="C330" i="5"/>
  <c r="C331" i="5"/>
  <c r="C336" i="5"/>
  <c r="C53" i="5"/>
  <c r="C48" i="5"/>
  <c r="C42" i="5"/>
  <c r="C55" i="5"/>
  <c r="C51" i="5"/>
  <c r="C44" i="5"/>
  <c r="C376" i="5"/>
  <c r="C377" i="5"/>
  <c r="C346" i="5" l="1"/>
  <c r="C221" i="5"/>
  <c r="C220" i="5"/>
  <c r="C243" i="5"/>
  <c r="C104" i="5"/>
  <c r="C242" i="5"/>
  <c r="H374" i="5" l="1"/>
  <c r="H369" i="5"/>
  <c r="H394" i="5"/>
  <c r="H392" i="5"/>
  <c r="H375" i="5"/>
  <c r="H373" i="5"/>
  <c r="H327" i="5"/>
  <c r="H393" i="5"/>
  <c r="H50" i="5"/>
  <c r="H58" i="5"/>
  <c r="H41" i="5"/>
  <c r="H46" i="5"/>
  <c r="C329" i="5" l="1"/>
  <c r="C388" i="5"/>
  <c r="C389" i="5"/>
  <c r="C390" i="5"/>
  <c r="C391" i="5"/>
  <c r="C60" i="5"/>
  <c r="C61" i="5"/>
  <c r="C59" i="5"/>
  <c r="C65" i="5"/>
  <c r="C67" i="5"/>
  <c r="C62" i="5"/>
  <c r="C64" i="5"/>
  <c r="C106" i="5" l="1"/>
  <c r="C347" i="5"/>
  <c r="C167" i="5" l="1"/>
  <c r="C245" i="5" l="1"/>
  <c r="H287" i="5" l="1"/>
  <c r="H288" i="5"/>
  <c r="H289" i="5"/>
  <c r="H294" i="5"/>
  <c r="H292" i="5"/>
  <c r="H293" i="5"/>
  <c r="H291" i="5"/>
  <c r="H290" i="5"/>
  <c r="H280" i="5"/>
  <c r="H281" i="5"/>
  <c r="H282" i="5"/>
  <c r="H285" i="5"/>
  <c r="H286" i="5"/>
  <c r="H279" i="5"/>
  <c r="H284" i="5"/>
  <c r="H283" i="5"/>
  <c r="C166" i="5" l="1"/>
  <c r="C365" i="5"/>
  <c r="C165" i="5"/>
  <c r="C1" i="5" l="1"/>
  <c r="D1" i="5" s="1"/>
  <c r="E1" i="5" s="1"/>
  <c r="F1" i="5" l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C206" i="5"/>
  <c r="C128" i="5"/>
  <c r="C127" i="5"/>
  <c r="C124" i="5"/>
  <c r="C123" i="5"/>
  <c r="C126" i="5"/>
  <c r="C125" i="5"/>
  <c r="C387" i="5"/>
  <c r="C105" i="5"/>
  <c r="C103" i="5"/>
  <c r="C374" i="5"/>
  <c r="C323" i="5"/>
  <c r="C371" i="5"/>
  <c r="C370" i="5"/>
  <c r="C351" i="5"/>
  <c r="C372" i="5"/>
  <c r="C369" i="5"/>
  <c r="C394" i="5"/>
  <c r="C325" i="5"/>
  <c r="C326" i="5"/>
  <c r="C324" i="5"/>
  <c r="C392" i="5"/>
  <c r="C375" i="5"/>
  <c r="C373" i="5"/>
  <c r="C327" i="5"/>
  <c r="C393" i="5"/>
  <c r="C328" i="5"/>
  <c r="C54" i="5"/>
  <c r="C49" i="5"/>
  <c r="C43" i="5"/>
  <c r="C56" i="5"/>
  <c r="C52" i="5"/>
  <c r="C337" i="5"/>
  <c r="C50" i="5"/>
  <c r="C45" i="5"/>
  <c r="C47" i="5"/>
  <c r="C57" i="5"/>
  <c r="C46" i="5"/>
  <c r="C63" i="5"/>
  <c r="C66" i="5"/>
  <c r="C58" i="5"/>
  <c r="C41" i="5"/>
  <c r="C183" i="5"/>
  <c r="C144" i="5"/>
  <c r="C145" i="5"/>
  <c r="C363" i="5"/>
  <c r="C129" i="5" l="1"/>
  <c r="C130" i="5"/>
  <c r="C68" i="5"/>
  <c r="C357" i="5"/>
  <c r="C354" i="5"/>
  <c r="C131" i="5"/>
  <c r="C132" i="5"/>
  <c r="C356" i="5"/>
  <c r="C133" i="5"/>
  <c r="C355" i="5"/>
  <c r="C69" i="5"/>
  <c r="C283" i="5"/>
  <c r="N283" i="5" s="1"/>
  <c r="W283" i="5" s="1"/>
  <c r="C284" i="5"/>
  <c r="N284" i="5" s="1"/>
  <c r="W284" i="5" s="1"/>
  <c r="C279" i="5"/>
  <c r="N279" i="5" s="1"/>
  <c r="W279" i="5" s="1"/>
  <c r="C286" i="5"/>
  <c r="N286" i="5" s="1"/>
  <c r="W286" i="5" s="1"/>
  <c r="C285" i="5"/>
  <c r="N285" i="5" s="1"/>
  <c r="W285" i="5" s="1"/>
  <c r="C282" i="5"/>
  <c r="N282" i="5" s="1"/>
  <c r="W282" i="5" s="1"/>
  <c r="C281" i="5"/>
  <c r="N281" i="5" s="1"/>
  <c r="W281" i="5" s="1"/>
  <c r="C291" i="5"/>
  <c r="N291" i="5" s="1"/>
  <c r="W291" i="5" s="1"/>
  <c r="C293" i="5"/>
  <c r="N293" i="5" s="1"/>
  <c r="W293" i="5" s="1"/>
  <c r="C288" i="5"/>
  <c r="N288" i="5" s="1"/>
  <c r="W288" i="5" s="1"/>
  <c r="C280" i="5"/>
  <c r="N280" i="5" s="1"/>
  <c r="W280" i="5" s="1"/>
  <c r="C290" i="5"/>
  <c r="N290" i="5" s="1"/>
  <c r="W290" i="5" s="1"/>
  <c r="C292" i="5"/>
  <c r="N292" i="5" s="1"/>
  <c r="W292" i="5" s="1"/>
  <c r="C294" i="5"/>
  <c r="N294" i="5" s="1"/>
  <c r="W294" i="5" s="1"/>
  <c r="C289" i="5"/>
  <c r="N289" i="5" s="1"/>
  <c r="W289" i="5" s="1"/>
  <c r="C287" i="5"/>
  <c r="N287" i="5" s="1"/>
  <c r="W287" i="5" s="1"/>
  <c r="C405" i="5"/>
  <c r="C143" i="5"/>
  <c r="CN321" i="5"/>
  <c r="CN320" i="5"/>
  <c r="V281" i="5" l="1"/>
  <c r="X281" i="5"/>
  <c r="Z282" i="5"/>
  <c r="V287" i="5"/>
  <c r="Z286" i="5"/>
  <c r="Z289" i="5"/>
  <c r="Z279" i="5"/>
  <c r="Z293" i="5"/>
  <c r="Z285" i="5"/>
  <c r="V294" i="5"/>
  <c r="Z284" i="5"/>
  <c r="Z290" i="5"/>
  <c r="Z280" i="5"/>
  <c r="Z291" i="5"/>
  <c r="Z292" i="5"/>
  <c r="Z283" i="5"/>
  <c r="Z288" i="5"/>
  <c r="CN322" i="5"/>
  <c r="V291" i="5" l="1"/>
  <c r="V280" i="5"/>
  <c r="V285" i="5"/>
  <c r="V286" i="5"/>
  <c r="V293" i="5"/>
  <c r="V290" i="5"/>
  <c r="V279" i="5"/>
  <c r="V292" i="5"/>
  <c r="Z281" i="5"/>
  <c r="Z294" i="5"/>
  <c r="V284" i="5"/>
  <c r="V288" i="5"/>
  <c r="V282" i="5"/>
  <c r="V283" i="5"/>
  <c r="Z287" i="5"/>
  <c r="V289" i="5"/>
  <c r="AA294" i="5"/>
  <c r="AA281" i="5"/>
  <c r="AA287" i="5"/>
  <c r="AA279" i="5" l="1"/>
  <c r="AA290" i="5"/>
  <c r="AA288" i="5"/>
  <c r="AA293" i="5"/>
  <c r="AA286" i="5"/>
  <c r="AA292" i="5"/>
  <c r="AA289" i="5"/>
  <c r="AA285" i="5"/>
  <c r="AA283" i="5"/>
  <c r="AA280" i="5"/>
  <c r="AA284" i="5"/>
  <c r="AA282" i="5"/>
  <c r="AA291" i="5"/>
  <c r="Y281" i="5"/>
  <c r="C112" i="5"/>
  <c r="C108" i="5" l="1"/>
  <c r="C110" i="5" l="1"/>
  <c r="C149" i="5" l="1"/>
  <c r="C147" i="5"/>
  <c r="C419" i="5" l="1"/>
  <c r="N419" i="5" s="1"/>
  <c r="W419" i="5" s="1"/>
  <c r="C418" i="5"/>
  <c r="N418" i="5" s="1"/>
  <c r="W418" i="5" s="1"/>
  <c r="C417" i="5"/>
  <c r="N417" i="5" s="1"/>
  <c r="W417" i="5" s="1"/>
  <c r="C416" i="5"/>
  <c r="N416" i="5" s="1"/>
  <c r="W416" i="5" s="1"/>
  <c r="C415" i="5"/>
  <c r="N415" i="5" s="1"/>
  <c r="W415" i="5" s="1"/>
  <c r="C414" i="5"/>
  <c r="N414" i="5" s="1"/>
  <c r="W414" i="5" s="1"/>
  <c r="C413" i="5"/>
  <c r="N413" i="5" s="1"/>
  <c r="W413" i="5" s="1"/>
  <c r="C412" i="5"/>
  <c r="N412" i="5" s="1"/>
  <c r="W412" i="5" s="1"/>
  <c r="C411" i="5"/>
  <c r="N411" i="5" s="1"/>
  <c r="W411" i="5" s="1"/>
  <c r="C410" i="5"/>
  <c r="N410" i="5" s="1"/>
  <c r="W410" i="5" s="1"/>
  <c r="C187" i="5"/>
  <c r="C186" i="5"/>
  <c r="C409" i="5"/>
  <c r="N409" i="5" s="1"/>
  <c r="W409" i="5" s="1"/>
  <c r="C427" i="5"/>
  <c r="N427" i="5" s="1"/>
  <c r="W427" i="5" s="1"/>
  <c r="C426" i="5"/>
  <c r="N426" i="5" s="1"/>
  <c r="W426" i="5" s="1"/>
  <c r="C425" i="5"/>
  <c r="N425" i="5" s="1"/>
  <c r="W425" i="5" s="1"/>
  <c r="C424" i="5"/>
  <c r="N424" i="5" s="1"/>
  <c r="W424" i="5" s="1"/>
  <c r="C423" i="5"/>
  <c r="N423" i="5" s="1"/>
  <c r="W423" i="5" s="1"/>
  <c r="C422" i="5"/>
  <c r="N422" i="5" s="1"/>
  <c r="W422" i="5" s="1"/>
  <c r="C421" i="5"/>
  <c r="N421" i="5" s="1"/>
  <c r="W421" i="5" s="1"/>
  <c r="C420" i="5"/>
  <c r="N420" i="5" s="1"/>
  <c r="W420" i="5" s="1"/>
  <c r="C173" i="5"/>
  <c r="C117" i="5"/>
  <c r="C259" i="5"/>
  <c r="N259" i="5" s="1"/>
  <c r="W259" i="5" s="1"/>
  <c r="C119" i="5"/>
  <c r="C118" i="5"/>
  <c r="C193" i="5"/>
  <c r="C192" i="5"/>
  <c r="C191" i="5"/>
  <c r="C176" i="5"/>
  <c r="C175" i="5"/>
  <c r="C177" i="5"/>
  <c r="C174" i="5"/>
  <c r="C120" i="5"/>
  <c r="C194" i="5"/>
  <c r="C226" i="5"/>
  <c r="C225" i="5"/>
  <c r="C224" i="5"/>
  <c r="C223" i="5"/>
  <c r="C222" i="5"/>
  <c r="C199" i="5"/>
  <c r="C201" i="5"/>
  <c r="C200" i="5"/>
  <c r="C198" i="5"/>
  <c r="C197" i="5"/>
  <c r="C196" i="5"/>
  <c r="C195" i="5"/>
  <c r="C189" i="5"/>
  <c r="C188" i="5"/>
  <c r="C190" i="5"/>
  <c r="C116" i="5"/>
  <c r="C350" i="5"/>
  <c r="C171" i="5"/>
  <c r="C170" i="5"/>
  <c r="C113" i="5"/>
  <c r="C98" i="5"/>
  <c r="C32" i="5"/>
  <c r="C115" i="5"/>
  <c r="C97" i="5"/>
  <c r="C384" i="5"/>
  <c r="C386" i="5"/>
  <c r="C385" i="5"/>
  <c r="C348" i="5"/>
  <c r="C169" i="5"/>
  <c r="C168" i="5"/>
  <c r="C257" i="5"/>
  <c r="N257" i="5" s="1"/>
  <c r="W257" i="5" s="1"/>
  <c r="C258" i="5"/>
  <c r="C256" i="5"/>
  <c r="C248" i="5"/>
  <c r="C247" i="5"/>
  <c r="C255" i="5"/>
  <c r="C254" i="5"/>
  <c r="C253" i="5"/>
  <c r="C252" i="5"/>
  <c r="C251" i="5"/>
  <c r="C250" i="5"/>
  <c r="C249" i="5"/>
  <c r="C96" i="5"/>
  <c r="C94" i="5"/>
  <c r="C162" i="5"/>
  <c r="C95" i="5"/>
  <c r="C157" i="5"/>
  <c r="C158" i="5"/>
  <c r="C160" i="5"/>
  <c r="C161" i="5"/>
  <c r="C92" i="5"/>
  <c r="C151" i="5"/>
  <c r="C93" i="5"/>
  <c r="C152" i="5"/>
  <c r="C407" i="5"/>
  <c r="C278" i="5"/>
  <c r="C153" i="5"/>
  <c r="C408" i="5"/>
  <c r="C362" i="5"/>
  <c r="C142" i="5"/>
  <c r="C361" i="5"/>
  <c r="C366" i="5"/>
  <c r="C358" i="5"/>
  <c r="C91" i="5"/>
  <c r="C180" i="5"/>
  <c r="C163" i="5"/>
  <c r="C82" i="5"/>
  <c r="C85" i="5"/>
  <c r="C84" i="5"/>
  <c r="C262" i="5"/>
  <c r="C83" i="5"/>
  <c r="C86" i="5"/>
  <c r="C164" i="5"/>
  <c r="C137" i="5"/>
  <c r="C79" i="5"/>
  <c r="C178" i="5"/>
  <c r="C406" i="5"/>
  <c r="C100" i="5"/>
  <c r="C78" i="5"/>
  <c r="C148" i="5"/>
  <c r="C360" i="5"/>
  <c r="C81" i="5"/>
  <c r="C74" i="5"/>
  <c r="C342" i="5"/>
  <c r="C261" i="5"/>
  <c r="C80" i="5"/>
  <c r="C368" i="5"/>
  <c r="C275" i="5"/>
  <c r="C274" i="5"/>
  <c r="C159" i="5"/>
  <c r="C154" i="5"/>
  <c r="C276" i="5"/>
  <c r="C277" i="5"/>
  <c r="C77" i="5"/>
  <c r="C150" i="5"/>
  <c r="C185" i="5"/>
  <c r="C172" i="5"/>
  <c r="C71" i="5"/>
  <c r="C211" i="5"/>
  <c r="C72" i="5"/>
  <c r="C75" i="5"/>
  <c r="C76" i="5"/>
  <c r="C109" i="5"/>
  <c r="N358" i="5" l="1"/>
  <c r="Z425" i="5"/>
  <c r="Z416" i="5"/>
  <c r="V417" i="5"/>
  <c r="V427" i="5"/>
  <c r="V418" i="5"/>
  <c r="Z409" i="5"/>
  <c r="V409" i="5"/>
  <c r="V419" i="5"/>
  <c r="V259" i="5"/>
  <c r="X259" i="5"/>
  <c r="Z410" i="5"/>
  <c r="Z420" i="5"/>
  <c r="V411" i="5"/>
  <c r="X358" i="5"/>
  <c r="V421" i="5"/>
  <c r="Z412" i="5"/>
  <c r="V422" i="5"/>
  <c r="Z413" i="5"/>
  <c r="V426" i="5"/>
  <c r="X257" i="5"/>
  <c r="V257" i="5"/>
  <c r="Z423" i="5"/>
  <c r="V414" i="5"/>
  <c r="Z424" i="5"/>
  <c r="W358" i="5" l="1"/>
  <c r="Z358" i="5"/>
  <c r="Z418" i="5"/>
  <c r="Z414" i="5"/>
  <c r="Z411" i="5"/>
  <c r="V415" i="5"/>
  <c r="AA415" i="5" s="1"/>
  <c r="Z257" i="5"/>
  <c r="Z415" i="5"/>
  <c r="V424" i="5"/>
  <c r="AA424" i="5" s="1"/>
  <c r="Z259" i="5"/>
  <c r="V420" i="5"/>
  <c r="AA420" i="5" s="1"/>
  <c r="Z426" i="5"/>
  <c r="V410" i="5"/>
  <c r="AA410" i="5" s="1"/>
  <c r="Z421" i="5"/>
  <c r="Z417" i="5"/>
  <c r="V416" i="5"/>
  <c r="AA416" i="5" s="1"/>
  <c r="V423" i="5"/>
  <c r="AA423" i="5" s="1"/>
  <c r="V413" i="5"/>
  <c r="AA413" i="5" s="1"/>
  <c r="V358" i="5"/>
  <c r="AA358" i="5" s="1"/>
  <c r="V425" i="5"/>
  <c r="AA425" i="5" s="1"/>
  <c r="Z422" i="5"/>
  <c r="V412" i="5"/>
  <c r="AA412" i="5" s="1"/>
  <c r="Z419" i="5"/>
  <c r="Z427" i="5"/>
  <c r="AA417" i="5"/>
  <c r="AA427" i="5"/>
  <c r="AA422" i="5"/>
  <c r="AA409" i="5"/>
  <c r="AA257" i="5"/>
  <c r="AA418" i="5"/>
  <c r="AA426" i="5"/>
  <c r="AA414" i="5"/>
  <c r="AA411" i="5"/>
  <c r="AA259" i="5"/>
  <c r="AA419" i="5"/>
  <c r="AA421" i="5"/>
  <c r="H71" i="5"/>
  <c r="Y358" i="5" l="1"/>
  <c r="Y257" i="5"/>
  <c r="Y259" i="5"/>
  <c r="AN137" i="5" l="1"/>
  <c r="AO137" i="5" s="1" a="1"/>
  <c r="AN366" i="5"/>
  <c r="AO366" i="5" s="1" a="1"/>
  <c r="AN211" i="5" l="1"/>
  <c r="AO211" i="5" s="1" a="1"/>
  <c r="AN150" i="5"/>
  <c r="AO150" i="5" s="1" a="1"/>
  <c r="AN274" i="5" l="1"/>
  <c r="AO274" i="5" s="1" a="1"/>
  <c r="AN276" i="5"/>
  <c r="AO276" i="5" s="1" a="1"/>
  <c r="AN275" i="5"/>
  <c r="AO275" i="5" s="1" a="1"/>
  <c r="AN278" i="5"/>
  <c r="AO278" i="5" s="1" a="1"/>
  <c r="AN277" i="5"/>
  <c r="AO277" i="5" s="1" a="1"/>
  <c r="AN407" i="5"/>
  <c r="AO407" i="5" s="1" a="1"/>
  <c r="AN91" i="5"/>
  <c r="AO91" i="5" s="1" a="1"/>
  <c r="AN72" i="5" l="1"/>
  <c r="AO72" i="5" s="1" a="1"/>
  <c r="AN71" i="5"/>
  <c r="AO71" i="5" s="1" a="1"/>
  <c r="AN181" i="5" l="1"/>
  <c r="AO181" i="5" s="1" a="1"/>
  <c r="AN341" i="5" l="1"/>
  <c r="AO341" i="5" s="1" a="1"/>
  <c r="AN97" i="5" l="1"/>
  <c r="AO97" i="5" s="1" a="1"/>
  <c r="AN73" i="5"/>
  <c r="AO73" i="5" s="1" a="1"/>
  <c r="AN111" i="5"/>
  <c r="AO111" i="5" s="1" a="1"/>
  <c r="AN338" i="5"/>
  <c r="AO338" i="5" s="1" a="1"/>
  <c r="AN353" i="5"/>
  <c r="AO353" i="5" s="1" a="1"/>
  <c r="AN352" i="5"/>
  <c r="AO352" i="5" s="1" a="1"/>
  <c r="AN339" i="5"/>
  <c r="AO339" i="5" s="1" a="1"/>
  <c r="AN400" i="5"/>
  <c r="AO400" i="5" s="1" a="1"/>
  <c r="AN340" i="5" l="1"/>
  <c r="AO340" i="5" s="1" a="1"/>
  <c r="AN182" i="5"/>
  <c r="AO182" i="5" s="1" a="1"/>
  <c r="T5" i="7" l="1"/>
  <c r="AL28" i="7" l="1"/>
  <c r="U28" i="7"/>
  <c r="T28" i="7"/>
  <c r="O28" i="7"/>
  <c r="Q28" i="7" s="1"/>
  <c r="AL27" i="7"/>
  <c r="U27" i="7"/>
  <c r="T27" i="7"/>
  <c r="O27" i="7"/>
  <c r="Q27" i="7" s="1"/>
  <c r="AL26" i="7"/>
  <c r="U26" i="7"/>
  <c r="T26" i="7"/>
  <c r="X26" i="7" s="1" a="1"/>
  <c r="O26" i="7"/>
  <c r="Q26" i="7" s="1"/>
  <c r="AL19" i="7"/>
  <c r="U19" i="7"/>
  <c r="T19" i="7"/>
  <c r="O19" i="7"/>
  <c r="L19" i="7"/>
  <c r="AL18" i="7"/>
  <c r="U18" i="7"/>
  <c r="T18" i="7"/>
  <c r="O18" i="7"/>
  <c r="L18" i="7"/>
  <c r="AL17" i="7"/>
  <c r="U17" i="7"/>
  <c r="T17" i="7"/>
  <c r="O17" i="7"/>
  <c r="L17" i="7"/>
  <c r="U16" i="7"/>
  <c r="T16" i="7"/>
  <c r="O16" i="7"/>
  <c r="L16" i="7"/>
  <c r="U15" i="7"/>
  <c r="T15" i="7"/>
  <c r="O15" i="7"/>
  <c r="L15" i="7"/>
  <c r="U14" i="7"/>
  <c r="T14" i="7"/>
  <c r="O14" i="7"/>
  <c r="L14" i="7"/>
  <c r="O5" i="7"/>
  <c r="Q5" i="7" s="1"/>
  <c r="D5" i="7" s="1"/>
  <c r="X5" i="7" a="1"/>
  <c r="U5" i="7"/>
  <c r="O21" i="7"/>
  <c r="Q21" i="7" s="1"/>
  <c r="D21" i="7" s="1"/>
  <c r="T21" i="7"/>
  <c r="U21" i="7"/>
  <c r="O22" i="7"/>
  <c r="Q22" i="7" s="1"/>
  <c r="T22" i="7"/>
  <c r="U22" i="7"/>
  <c r="O23" i="7"/>
  <c r="Q23" i="7" s="1"/>
  <c r="T23" i="7"/>
  <c r="U23" i="7"/>
  <c r="L24" i="7"/>
  <c r="O24" i="7"/>
  <c r="T24" i="7"/>
  <c r="U24" i="7"/>
  <c r="L29" i="7"/>
  <c r="O29" i="7"/>
  <c r="T29" i="7"/>
  <c r="U29" i="7"/>
  <c r="L30" i="7"/>
  <c r="O30" i="7"/>
  <c r="T30" i="7"/>
  <c r="U30" i="7"/>
  <c r="L31" i="7"/>
  <c r="O31" i="7"/>
  <c r="T31" i="7"/>
  <c r="U31" i="7"/>
  <c r="L32" i="7"/>
  <c r="O32" i="7"/>
  <c r="T32" i="7"/>
  <c r="U32" i="7"/>
  <c r="L33" i="7"/>
  <c r="O33" i="7"/>
  <c r="T33" i="7"/>
  <c r="U33" i="7"/>
  <c r="L34" i="7"/>
  <c r="O34" i="7"/>
  <c r="T34" i="7"/>
  <c r="U34" i="7"/>
  <c r="L25" i="7"/>
  <c r="O25" i="7"/>
  <c r="T25" i="7"/>
  <c r="U25" i="7"/>
  <c r="L8" i="7"/>
  <c r="O8" i="7"/>
  <c r="T8" i="7"/>
  <c r="U8" i="7"/>
  <c r="L9" i="7"/>
  <c r="O9" i="7"/>
  <c r="T9" i="7"/>
  <c r="U9" i="7"/>
  <c r="L10" i="7"/>
  <c r="O10" i="7"/>
  <c r="T10" i="7"/>
  <c r="U10" i="7"/>
  <c r="L11" i="7"/>
  <c r="O11" i="7"/>
  <c r="T11" i="7"/>
  <c r="U11" i="7"/>
  <c r="L12" i="7"/>
  <c r="O12" i="7"/>
  <c r="T12" i="7"/>
  <c r="U12" i="7"/>
  <c r="L13" i="7"/>
  <c r="O13" i="7"/>
  <c r="T13" i="7"/>
  <c r="U13" i="7"/>
  <c r="O6" i="7"/>
  <c r="Q6" i="7" s="1"/>
  <c r="R6" i="7" s="1"/>
  <c r="T6" i="7"/>
  <c r="X6" i="7" s="1" a="1"/>
  <c r="U6" i="7"/>
  <c r="O7" i="7"/>
  <c r="Q7" i="7" s="1"/>
  <c r="T7" i="7"/>
  <c r="X7" i="7" s="1" a="1"/>
  <c r="U7" i="7"/>
  <c r="X10" i="7" l="1" a="1"/>
  <c r="X32" i="7" a="1"/>
  <c r="V30" i="7"/>
  <c r="E30" i="7" s="1"/>
  <c r="V23" i="7"/>
  <c r="E23" i="7" s="1"/>
  <c r="V15" i="7"/>
  <c r="E15" i="7" s="1"/>
  <c r="V28" i="7"/>
  <c r="E28" i="7" s="1"/>
  <c r="X16" i="7" a="1"/>
  <c r="W27" i="7"/>
  <c r="X15" i="7" a="1"/>
  <c r="V26" i="7"/>
  <c r="E26" i="7" s="1"/>
  <c r="W28" i="7"/>
  <c r="D28" i="7"/>
  <c r="W26" i="7"/>
  <c r="D26" i="7"/>
  <c r="V27" i="7"/>
  <c r="E27" i="7" s="1"/>
  <c r="X27" i="7" a="1"/>
  <c r="Q10" i="7"/>
  <c r="W10" i="7" s="1"/>
  <c r="Q32" i="7"/>
  <c r="D32" i="7" s="1"/>
  <c r="Q29" i="7"/>
  <c r="R29" i="7" s="1"/>
  <c r="V18" i="7"/>
  <c r="E18" i="7" s="1"/>
  <c r="V16" i="7"/>
  <c r="E16" i="7" s="1"/>
  <c r="D27" i="7"/>
  <c r="X28" i="7" a="1"/>
  <c r="R26" i="7"/>
  <c r="R27" i="7"/>
  <c r="R28" i="7"/>
  <c r="X19" i="7" a="1"/>
  <c r="X14" i="7" a="1"/>
  <c r="X17" i="7" a="1"/>
  <c r="V19" i="7"/>
  <c r="E19" i="7" s="1"/>
  <c r="Q11" i="7"/>
  <c r="D11" i="7" s="1"/>
  <c r="Q8" i="7"/>
  <c r="R8" i="7" s="1"/>
  <c r="Q33" i="7"/>
  <c r="R33" i="7" s="1"/>
  <c r="V14" i="7"/>
  <c r="E14" i="7" s="1"/>
  <c r="V17" i="7"/>
  <c r="E17" i="7" s="1"/>
  <c r="Q14" i="7"/>
  <c r="Q15" i="7"/>
  <c r="Q16" i="7"/>
  <c r="Q17" i="7"/>
  <c r="Q18" i="7"/>
  <c r="Q19" i="7"/>
  <c r="X18" i="7" a="1"/>
  <c r="X8" i="7" a="1"/>
  <c r="W7" i="7"/>
  <c r="V9" i="7"/>
  <c r="E9" i="7" s="1"/>
  <c r="V22" i="7"/>
  <c r="E22" i="7" s="1"/>
  <c r="X12" i="7" a="1"/>
  <c r="V24" i="7"/>
  <c r="E24" i="7" s="1"/>
  <c r="X34" i="7" a="1"/>
  <c r="V8" i="7"/>
  <c r="E8" i="7" s="1"/>
  <c r="V33" i="7"/>
  <c r="E33" i="7" s="1"/>
  <c r="X30" i="7" a="1"/>
  <c r="V31" i="7"/>
  <c r="E31" i="7" s="1"/>
  <c r="Q24" i="7"/>
  <c r="R24" i="7" s="1"/>
  <c r="V21" i="7"/>
  <c r="E21" i="7" s="1"/>
  <c r="V12" i="7"/>
  <c r="E12" i="7" s="1"/>
  <c r="R7" i="7"/>
  <c r="Q12" i="7"/>
  <c r="W12" i="7" s="1"/>
  <c r="V10" i="7"/>
  <c r="E10" i="7" s="1"/>
  <c r="Q31" i="7"/>
  <c r="D31" i="7" s="1"/>
  <c r="V29" i="7"/>
  <c r="E29" i="7" s="1"/>
  <c r="V13" i="7"/>
  <c r="E13" i="7" s="1"/>
  <c r="D7" i="7"/>
  <c r="Q13" i="7"/>
  <c r="D13" i="7" s="1"/>
  <c r="V11" i="7"/>
  <c r="E11" i="7" s="1"/>
  <c r="Q34" i="7"/>
  <c r="D34" i="7" s="1"/>
  <c r="V32" i="7"/>
  <c r="E32" i="7" s="1"/>
  <c r="X24" i="7" a="1"/>
  <c r="V34" i="7"/>
  <c r="E34" i="7" s="1"/>
  <c r="V6" i="7"/>
  <c r="E6" i="7" s="1"/>
  <c r="V7" i="7"/>
  <c r="E7" i="7" s="1"/>
  <c r="Q9" i="7"/>
  <c r="D9" i="7" s="1"/>
  <c r="V25" i="7"/>
  <c r="E25" i="7" s="1"/>
  <c r="Q30" i="7"/>
  <c r="D30" i="7" s="1"/>
  <c r="D29" i="7"/>
  <c r="W29" i="7"/>
  <c r="D23" i="7"/>
  <c r="W23" i="7"/>
  <c r="R23" i="7"/>
  <c r="R22" i="7"/>
  <c r="D22" i="7"/>
  <c r="W22" i="7"/>
  <c r="X22" i="7" a="1"/>
  <c r="R21" i="7"/>
  <c r="V5" i="7"/>
  <c r="E5" i="7" s="1"/>
  <c r="W6" i="7"/>
  <c r="D6" i="7"/>
  <c r="Q25" i="7"/>
  <c r="X21" i="7" a="1"/>
  <c r="R5" i="7"/>
  <c r="W21" i="7"/>
  <c r="X13" i="7" a="1"/>
  <c r="X25" i="7" a="1"/>
  <c r="X33" i="7" a="1"/>
  <c r="X31" i="7" a="1"/>
  <c r="X29" i="7" a="1"/>
  <c r="X23" i="7" a="1"/>
  <c r="X11" i="7" a="1"/>
  <c r="X9" i="7" a="1"/>
  <c r="W5" i="7"/>
  <c r="R9" i="7" l="1"/>
  <c r="R32" i="7"/>
  <c r="W34" i="7"/>
  <c r="R13" i="7"/>
  <c r="W13" i="7"/>
  <c r="D10" i="7"/>
  <c r="R12" i="7"/>
  <c r="R10" i="7"/>
  <c r="D12" i="7"/>
  <c r="W32" i="7"/>
  <c r="W33" i="7"/>
  <c r="W30" i="7"/>
  <c r="R30" i="7"/>
  <c r="D24" i="7"/>
  <c r="R11" i="7"/>
  <c r="W11" i="7"/>
  <c r="D33" i="7"/>
  <c r="W24" i="7"/>
  <c r="R34" i="7"/>
  <c r="W8" i="7"/>
  <c r="D8" i="7"/>
  <c r="W9" i="7"/>
  <c r="D19" i="7"/>
  <c r="W19" i="7"/>
  <c r="R19" i="7"/>
  <c r="D18" i="7"/>
  <c r="W18" i="7"/>
  <c r="R18" i="7"/>
  <c r="D17" i="7"/>
  <c r="W17" i="7"/>
  <c r="R17" i="7"/>
  <c r="D16" i="7"/>
  <c r="W16" i="7"/>
  <c r="R16" i="7"/>
  <c r="D15" i="7"/>
  <c r="W15" i="7"/>
  <c r="R15" i="7"/>
  <c r="D14" i="7"/>
  <c r="W14" i="7"/>
  <c r="R14" i="7"/>
  <c r="R31" i="7"/>
  <c r="W31" i="7"/>
  <c r="D25" i="7"/>
  <c r="W25" i="7"/>
  <c r="R25" i="7"/>
  <c r="X239" i="5" l="1"/>
  <c r="Y239" i="5" s="1"/>
  <c r="J323" i="5" l="1" a="1"/>
  <c r="J10" i="5" l="1" a="1"/>
  <c r="J324" i="5" a="1"/>
  <c r="J325" i="5" l="1" a="1"/>
  <c r="J13" i="5" l="1" a="1"/>
  <c r="J326" i="5" a="1"/>
  <c r="J5" i="5" l="1" a="1"/>
  <c r="J327" i="5" l="1" a="1"/>
  <c r="J6" i="5" l="1" a="1"/>
  <c r="J7" i="5" l="1" a="1"/>
  <c r="J9" i="5" l="1" a="1"/>
  <c r="J17" i="5" a="1"/>
  <c r="J8" i="5" l="1" a="1"/>
  <c r="J12" i="5" l="1" a="1"/>
  <c r="J11" i="5" a="1"/>
  <c r="J14" i="5" a="1"/>
  <c r="J20" i="5" a="1"/>
  <c r="W240" i="5" l="1"/>
  <c r="J22" i="5" l="1" a="1"/>
  <c r="J15" i="5" l="1" a="1"/>
  <c r="J151" i="5" a="1"/>
  <c r="J364" i="5" a="1"/>
  <c r="J105" i="5" a="1"/>
  <c r="J320" i="5" a="1"/>
  <c r="J291" i="5" a="1"/>
  <c r="J399" i="5" a="1"/>
  <c r="J149" i="5" a="1"/>
  <c r="J51" i="5" a="1"/>
  <c r="J161" i="5" a="1"/>
  <c r="J311" i="5" a="1"/>
  <c r="J189" i="5" a="1"/>
  <c r="J258" i="5" a="1"/>
  <c r="J127" i="5" a="1"/>
  <c r="J286" i="5" a="1"/>
  <c r="J372" i="5" a="1"/>
  <c r="J115" i="5" a="1"/>
  <c r="J365" i="5" a="1"/>
  <c r="J147" i="5" a="1"/>
  <c r="J331" i="5" a="1"/>
  <c r="J225" i="5" a="1"/>
  <c r="J125" i="5" a="1"/>
  <c r="J358" i="5" a="1"/>
  <c r="J283" i="5" a="1"/>
  <c r="J391" i="5" a="1"/>
  <c r="J227" i="5" a="1"/>
  <c r="J75" i="5" a="1"/>
  <c r="J379" i="5" a="1"/>
  <c r="J57" i="5" a="1"/>
  <c r="J295" i="5" a="1"/>
  <c r="J96" i="5" a="1"/>
  <c r="J248" i="5" a="1"/>
  <c r="J181" i="5" a="1"/>
  <c r="J138" i="5" a="1"/>
  <c r="J413" i="5" a="1"/>
  <c r="J318" i="5" a="1"/>
  <c r="J343" i="5" a="1"/>
  <c r="J132" i="5" a="1"/>
  <c r="J54" i="5" a="1"/>
  <c r="J88" i="5" a="1"/>
  <c r="J345" i="5" a="1"/>
  <c r="J202" i="5" a="1"/>
  <c r="J135" i="5" a="1"/>
  <c r="J108" i="5" a="1"/>
  <c r="J228" i="5" a="1"/>
  <c r="J186" i="5" a="1"/>
  <c r="J67" i="5" a="1"/>
  <c r="J69" i="5" a="1"/>
  <c r="J276" i="5" a="1"/>
  <c r="J157" i="5" a="1"/>
  <c r="J288" i="5" a="1"/>
  <c r="J273" i="5" a="1"/>
  <c r="J385" i="5" a="1"/>
  <c r="J245" i="5" a="1"/>
  <c r="J45" i="5" a="1"/>
  <c r="J90" i="5" a="1"/>
  <c r="J285" i="5" a="1"/>
  <c r="J387" i="5" a="1"/>
  <c r="J396" i="5" a="1"/>
  <c r="J220" i="5" a="1"/>
  <c r="J153" i="5" a="1"/>
  <c r="J191" i="5" a="1"/>
  <c r="J271" i="5" a="1"/>
  <c r="J373" i="5" a="1"/>
  <c r="J256" i="5" a="1"/>
  <c r="J190" i="5" a="1"/>
  <c r="J376" i="5" a="1"/>
  <c r="J388" i="5" a="1"/>
  <c r="J210" i="5" a="1"/>
  <c r="J247" i="5" a="1"/>
  <c r="J229" i="5" a="1"/>
  <c r="J52" i="5" a="1"/>
  <c r="J55" i="5" a="1"/>
  <c r="J196" i="5" a="1"/>
  <c r="J392" i="5" a="1"/>
  <c r="J346" i="5" a="1"/>
  <c r="J71" i="5" a="1"/>
  <c r="J367" i="5" a="1"/>
  <c r="J307" i="5" a="1"/>
  <c r="J353" i="5" a="1"/>
  <c r="J384" i="5" a="1"/>
  <c r="J150" i="5" a="1"/>
  <c r="J77" i="5" a="1"/>
  <c r="J62" i="5" a="1"/>
  <c r="J141" i="5" a="1"/>
  <c r="J414" i="5" a="1"/>
  <c r="J164" i="5" a="1"/>
  <c r="J123" i="5" a="1"/>
  <c r="J124" i="5" a="1"/>
  <c r="J70" i="5" a="1"/>
  <c r="J120" i="5" a="1"/>
  <c r="J87" i="5" a="1"/>
  <c r="J85" i="5" a="1"/>
  <c r="J103" i="5" a="1"/>
  <c r="J173" i="5" a="1"/>
  <c r="J160" i="5" a="1"/>
  <c r="J389" i="5" a="1"/>
  <c r="J322" i="5" a="1"/>
  <c r="J420" i="5" a="1"/>
  <c r="J140" i="5" a="1"/>
  <c r="J66" i="5" a="1"/>
  <c r="J194" i="5" a="1"/>
  <c r="J91" i="5" a="1"/>
  <c r="J333" i="5" a="1"/>
  <c r="J338" i="5" a="1"/>
  <c r="J349" i="5" a="1"/>
  <c r="J415" i="5" a="1"/>
  <c r="J185" i="5" a="1"/>
  <c r="J409" i="5" a="1"/>
  <c r="J261" i="5" a="1"/>
  <c r="J321" i="5" a="1"/>
  <c r="J154" i="5" a="1"/>
  <c r="J195" i="5" a="1"/>
  <c r="J397" i="5" a="1"/>
  <c r="J53" i="5" a="1"/>
  <c r="J249" i="5" a="1"/>
  <c r="J371" i="5" a="1"/>
  <c r="J43" i="5" a="1"/>
  <c r="J410" i="5" a="1"/>
  <c r="J63" i="5" a="1"/>
  <c r="J79" i="5" a="1"/>
  <c r="J263" i="5" a="1"/>
  <c r="J16" i="5" a="1"/>
  <c r="J142" i="5" a="1"/>
  <c r="J152" i="5" a="1"/>
  <c r="J197" i="5" a="1"/>
  <c r="J404" i="5" a="1"/>
  <c r="J242" i="5" a="1"/>
  <c r="J251" i="5" a="1"/>
  <c r="J174" i="5" a="1"/>
  <c r="J175" i="5" a="1"/>
  <c r="J369" i="5" a="1"/>
  <c r="J422" i="5" a="1"/>
  <c r="J61" i="5" a="1"/>
  <c r="J162" i="5" a="1"/>
  <c r="J374" i="5" a="1"/>
  <c r="J145" i="5" a="1"/>
  <c r="J293" i="5" a="1"/>
  <c r="J211" i="5" a="1"/>
  <c r="J130" i="5" a="1"/>
  <c r="J426" i="5" a="1"/>
  <c r="J94" i="5" a="1"/>
  <c r="J298" i="5" a="1"/>
  <c r="J254" i="5" a="1"/>
  <c r="J178" i="5" a="1"/>
  <c r="J332" i="5" a="1"/>
  <c r="J183" i="5" a="1"/>
  <c r="J354" i="5" a="1"/>
  <c r="J302" i="5" a="1"/>
  <c r="J266" i="5" a="1"/>
  <c r="J74" i="5" a="1"/>
  <c r="J165" i="5" a="1"/>
  <c r="J403" i="5" a="1"/>
  <c r="J292" i="5" a="1"/>
  <c r="J177" i="5" a="1"/>
  <c r="J184" i="5" a="1"/>
  <c r="J303" i="5" a="1"/>
  <c r="J76" i="5" a="1"/>
  <c r="J401" i="5" a="1"/>
  <c r="J427" i="5" a="1"/>
  <c r="J277" i="5" a="1"/>
  <c r="J193" i="5" a="1"/>
  <c r="J253" i="5" a="1"/>
  <c r="J143" i="5" a="1"/>
  <c r="J59" i="5" a="1"/>
  <c r="J56" i="5" a="1"/>
  <c r="J89" i="5" a="1"/>
  <c r="J380" i="5" a="1"/>
  <c r="J136" i="5" a="1"/>
  <c r="J382" i="5" a="1"/>
  <c r="J144" i="5" a="1"/>
  <c r="J50" i="5" a="1"/>
  <c r="J121" i="5" a="1"/>
  <c r="J139" i="5" a="1"/>
  <c r="J188" i="5" a="1"/>
  <c r="J314" i="5" a="1"/>
  <c r="J72" i="5" a="1"/>
  <c r="J226" i="5" a="1"/>
  <c r="J356" i="5" a="1"/>
  <c r="J306" i="5" a="1"/>
  <c r="J131" i="5" a="1"/>
  <c r="J223" i="5" a="1"/>
  <c r="J58" i="5" a="1"/>
  <c r="J244" i="5" a="1"/>
  <c r="J368" i="5" a="1"/>
  <c r="J357" i="5" a="1"/>
  <c r="J417" i="5" a="1"/>
  <c r="J83" i="5" a="1"/>
  <c r="J407" i="5" a="1"/>
  <c r="J84" i="5" a="1"/>
  <c r="J82" i="5" a="1"/>
  <c r="J341" i="5" a="1"/>
  <c r="J60" i="5" a="1"/>
  <c r="J110" i="5" a="1"/>
  <c r="J393" i="5" a="1"/>
  <c r="J201" i="5" a="1"/>
  <c r="J310" i="5" a="1"/>
  <c r="J200" i="5" a="1"/>
  <c r="J104" i="5" a="1"/>
  <c r="J398" i="5" a="1"/>
  <c r="J296" i="5" a="1"/>
  <c r="J408" i="5" a="1"/>
  <c r="J156" i="5" a="1"/>
  <c r="J241" i="5" a="1"/>
  <c r="J424" i="5" a="1"/>
  <c r="J252" i="5" a="1"/>
  <c r="J259" i="5" a="1"/>
  <c r="J209" i="5" a="1"/>
  <c r="J294" i="5" a="1"/>
  <c r="J19" i="5" a="1"/>
  <c r="J278" i="5" a="1"/>
  <c r="J416" i="5" a="1"/>
  <c r="J128" i="5" a="1"/>
  <c r="J48" i="5" a="1"/>
  <c r="J172" i="5" a="1"/>
  <c r="J171" i="5" a="1"/>
  <c r="J335" i="5" a="1"/>
  <c r="J102" i="5" a="1"/>
  <c r="J363" i="5" a="1"/>
  <c r="J93" i="5" a="1"/>
  <c r="J148" i="5" a="1"/>
  <c r="J313" i="5" a="1"/>
  <c r="J317" i="5" a="1"/>
  <c r="J234" i="5" a="1"/>
  <c r="J155" i="5" a="1"/>
  <c r="J176" i="5" a="1"/>
  <c r="J319" i="5" a="1"/>
  <c r="J240" i="5" a="1"/>
  <c r="J42" i="5" a="1"/>
  <c r="J198" i="5" a="1"/>
  <c r="J224" i="5" a="1"/>
  <c r="J111" i="5" a="1"/>
  <c r="J340" i="5" a="1"/>
  <c r="J287" i="5" a="1"/>
  <c r="J299" i="5" a="1"/>
  <c r="J222" i="5" a="1"/>
  <c r="J49" i="5" a="1"/>
  <c r="J351" i="5" a="1"/>
  <c r="J167" i="5" a="1"/>
  <c r="J350" i="5" a="1"/>
  <c r="J290" i="5" a="1"/>
  <c r="J179" i="5" a="1"/>
  <c r="J46" i="5" a="1"/>
  <c r="J99" i="5" a="1"/>
  <c r="J95" i="5" a="1"/>
  <c r="J107" i="5" a="1"/>
  <c r="J352" i="5" a="1"/>
  <c r="J18" i="5" a="1"/>
  <c r="J158" i="5" a="1"/>
  <c r="J268" i="5" a="1"/>
  <c r="J230" i="5" a="1"/>
  <c r="J44" i="5" a="1"/>
  <c r="J117" i="5" a="1"/>
  <c r="J370" i="5" a="1"/>
  <c r="J119" i="5" a="1"/>
  <c r="J231" i="5" a="1"/>
  <c r="J348" i="5" a="1"/>
  <c r="J47" i="5" a="1"/>
  <c r="J421" i="5" a="1"/>
  <c r="J73" i="5" a="1"/>
  <c r="J386" i="5" a="1"/>
  <c r="J221" i="5" a="1"/>
  <c r="J402" i="5" a="1"/>
  <c r="J279" i="5" a="1"/>
  <c r="J199" i="5" a="1"/>
  <c r="J206" i="5" a="1"/>
  <c r="J337" i="5" a="1"/>
  <c r="J406" i="5" a="1"/>
  <c r="J257" i="5" a="1"/>
  <c r="J412" i="5" a="1"/>
  <c r="J272" i="5" a="1"/>
  <c r="J297" i="5" a="1"/>
  <c r="J270" i="5" a="1"/>
  <c r="J146" i="5" a="1"/>
  <c r="J312" i="5" a="1"/>
  <c r="J169" i="5" a="1"/>
  <c r="J419" i="5" a="1"/>
  <c r="J134" i="5" a="1"/>
  <c r="J80" i="5" a="1"/>
  <c r="J375" i="5" a="1"/>
  <c r="J78" i="5" a="1"/>
  <c r="J411" i="5" a="1"/>
  <c r="J137" i="5" a="1"/>
  <c r="J359" i="5" a="1"/>
  <c r="J377" i="5" a="1"/>
  <c r="J383" i="5" a="1"/>
  <c r="J170" i="5" a="1"/>
  <c r="J159" i="5" a="1"/>
  <c r="J423" i="5" a="1"/>
  <c r="J97" i="5" a="1"/>
  <c r="J394" i="5" a="1"/>
  <c r="J366" i="5" a="1"/>
  <c r="J362" i="5" a="1"/>
  <c r="J264" i="5" a="1"/>
  <c r="J301" i="5" a="1"/>
  <c r="J68" i="5" a="1"/>
  <c r="J208" i="5" a="1"/>
  <c r="J100" i="5" a="1"/>
  <c r="J339" i="5" a="1"/>
  <c r="J163" i="5" a="1"/>
  <c r="J390" i="5" a="1"/>
  <c r="J232" i="5" a="1"/>
  <c r="J86" i="5" a="1"/>
  <c r="J212" i="5" a="1"/>
  <c r="J281" i="5" a="1"/>
  <c r="J355" i="5" a="1"/>
  <c r="J129" i="5" a="1"/>
  <c r="J101" i="5" a="1"/>
  <c r="J265" i="5" a="1"/>
  <c r="J405" i="5" a="1"/>
  <c r="J180" i="5" a="1"/>
  <c r="J425" i="5" a="1"/>
  <c r="J267" i="5" a="1"/>
  <c r="J400" i="5" a="1"/>
  <c r="J166" i="5" a="1"/>
  <c r="J113" i="5" a="1"/>
  <c r="J316" i="5" a="1"/>
  <c r="J260" i="5" a="1"/>
  <c r="J112" i="5" a="1"/>
  <c r="J118" i="5" a="1"/>
  <c r="J168" i="5" a="1"/>
  <c r="J122" i="5" a="1"/>
  <c r="J64" i="5" a="1"/>
  <c r="J328" i="5" a="1"/>
  <c r="J98" i="5" a="1"/>
  <c r="J262" i="5" a="1"/>
  <c r="J315" i="5" a="1"/>
  <c r="J378" i="5" a="1"/>
  <c r="J274" i="5" a="1"/>
  <c r="J182" i="5" a="1"/>
  <c r="J330" i="5" a="1"/>
  <c r="J329" i="5" a="1"/>
  <c r="J309" i="5" a="1"/>
  <c r="J305" i="5" a="1"/>
  <c r="J344" i="5" a="1"/>
  <c r="J347" i="5" a="1"/>
  <c r="J361" i="5" a="1"/>
  <c r="J308" i="5" a="1"/>
  <c r="J418" i="5" a="1"/>
  <c r="J304" i="5" a="1"/>
  <c r="J126" i="5" a="1"/>
  <c r="J92" i="5" a="1"/>
  <c r="J187" i="5" a="1"/>
  <c r="J336" i="5" a="1"/>
  <c r="J21" i="5" a="1"/>
  <c r="J207" i="5" a="1"/>
  <c r="J334" i="5" a="1"/>
  <c r="J269" i="5" a="1"/>
  <c r="J289" i="5" a="1"/>
  <c r="J81" i="5" a="1"/>
  <c r="J360" i="5" a="1"/>
  <c r="J114" i="5" a="1"/>
  <c r="J192" i="5" a="1"/>
  <c r="J109" i="5" a="1"/>
  <c r="J275" i="5" a="1"/>
  <c r="J250" i="5" a="1"/>
  <c r="J255" i="5" a="1"/>
  <c r="J23" i="5" a="1"/>
  <c r="J41" i="5" l="1" a="1"/>
  <c r="J243" i="5" a="1"/>
  <c r="J381" i="5" a="1"/>
  <c r="J280" i="5" a="1"/>
  <c r="J284" i="5" a="1"/>
  <c r="J300" i="5" a="1"/>
  <c r="J342" i="5" a="1"/>
  <c r="J133" i="5" a="1"/>
  <c r="J282" i="5" a="1"/>
  <c r="J116" i="5" a="1"/>
  <c r="J233" i="5" a="1"/>
  <c r="J106" i="5" a="1"/>
  <c r="J395" i="5" a="1"/>
  <c r="J24" i="5" a="1"/>
  <c r="J235" i="5" l="1" a="1"/>
  <c r="AO36" i="5" l="1" a="1"/>
  <c r="AO213" i="5" a="1"/>
  <c r="AO26" i="5" a="1"/>
  <c r="AO214" i="5" a="1"/>
  <c r="AO215" i="5" a="1"/>
  <c r="AO40" i="5" a="1"/>
  <c r="AO216" i="5" a="1"/>
  <c r="J25" i="5" a="1"/>
  <c r="J26" i="5" l="1" a="1"/>
  <c r="J29" i="5" a="1"/>
  <c r="J27" i="5" l="1" a="1"/>
  <c r="J28" i="5" l="1" a="1"/>
  <c r="R23" i="5" l="1"/>
  <c r="T23" i="5"/>
  <c r="U23" i="5" s="1"/>
  <c r="J246" i="5" l="1" a="1"/>
  <c r="J30" i="5" l="1" a="1"/>
  <c r="J31" i="5" a="1"/>
  <c r="J33" i="5" l="1" a="1"/>
  <c r="J217" i="5" a="1"/>
  <c r="N205" i="5"/>
  <c r="V205" i="5" l="1"/>
  <c r="AA205" i="5" s="1"/>
  <c r="W205" i="5"/>
  <c r="J32" i="5" l="1" a="1"/>
  <c r="N19" i="5"/>
  <c r="N12" i="5"/>
  <c r="N15" i="5"/>
  <c r="N10" i="5"/>
  <c r="N203" i="5"/>
  <c r="N14" i="5"/>
  <c r="N6" i="5"/>
  <c r="N204" i="5"/>
  <c r="N16" i="5"/>
  <c r="V6" i="5" l="1"/>
  <c r="W6" i="5"/>
  <c r="V14" i="5"/>
  <c r="Z14" i="5"/>
  <c r="W14" i="5"/>
  <c r="W16" i="5"/>
  <c r="Z16" i="5"/>
  <c r="V16" i="5"/>
  <c r="V203" i="5"/>
  <c r="AA203" i="5" s="1"/>
  <c r="W203" i="5"/>
  <c r="Z12" i="5"/>
  <c r="V12" i="5"/>
  <c r="W12" i="5"/>
  <c r="V204" i="5"/>
  <c r="W204" i="5"/>
  <c r="Z10" i="5"/>
  <c r="V10" i="5"/>
  <c r="W10" i="5"/>
  <c r="Z15" i="5"/>
  <c r="V15" i="5"/>
  <c r="W15" i="5"/>
  <c r="W19" i="5"/>
  <c r="Z19" i="5"/>
  <c r="V19" i="5"/>
  <c r="J34" i="5" l="1" a="1"/>
  <c r="AA14" i="5"/>
  <c r="AA10" i="5"/>
  <c r="AA16" i="5"/>
  <c r="AA15" i="5"/>
  <c r="AA6" i="5"/>
  <c r="AA204" i="5"/>
  <c r="AA12" i="5"/>
  <c r="AA19" i="5"/>
  <c r="X212" i="5" l="1"/>
  <c r="J35" i="5" l="1" a="1"/>
  <c r="J36" i="5" a="1"/>
  <c r="X156" i="5"/>
  <c r="N156" i="5"/>
  <c r="X10" i="5"/>
  <c r="Y10" i="5" s="1"/>
  <c r="J37" i="5" l="1" a="1"/>
  <c r="V156" i="5"/>
  <c r="Z156" i="5"/>
  <c r="W156" i="5"/>
  <c r="X236" i="5"/>
  <c r="Y236" i="5" s="1"/>
  <c r="J39" i="5" l="1" a="1"/>
  <c r="J38" i="5" a="1"/>
  <c r="Y156" i="5"/>
  <c r="AA156" i="5"/>
  <c r="N134" i="5" l="1"/>
  <c r="X134" i="5"/>
  <c r="Z134" i="5" l="1"/>
  <c r="V134" i="5"/>
  <c r="W134" i="5"/>
  <c r="X227" i="5" l="1"/>
  <c r="Y134" i="5"/>
  <c r="AA134" i="5"/>
  <c r="N27" i="5"/>
  <c r="V27" i="5" l="1"/>
  <c r="W27" i="5"/>
  <c r="Z27" i="5"/>
  <c r="N102" i="5"/>
  <c r="N101" i="5"/>
  <c r="X101" i="5"/>
  <c r="X102" i="5"/>
  <c r="AA27" i="5" l="1"/>
  <c r="V101" i="5"/>
  <c r="Z101" i="5"/>
  <c r="W101" i="5"/>
  <c r="V102" i="5"/>
  <c r="Z102" i="5"/>
  <c r="W102" i="5"/>
  <c r="Y102" i="5" l="1"/>
  <c r="AA102" i="5"/>
  <c r="Y101" i="5"/>
  <c r="AA101" i="5"/>
  <c r="X19" i="5"/>
  <c r="Y19" i="5" s="1"/>
  <c r="X241" i="5" l="1"/>
  <c r="X122" i="5" l="1"/>
  <c r="X240" i="5"/>
  <c r="Y240" i="5" s="1"/>
  <c r="X5" i="5" l="1"/>
  <c r="N359" i="5" l="1"/>
  <c r="X359" i="5"/>
  <c r="N135" i="5"/>
  <c r="X135" i="5"/>
  <c r="X136" i="5"/>
  <c r="N136" i="5"/>
  <c r="W136" i="5" l="1"/>
  <c r="Z136" i="5"/>
  <c r="V136" i="5"/>
  <c r="V135" i="5"/>
  <c r="W135" i="5"/>
  <c r="Z135" i="5"/>
  <c r="V359" i="5"/>
  <c r="Z359" i="5"/>
  <c r="W359" i="5"/>
  <c r="AA359" i="5" l="1"/>
  <c r="Y359" i="5"/>
  <c r="AA135" i="5"/>
  <c r="Y135" i="5"/>
  <c r="Y136" i="5"/>
  <c r="AA136" i="5"/>
  <c r="N30" i="5" l="1"/>
  <c r="X30" i="5"/>
  <c r="N268" i="5"/>
  <c r="X268" i="5"/>
  <c r="N31" i="5"/>
  <c r="X31" i="5"/>
  <c r="N90" i="5"/>
  <c r="X90" i="5"/>
  <c r="X210" i="5"/>
  <c r="X39" i="5"/>
  <c r="N210" i="5"/>
  <c r="N39" i="5"/>
  <c r="X37" i="5"/>
  <c r="N272" i="5"/>
  <c r="X271" i="5"/>
  <c r="X272" i="5"/>
  <c r="N37" i="5"/>
  <c r="N271" i="5"/>
  <c r="N146" i="5"/>
  <c r="X28" i="5"/>
  <c r="N28" i="5"/>
  <c r="X146" i="5"/>
  <c r="X266" i="5"/>
  <c r="N266" i="5"/>
  <c r="N264" i="5"/>
  <c r="X264" i="5"/>
  <c r="X33" i="5"/>
  <c r="N33" i="5"/>
  <c r="N265" i="5"/>
  <c r="X265" i="5"/>
  <c r="X273" i="5"/>
  <c r="N273" i="5"/>
  <c r="X267" i="5"/>
  <c r="N34" i="5"/>
  <c r="X34" i="5"/>
  <c r="N267" i="5"/>
  <c r="X269" i="5"/>
  <c r="X29" i="5"/>
  <c r="N270" i="5"/>
  <c r="X270" i="5"/>
  <c r="N29" i="5"/>
  <c r="N269" i="5"/>
  <c r="N263" i="5"/>
  <c r="N246" i="5"/>
  <c r="X246" i="5"/>
  <c r="X184" i="5"/>
  <c r="N184" i="5"/>
  <c r="X263" i="5"/>
  <c r="X70" i="5"/>
  <c r="V246" i="5" l="1"/>
  <c r="W246" i="5"/>
  <c r="Z246" i="5"/>
  <c r="V273" i="5"/>
  <c r="Z273" i="5"/>
  <c r="W273" i="5"/>
  <c r="W39" i="5"/>
  <c r="Z39" i="5"/>
  <c r="V39" i="5"/>
  <c r="W263" i="5"/>
  <c r="V263" i="5"/>
  <c r="Z263" i="5"/>
  <c r="V28" i="5"/>
  <c r="W28" i="5"/>
  <c r="Z28" i="5"/>
  <c r="Z210" i="5"/>
  <c r="V210" i="5"/>
  <c r="W210" i="5"/>
  <c r="Z269" i="5"/>
  <c r="V269" i="5"/>
  <c r="W269" i="5"/>
  <c r="Z29" i="5"/>
  <c r="W29" i="5"/>
  <c r="V29" i="5"/>
  <c r="Z265" i="5"/>
  <c r="V265" i="5"/>
  <c r="W265" i="5"/>
  <c r="Z146" i="5"/>
  <c r="W146" i="5"/>
  <c r="V146" i="5"/>
  <c r="Z33" i="5"/>
  <c r="V33" i="5"/>
  <c r="W33" i="5"/>
  <c r="V271" i="5"/>
  <c r="W271" i="5"/>
  <c r="Z271" i="5"/>
  <c r="W270" i="5"/>
  <c r="V270" i="5"/>
  <c r="Z270" i="5"/>
  <c r="W37" i="5"/>
  <c r="Z37" i="5"/>
  <c r="V37" i="5"/>
  <c r="Z90" i="5"/>
  <c r="V90" i="5"/>
  <c r="W90" i="5"/>
  <c r="W264" i="5"/>
  <c r="V264" i="5"/>
  <c r="Z264" i="5"/>
  <c r="V31" i="5"/>
  <c r="W31" i="5"/>
  <c r="Z31" i="5"/>
  <c r="Z267" i="5"/>
  <c r="W267" i="5"/>
  <c r="V267" i="5"/>
  <c r="W272" i="5"/>
  <c r="Z272" i="5"/>
  <c r="V272" i="5"/>
  <c r="V184" i="5"/>
  <c r="W184" i="5"/>
  <c r="Z184" i="5"/>
  <c r="V268" i="5"/>
  <c r="W268" i="5"/>
  <c r="Z268" i="5"/>
  <c r="Z34" i="5"/>
  <c r="W34" i="5"/>
  <c r="V34" i="5"/>
  <c r="W266" i="5"/>
  <c r="V266" i="5"/>
  <c r="Z266" i="5"/>
  <c r="Z30" i="5"/>
  <c r="V30" i="5"/>
  <c r="W30" i="5"/>
  <c r="Y272" i="5" l="1"/>
  <c r="AA272" i="5"/>
  <c r="AA29" i="5"/>
  <c r="Y29" i="5"/>
  <c r="Y263" i="5"/>
  <c r="AA263" i="5"/>
  <c r="AA271" i="5"/>
  <c r="Y271" i="5"/>
  <c r="AA266" i="5"/>
  <c r="Y266" i="5"/>
  <c r="AA34" i="5"/>
  <c r="Y34" i="5"/>
  <c r="Y267" i="5"/>
  <c r="AA267" i="5"/>
  <c r="Y39" i="5"/>
  <c r="AA39" i="5"/>
  <c r="Y90" i="5"/>
  <c r="AA90" i="5"/>
  <c r="AA33" i="5"/>
  <c r="Y33" i="5"/>
  <c r="AA269" i="5"/>
  <c r="Y269" i="5"/>
  <c r="AA37" i="5"/>
  <c r="Y37" i="5"/>
  <c r="Y146" i="5"/>
  <c r="AA146" i="5"/>
  <c r="Y210" i="5"/>
  <c r="AA210" i="5"/>
  <c r="AA268" i="5"/>
  <c r="Y268" i="5"/>
  <c r="AA31" i="5"/>
  <c r="Y31" i="5"/>
  <c r="Y273" i="5"/>
  <c r="AA273" i="5"/>
  <c r="AA30" i="5"/>
  <c r="Y30" i="5"/>
  <c r="Y264" i="5"/>
  <c r="AA264" i="5"/>
  <c r="Y270" i="5"/>
  <c r="AA270" i="5"/>
  <c r="AA265" i="5"/>
  <c r="Y265" i="5"/>
  <c r="Y184" i="5"/>
  <c r="AA184" i="5"/>
  <c r="AA28" i="5"/>
  <c r="Y28" i="5"/>
  <c r="Y246" i="5"/>
  <c r="AA246" i="5"/>
  <c r="N219" i="5"/>
  <c r="Z219" i="5" l="1"/>
  <c r="W219" i="5"/>
  <c r="V219" i="5"/>
  <c r="X398" i="5"/>
  <c r="N378" i="5"/>
  <c r="N398" i="5"/>
  <c r="X378" i="5"/>
  <c r="N379" i="5"/>
  <c r="X397" i="5"/>
  <c r="N397" i="5"/>
  <c r="X379" i="5"/>
  <c r="N21" i="5"/>
  <c r="X345" i="5"/>
  <c r="N345" i="5"/>
  <c r="AA219" i="5" l="1"/>
  <c r="V345" i="5"/>
  <c r="Z345" i="5"/>
  <c r="W345" i="5"/>
  <c r="Z397" i="5"/>
  <c r="V397" i="5"/>
  <c r="W397" i="5"/>
  <c r="Z398" i="5"/>
  <c r="W398" i="5"/>
  <c r="V398" i="5"/>
  <c r="Z21" i="5"/>
  <c r="W21" i="5"/>
  <c r="V21" i="5"/>
  <c r="V378" i="5"/>
  <c r="W378" i="5"/>
  <c r="Z378" i="5"/>
  <c r="Z379" i="5"/>
  <c r="W379" i="5"/>
  <c r="V379" i="5"/>
  <c r="AA398" i="5" l="1"/>
  <c r="Y398" i="5"/>
  <c r="X383" i="5"/>
  <c r="AA379" i="5"/>
  <c r="Y379" i="5"/>
  <c r="Y397" i="5"/>
  <c r="AA397" i="5"/>
  <c r="AA378" i="5"/>
  <c r="Y378" i="5"/>
  <c r="Y345" i="5"/>
  <c r="AA345" i="5"/>
  <c r="AA21" i="5"/>
  <c r="X380" i="5" l="1"/>
  <c r="X382" i="5" l="1"/>
  <c r="X367" i="5" l="1"/>
  <c r="X381" i="5"/>
  <c r="N344" i="5" l="1"/>
  <c r="X344" i="5"/>
  <c r="X343" i="5"/>
  <c r="X106" i="5"/>
  <c r="X347" i="5"/>
  <c r="W344" i="5" l="1"/>
  <c r="V344" i="5"/>
  <c r="Z344" i="5"/>
  <c r="AA344" i="5" l="1"/>
  <c r="Y344" i="5"/>
  <c r="N132" i="5" l="1"/>
  <c r="X132" i="5"/>
  <c r="N133" i="5" l="1"/>
  <c r="X133" i="5"/>
  <c r="X69" i="5"/>
  <c r="N69" i="5"/>
  <c r="N121" i="5"/>
  <c r="N40" i="5"/>
  <c r="X346" i="5"/>
  <c r="N346" i="5"/>
  <c r="X121" i="5"/>
  <c r="X40" i="5"/>
  <c r="V132" i="5"/>
  <c r="W132" i="5"/>
  <c r="Z132" i="5"/>
  <c r="V346" i="5" l="1"/>
  <c r="Z346" i="5"/>
  <c r="W346" i="5"/>
  <c r="W40" i="5"/>
  <c r="Z40" i="5"/>
  <c r="V40" i="5"/>
  <c r="Z121" i="5"/>
  <c r="W121" i="5"/>
  <c r="V121" i="5"/>
  <c r="Z69" i="5"/>
  <c r="V69" i="5"/>
  <c r="W69" i="5"/>
  <c r="AA132" i="5"/>
  <c r="Y132" i="5"/>
  <c r="W133" i="5"/>
  <c r="V133" i="5"/>
  <c r="Z133" i="5"/>
  <c r="Y121" i="5" l="1"/>
  <c r="AA121" i="5"/>
  <c r="AA40" i="5"/>
  <c r="Y40" i="5"/>
  <c r="Y133" i="5"/>
  <c r="AA133" i="5"/>
  <c r="AA346" i="5"/>
  <c r="Y346" i="5"/>
  <c r="Y69" i="5"/>
  <c r="AA69" i="5"/>
  <c r="N36" i="5" l="1"/>
  <c r="N9" i="5"/>
  <c r="N227" i="5"/>
  <c r="N214" i="5"/>
  <c r="X11" i="5"/>
  <c r="N202" i="5"/>
  <c r="N243" i="5"/>
  <c r="X202" i="5"/>
  <c r="X243" i="5"/>
  <c r="N11" i="5"/>
  <c r="X214" i="5"/>
  <c r="X221" i="5"/>
  <c r="N221" i="5"/>
  <c r="X228" i="5"/>
  <c r="X242" i="5"/>
  <c r="N8" i="5"/>
  <c r="N242" i="5"/>
  <c r="N228" i="5"/>
  <c r="X8" i="5"/>
  <c r="X213" i="5"/>
  <c r="N213" i="5"/>
  <c r="X107" i="5"/>
  <c r="V227" i="5" l="1"/>
  <c r="Z227" i="5"/>
  <c r="W227" i="5"/>
  <c r="Z9" i="5"/>
  <c r="W9" i="5"/>
  <c r="V9" i="5"/>
  <c r="W36" i="5"/>
  <c r="Z36" i="5"/>
  <c r="V36" i="5"/>
  <c r="Z213" i="5"/>
  <c r="V213" i="5"/>
  <c r="W213" i="5"/>
  <c r="Z228" i="5"/>
  <c r="V228" i="5"/>
  <c r="W228" i="5"/>
  <c r="Z11" i="5"/>
  <c r="W11" i="5"/>
  <c r="V11" i="5"/>
  <c r="V242" i="5"/>
  <c r="W242" i="5"/>
  <c r="Z242" i="5"/>
  <c r="V8" i="5"/>
  <c r="Z8" i="5"/>
  <c r="W8" i="5"/>
  <c r="N215" i="5"/>
  <c r="X220" i="5"/>
  <c r="X230" i="5"/>
  <c r="N230" i="5"/>
  <c r="N220" i="5"/>
  <c r="X18" i="5"/>
  <c r="N18" i="5"/>
  <c r="X215" i="5"/>
  <c r="V243" i="5"/>
  <c r="W243" i="5"/>
  <c r="Z243" i="5"/>
  <c r="Z202" i="5"/>
  <c r="V202" i="5"/>
  <c r="W202" i="5"/>
  <c r="Z214" i="5"/>
  <c r="V214" i="5"/>
  <c r="W214" i="5"/>
  <c r="V221" i="5"/>
  <c r="W221" i="5"/>
  <c r="Z221" i="5"/>
  <c r="AA36" i="5" l="1"/>
  <c r="AA9" i="5"/>
  <c r="N26" i="5"/>
  <c r="N7" i="5"/>
  <c r="N122" i="5"/>
  <c r="AA227" i="5"/>
  <c r="Y227" i="5"/>
  <c r="AA243" i="5"/>
  <c r="Y243" i="5"/>
  <c r="V18" i="5"/>
  <c r="W18" i="5"/>
  <c r="Z18" i="5"/>
  <c r="AA242" i="5"/>
  <c r="Y242" i="5"/>
  <c r="Y221" i="5"/>
  <c r="AA221" i="5"/>
  <c r="AA11" i="5"/>
  <c r="Y11" i="5"/>
  <c r="W220" i="5"/>
  <c r="Z220" i="5"/>
  <c r="V220" i="5"/>
  <c r="Y214" i="5"/>
  <c r="AA214" i="5"/>
  <c r="W230" i="5"/>
  <c r="Z230" i="5"/>
  <c r="V230" i="5"/>
  <c r="X104" i="5"/>
  <c r="N104" i="5"/>
  <c r="N216" i="5"/>
  <c r="N229" i="5"/>
  <c r="X229" i="5"/>
  <c r="X244" i="5"/>
  <c r="X20" i="5"/>
  <c r="N20" i="5"/>
  <c r="N244" i="5"/>
  <c r="X216" i="5"/>
  <c r="AA228" i="5"/>
  <c r="Y228" i="5"/>
  <c r="Z215" i="5"/>
  <c r="W215" i="5"/>
  <c r="V215" i="5"/>
  <c r="Y202" i="5"/>
  <c r="AA202" i="5"/>
  <c r="AA213" i="5"/>
  <c r="Y213" i="5"/>
  <c r="Y8" i="5"/>
  <c r="AA8" i="5"/>
  <c r="N129" i="5"/>
  <c r="Z122" i="5" l="1"/>
  <c r="V122" i="5"/>
  <c r="W122" i="5"/>
  <c r="Z7" i="5"/>
  <c r="W7" i="5"/>
  <c r="V7" i="5"/>
  <c r="V26" i="5"/>
  <c r="W26" i="5"/>
  <c r="Z26" i="5"/>
  <c r="Z129" i="5"/>
  <c r="W129" i="5"/>
  <c r="V129" i="5"/>
  <c r="V244" i="5"/>
  <c r="W244" i="5"/>
  <c r="Z244" i="5"/>
  <c r="Z20" i="5"/>
  <c r="W20" i="5"/>
  <c r="V20" i="5"/>
  <c r="AA220" i="5"/>
  <c r="Y220" i="5"/>
  <c r="Z229" i="5"/>
  <c r="V229" i="5"/>
  <c r="W229" i="5"/>
  <c r="W216" i="5"/>
  <c r="Z216" i="5"/>
  <c r="V216" i="5"/>
  <c r="X129" i="5"/>
  <c r="AA18" i="5"/>
  <c r="Y18" i="5"/>
  <c r="AA215" i="5"/>
  <c r="Y215" i="5"/>
  <c r="Y230" i="5"/>
  <c r="AA230" i="5"/>
  <c r="V104" i="5"/>
  <c r="Z104" i="5"/>
  <c r="W104" i="5"/>
  <c r="AA26" i="5" l="1"/>
  <c r="AA7" i="5"/>
  <c r="AA122" i="5"/>
  <c r="Y122" i="5"/>
  <c r="Y216" i="5"/>
  <c r="AA216" i="5"/>
  <c r="AA229" i="5"/>
  <c r="Y229" i="5"/>
  <c r="Y104" i="5"/>
  <c r="AA104" i="5"/>
  <c r="AA244" i="5"/>
  <c r="Y244" i="5"/>
  <c r="AA20" i="5"/>
  <c r="Y20" i="5"/>
  <c r="Y129" i="5"/>
  <c r="AA129" i="5"/>
  <c r="N130" i="5" l="1"/>
  <c r="X130" i="5"/>
  <c r="X68" i="5"/>
  <c r="N68" i="5" l="1"/>
  <c r="Z68" i="5" s="1"/>
  <c r="N351" i="5"/>
  <c r="X335" i="5"/>
  <c r="N335" i="5"/>
  <c r="X351" i="5"/>
  <c r="Z130" i="5"/>
  <c r="W130" i="5"/>
  <c r="V130" i="5"/>
  <c r="V68" i="5" l="1"/>
  <c r="AA68" i="5" s="1"/>
  <c r="W68" i="5"/>
  <c r="Y130" i="5"/>
  <c r="AA130" i="5"/>
  <c r="V335" i="5"/>
  <c r="W335" i="5"/>
  <c r="Z335" i="5"/>
  <c r="V351" i="5"/>
  <c r="Z351" i="5"/>
  <c r="W351" i="5"/>
  <c r="Y68" i="5" l="1"/>
  <c r="N370" i="5"/>
  <c r="N399" i="5"/>
  <c r="X399" i="5"/>
  <c r="X370" i="5"/>
  <c r="N325" i="5"/>
  <c r="X325" i="5"/>
  <c r="N330" i="5"/>
  <c r="X330" i="5"/>
  <c r="Y351" i="5"/>
  <c r="AA351" i="5"/>
  <c r="N324" i="5"/>
  <c r="X336" i="5"/>
  <c r="N336" i="5"/>
  <c r="X324" i="5"/>
  <c r="X326" i="5"/>
  <c r="N326" i="5"/>
  <c r="N331" i="5"/>
  <c r="X331" i="5"/>
  <c r="N333" i="5"/>
  <c r="N372" i="5"/>
  <c r="X372" i="5"/>
  <c r="X333" i="5"/>
  <c r="AA335" i="5"/>
  <c r="Y335" i="5"/>
  <c r="N332" i="5"/>
  <c r="X332" i="5"/>
  <c r="N371" i="5"/>
  <c r="X371" i="5"/>
  <c r="N323" i="5"/>
  <c r="N334" i="5"/>
  <c r="X323" i="5"/>
  <c r="X334" i="5"/>
  <c r="X13" i="5" l="1"/>
  <c r="Y13" i="5" s="1"/>
  <c r="X205" i="5"/>
  <c r="Y205" i="5" s="1"/>
  <c r="X26" i="5"/>
  <c r="Y26" i="5" s="1"/>
  <c r="X21" i="5"/>
  <c r="Y21" i="5" s="1"/>
  <c r="X203" i="5"/>
  <c r="Y203" i="5" s="1"/>
  <c r="X14" i="5"/>
  <c r="Y14" i="5" s="1"/>
  <c r="X6" i="5"/>
  <c r="Y6" i="5" s="1"/>
  <c r="X17" i="5"/>
  <c r="X204" i="5"/>
  <c r="Y204" i="5" s="1"/>
  <c r="X16" i="5"/>
  <c r="Y16" i="5" s="1"/>
  <c r="X24" i="5"/>
  <c r="X9" i="5"/>
  <c r="Y9" i="5" s="1"/>
  <c r="X15" i="5"/>
  <c r="Y15" i="5" s="1"/>
  <c r="X12" i="5"/>
  <c r="Y12" i="5" s="1"/>
  <c r="X36" i="5"/>
  <c r="Y36" i="5" s="1"/>
  <c r="X7" i="5"/>
  <c r="Y7" i="5" s="1"/>
  <c r="N45" i="5"/>
  <c r="X44" i="5"/>
  <c r="N44" i="5"/>
  <c r="X45" i="5"/>
  <c r="N52" i="5"/>
  <c r="X51" i="5"/>
  <c r="N51" i="5"/>
  <c r="X52" i="5"/>
  <c r="V324" i="5"/>
  <c r="W324" i="5"/>
  <c r="Z324" i="5"/>
  <c r="N56" i="5"/>
  <c r="N55" i="5"/>
  <c r="X56" i="5"/>
  <c r="X55" i="5"/>
  <c r="W334" i="5"/>
  <c r="Z334" i="5"/>
  <c r="V334" i="5"/>
  <c r="V372" i="5"/>
  <c r="Z372" i="5"/>
  <c r="W372" i="5"/>
  <c r="V323" i="5"/>
  <c r="Z323" i="5"/>
  <c r="W323" i="5"/>
  <c r="W333" i="5"/>
  <c r="Z333" i="5"/>
  <c r="V333" i="5"/>
  <c r="V330" i="5"/>
  <c r="Z330" i="5"/>
  <c r="W330" i="5"/>
  <c r="N48" i="5"/>
  <c r="X49" i="5"/>
  <c r="X48" i="5"/>
  <c r="N49" i="5"/>
  <c r="V331" i="5"/>
  <c r="Z331" i="5"/>
  <c r="W331" i="5"/>
  <c r="Z325" i="5"/>
  <c r="V325" i="5"/>
  <c r="W325" i="5"/>
  <c r="W326" i="5"/>
  <c r="V326" i="5"/>
  <c r="Z326" i="5"/>
  <c r="W371" i="5"/>
  <c r="V371" i="5"/>
  <c r="Z371" i="5"/>
  <c r="N43" i="5"/>
  <c r="X43" i="5"/>
  <c r="X42" i="5"/>
  <c r="N42" i="5"/>
  <c r="V399" i="5"/>
  <c r="Z399" i="5"/>
  <c r="W399" i="5"/>
  <c r="N54" i="5"/>
  <c r="X54" i="5"/>
  <c r="N53" i="5"/>
  <c r="X53" i="5"/>
  <c r="Z332" i="5"/>
  <c r="V332" i="5"/>
  <c r="W332" i="5"/>
  <c r="Z336" i="5"/>
  <c r="V336" i="5"/>
  <c r="W336" i="5"/>
  <c r="Z370" i="5"/>
  <c r="V370" i="5"/>
  <c r="W370" i="5"/>
  <c r="X167" i="5"/>
  <c r="V56" i="5" l="1"/>
  <c r="W56" i="5"/>
  <c r="Z56" i="5"/>
  <c r="Y332" i="5"/>
  <c r="AA332" i="5"/>
  <c r="W43" i="5"/>
  <c r="V43" i="5"/>
  <c r="Z43" i="5"/>
  <c r="AA331" i="5"/>
  <c r="Y331" i="5"/>
  <c r="N47" i="5"/>
  <c r="X47" i="5"/>
  <c r="X376" i="5"/>
  <c r="N376" i="5"/>
  <c r="V49" i="5"/>
  <c r="Z49" i="5"/>
  <c r="W49" i="5"/>
  <c r="AA323" i="5"/>
  <c r="Y323" i="5"/>
  <c r="AA371" i="5"/>
  <c r="Y371" i="5"/>
  <c r="Y324" i="5"/>
  <c r="AA324" i="5"/>
  <c r="Z53" i="5"/>
  <c r="V53" i="5"/>
  <c r="W53" i="5"/>
  <c r="Z48" i="5"/>
  <c r="W48" i="5"/>
  <c r="V48" i="5"/>
  <c r="AA372" i="5"/>
  <c r="Y372" i="5"/>
  <c r="V51" i="5"/>
  <c r="Z51" i="5"/>
  <c r="W51" i="5"/>
  <c r="V54" i="5"/>
  <c r="Z54" i="5"/>
  <c r="W54" i="5"/>
  <c r="Y326" i="5"/>
  <c r="AA326" i="5"/>
  <c r="AA334" i="5"/>
  <c r="Y334" i="5"/>
  <c r="X387" i="5"/>
  <c r="X377" i="5"/>
  <c r="X57" i="5"/>
  <c r="N377" i="5"/>
  <c r="N57" i="5"/>
  <c r="Y370" i="5"/>
  <c r="AA370" i="5"/>
  <c r="W52" i="5"/>
  <c r="V52" i="5"/>
  <c r="Z52" i="5"/>
  <c r="Y330" i="5"/>
  <c r="AA330" i="5"/>
  <c r="AA399" i="5"/>
  <c r="Y399" i="5"/>
  <c r="AA325" i="5"/>
  <c r="Y325" i="5"/>
  <c r="Y333" i="5"/>
  <c r="AA333" i="5"/>
  <c r="W44" i="5"/>
  <c r="V44" i="5"/>
  <c r="Z44" i="5"/>
  <c r="AA336" i="5"/>
  <c r="Y336" i="5"/>
  <c r="Z42" i="5"/>
  <c r="V42" i="5"/>
  <c r="W42" i="5"/>
  <c r="V55" i="5"/>
  <c r="W55" i="5"/>
  <c r="Z55" i="5"/>
  <c r="W45" i="5"/>
  <c r="Z45" i="5"/>
  <c r="V45" i="5"/>
  <c r="N70" i="5"/>
  <c r="Z70" i="5" l="1"/>
  <c r="W70" i="5"/>
  <c r="V70" i="5"/>
  <c r="W47" i="5"/>
  <c r="V47" i="5"/>
  <c r="Z47" i="5"/>
  <c r="AA42" i="5"/>
  <c r="Y42" i="5"/>
  <c r="Y51" i="5"/>
  <c r="AA51" i="5"/>
  <c r="AA43" i="5"/>
  <c r="Y43" i="5"/>
  <c r="Y52" i="5"/>
  <c r="AA52" i="5"/>
  <c r="Y45" i="5"/>
  <c r="AA45" i="5"/>
  <c r="Y44" i="5"/>
  <c r="AA44" i="5"/>
  <c r="Y48" i="5"/>
  <c r="AA48" i="5"/>
  <c r="X357" i="5"/>
  <c r="N357" i="5"/>
  <c r="Y55" i="5"/>
  <c r="AA55" i="5"/>
  <c r="AA49" i="5"/>
  <c r="Y49" i="5"/>
  <c r="Z57" i="5"/>
  <c r="W57" i="5"/>
  <c r="V57" i="5"/>
  <c r="W376" i="5"/>
  <c r="V376" i="5"/>
  <c r="Z376" i="5"/>
  <c r="V377" i="5"/>
  <c r="W377" i="5"/>
  <c r="Z377" i="5"/>
  <c r="Y54" i="5"/>
  <c r="AA54" i="5"/>
  <c r="AA53" i="5"/>
  <c r="Y53" i="5"/>
  <c r="AA56" i="5"/>
  <c r="Y56" i="5"/>
  <c r="AA70" i="5" l="1"/>
  <c r="Y70" i="5"/>
  <c r="W357" i="5"/>
  <c r="V357" i="5"/>
  <c r="Z357" i="5"/>
  <c r="Y376" i="5"/>
  <c r="AA376" i="5"/>
  <c r="Y377" i="5"/>
  <c r="AA377" i="5"/>
  <c r="AA47" i="5"/>
  <c r="Y47" i="5"/>
  <c r="AA57" i="5"/>
  <c r="Y57" i="5"/>
  <c r="Y357" i="5" l="1"/>
  <c r="AA357" i="5"/>
  <c r="N46" i="5" l="1"/>
  <c r="N64" i="5"/>
  <c r="X64" i="5"/>
  <c r="X46" i="5"/>
  <c r="N65" i="5"/>
  <c r="X50" i="5"/>
  <c r="X65" i="5"/>
  <c r="N50" i="5"/>
  <c r="X58" i="5"/>
  <c r="X67" i="5"/>
  <c r="N67" i="5"/>
  <c r="N58" i="5"/>
  <c r="N62" i="5"/>
  <c r="N41" i="5"/>
  <c r="X62" i="5"/>
  <c r="X41" i="5"/>
  <c r="Z58" i="5" l="1"/>
  <c r="W58" i="5"/>
  <c r="V58" i="5"/>
  <c r="Z67" i="5"/>
  <c r="V67" i="5"/>
  <c r="W67" i="5"/>
  <c r="V50" i="5"/>
  <c r="Z50" i="5"/>
  <c r="W50" i="5"/>
  <c r="Z41" i="5"/>
  <c r="V41" i="5"/>
  <c r="W41" i="5"/>
  <c r="V62" i="5"/>
  <c r="Z62" i="5"/>
  <c r="W62" i="5"/>
  <c r="V65" i="5"/>
  <c r="Z65" i="5"/>
  <c r="W65" i="5"/>
  <c r="N131" i="5"/>
  <c r="N401" i="5"/>
  <c r="X401" i="5"/>
  <c r="X131" i="5"/>
  <c r="V64" i="5"/>
  <c r="W64" i="5"/>
  <c r="Z64" i="5"/>
  <c r="V46" i="5"/>
  <c r="Z46" i="5"/>
  <c r="W46" i="5"/>
  <c r="X27" i="5" l="1"/>
  <c r="Y27" i="5" s="1"/>
  <c r="X35" i="5"/>
  <c r="Y35" i="5" s="1"/>
  <c r="AA64" i="5"/>
  <c r="Y64" i="5"/>
  <c r="AA41" i="5"/>
  <c r="Y41" i="5"/>
  <c r="X384" i="5"/>
  <c r="N384" i="5"/>
  <c r="AA50" i="5"/>
  <c r="Y50" i="5"/>
  <c r="V401" i="5"/>
  <c r="AA401" i="5" s="1"/>
  <c r="W401" i="5"/>
  <c r="Z401" i="5"/>
  <c r="Z131" i="5"/>
  <c r="V131" i="5"/>
  <c r="Y131" i="5" s="1"/>
  <c r="W131" i="5"/>
  <c r="AA67" i="5"/>
  <c r="Y67" i="5"/>
  <c r="AA65" i="5"/>
  <c r="Y65" i="5"/>
  <c r="AA58" i="5"/>
  <c r="Y58" i="5"/>
  <c r="AA46" i="5"/>
  <c r="Y46" i="5"/>
  <c r="AA62" i="5"/>
  <c r="Y62" i="5"/>
  <c r="N107" i="5" l="1"/>
  <c r="X285" i="5"/>
  <c r="Y285" i="5" s="1"/>
  <c r="X294" i="5"/>
  <c r="Y294" i="5" s="1"/>
  <c r="X290" i="5"/>
  <c r="Y290" i="5" s="1"/>
  <c r="X280" i="5"/>
  <c r="Y280" i="5" s="1"/>
  <c r="X284" i="5"/>
  <c r="Y284" i="5" s="1"/>
  <c r="X291" i="5"/>
  <c r="Y291" i="5" s="1"/>
  <c r="X292" i="5"/>
  <c r="Y292" i="5" s="1"/>
  <c r="X283" i="5"/>
  <c r="Y283" i="5" s="1"/>
  <c r="X288" i="5"/>
  <c r="Y288" i="5" s="1"/>
  <c r="X289" i="5"/>
  <c r="Y289" i="5" s="1"/>
  <c r="X279" i="5"/>
  <c r="Y279" i="5" s="1"/>
  <c r="X293" i="5"/>
  <c r="Y293" i="5" s="1"/>
  <c r="X282" i="5"/>
  <c r="Y282" i="5" s="1"/>
  <c r="X287" i="5"/>
  <c r="Y287" i="5" s="1"/>
  <c r="X286" i="5"/>
  <c r="Y286" i="5" s="1"/>
  <c r="N106" i="5"/>
  <c r="N105" i="5"/>
  <c r="N387" i="5"/>
  <c r="N347" i="5"/>
  <c r="Z384" i="5"/>
  <c r="W384" i="5"/>
  <c r="V384" i="5"/>
  <c r="Y401" i="5"/>
  <c r="AA131" i="5"/>
  <c r="Z107" i="5" l="1"/>
  <c r="V107" i="5"/>
  <c r="W107" i="5"/>
  <c r="Z106" i="5"/>
  <c r="V106" i="5"/>
  <c r="W106" i="5"/>
  <c r="V105" i="5"/>
  <c r="AA105" i="5" s="1"/>
  <c r="Z105" i="5"/>
  <c r="W105" i="5"/>
  <c r="V387" i="5"/>
  <c r="Z387" i="5"/>
  <c r="W387" i="5"/>
  <c r="W347" i="5"/>
  <c r="Z347" i="5"/>
  <c r="V347" i="5"/>
  <c r="N391" i="5"/>
  <c r="N375" i="5"/>
  <c r="X391" i="5"/>
  <c r="X375" i="5"/>
  <c r="N388" i="5"/>
  <c r="X369" i="5"/>
  <c r="N369" i="5"/>
  <c r="X388" i="5"/>
  <c r="X389" i="5"/>
  <c r="N389" i="5"/>
  <c r="N394" i="5"/>
  <c r="X394" i="5"/>
  <c r="X329" i="5"/>
  <c r="X374" i="5"/>
  <c r="N374" i="5"/>
  <c r="N329" i="5"/>
  <c r="AA384" i="5"/>
  <c r="Y384" i="5"/>
  <c r="AA107" i="5" l="1"/>
  <c r="Y107" i="5"/>
  <c r="Y106" i="5"/>
  <c r="AA106" i="5"/>
  <c r="AA387" i="5"/>
  <c r="Y387" i="5"/>
  <c r="Y347" i="5"/>
  <c r="AA347" i="5"/>
  <c r="X260" i="5"/>
  <c r="N260" i="5"/>
  <c r="N356" i="5"/>
  <c r="X356" i="5"/>
  <c r="Z329" i="5"/>
  <c r="V329" i="5"/>
  <c r="W329" i="5"/>
  <c r="X61" i="5"/>
  <c r="N327" i="5"/>
  <c r="X327" i="5"/>
  <c r="N61" i="5"/>
  <c r="X392" i="5"/>
  <c r="X390" i="5"/>
  <c r="N392" i="5"/>
  <c r="N390" i="5"/>
  <c r="Z374" i="5"/>
  <c r="V374" i="5"/>
  <c r="W374" i="5"/>
  <c r="W369" i="5"/>
  <c r="Z369" i="5"/>
  <c r="V369" i="5"/>
  <c r="V388" i="5"/>
  <c r="Z388" i="5"/>
  <c r="W388" i="5"/>
  <c r="W394" i="5"/>
  <c r="V394" i="5"/>
  <c r="Z394" i="5"/>
  <c r="V389" i="5"/>
  <c r="Z389" i="5"/>
  <c r="W389" i="5"/>
  <c r="Z375" i="5"/>
  <c r="W375" i="5"/>
  <c r="V375" i="5"/>
  <c r="W391" i="5"/>
  <c r="Z391" i="5"/>
  <c r="V391" i="5"/>
  <c r="Y388" i="5" l="1"/>
  <c r="AA388" i="5"/>
  <c r="Y375" i="5"/>
  <c r="AA375" i="5"/>
  <c r="Y369" i="5"/>
  <c r="AA369" i="5"/>
  <c r="Z61" i="5"/>
  <c r="V61" i="5"/>
  <c r="W61" i="5"/>
  <c r="V327" i="5"/>
  <c r="W327" i="5"/>
  <c r="Z327" i="5"/>
  <c r="Y374" i="5"/>
  <c r="AA374" i="5"/>
  <c r="Y389" i="5"/>
  <c r="AA389" i="5"/>
  <c r="AA329" i="5"/>
  <c r="Y329" i="5"/>
  <c r="Y394" i="5"/>
  <c r="AA394" i="5"/>
  <c r="X373" i="5"/>
  <c r="N373" i="5"/>
  <c r="X60" i="5"/>
  <c r="N60" i="5"/>
  <c r="V390" i="5"/>
  <c r="Z390" i="5"/>
  <c r="W390" i="5"/>
  <c r="V356" i="5"/>
  <c r="Z356" i="5"/>
  <c r="W356" i="5"/>
  <c r="X393" i="5"/>
  <c r="N393" i="5"/>
  <c r="N59" i="5"/>
  <c r="X59" i="5"/>
  <c r="Y391" i="5"/>
  <c r="AA391" i="5"/>
  <c r="Z392" i="5"/>
  <c r="V392" i="5"/>
  <c r="W392" i="5"/>
  <c r="Z260" i="5"/>
  <c r="V260" i="5"/>
  <c r="W260" i="5"/>
  <c r="Y327" i="5" l="1"/>
  <c r="AA327" i="5"/>
  <c r="AA61" i="5"/>
  <c r="Y61" i="5"/>
  <c r="V393" i="5"/>
  <c r="Z393" i="5"/>
  <c r="W393" i="5"/>
  <c r="AA356" i="5"/>
  <c r="Y356" i="5"/>
  <c r="W373" i="5"/>
  <c r="Z373" i="5"/>
  <c r="V373" i="5"/>
  <c r="Y260" i="5"/>
  <c r="AA260" i="5"/>
  <c r="AA390" i="5"/>
  <c r="Y390" i="5"/>
  <c r="Z59" i="5"/>
  <c r="V59" i="5"/>
  <c r="W59" i="5"/>
  <c r="V60" i="5"/>
  <c r="W60" i="5"/>
  <c r="Y392" i="5"/>
  <c r="Z60" i="5"/>
  <c r="AA392" i="5"/>
  <c r="X402" i="5"/>
  <c r="X354" i="5"/>
  <c r="N402" i="5"/>
  <c r="N354" i="5"/>
  <c r="AA393" i="5" l="1"/>
  <c r="Y393" i="5"/>
  <c r="Y59" i="5"/>
  <c r="Y373" i="5"/>
  <c r="AA59" i="5"/>
  <c r="AA373" i="5"/>
  <c r="AA60" i="5"/>
  <c r="Y60" i="5"/>
  <c r="V402" i="5"/>
  <c r="W402" i="5"/>
  <c r="Z402" i="5"/>
  <c r="V354" i="5"/>
  <c r="Z354" i="5"/>
  <c r="W354" i="5"/>
  <c r="Y354" i="5" l="1"/>
  <c r="AA354" i="5"/>
  <c r="X385" i="5"/>
  <c r="N385" i="5"/>
  <c r="AA402" i="5"/>
  <c r="Y402" i="5"/>
  <c r="N403" i="5"/>
  <c r="Z403" i="5" l="1"/>
  <c r="V403" i="5"/>
  <c r="W403" i="5"/>
  <c r="N361" i="5"/>
  <c r="X361" i="5"/>
  <c r="V385" i="5"/>
  <c r="Z385" i="5"/>
  <c r="W385" i="5"/>
  <c r="X362" i="5"/>
  <c r="N362" i="5"/>
  <c r="N355" i="5"/>
  <c r="X403" i="5"/>
  <c r="X355" i="5"/>
  <c r="N206" i="5"/>
  <c r="X206" i="5" l="1"/>
  <c r="Z206" i="5"/>
  <c r="W206" i="5"/>
  <c r="V206" i="5"/>
  <c r="W362" i="5"/>
  <c r="Z362" i="5"/>
  <c r="V362" i="5"/>
  <c r="N66" i="5"/>
  <c r="X66" i="5"/>
  <c r="Y385" i="5"/>
  <c r="AA385" i="5"/>
  <c r="W361" i="5"/>
  <c r="V361" i="5"/>
  <c r="Z361" i="5"/>
  <c r="X63" i="5"/>
  <c r="N63" i="5"/>
  <c r="Y403" i="5"/>
  <c r="AA403" i="5"/>
  <c r="W355" i="5"/>
  <c r="Z355" i="5"/>
  <c r="V355" i="5"/>
  <c r="Y355" i="5" l="1"/>
  <c r="Z66" i="5"/>
  <c r="AA355" i="5"/>
  <c r="V66" i="5"/>
  <c r="W66" i="5"/>
  <c r="AA362" i="5"/>
  <c r="Y362" i="5"/>
  <c r="V63" i="5"/>
  <c r="Z63" i="5"/>
  <c r="W63" i="5"/>
  <c r="AA206" i="5"/>
  <c r="Y206" i="5"/>
  <c r="AA361" i="5"/>
  <c r="Y361" i="5"/>
  <c r="N245" i="5"/>
  <c r="X245" i="5"/>
  <c r="X144" i="5"/>
  <c r="N144" i="5"/>
  <c r="N328" i="5"/>
  <c r="X328" i="5"/>
  <c r="N365" i="5"/>
  <c r="N167" i="5"/>
  <c r="X365" i="5"/>
  <c r="Y66" i="5" l="1"/>
  <c r="AA66" i="5"/>
  <c r="Y63" i="5"/>
  <c r="AA63" i="5"/>
  <c r="Z167" i="5"/>
  <c r="W167" i="5"/>
  <c r="V167" i="5"/>
  <c r="V365" i="5"/>
  <c r="Z365" i="5"/>
  <c r="W365" i="5"/>
  <c r="V328" i="5"/>
  <c r="Z328" i="5"/>
  <c r="W328" i="5"/>
  <c r="W144" i="5"/>
  <c r="V144" i="5"/>
  <c r="Z144" i="5"/>
  <c r="V245" i="5"/>
  <c r="W245" i="5"/>
  <c r="Z245" i="5"/>
  <c r="N337" i="5"/>
  <c r="X337" i="5"/>
  <c r="AA328" i="5" l="1"/>
  <c r="Y328" i="5"/>
  <c r="AA365" i="5"/>
  <c r="Y365" i="5"/>
  <c r="Y167" i="5"/>
  <c r="AA167" i="5"/>
  <c r="Y245" i="5"/>
  <c r="AA245" i="5"/>
  <c r="Z337" i="5"/>
  <c r="W337" i="5"/>
  <c r="V337" i="5"/>
  <c r="AA144" i="5"/>
  <c r="Y144" i="5"/>
  <c r="AA337" i="5" l="1"/>
  <c r="Y337" i="5"/>
  <c r="X183" i="5"/>
  <c r="N183" i="5"/>
  <c r="N142" i="5"/>
  <c r="X142" i="5"/>
  <c r="Z142" i="5" l="1"/>
  <c r="V142" i="5"/>
  <c r="W142" i="5"/>
  <c r="Z183" i="5"/>
  <c r="V183" i="5"/>
  <c r="W183" i="5"/>
  <c r="X363" i="5"/>
  <c r="N363" i="5"/>
  <c r="N405" i="5"/>
  <c r="N180" i="5"/>
  <c r="X180" i="5"/>
  <c r="X405" i="5"/>
  <c r="X145" i="5"/>
  <c r="N145" i="5"/>
  <c r="Z145" i="5" l="1"/>
  <c r="V145" i="5"/>
  <c r="W145" i="5"/>
  <c r="Z180" i="5"/>
  <c r="V180" i="5"/>
  <c r="W180" i="5"/>
  <c r="W363" i="5"/>
  <c r="Z363" i="5"/>
  <c r="V363" i="5"/>
  <c r="V405" i="5"/>
  <c r="Z405" i="5"/>
  <c r="W405" i="5"/>
  <c r="AA183" i="5"/>
  <c r="Y183" i="5"/>
  <c r="AA142" i="5"/>
  <c r="Y142" i="5"/>
  <c r="Y405" i="5" l="1"/>
  <c r="AA405" i="5"/>
  <c r="Y363" i="5"/>
  <c r="AA363" i="5"/>
  <c r="Y180" i="5"/>
  <c r="AA180" i="5"/>
  <c r="Y145" i="5"/>
  <c r="AA145" i="5"/>
  <c r="N343" i="5"/>
  <c r="N241" i="5"/>
  <c r="N383" i="5"/>
  <c r="N382" i="5"/>
  <c r="N380" i="5"/>
  <c r="N381" i="5"/>
  <c r="N367" i="5"/>
  <c r="N38" i="5" l="1"/>
  <c r="W38" i="5" s="1"/>
  <c r="X219" i="5"/>
  <c r="Y219" i="5" s="1"/>
  <c r="X38" i="5"/>
  <c r="X218" i="5"/>
  <c r="X217" i="5"/>
  <c r="N212" i="5"/>
  <c r="Z212" i="5" s="1"/>
  <c r="N217" i="5"/>
  <c r="N5" i="5"/>
  <c r="Z5" i="5" s="1"/>
  <c r="N218" i="5"/>
  <c r="Z382" i="5"/>
  <c r="W382" i="5"/>
  <c r="V382" i="5"/>
  <c r="N24" i="5"/>
  <c r="N17" i="5"/>
  <c r="X302" i="5"/>
  <c r="Y302" i="5" s="1"/>
  <c r="X307" i="5"/>
  <c r="Y307" i="5" s="1"/>
  <c r="X303" i="5"/>
  <c r="Y303" i="5" s="1"/>
  <c r="X304" i="5"/>
  <c r="Y304" i="5" s="1"/>
  <c r="X306" i="5"/>
  <c r="Y306" i="5" s="1"/>
  <c r="X305" i="5"/>
  <c r="Y305" i="5" s="1"/>
  <c r="X308" i="5"/>
  <c r="Y308" i="5" s="1"/>
  <c r="X301" i="5"/>
  <c r="Y301" i="5" s="1"/>
  <c r="X311" i="5"/>
  <c r="Y311" i="5" s="1"/>
  <c r="X321" i="5"/>
  <c r="Y321" i="5" s="1"/>
  <c r="X300" i="5"/>
  <c r="Y300" i="5" s="1"/>
  <c r="X299" i="5"/>
  <c r="Y299" i="5" s="1"/>
  <c r="X298" i="5"/>
  <c r="Y298" i="5" s="1"/>
  <c r="X310" i="5"/>
  <c r="Y310" i="5" s="1"/>
  <c r="X295" i="5"/>
  <c r="Y295" i="5" s="1"/>
  <c r="X312" i="5"/>
  <c r="Y312" i="5" s="1"/>
  <c r="X296" i="5"/>
  <c r="Y296" i="5" s="1"/>
  <c r="X309" i="5"/>
  <c r="Y309" i="5" s="1"/>
  <c r="X320" i="5"/>
  <c r="Y320" i="5" s="1"/>
  <c r="X322" i="5"/>
  <c r="Y322" i="5" s="1"/>
  <c r="X297" i="5"/>
  <c r="Y297" i="5" s="1"/>
  <c r="X237" i="5"/>
  <c r="Y237" i="5" s="1"/>
  <c r="X238" i="5"/>
  <c r="Y238" i="5" s="1"/>
  <c r="X418" i="5"/>
  <c r="Y418" i="5" s="1"/>
  <c r="X417" i="5"/>
  <c r="Y417" i="5" s="1"/>
  <c r="X426" i="5"/>
  <c r="Y426" i="5" s="1"/>
  <c r="X422" i="5"/>
  <c r="Y422" i="5" s="1"/>
  <c r="X412" i="5"/>
  <c r="Y412" i="5" s="1"/>
  <c r="X421" i="5"/>
  <c r="Y421" i="5" s="1"/>
  <c r="X419" i="5"/>
  <c r="Y419" i="5" s="1"/>
  <c r="X410" i="5"/>
  <c r="Y410" i="5" s="1"/>
  <c r="X414" i="5"/>
  <c r="Y414" i="5" s="1"/>
  <c r="X413" i="5"/>
  <c r="Y413" i="5" s="1"/>
  <c r="X411" i="5"/>
  <c r="Y411" i="5" s="1"/>
  <c r="X416" i="5"/>
  <c r="Y416" i="5" s="1"/>
  <c r="X424" i="5"/>
  <c r="Y424" i="5" s="1"/>
  <c r="X427" i="5"/>
  <c r="Y427" i="5" s="1"/>
  <c r="X409" i="5"/>
  <c r="Y409" i="5" s="1"/>
  <c r="X425" i="5"/>
  <c r="Y425" i="5" s="1"/>
  <c r="X423" i="5"/>
  <c r="Y423" i="5" s="1"/>
  <c r="X415" i="5"/>
  <c r="Y415" i="5" s="1"/>
  <c r="X420" i="5"/>
  <c r="Y420" i="5" s="1"/>
  <c r="V367" i="5"/>
  <c r="Z367" i="5"/>
  <c r="W367" i="5"/>
  <c r="W241" i="5"/>
  <c r="Z241" i="5"/>
  <c r="V241" i="5"/>
  <c r="V380" i="5"/>
  <c r="W380" i="5"/>
  <c r="Z380" i="5"/>
  <c r="X76" i="5"/>
  <c r="Z383" i="5"/>
  <c r="W383" i="5"/>
  <c r="V383" i="5"/>
  <c r="Z343" i="5"/>
  <c r="V343" i="5"/>
  <c r="W343" i="5"/>
  <c r="Z381" i="5"/>
  <c r="V381" i="5"/>
  <c r="W381" i="5"/>
  <c r="X137" i="5"/>
  <c r="N232" i="5"/>
  <c r="X232" i="5"/>
  <c r="N137" i="5"/>
  <c r="X79" i="5"/>
  <c r="X78" i="5"/>
  <c r="N277" i="5"/>
  <c r="X277" i="5"/>
  <c r="X77" i="5"/>
  <c r="X406" i="5"/>
  <c r="X162" i="5"/>
  <c r="N162" i="5"/>
  <c r="N98" i="5"/>
  <c r="X98" i="5"/>
  <c r="N342" i="5"/>
  <c r="X342" i="5"/>
  <c r="N78" i="5"/>
  <c r="N83" i="5"/>
  <c r="X207" i="5"/>
  <c r="X83" i="5"/>
  <c r="N207" i="5"/>
  <c r="N141" i="5"/>
  <c r="N235" i="5"/>
  <c r="X235" i="5"/>
  <c r="X141" i="5"/>
  <c r="N196" i="5"/>
  <c r="X196" i="5"/>
  <c r="X176" i="5"/>
  <c r="N176" i="5"/>
  <c r="N315" i="5"/>
  <c r="X315" i="5"/>
  <c r="N194" i="5"/>
  <c r="N190" i="5"/>
  <c r="X190" i="5"/>
  <c r="X194" i="5"/>
  <c r="X253" i="5"/>
  <c r="N253" i="5"/>
  <c r="N256" i="5"/>
  <c r="X256" i="5"/>
  <c r="X155" i="5"/>
  <c r="N155" i="5"/>
  <c r="X126" i="5"/>
  <c r="N126" i="5"/>
  <c r="X408" i="5"/>
  <c r="N408" i="5"/>
  <c r="N275" i="5"/>
  <c r="X275" i="5"/>
  <c r="N160" i="5"/>
  <c r="X160" i="5"/>
  <c r="N150" i="5"/>
  <c r="X150" i="5"/>
  <c r="N341" i="5"/>
  <c r="X341" i="5"/>
  <c r="X368" i="5"/>
  <c r="N368" i="5"/>
  <c r="N75" i="5"/>
  <c r="N88" i="5"/>
  <c r="X86" i="5"/>
  <c r="X88" i="5"/>
  <c r="N86" i="5"/>
  <c r="N25" i="5"/>
  <c r="X25" i="5"/>
  <c r="N140" i="5"/>
  <c r="X140" i="5"/>
  <c r="N114" i="5"/>
  <c r="X114" i="5"/>
  <c r="N314" i="5"/>
  <c r="X314" i="5"/>
  <c r="X175" i="5"/>
  <c r="N175" i="5"/>
  <c r="N258" i="5"/>
  <c r="X258" i="5"/>
  <c r="X128" i="5"/>
  <c r="N128" i="5"/>
  <c r="X92" i="5"/>
  <c r="N92" i="5"/>
  <c r="N274" i="5"/>
  <c r="X274" i="5"/>
  <c r="N353" i="5"/>
  <c r="X353" i="5"/>
  <c r="N338" i="5"/>
  <c r="X338" i="5"/>
  <c r="X170" i="5"/>
  <c r="N170" i="5"/>
  <c r="X348" i="5"/>
  <c r="N350" i="5"/>
  <c r="X350" i="5"/>
  <c r="N348" i="5"/>
  <c r="N188" i="5"/>
  <c r="X195" i="5"/>
  <c r="X188" i="5"/>
  <c r="N195" i="5"/>
  <c r="N313" i="5"/>
  <c r="X313" i="5"/>
  <c r="N177" i="5"/>
  <c r="X177" i="5"/>
  <c r="X127" i="5"/>
  <c r="N127" i="5"/>
  <c r="N93" i="5"/>
  <c r="X93" i="5"/>
  <c r="N349" i="5"/>
  <c r="N109" i="5"/>
  <c r="N110" i="5"/>
  <c r="X349" i="5"/>
  <c r="X366" i="5"/>
  <c r="N366" i="5"/>
  <c r="X75" i="5"/>
  <c r="X138" i="5"/>
  <c r="X233" i="5"/>
  <c r="N233" i="5"/>
  <c r="N138" i="5"/>
  <c r="X115" i="5"/>
  <c r="X97" i="5"/>
  <c r="N115" i="5"/>
  <c r="N226" i="5"/>
  <c r="X226" i="5"/>
  <c r="X248" i="5"/>
  <c r="N248" i="5"/>
  <c r="N252" i="5"/>
  <c r="X252" i="5"/>
  <c r="X151" i="5"/>
  <c r="N151" i="5"/>
  <c r="X178" i="5"/>
  <c r="N178" i="5"/>
  <c r="N157" i="5"/>
  <c r="X157" i="5"/>
  <c r="X99" i="5"/>
  <c r="N99" i="5"/>
  <c r="N81" i="5"/>
  <c r="N406" i="5"/>
  <c r="X81" i="5"/>
  <c r="X169" i="5"/>
  <c r="N94" i="5"/>
  <c r="N166" i="5"/>
  <c r="X96" i="5"/>
  <c r="X166" i="5"/>
  <c r="N96" i="5"/>
  <c r="X94" i="5"/>
  <c r="N169" i="5"/>
  <c r="X225" i="5"/>
  <c r="N225" i="5"/>
  <c r="X317" i="5"/>
  <c r="X198" i="5"/>
  <c r="N198" i="5"/>
  <c r="N317" i="5"/>
  <c r="X173" i="5"/>
  <c r="N173" i="5"/>
  <c r="X174" i="5"/>
  <c r="N174" i="5"/>
  <c r="N407" i="5"/>
  <c r="X407" i="5"/>
  <c r="N143" i="5"/>
  <c r="X143" i="5"/>
  <c r="N148" i="5"/>
  <c r="X149" i="5"/>
  <c r="N149" i="5"/>
  <c r="X148" i="5"/>
  <c r="X172" i="5"/>
  <c r="N172" i="5"/>
  <c r="X276" i="5"/>
  <c r="N276" i="5"/>
  <c r="N187" i="5"/>
  <c r="X187" i="5"/>
  <c r="N400" i="5"/>
  <c r="X400" i="5"/>
  <c r="X95" i="5"/>
  <c r="N95" i="5"/>
  <c r="X113" i="5"/>
  <c r="N113" i="5"/>
  <c r="N352" i="5"/>
  <c r="X352" i="5"/>
  <c r="N340" i="5"/>
  <c r="X340" i="5"/>
  <c r="X80" i="5"/>
  <c r="N76" i="5"/>
  <c r="N80" i="5"/>
  <c r="N171" i="5"/>
  <c r="X171" i="5"/>
  <c r="X179" i="5"/>
  <c r="N179" i="5"/>
  <c r="X22" i="5"/>
  <c r="N22" i="5"/>
  <c r="X224" i="5"/>
  <c r="N224" i="5"/>
  <c r="X189" i="5"/>
  <c r="N189" i="5"/>
  <c r="X197" i="5"/>
  <c r="N197" i="5"/>
  <c r="X120" i="5"/>
  <c r="N120" i="5"/>
  <c r="N247" i="5"/>
  <c r="X247" i="5"/>
  <c r="N254" i="5"/>
  <c r="X254" i="5"/>
  <c r="N249" i="5"/>
  <c r="X249" i="5"/>
  <c r="N186" i="5"/>
  <c r="X186" i="5"/>
  <c r="N103" i="5"/>
  <c r="X103" i="5"/>
  <c r="X105" i="5"/>
  <c r="Y105" i="5" s="1"/>
  <c r="X110" i="5"/>
  <c r="X111" i="5"/>
  <c r="N111" i="5"/>
  <c r="N72" i="5"/>
  <c r="X72" i="5"/>
  <c r="N182" i="5"/>
  <c r="X182" i="5"/>
  <c r="N209" i="5"/>
  <c r="N82" i="5"/>
  <c r="X82" i="5"/>
  <c r="X209" i="5"/>
  <c r="X223" i="5"/>
  <c r="N223" i="5"/>
  <c r="N193" i="5"/>
  <c r="X193" i="5"/>
  <c r="X364" i="5"/>
  <c r="N364" i="5"/>
  <c r="N163" i="5"/>
  <c r="X168" i="5"/>
  <c r="N168" i="5"/>
  <c r="X163" i="5"/>
  <c r="X165" i="5"/>
  <c r="N165" i="5"/>
  <c r="N360" i="5"/>
  <c r="X360" i="5"/>
  <c r="X158" i="5"/>
  <c r="N158" i="5"/>
  <c r="N164" i="5"/>
  <c r="X164" i="5"/>
  <c r="N71" i="5"/>
  <c r="X71" i="5"/>
  <c r="N181" i="5"/>
  <c r="X181" i="5"/>
  <c r="N74" i="5"/>
  <c r="X74" i="5"/>
  <c r="N79" i="5"/>
  <c r="X85" i="5"/>
  <c r="N85" i="5"/>
  <c r="X89" i="5"/>
  <c r="N89" i="5"/>
  <c r="X23" i="5"/>
  <c r="X139" i="5"/>
  <c r="N139" i="5"/>
  <c r="N23" i="5"/>
  <c r="N222" i="5"/>
  <c r="X222" i="5"/>
  <c r="X192" i="5"/>
  <c r="N192" i="5"/>
  <c r="X119" i="5"/>
  <c r="X117" i="5"/>
  <c r="N117" i="5"/>
  <c r="N119" i="5"/>
  <c r="N112" i="5"/>
  <c r="X112" i="5"/>
  <c r="X152" i="5"/>
  <c r="N152" i="5"/>
  <c r="N147" i="5"/>
  <c r="X185" i="5"/>
  <c r="X147" i="5"/>
  <c r="N185" i="5"/>
  <c r="N154" i="5"/>
  <c r="X154" i="5"/>
  <c r="N91" i="5"/>
  <c r="X91" i="5"/>
  <c r="N73" i="5"/>
  <c r="X73" i="5"/>
  <c r="N208" i="5"/>
  <c r="X84" i="5"/>
  <c r="N84" i="5"/>
  <c r="X208" i="5"/>
  <c r="X234" i="5"/>
  <c r="N234" i="5"/>
  <c r="N404" i="5"/>
  <c r="X404" i="5"/>
  <c r="N32" i="5"/>
  <c r="X32" i="5"/>
  <c r="X386" i="5"/>
  <c r="N386" i="5"/>
  <c r="N116" i="5"/>
  <c r="X116" i="5"/>
  <c r="N199" i="5"/>
  <c r="X319" i="5"/>
  <c r="N319" i="5"/>
  <c r="X199" i="5"/>
  <c r="N255" i="5"/>
  <c r="X255" i="5"/>
  <c r="X251" i="5"/>
  <c r="N251" i="5"/>
  <c r="N250" i="5"/>
  <c r="X250" i="5"/>
  <c r="X124" i="5"/>
  <c r="N124" i="5"/>
  <c r="X395" i="5"/>
  <c r="N395" i="5"/>
  <c r="X108" i="5"/>
  <c r="N108" i="5"/>
  <c r="N153" i="5"/>
  <c r="X153" i="5"/>
  <c r="X100" i="5"/>
  <c r="N100" i="5"/>
  <c r="N159" i="5"/>
  <c r="X159" i="5"/>
  <c r="X161" i="5"/>
  <c r="N161" i="5"/>
  <c r="N211" i="5"/>
  <c r="X211" i="5"/>
  <c r="N339" i="5"/>
  <c r="X339" i="5"/>
  <c r="N97" i="5"/>
  <c r="N262" i="5"/>
  <c r="X87" i="5"/>
  <c r="X262" i="5"/>
  <c r="N87" i="5"/>
  <c r="X201" i="5"/>
  <c r="N201" i="5"/>
  <c r="N191" i="5"/>
  <c r="X191" i="5"/>
  <c r="X316" i="5"/>
  <c r="N316" i="5"/>
  <c r="N118" i="5"/>
  <c r="X118" i="5"/>
  <c r="N123" i="5"/>
  <c r="X396" i="5"/>
  <c r="X123" i="5"/>
  <c r="N396" i="5"/>
  <c r="X109" i="5"/>
  <c r="X278" i="5"/>
  <c r="N278" i="5"/>
  <c r="N77" i="5"/>
  <c r="N261" i="5"/>
  <c r="X261" i="5"/>
  <c r="N318" i="5"/>
  <c r="X318" i="5"/>
  <c r="X200" i="5"/>
  <c r="N200" i="5"/>
  <c r="N125" i="5"/>
  <c r="X125" i="5"/>
  <c r="N231" i="5"/>
  <c r="X231" i="5"/>
  <c r="V212" i="5" l="1"/>
  <c r="Y212" i="5" s="1"/>
  <c r="W212" i="5"/>
  <c r="V5" i="5"/>
  <c r="AA5" i="5" s="1"/>
  <c r="W5" i="5"/>
  <c r="Z38" i="5"/>
  <c r="V38" i="5"/>
  <c r="V218" i="5"/>
  <c r="W218" i="5"/>
  <c r="Z218" i="5"/>
  <c r="Z217" i="5"/>
  <c r="W217" i="5"/>
  <c r="V217" i="5"/>
  <c r="Y381" i="5"/>
  <c r="AA381" i="5"/>
  <c r="Y380" i="5"/>
  <c r="AA380" i="5"/>
  <c r="Y343" i="5"/>
  <c r="AA343" i="5"/>
  <c r="AA241" i="5"/>
  <c r="Y241" i="5"/>
  <c r="W17" i="5"/>
  <c r="Z17" i="5"/>
  <c r="V17" i="5"/>
  <c r="W24" i="5"/>
  <c r="Z24" i="5"/>
  <c r="V24" i="5"/>
  <c r="AA383" i="5"/>
  <c r="Y383" i="5"/>
  <c r="Y367" i="5"/>
  <c r="AA367" i="5"/>
  <c r="AA382" i="5"/>
  <c r="Y382" i="5"/>
  <c r="V32" i="5"/>
  <c r="Z32" i="5"/>
  <c r="W32" i="5"/>
  <c r="Z91" i="5"/>
  <c r="V91" i="5"/>
  <c r="W91" i="5"/>
  <c r="Z117" i="5"/>
  <c r="V117" i="5"/>
  <c r="W117" i="5"/>
  <c r="W158" i="5"/>
  <c r="Z158" i="5"/>
  <c r="V158" i="5"/>
  <c r="W111" i="5"/>
  <c r="V111" i="5"/>
  <c r="Z111" i="5"/>
  <c r="V179" i="5"/>
  <c r="W179" i="5"/>
  <c r="Z179" i="5"/>
  <c r="V149" i="5"/>
  <c r="W149" i="5"/>
  <c r="Z149" i="5"/>
  <c r="W198" i="5"/>
  <c r="V198" i="5"/>
  <c r="Z198" i="5"/>
  <c r="Z170" i="5"/>
  <c r="V170" i="5"/>
  <c r="W170" i="5"/>
  <c r="Z86" i="5"/>
  <c r="V86" i="5"/>
  <c r="W86" i="5"/>
  <c r="V160" i="5"/>
  <c r="W160" i="5"/>
  <c r="Z160" i="5"/>
  <c r="W162" i="5"/>
  <c r="Z162" i="5"/>
  <c r="V162" i="5"/>
  <c r="V123" i="5"/>
  <c r="Z123" i="5"/>
  <c r="W123" i="5"/>
  <c r="V262" i="5"/>
  <c r="W262" i="5"/>
  <c r="Z262" i="5"/>
  <c r="Z85" i="5"/>
  <c r="V85" i="5"/>
  <c r="W85" i="5"/>
  <c r="W193" i="5"/>
  <c r="V193" i="5"/>
  <c r="Z193" i="5"/>
  <c r="V247" i="5"/>
  <c r="Z247" i="5"/>
  <c r="W247" i="5"/>
  <c r="V95" i="5"/>
  <c r="Z95" i="5"/>
  <c r="W95" i="5"/>
  <c r="W252" i="5"/>
  <c r="Z252" i="5"/>
  <c r="V252" i="5"/>
  <c r="W177" i="5"/>
  <c r="V177" i="5"/>
  <c r="Z177" i="5"/>
  <c r="W258" i="5"/>
  <c r="V258" i="5"/>
  <c r="Z258" i="5"/>
  <c r="V235" i="5"/>
  <c r="W235" i="5"/>
  <c r="Z235" i="5"/>
  <c r="Z125" i="5"/>
  <c r="V125" i="5"/>
  <c r="W125" i="5"/>
  <c r="Z97" i="5"/>
  <c r="W97" i="5"/>
  <c r="V97" i="5"/>
  <c r="Z153" i="5"/>
  <c r="V153" i="5"/>
  <c r="W153" i="5"/>
  <c r="W255" i="5"/>
  <c r="V255" i="5"/>
  <c r="Z255" i="5"/>
  <c r="V404" i="5"/>
  <c r="Z404" i="5"/>
  <c r="W404" i="5"/>
  <c r="Z154" i="5"/>
  <c r="V154" i="5"/>
  <c r="W154" i="5"/>
  <c r="V223" i="5"/>
  <c r="W223" i="5"/>
  <c r="Z223" i="5"/>
  <c r="V120" i="5"/>
  <c r="Z120" i="5"/>
  <c r="W120" i="5"/>
  <c r="V148" i="5"/>
  <c r="W148" i="5"/>
  <c r="Z148" i="5"/>
  <c r="W406" i="5"/>
  <c r="Z406" i="5"/>
  <c r="V406" i="5"/>
  <c r="Z248" i="5"/>
  <c r="V248" i="5"/>
  <c r="W248" i="5"/>
  <c r="Z366" i="5"/>
  <c r="W366" i="5"/>
  <c r="V366" i="5"/>
  <c r="V175" i="5"/>
  <c r="W175" i="5"/>
  <c r="Z175" i="5"/>
  <c r="V275" i="5"/>
  <c r="W275" i="5"/>
  <c r="Z275" i="5"/>
  <c r="W141" i="5"/>
  <c r="Z141" i="5"/>
  <c r="V141" i="5"/>
  <c r="W200" i="5"/>
  <c r="V200" i="5"/>
  <c r="Z200" i="5"/>
  <c r="V118" i="5"/>
  <c r="W118" i="5"/>
  <c r="Z118" i="5"/>
  <c r="V108" i="5"/>
  <c r="Z108" i="5"/>
  <c r="W108" i="5"/>
  <c r="W234" i="5"/>
  <c r="V234" i="5"/>
  <c r="Z234" i="5"/>
  <c r="V185" i="5"/>
  <c r="Z185" i="5"/>
  <c r="W185" i="5"/>
  <c r="W192" i="5"/>
  <c r="Z192" i="5"/>
  <c r="V192" i="5"/>
  <c r="Z79" i="5"/>
  <c r="W79" i="5"/>
  <c r="V79" i="5"/>
  <c r="W360" i="5"/>
  <c r="Z360" i="5"/>
  <c r="V360" i="5"/>
  <c r="Z171" i="5"/>
  <c r="V171" i="5"/>
  <c r="W171" i="5"/>
  <c r="W225" i="5"/>
  <c r="Z225" i="5"/>
  <c r="V225" i="5"/>
  <c r="Z81" i="5"/>
  <c r="W81" i="5"/>
  <c r="V81" i="5"/>
  <c r="Z313" i="5"/>
  <c r="W313" i="5"/>
  <c r="V313" i="5"/>
  <c r="Z338" i="5"/>
  <c r="W338" i="5"/>
  <c r="V338" i="5"/>
  <c r="V88" i="5"/>
  <c r="Z88" i="5"/>
  <c r="W88" i="5"/>
  <c r="V408" i="5"/>
  <c r="W408" i="5"/>
  <c r="Z408" i="5"/>
  <c r="V190" i="5"/>
  <c r="Z190" i="5"/>
  <c r="W190" i="5"/>
  <c r="W207" i="5"/>
  <c r="V207" i="5"/>
  <c r="Z207" i="5"/>
  <c r="Z316" i="5"/>
  <c r="V316" i="5"/>
  <c r="W316" i="5"/>
  <c r="V339" i="5"/>
  <c r="Z339" i="5"/>
  <c r="W339" i="5"/>
  <c r="W319" i="5"/>
  <c r="V319" i="5"/>
  <c r="Z319" i="5"/>
  <c r="V165" i="5"/>
  <c r="Z165" i="5"/>
  <c r="W165" i="5"/>
  <c r="Z197" i="5"/>
  <c r="W197" i="5"/>
  <c r="V197" i="5"/>
  <c r="W80" i="5"/>
  <c r="V80" i="5"/>
  <c r="Z80" i="5"/>
  <c r="W400" i="5"/>
  <c r="Z400" i="5"/>
  <c r="V400" i="5"/>
  <c r="V143" i="5"/>
  <c r="W143" i="5"/>
  <c r="Z143" i="5"/>
  <c r="W99" i="5"/>
  <c r="Z99" i="5"/>
  <c r="V99" i="5"/>
  <c r="W195" i="5"/>
  <c r="V195" i="5"/>
  <c r="Z195" i="5"/>
  <c r="V75" i="5"/>
  <c r="Z75" i="5"/>
  <c r="W75" i="5"/>
  <c r="V194" i="5"/>
  <c r="Z194" i="5"/>
  <c r="W194" i="5"/>
  <c r="V395" i="5"/>
  <c r="Z395" i="5"/>
  <c r="W395" i="5"/>
  <c r="V74" i="5"/>
  <c r="Z74" i="5"/>
  <c r="W74" i="5"/>
  <c r="Z103" i="5"/>
  <c r="V103" i="5"/>
  <c r="W103" i="5"/>
  <c r="V76" i="5"/>
  <c r="W76" i="5"/>
  <c r="Z76" i="5"/>
  <c r="Z169" i="5"/>
  <c r="V169" i="5"/>
  <c r="W169" i="5"/>
  <c r="V226" i="5"/>
  <c r="W226" i="5"/>
  <c r="Z226" i="5"/>
  <c r="W110" i="5"/>
  <c r="Z110" i="5"/>
  <c r="V110" i="5"/>
  <c r="Z353" i="5"/>
  <c r="V353" i="5"/>
  <c r="W353" i="5"/>
  <c r="V314" i="5"/>
  <c r="Z314" i="5"/>
  <c r="W314" i="5"/>
  <c r="Z368" i="5"/>
  <c r="W368" i="5"/>
  <c r="V368" i="5"/>
  <c r="Z126" i="5"/>
  <c r="V126" i="5"/>
  <c r="W126" i="5"/>
  <c r="V277" i="5"/>
  <c r="Z277" i="5"/>
  <c r="W277" i="5"/>
  <c r="W211" i="5"/>
  <c r="V211" i="5"/>
  <c r="Z211" i="5"/>
  <c r="W199" i="5"/>
  <c r="Z199" i="5"/>
  <c r="V199" i="5"/>
  <c r="V84" i="5"/>
  <c r="Z84" i="5"/>
  <c r="W84" i="5"/>
  <c r="Z147" i="5"/>
  <c r="V147" i="5"/>
  <c r="W147" i="5"/>
  <c r="W222" i="5"/>
  <c r="V222" i="5"/>
  <c r="Z222" i="5"/>
  <c r="V82" i="5"/>
  <c r="Z82" i="5"/>
  <c r="W82" i="5"/>
  <c r="Z189" i="5"/>
  <c r="V189" i="5"/>
  <c r="W189" i="5"/>
  <c r="V187" i="5"/>
  <c r="Z187" i="5"/>
  <c r="W187" i="5"/>
  <c r="Z407" i="5"/>
  <c r="V407" i="5"/>
  <c r="W407" i="5"/>
  <c r="Z115" i="5"/>
  <c r="V115" i="5"/>
  <c r="W115" i="5"/>
  <c r="V109" i="5"/>
  <c r="Z109" i="5"/>
  <c r="W109" i="5"/>
  <c r="V315" i="5"/>
  <c r="Z315" i="5"/>
  <c r="W315" i="5"/>
  <c r="Z83" i="5"/>
  <c r="W83" i="5"/>
  <c r="V83" i="5"/>
  <c r="W261" i="5"/>
  <c r="Z261" i="5"/>
  <c r="V261" i="5"/>
  <c r="W77" i="5"/>
  <c r="V77" i="5"/>
  <c r="Z77" i="5"/>
  <c r="V278" i="5"/>
  <c r="W278" i="5"/>
  <c r="Z278" i="5"/>
  <c r="V191" i="5"/>
  <c r="W191" i="5"/>
  <c r="Z191" i="5"/>
  <c r="Z161" i="5"/>
  <c r="V161" i="5"/>
  <c r="W161" i="5"/>
  <c r="W124" i="5"/>
  <c r="Z124" i="5"/>
  <c r="V124" i="5"/>
  <c r="W152" i="5"/>
  <c r="Z152" i="5"/>
  <c r="V152" i="5"/>
  <c r="V23" i="5"/>
  <c r="Z23" i="5"/>
  <c r="W23" i="5"/>
  <c r="V181" i="5"/>
  <c r="Z181" i="5"/>
  <c r="W181" i="5"/>
  <c r="Z168" i="5"/>
  <c r="V168" i="5"/>
  <c r="W168" i="5"/>
  <c r="Z209" i="5"/>
  <c r="V209" i="5"/>
  <c r="W209" i="5"/>
  <c r="V186" i="5"/>
  <c r="Z186" i="5"/>
  <c r="W186" i="5"/>
  <c r="W276" i="5"/>
  <c r="V276" i="5"/>
  <c r="Z276" i="5"/>
  <c r="V174" i="5"/>
  <c r="W174" i="5"/>
  <c r="Z174" i="5"/>
  <c r="W96" i="5"/>
  <c r="V96" i="5"/>
  <c r="Z96" i="5"/>
  <c r="Z157" i="5"/>
  <c r="W157" i="5"/>
  <c r="V157" i="5"/>
  <c r="Z349" i="5"/>
  <c r="V349" i="5"/>
  <c r="W349" i="5"/>
  <c r="V188" i="5"/>
  <c r="Z188" i="5"/>
  <c r="W188" i="5"/>
  <c r="Z274" i="5"/>
  <c r="V274" i="5"/>
  <c r="W274" i="5"/>
  <c r="Z114" i="5"/>
  <c r="V114" i="5"/>
  <c r="W114" i="5"/>
  <c r="V155" i="5"/>
  <c r="Z155" i="5"/>
  <c r="W155" i="5"/>
  <c r="Z176" i="5"/>
  <c r="V176" i="5"/>
  <c r="W176" i="5"/>
  <c r="V78" i="5"/>
  <c r="W78" i="5"/>
  <c r="Z78" i="5"/>
  <c r="W318" i="5"/>
  <c r="V318" i="5"/>
  <c r="Z318" i="5"/>
  <c r="V201" i="5"/>
  <c r="W201" i="5"/>
  <c r="Z201" i="5"/>
  <c r="Z116" i="5"/>
  <c r="W116" i="5"/>
  <c r="V116" i="5"/>
  <c r="Z208" i="5"/>
  <c r="V208" i="5"/>
  <c r="W208" i="5"/>
  <c r="W139" i="5"/>
  <c r="Z139" i="5"/>
  <c r="V139" i="5"/>
  <c r="Z224" i="5"/>
  <c r="W224" i="5"/>
  <c r="V224" i="5"/>
  <c r="V340" i="5"/>
  <c r="W340" i="5"/>
  <c r="Z340" i="5"/>
  <c r="Z178" i="5"/>
  <c r="W178" i="5"/>
  <c r="V178" i="5"/>
  <c r="W348" i="5"/>
  <c r="Z348" i="5"/>
  <c r="V348" i="5"/>
  <c r="V92" i="5"/>
  <c r="W92" i="5"/>
  <c r="Z92" i="5"/>
  <c r="W341" i="5"/>
  <c r="V341" i="5"/>
  <c r="Z341" i="5"/>
  <c r="V137" i="5"/>
  <c r="W137" i="5"/>
  <c r="Z137" i="5"/>
  <c r="V386" i="5"/>
  <c r="Z386" i="5"/>
  <c r="W386" i="5"/>
  <c r="V71" i="5"/>
  <c r="Z71" i="5"/>
  <c r="W71" i="5"/>
  <c r="Z163" i="5"/>
  <c r="W163" i="5"/>
  <c r="V163" i="5"/>
  <c r="W182" i="5"/>
  <c r="Z182" i="5"/>
  <c r="V182" i="5"/>
  <c r="V249" i="5"/>
  <c r="W249" i="5"/>
  <c r="Z249" i="5"/>
  <c r="V172" i="5"/>
  <c r="Z172" i="5"/>
  <c r="W172" i="5"/>
  <c r="V173" i="5"/>
  <c r="Z173" i="5"/>
  <c r="W173" i="5"/>
  <c r="V138" i="5"/>
  <c r="Z138" i="5"/>
  <c r="W138" i="5"/>
  <c r="Z93" i="5"/>
  <c r="V93" i="5"/>
  <c r="W93" i="5"/>
  <c r="V140" i="5"/>
  <c r="Z140" i="5"/>
  <c r="W140" i="5"/>
  <c r="W342" i="5"/>
  <c r="V342" i="5"/>
  <c r="Z342" i="5"/>
  <c r="W231" i="5"/>
  <c r="Z231" i="5"/>
  <c r="V231" i="5"/>
  <c r="W396" i="5"/>
  <c r="V396" i="5"/>
  <c r="Z396" i="5"/>
  <c r="V87" i="5"/>
  <c r="Z87" i="5"/>
  <c r="W87" i="5"/>
  <c r="Z159" i="5"/>
  <c r="W159" i="5"/>
  <c r="V159" i="5"/>
  <c r="Z250" i="5"/>
  <c r="V250" i="5"/>
  <c r="W250" i="5"/>
  <c r="V73" i="5"/>
  <c r="W73" i="5"/>
  <c r="Z73" i="5"/>
  <c r="Z112" i="5"/>
  <c r="V112" i="5"/>
  <c r="W112" i="5"/>
  <c r="W364" i="5"/>
  <c r="Z364" i="5"/>
  <c r="V364" i="5"/>
  <c r="V22" i="5"/>
  <c r="Z22" i="5"/>
  <c r="W22" i="5"/>
  <c r="W352" i="5"/>
  <c r="Z352" i="5"/>
  <c r="V352" i="5"/>
  <c r="W166" i="5"/>
  <c r="Z166" i="5"/>
  <c r="V166" i="5"/>
  <c r="W151" i="5"/>
  <c r="V151" i="5"/>
  <c r="Z151" i="5"/>
  <c r="W233" i="5"/>
  <c r="V233" i="5"/>
  <c r="Z233" i="5"/>
  <c r="W127" i="5"/>
  <c r="Z127" i="5"/>
  <c r="V127" i="5"/>
  <c r="V350" i="5"/>
  <c r="Z350" i="5"/>
  <c r="W350" i="5"/>
  <c r="V128" i="5"/>
  <c r="Z128" i="5"/>
  <c r="W128" i="5"/>
  <c r="Z150" i="5"/>
  <c r="V150" i="5"/>
  <c r="W150" i="5"/>
  <c r="Z256" i="5"/>
  <c r="W256" i="5"/>
  <c r="V256" i="5"/>
  <c r="W196" i="5"/>
  <c r="V196" i="5"/>
  <c r="Z196" i="5"/>
  <c r="W232" i="5"/>
  <c r="V232" i="5"/>
  <c r="Z232" i="5"/>
  <c r="Z100" i="5"/>
  <c r="V100" i="5"/>
  <c r="W100" i="5"/>
  <c r="W251" i="5"/>
  <c r="Z251" i="5"/>
  <c r="V251" i="5"/>
  <c r="V119" i="5"/>
  <c r="Z119" i="5"/>
  <c r="W119" i="5"/>
  <c r="V89" i="5"/>
  <c r="Z89" i="5"/>
  <c r="W89" i="5"/>
  <c r="Z164" i="5"/>
  <c r="V164" i="5"/>
  <c r="W164" i="5"/>
  <c r="W72" i="5"/>
  <c r="V72" i="5"/>
  <c r="Z72" i="5"/>
  <c r="Z254" i="5"/>
  <c r="W254" i="5"/>
  <c r="V254" i="5"/>
  <c r="Z113" i="5"/>
  <c r="V113" i="5"/>
  <c r="W113" i="5"/>
  <c r="V317" i="5"/>
  <c r="W317" i="5"/>
  <c r="Z317" i="5"/>
  <c r="V94" i="5"/>
  <c r="Z94" i="5"/>
  <c r="W94" i="5"/>
  <c r="W25" i="5"/>
  <c r="Z25" i="5"/>
  <c r="V25" i="5"/>
  <c r="V253" i="5"/>
  <c r="Z253" i="5"/>
  <c r="W253" i="5"/>
  <c r="V98" i="5"/>
  <c r="Z98" i="5"/>
  <c r="W98" i="5"/>
  <c r="Y5" i="5" l="1"/>
  <c r="AA212" i="5"/>
  <c r="Y38" i="5"/>
  <c r="AA38" i="5"/>
  <c r="AA217" i="5"/>
  <c r="Y217" i="5"/>
  <c r="Y218" i="5"/>
  <c r="AA218" i="5"/>
  <c r="AA17" i="5"/>
  <c r="Y17" i="5"/>
  <c r="AA24" i="5"/>
  <c r="Y24" i="5"/>
  <c r="AA25" i="5"/>
  <c r="Y25" i="5"/>
  <c r="AA254" i="5"/>
  <c r="Y254" i="5"/>
  <c r="AA166" i="5"/>
  <c r="Y166" i="5"/>
  <c r="AA224" i="5"/>
  <c r="Y224" i="5"/>
  <c r="Y261" i="5"/>
  <c r="AA261" i="5"/>
  <c r="Y199" i="5"/>
  <c r="AA199" i="5"/>
  <c r="AA368" i="5"/>
  <c r="Y368" i="5"/>
  <c r="Y81" i="5"/>
  <c r="AA81" i="5"/>
  <c r="Y79" i="5"/>
  <c r="AA79" i="5"/>
  <c r="AA406" i="5"/>
  <c r="Y406" i="5"/>
  <c r="AA97" i="5"/>
  <c r="Y97" i="5"/>
  <c r="Y162" i="5"/>
  <c r="AA162" i="5"/>
  <c r="AA158" i="5"/>
  <c r="Y158" i="5"/>
  <c r="Y196" i="5"/>
  <c r="AA196" i="5"/>
  <c r="Y112" i="5"/>
  <c r="AA112" i="5"/>
  <c r="Y349" i="5"/>
  <c r="AA349" i="5"/>
  <c r="Y276" i="5"/>
  <c r="AA276" i="5"/>
  <c r="AA161" i="5"/>
  <c r="Y161" i="5"/>
  <c r="AA115" i="5"/>
  <c r="Y115" i="5"/>
  <c r="Y195" i="5"/>
  <c r="AA195" i="5"/>
  <c r="AA80" i="5"/>
  <c r="Y80" i="5"/>
  <c r="Y154" i="5"/>
  <c r="AA154" i="5"/>
  <c r="AA177" i="5"/>
  <c r="Y177" i="5"/>
  <c r="AA193" i="5"/>
  <c r="Y193" i="5"/>
  <c r="AA198" i="5"/>
  <c r="Y198" i="5"/>
  <c r="Y92" i="5"/>
  <c r="AA92" i="5"/>
  <c r="AA226" i="5"/>
  <c r="Y226" i="5"/>
  <c r="Y251" i="5"/>
  <c r="AA251" i="5"/>
  <c r="AA256" i="5"/>
  <c r="Y256" i="5"/>
  <c r="AA127" i="5"/>
  <c r="Y127" i="5"/>
  <c r="AA352" i="5"/>
  <c r="Y352" i="5"/>
  <c r="AA348" i="5"/>
  <c r="Y348" i="5"/>
  <c r="Y139" i="5"/>
  <c r="AA139" i="5"/>
  <c r="AA157" i="5"/>
  <c r="Y157" i="5"/>
  <c r="Y83" i="5"/>
  <c r="AA83" i="5"/>
  <c r="AA99" i="5"/>
  <c r="Y99" i="5"/>
  <c r="Y197" i="5"/>
  <c r="AA197" i="5"/>
  <c r="AA225" i="5"/>
  <c r="Y225" i="5"/>
  <c r="Y192" i="5"/>
  <c r="AA192" i="5"/>
  <c r="Y252" i="5"/>
  <c r="AA252" i="5"/>
  <c r="Y275" i="5"/>
  <c r="AA275" i="5"/>
  <c r="AA93" i="5"/>
  <c r="Y93" i="5"/>
  <c r="AA318" i="5"/>
  <c r="Y318" i="5"/>
  <c r="AA114" i="5"/>
  <c r="Y114" i="5"/>
  <c r="Y407" i="5"/>
  <c r="AA407" i="5"/>
  <c r="Y222" i="5"/>
  <c r="AA222" i="5"/>
  <c r="Y211" i="5"/>
  <c r="AA211" i="5"/>
  <c r="Y169" i="5"/>
  <c r="AA169" i="5"/>
  <c r="AA316" i="5"/>
  <c r="Y316" i="5"/>
  <c r="AA125" i="5"/>
  <c r="Y125" i="5"/>
  <c r="AA85" i="5"/>
  <c r="Y85" i="5"/>
  <c r="Y117" i="5"/>
  <c r="AA117" i="5"/>
  <c r="AA172" i="5"/>
  <c r="Y172" i="5"/>
  <c r="Y201" i="5"/>
  <c r="AA201" i="5"/>
  <c r="Y181" i="5"/>
  <c r="AA181" i="5"/>
  <c r="AA74" i="5"/>
  <c r="Y74" i="5"/>
  <c r="Y408" i="5"/>
  <c r="AA408" i="5"/>
  <c r="AA72" i="5"/>
  <c r="Y72" i="5"/>
  <c r="Y94" i="5"/>
  <c r="AA94" i="5"/>
  <c r="AA73" i="5"/>
  <c r="Y73" i="5"/>
  <c r="AA249" i="5"/>
  <c r="Y249" i="5"/>
  <c r="Y386" i="5"/>
  <c r="AA386" i="5"/>
  <c r="Y186" i="5"/>
  <c r="AA186" i="5"/>
  <c r="Y23" i="5"/>
  <c r="AA23" i="5"/>
  <c r="Y191" i="5"/>
  <c r="AA191" i="5"/>
  <c r="Y314" i="5"/>
  <c r="AA314" i="5"/>
  <c r="Y395" i="5"/>
  <c r="AA395" i="5"/>
  <c r="AA88" i="5"/>
  <c r="Y88" i="5"/>
  <c r="Y118" i="5"/>
  <c r="AA118" i="5"/>
  <c r="Y175" i="5"/>
  <c r="AA175" i="5"/>
  <c r="Y148" i="5"/>
  <c r="AA148" i="5"/>
  <c r="Y404" i="5"/>
  <c r="AA404" i="5"/>
  <c r="AA160" i="5"/>
  <c r="Y160" i="5"/>
  <c r="Y149" i="5"/>
  <c r="AA149" i="5"/>
  <c r="Y350" i="5"/>
  <c r="AA350" i="5"/>
  <c r="AA71" i="5"/>
  <c r="Y71" i="5"/>
  <c r="Y155" i="5"/>
  <c r="AA155" i="5"/>
  <c r="AA82" i="5"/>
  <c r="Y82" i="5"/>
  <c r="AA339" i="5"/>
  <c r="Y339" i="5"/>
  <c r="Y108" i="5"/>
  <c r="AA108" i="5"/>
  <c r="AA396" i="5"/>
  <c r="Y396" i="5"/>
  <c r="Y231" i="5"/>
  <c r="AA231" i="5"/>
  <c r="AA182" i="5"/>
  <c r="Y182" i="5"/>
  <c r="Y178" i="5"/>
  <c r="AA178" i="5"/>
  <c r="AA152" i="5"/>
  <c r="Y152" i="5"/>
  <c r="Y338" i="5"/>
  <c r="AA338" i="5"/>
  <c r="Y366" i="5"/>
  <c r="AA366" i="5"/>
  <c r="AA164" i="5"/>
  <c r="Y164" i="5"/>
  <c r="Y100" i="5"/>
  <c r="AA100" i="5"/>
  <c r="Y150" i="5"/>
  <c r="AA150" i="5"/>
  <c r="AA233" i="5"/>
  <c r="Y233" i="5"/>
  <c r="AA250" i="5"/>
  <c r="Y250" i="5"/>
  <c r="AA208" i="5"/>
  <c r="Y208" i="5"/>
  <c r="Y274" i="5"/>
  <c r="AA274" i="5"/>
  <c r="AA96" i="5"/>
  <c r="Y96" i="5"/>
  <c r="AA209" i="5"/>
  <c r="Y209" i="5"/>
  <c r="AA147" i="5"/>
  <c r="Y147" i="5"/>
  <c r="Y353" i="5"/>
  <c r="AA353" i="5"/>
  <c r="AA207" i="5"/>
  <c r="Y207" i="5"/>
  <c r="Y171" i="5"/>
  <c r="AA171" i="5"/>
  <c r="AA200" i="5"/>
  <c r="Y200" i="5"/>
  <c r="AA255" i="5"/>
  <c r="Y255" i="5"/>
  <c r="AA86" i="5"/>
  <c r="Y86" i="5"/>
  <c r="Y91" i="5"/>
  <c r="AA91" i="5"/>
  <c r="Y119" i="5"/>
  <c r="AA119" i="5"/>
  <c r="AA140" i="5"/>
  <c r="Y140" i="5"/>
  <c r="AA98" i="5"/>
  <c r="Y98" i="5"/>
  <c r="Y317" i="5"/>
  <c r="AA317" i="5"/>
  <c r="AA22" i="5"/>
  <c r="Y22" i="5"/>
  <c r="AA138" i="5"/>
  <c r="Y138" i="5"/>
  <c r="AA78" i="5"/>
  <c r="Y78" i="5"/>
  <c r="Y278" i="5"/>
  <c r="AA278" i="5"/>
  <c r="Y315" i="5"/>
  <c r="AA315" i="5"/>
  <c r="Y187" i="5"/>
  <c r="AA187" i="5"/>
  <c r="Y277" i="5"/>
  <c r="AA277" i="5"/>
  <c r="AA76" i="5"/>
  <c r="Y76" i="5"/>
  <c r="AA194" i="5"/>
  <c r="Y194" i="5"/>
  <c r="Y143" i="5"/>
  <c r="AA143" i="5"/>
  <c r="AA165" i="5"/>
  <c r="Y165" i="5"/>
  <c r="AA185" i="5"/>
  <c r="Y185" i="5"/>
  <c r="AA120" i="5"/>
  <c r="Y120" i="5"/>
  <c r="AA235" i="5"/>
  <c r="Y235" i="5"/>
  <c r="Y95" i="5"/>
  <c r="AA95" i="5"/>
  <c r="AA262" i="5"/>
  <c r="Y262" i="5"/>
  <c r="AA179" i="5"/>
  <c r="Y179" i="5"/>
  <c r="Y87" i="5"/>
  <c r="AA87" i="5"/>
  <c r="AA137" i="5"/>
  <c r="Y137" i="5"/>
  <c r="Y364" i="5"/>
  <c r="AA364" i="5"/>
  <c r="AA159" i="5"/>
  <c r="Y159" i="5"/>
  <c r="AA163" i="5"/>
  <c r="Y163" i="5"/>
  <c r="AA116" i="5"/>
  <c r="Y116" i="5"/>
  <c r="AA124" i="5"/>
  <c r="Y124" i="5"/>
  <c r="AA110" i="5"/>
  <c r="Y110" i="5"/>
  <c r="AA400" i="5"/>
  <c r="Y400" i="5"/>
  <c r="AA313" i="5"/>
  <c r="Y313" i="5"/>
  <c r="Y360" i="5"/>
  <c r="AA360" i="5"/>
  <c r="AA141" i="5"/>
  <c r="Y141" i="5"/>
  <c r="AA232" i="5"/>
  <c r="Y232" i="5"/>
  <c r="AA151" i="5"/>
  <c r="Y151" i="5"/>
  <c r="Y342" i="5"/>
  <c r="AA342" i="5"/>
  <c r="AA341" i="5"/>
  <c r="Y341" i="5"/>
  <c r="Y176" i="5"/>
  <c r="AA176" i="5"/>
  <c r="Y168" i="5"/>
  <c r="AA168" i="5"/>
  <c r="Y77" i="5"/>
  <c r="AA77" i="5"/>
  <c r="AA189" i="5"/>
  <c r="Y189" i="5"/>
  <c r="AA126" i="5"/>
  <c r="Y126" i="5"/>
  <c r="AA103" i="5"/>
  <c r="Y103" i="5"/>
  <c r="AA319" i="5"/>
  <c r="Y319" i="5"/>
  <c r="Y234" i="5"/>
  <c r="AA234" i="5"/>
  <c r="Y248" i="5"/>
  <c r="AA248" i="5"/>
  <c r="Y153" i="5"/>
  <c r="AA153" i="5"/>
  <c r="AA258" i="5"/>
  <c r="Y258" i="5"/>
  <c r="Y170" i="5"/>
  <c r="AA170" i="5"/>
  <c r="Y111" i="5"/>
  <c r="AA111" i="5"/>
  <c r="Y113" i="5"/>
  <c r="AA113" i="5"/>
  <c r="AA253" i="5"/>
  <c r="Y253" i="5"/>
  <c r="AA89" i="5"/>
  <c r="Y89" i="5"/>
  <c r="Y128" i="5"/>
  <c r="AA128" i="5"/>
  <c r="AA173" i="5"/>
  <c r="Y173" i="5"/>
  <c r="Y340" i="5"/>
  <c r="AA340" i="5"/>
  <c r="AA188" i="5"/>
  <c r="Y188" i="5"/>
  <c r="AA174" i="5"/>
  <c r="Y174" i="5"/>
  <c r="AA109" i="5"/>
  <c r="Y109" i="5"/>
  <c r="AA84" i="5"/>
  <c r="Y84" i="5"/>
  <c r="Y75" i="5"/>
  <c r="AA75" i="5"/>
  <c r="Y190" i="5"/>
  <c r="AA190" i="5"/>
  <c r="Y223" i="5"/>
  <c r="AA223" i="5"/>
  <c r="AA247" i="5"/>
  <c r="Y247" i="5"/>
  <c r="AA123" i="5"/>
  <c r="Y123" i="5"/>
  <c r="AA32" i="5"/>
  <c r="Y32" i="5"/>
  <c r="Q10" i="5" l="1"/>
  <c r="Q19" i="5"/>
  <c r="Q16" i="5"/>
  <c r="Q15" i="5"/>
  <c r="Q12" i="5"/>
  <c r="Q14" i="5"/>
  <c r="S240" i="5" l="1"/>
  <c r="S238" i="5"/>
  <c r="S237" i="5" l="1"/>
  <c r="S100" i="5"/>
  <c r="T240" i="5"/>
  <c r="U240" i="5" s="1"/>
  <c r="R240" i="5"/>
  <c r="T238" i="5"/>
  <c r="U238" i="5" s="1"/>
  <c r="R238" i="5"/>
  <c r="S136" i="5" l="1"/>
  <c r="R136" i="5" s="1"/>
  <c r="S259" i="5"/>
  <c r="R259" i="5" s="1"/>
  <c r="S359" i="5"/>
  <c r="R359" i="5" s="1"/>
  <c r="R237" i="5"/>
  <c r="T237" i="5"/>
  <c r="U237" i="5" s="1"/>
  <c r="T100" i="5"/>
  <c r="U100" i="5" s="1"/>
  <c r="R100" i="5"/>
  <c r="T136" i="5" l="1"/>
  <c r="U136" i="5" s="1"/>
  <c r="T259" i="5"/>
  <c r="U259" i="5" s="1"/>
  <c r="T359" i="5"/>
  <c r="U359" i="5" s="1"/>
  <c r="S129" i="5"/>
  <c r="S130" i="5"/>
  <c r="S68" i="5"/>
  <c r="S93" i="5" l="1"/>
  <c r="S151" i="5"/>
  <c r="S153" i="5"/>
  <c r="S152" i="5"/>
  <c r="S92" i="5"/>
  <c r="S137" i="5"/>
  <c r="S232" i="5"/>
  <c r="T130" i="5"/>
  <c r="U130" i="5" s="1"/>
  <c r="R130" i="5"/>
  <c r="R129" i="5"/>
  <c r="T129" i="5"/>
  <c r="U129" i="5" s="1"/>
  <c r="R68" i="5"/>
  <c r="T68" i="5"/>
  <c r="U68" i="5" s="1"/>
  <c r="S134" i="5"/>
  <c r="T93" i="5" l="1"/>
  <c r="U93" i="5" s="1"/>
  <c r="R93" i="5"/>
  <c r="R151" i="5"/>
  <c r="T151" i="5"/>
  <c r="U151" i="5" s="1"/>
  <c r="S126" i="5"/>
  <c r="S155" i="5"/>
  <c r="R153" i="5"/>
  <c r="T153" i="5"/>
  <c r="U153" i="5" s="1"/>
  <c r="S231" i="5"/>
  <c r="S125" i="5"/>
  <c r="R152" i="5"/>
  <c r="T152" i="5"/>
  <c r="U152" i="5" s="1"/>
  <c r="S408" i="5"/>
  <c r="S219" i="5"/>
  <c r="S345" i="5"/>
  <c r="S21" i="5"/>
  <c r="T134" i="5"/>
  <c r="U134" i="5" s="1"/>
  <c r="R134" i="5"/>
  <c r="T232" i="5"/>
  <c r="U232" i="5" s="1"/>
  <c r="R232" i="5"/>
  <c r="T137" i="5"/>
  <c r="U137" i="5" s="1"/>
  <c r="R137" i="5"/>
  <c r="T92" i="5"/>
  <c r="U92" i="5" s="1"/>
  <c r="R92" i="5"/>
  <c r="T126" i="5" l="1"/>
  <c r="U126" i="5" s="1"/>
  <c r="R126" i="5"/>
  <c r="S149" i="5"/>
  <c r="S148" i="5"/>
  <c r="S147" i="5"/>
  <c r="S185" i="5"/>
  <c r="T408" i="5"/>
  <c r="U408" i="5" s="1"/>
  <c r="R408" i="5"/>
  <c r="R155" i="5"/>
  <c r="T155" i="5"/>
  <c r="U155" i="5" s="1"/>
  <c r="R231" i="5"/>
  <c r="T231" i="5"/>
  <c r="U231" i="5" s="1"/>
  <c r="R125" i="5"/>
  <c r="T125" i="5"/>
  <c r="U125" i="5" s="1"/>
  <c r="T345" i="5"/>
  <c r="U345" i="5" s="1"/>
  <c r="R345" i="5"/>
  <c r="T219" i="5"/>
  <c r="U219" i="5" s="1"/>
  <c r="R219" i="5"/>
  <c r="T21" i="5"/>
  <c r="U21" i="5" s="1"/>
  <c r="R21" i="5"/>
  <c r="S360" i="5" l="1"/>
  <c r="R149" i="5"/>
  <c r="T149" i="5"/>
  <c r="U149" i="5" s="1"/>
  <c r="R148" i="5"/>
  <c r="T148" i="5"/>
  <c r="U148" i="5" s="1"/>
  <c r="T147" i="5"/>
  <c r="U147" i="5" s="1"/>
  <c r="R147" i="5"/>
  <c r="R185" i="5"/>
  <c r="T185" i="5"/>
  <c r="U185" i="5" s="1"/>
  <c r="S206" i="5"/>
  <c r="T360" i="5" l="1"/>
  <c r="U360" i="5" s="1"/>
  <c r="R360" i="5"/>
  <c r="T206" i="5"/>
  <c r="U206" i="5" s="1"/>
  <c r="R206" i="5"/>
  <c r="S383" i="5"/>
  <c r="S80" i="5"/>
  <c r="S76" i="5"/>
  <c r="S381" i="5"/>
  <c r="S79" i="5"/>
  <c r="S74" i="5"/>
  <c r="S77" i="5"/>
  <c r="S261" i="5"/>
  <c r="S382" i="5"/>
  <c r="S368" i="5"/>
  <c r="S75" i="5"/>
  <c r="S78" i="5"/>
  <c r="S380" i="5"/>
  <c r="S342" i="5"/>
  <c r="S81" i="5"/>
  <c r="S367" i="5"/>
  <c r="S406" i="5"/>
  <c r="S178" i="5"/>
  <c r="S143" i="5"/>
  <c r="S320" i="5"/>
  <c r="S224" i="5"/>
  <c r="S118" i="5"/>
  <c r="S225" i="5"/>
  <c r="S310" i="5"/>
  <c r="S193" i="5"/>
  <c r="S196" i="5"/>
  <c r="S306" i="5"/>
  <c r="S302" i="5"/>
  <c r="S145" i="5"/>
  <c r="S183" i="5"/>
  <c r="S303" i="5"/>
  <c r="S309" i="5"/>
  <c r="S223" i="5"/>
  <c r="S186" i="5"/>
  <c r="S307" i="5"/>
  <c r="S226" i="5"/>
  <c r="S35" i="5"/>
  <c r="S192" i="5"/>
  <c r="S321" i="5"/>
  <c r="S305" i="5"/>
  <c r="S304" i="5"/>
  <c r="S308" i="5"/>
  <c r="S322" i="5"/>
  <c r="S363" i="5"/>
  <c r="S222" i="5"/>
  <c r="S311" i="5"/>
  <c r="S312" i="5"/>
  <c r="S187" i="5"/>
  <c r="S201" i="5"/>
  <c r="S120" i="5"/>
  <c r="S248" i="5"/>
  <c r="S255" i="5"/>
  <c r="S247" i="5"/>
  <c r="R383" i="5" l="1"/>
  <c r="T383" i="5"/>
  <c r="U383" i="5" s="1"/>
  <c r="T80" i="5"/>
  <c r="U80" i="5" s="1"/>
  <c r="R80" i="5"/>
  <c r="T76" i="5"/>
  <c r="U76" i="5" s="1"/>
  <c r="R76" i="5"/>
  <c r="T381" i="5"/>
  <c r="U381" i="5" s="1"/>
  <c r="R381" i="5"/>
  <c r="T79" i="5"/>
  <c r="U79" i="5" s="1"/>
  <c r="R79" i="5"/>
  <c r="R74" i="5"/>
  <c r="T74" i="5"/>
  <c r="U74" i="5" s="1"/>
  <c r="R77" i="5"/>
  <c r="T77" i="5"/>
  <c r="U77" i="5" s="1"/>
  <c r="R261" i="5"/>
  <c r="T261" i="5"/>
  <c r="U261" i="5" s="1"/>
  <c r="T382" i="5"/>
  <c r="U382" i="5" s="1"/>
  <c r="R382" i="5"/>
  <c r="T368" i="5"/>
  <c r="U368" i="5" s="1"/>
  <c r="R368" i="5"/>
  <c r="T75" i="5"/>
  <c r="U75" i="5" s="1"/>
  <c r="R75" i="5"/>
  <c r="R78" i="5"/>
  <c r="T78" i="5"/>
  <c r="U78" i="5" s="1"/>
  <c r="R380" i="5"/>
  <c r="T380" i="5"/>
  <c r="U380" i="5" s="1"/>
  <c r="R342" i="5"/>
  <c r="T342" i="5"/>
  <c r="U342" i="5" s="1"/>
  <c r="R81" i="5"/>
  <c r="T81" i="5"/>
  <c r="U81" i="5" s="1"/>
  <c r="T367" i="5"/>
  <c r="U367" i="5" s="1"/>
  <c r="R367" i="5"/>
  <c r="R406" i="5"/>
  <c r="T406" i="5"/>
  <c r="U406" i="5" s="1"/>
  <c r="T178" i="5"/>
  <c r="U178" i="5" s="1"/>
  <c r="R178" i="5"/>
  <c r="R143" i="5"/>
  <c r="T143" i="5"/>
  <c r="U143" i="5" s="1"/>
  <c r="S141" i="5"/>
  <c r="S235" i="5"/>
  <c r="S404" i="5"/>
  <c r="S234" i="5"/>
  <c r="S138" i="5"/>
  <c r="S233" i="5"/>
  <c r="R320" i="5"/>
  <c r="T320" i="5"/>
  <c r="U320" i="5" s="1"/>
  <c r="T224" i="5"/>
  <c r="U224" i="5" s="1"/>
  <c r="R224" i="5"/>
  <c r="S144" i="5"/>
  <c r="S245" i="5"/>
  <c r="R118" i="5"/>
  <c r="T118" i="5"/>
  <c r="U118" i="5" s="1"/>
  <c r="S200" i="5"/>
  <c r="S318" i="5"/>
  <c r="R225" i="5"/>
  <c r="T225" i="5"/>
  <c r="U225" i="5" s="1"/>
  <c r="S315" i="5"/>
  <c r="S176" i="5"/>
  <c r="R310" i="5"/>
  <c r="T310" i="5"/>
  <c r="U310" i="5" s="1"/>
  <c r="R193" i="5"/>
  <c r="T193" i="5"/>
  <c r="U193" i="5" s="1"/>
  <c r="S177" i="5"/>
  <c r="S313" i="5"/>
  <c r="S198" i="5"/>
  <c r="S317" i="5"/>
  <c r="T196" i="5"/>
  <c r="U196" i="5" s="1"/>
  <c r="R196" i="5"/>
  <c r="R306" i="5"/>
  <c r="T306" i="5"/>
  <c r="U306" i="5" s="1"/>
  <c r="R302" i="5"/>
  <c r="T302" i="5"/>
  <c r="U302" i="5" s="1"/>
  <c r="T145" i="5"/>
  <c r="U145" i="5" s="1"/>
  <c r="R145" i="5"/>
  <c r="T183" i="5"/>
  <c r="U183" i="5" s="1"/>
  <c r="R183" i="5"/>
  <c r="R303" i="5"/>
  <c r="T303" i="5"/>
  <c r="U303" i="5" s="1"/>
  <c r="R309" i="5"/>
  <c r="T309" i="5"/>
  <c r="U309" i="5" s="1"/>
  <c r="S378" i="5"/>
  <c r="S398" i="5"/>
  <c r="S379" i="5"/>
  <c r="S397" i="5"/>
  <c r="T223" i="5"/>
  <c r="U223" i="5" s="1"/>
  <c r="R223" i="5"/>
  <c r="S314" i="5"/>
  <c r="S175" i="5"/>
  <c r="T186" i="5"/>
  <c r="U186" i="5" s="1"/>
  <c r="R186" i="5"/>
  <c r="T307" i="5"/>
  <c r="U307" i="5" s="1"/>
  <c r="R307" i="5"/>
  <c r="S188" i="5"/>
  <c r="S195" i="5"/>
  <c r="S117" i="5"/>
  <c r="S119" i="5"/>
  <c r="R226" i="5"/>
  <c r="T226" i="5"/>
  <c r="U226" i="5" s="1"/>
  <c r="T35" i="5"/>
  <c r="U35" i="5" s="1"/>
  <c r="R35" i="5"/>
  <c r="T192" i="5"/>
  <c r="U192" i="5" s="1"/>
  <c r="R192" i="5"/>
  <c r="T321" i="5"/>
  <c r="U321" i="5" s="1"/>
  <c r="R321" i="5"/>
  <c r="T305" i="5"/>
  <c r="U305" i="5" s="1"/>
  <c r="R305" i="5"/>
  <c r="R304" i="5"/>
  <c r="T304" i="5"/>
  <c r="U304" i="5" s="1"/>
  <c r="T308" i="5"/>
  <c r="U308" i="5" s="1"/>
  <c r="R308" i="5"/>
  <c r="T322" i="5"/>
  <c r="U322" i="5" s="1"/>
  <c r="R322" i="5"/>
  <c r="R363" i="5"/>
  <c r="T363" i="5"/>
  <c r="U363" i="5" s="1"/>
  <c r="T222" i="5"/>
  <c r="U222" i="5" s="1"/>
  <c r="R222" i="5"/>
  <c r="R311" i="5"/>
  <c r="T311" i="5"/>
  <c r="U311" i="5" s="1"/>
  <c r="S189" i="5"/>
  <c r="S197" i="5"/>
  <c r="R312" i="5"/>
  <c r="T312" i="5"/>
  <c r="U312" i="5" s="1"/>
  <c r="T187" i="5"/>
  <c r="U187" i="5" s="1"/>
  <c r="R187" i="5"/>
  <c r="S173" i="5"/>
  <c r="S174" i="5"/>
  <c r="T201" i="5"/>
  <c r="U201" i="5" s="1"/>
  <c r="R201" i="5"/>
  <c r="S190" i="5"/>
  <c r="S194" i="5"/>
  <c r="S316" i="5"/>
  <c r="S191" i="5"/>
  <c r="S199" i="5"/>
  <c r="S319" i="5"/>
  <c r="T120" i="5"/>
  <c r="U120" i="5" s="1"/>
  <c r="R120" i="5"/>
  <c r="S254" i="5"/>
  <c r="S253" i="5"/>
  <c r="S252" i="5"/>
  <c r="R248" i="5"/>
  <c r="T248" i="5"/>
  <c r="U248" i="5" s="1"/>
  <c r="T255" i="5"/>
  <c r="U255" i="5" s="1"/>
  <c r="R255" i="5"/>
  <c r="T247" i="5"/>
  <c r="U247" i="5" s="1"/>
  <c r="R247" i="5"/>
  <c r="R141" i="5" l="1"/>
  <c r="T141" i="5"/>
  <c r="U141" i="5" s="1"/>
  <c r="R235" i="5"/>
  <c r="T235" i="5"/>
  <c r="U235" i="5" s="1"/>
  <c r="T404" i="5"/>
  <c r="U404" i="5" s="1"/>
  <c r="R404" i="5"/>
  <c r="R234" i="5"/>
  <c r="T234" i="5"/>
  <c r="U234" i="5" s="1"/>
  <c r="R138" i="5"/>
  <c r="T138" i="5"/>
  <c r="U138" i="5" s="1"/>
  <c r="R233" i="5"/>
  <c r="T233" i="5"/>
  <c r="U233" i="5" s="1"/>
  <c r="T144" i="5"/>
  <c r="U144" i="5" s="1"/>
  <c r="R144" i="5"/>
  <c r="R245" i="5"/>
  <c r="T245" i="5"/>
  <c r="U245" i="5" s="1"/>
  <c r="T200" i="5"/>
  <c r="U200" i="5" s="1"/>
  <c r="R200" i="5"/>
  <c r="R318" i="5"/>
  <c r="T318" i="5"/>
  <c r="U318" i="5" s="1"/>
  <c r="R315" i="5"/>
  <c r="T315" i="5"/>
  <c r="U315" i="5" s="1"/>
  <c r="R176" i="5"/>
  <c r="T176" i="5"/>
  <c r="U176" i="5" s="1"/>
  <c r="T177" i="5"/>
  <c r="U177" i="5" s="1"/>
  <c r="R177" i="5"/>
  <c r="R313" i="5"/>
  <c r="T313" i="5"/>
  <c r="U313" i="5" s="1"/>
  <c r="R198" i="5"/>
  <c r="T198" i="5"/>
  <c r="U198" i="5" s="1"/>
  <c r="R317" i="5"/>
  <c r="T317" i="5"/>
  <c r="U317" i="5" s="1"/>
  <c r="R378" i="5"/>
  <c r="T378" i="5"/>
  <c r="U378" i="5" s="1"/>
  <c r="T398" i="5"/>
  <c r="U398" i="5" s="1"/>
  <c r="R398" i="5"/>
  <c r="T379" i="5"/>
  <c r="U379" i="5" s="1"/>
  <c r="R379" i="5"/>
  <c r="R397" i="5"/>
  <c r="T397" i="5"/>
  <c r="U397" i="5" s="1"/>
  <c r="R314" i="5"/>
  <c r="T314" i="5"/>
  <c r="U314" i="5" s="1"/>
  <c r="T175" i="5"/>
  <c r="U175" i="5" s="1"/>
  <c r="R175" i="5"/>
  <c r="T188" i="5"/>
  <c r="U188" i="5" s="1"/>
  <c r="R188" i="5"/>
  <c r="R195" i="5"/>
  <c r="T195" i="5"/>
  <c r="U195" i="5" s="1"/>
  <c r="T117" i="5"/>
  <c r="U117" i="5" s="1"/>
  <c r="R117" i="5"/>
  <c r="T119" i="5"/>
  <c r="U119" i="5" s="1"/>
  <c r="R119" i="5"/>
  <c r="T189" i="5"/>
  <c r="U189" i="5" s="1"/>
  <c r="R189" i="5"/>
  <c r="T197" i="5"/>
  <c r="U197" i="5" s="1"/>
  <c r="R197" i="5"/>
  <c r="R173" i="5"/>
  <c r="T173" i="5"/>
  <c r="U173" i="5" s="1"/>
  <c r="T174" i="5"/>
  <c r="U174" i="5" s="1"/>
  <c r="R174" i="5"/>
  <c r="T190" i="5"/>
  <c r="U190" i="5" s="1"/>
  <c r="R190" i="5"/>
  <c r="T194" i="5"/>
  <c r="U194" i="5" s="1"/>
  <c r="R194" i="5"/>
  <c r="T316" i="5"/>
  <c r="U316" i="5" s="1"/>
  <c r="R316" i="5"/>
  <c r="R191" i="5"/>
  <c r="T191" i="5"/>
  <c r="U191" i="5" s="1"/>
  <c r="R199" i="5"/>
  <c r="T199" i="5"/>
  <c r="U199" i="5" s="1"/>
  <c r="T319" i="5"/>
  <c r="U319" i="5" s="1"/>
  <c r="R319" i="5"/>
  <c r="T254" i="5"/>
  <c r="U254" i="5" s="1"/>
  <c r="R254" i="5"/>
  <c r="T253" i="5"/>
  <c r="U253" i="5" s="1"/>
  <c r="R253" i="5"/>
  <c r="R252" i="5"/>
  <c r="T252" i="5"/>
  <c r="U252" i="5" s="1"/>
  <c r="S250" i="5"/>
  <c r="S251" i="5"/>
  <c r="S150" i="5"/>
  <c r="S91" i="5"/>
  <c r="S128" i="5"/>
  <c r="S211" i="5"/>
  <c r="S127" i="5"/>
  <c r="S249" i="5" l="1"/>
  <c r="R250" i="5"/>
  <c r="T250" i="5"/>
  <c r="U250" i="5" s="1"/>
  <c r="T251" i="5"/>
  <c r="U251" i="5" s="1"/>
  <c r="R251" i="5"/>
  <c r="S258" i="5"/>
  <c r="S257" i="5"/>
  <c r="S256" i="5"/>
  <c r="T150" i="5"/>
  <c r="U150" i="5" s="1"/>
  <c r="R150" i="5"/>
  <c r="T91" i="5"/>
  <c r="U91" i="5" s="1"/>
  <c r="R91" i="5"/>
  <c r="T128" i="5"/>
  <c r="U128" i="5" s="1"/>
  <c r="R128" i="5"/>
  <c r="R211" i="5"/>
  <c r="T211" i="5"/>
  <c r="U211" i="5" s="1"/>
  <c r="T127" i="5"/>
  <c r="U127" i="5" s="1"/>
  <c r="R127" i="5"/>
  <c r="S344" i="5"/>
  <c r="R249" i="5" l="1"/>
  <c r="T249" i="5"/>
  <c r="U249" i="5" s="1"/>
  <c r="T258" i="5"/>
  <c r="U258" i="5" s="1"/>
  <c r="R258" i="5"/>
  <c r="R257" i="5"/>
  <c r="T257" i="5"/>
  <c r="U257" i="5" s="1"/>
  <c r="T256" i="5"/>
  <c r="U256" i="5" s="1"/>
  <c r="R256" i="5"/>
  <c r="R344" i="5"/>
  <c r="T344" i="5"/>
  <c r="U344" i="5" s="1"/>
  <c r="S166" i="5"/>
  <c r="S169" i="5"/>
  <c r="S94" i="5"/>
  <c r="S96" i="5"/>
  <c r="S165" i="5"/>
  <c r="S163" i="5"/>
  <c r="S168" i="5"/>
  <c r="S364" i="5"/>
  <c r="S164" i="5"/>
  <c r="S343" i="5"/>
  <c r="S162" i="5"/>
  <c r="S167" i="5"/>
  <c r="S95" i="5"/>
  <c r="S365" i="5"/>
  <c r="T166" i="5" l="1"/>
  <c r="U166" i="5" s="1"/>
  <c r="R166" i="5"/>
  <c r="T169" i="5"/>
  <c r="U169" i="5" s="1"/>
  <c r="R169" i="5"/>
  <c r="R94" i="5"/>
  <c r="T94" i="5"/>
  <c r="U94" i="5" s="1"/>
  <c r="R96" i="5"/>
  <c r="T96" i="5"/>
  <c r="U96" i="5" s="1"/>
  <c r="T165" i="5"/>
  <c r="U165" i="5" s="1"/>
  <c r="R165" i="5"/>
  <c r="R163" i="5"/>
  <c r="T163" i="5"/>
  <c r="U163" i="5" s="1"/>
  <c r="R168" i="5"/>
  <c r="T168" i="5"/>
  <c r="U168" i="5" s="1"/>
  <c r="T364" i="5"/>
  <c r="U364" i="5" s="1"/>
  <c r="R364" i="5"/>
  <c r="R164" i="5"/>
  <c r="T164" i="5"/>
  <c r="U164" i="5" s="1"/>
  <c r="R343" i="5"/>
  <c r="T343" i="5"/>
  <c r="U343" i="5" s="1"/>
  <c r="T162" i="5"/>
  <c r="U162" i="5" s="1"/>
  <c r="R162" i="5"/>
  <c r="T167" i="5"/>
  <c r="U167" i="5" s="1"/>
  <c r="R167" i="5"/>
  <c r="T95" i="5"/>
  <c r="U95" i="5" s="1"/>
  <c r="R95" i="5"/>
  <c r="T365" i="5"/>
  <c r="U365" i="5" s="1"/>
  <c r="R365" i="5"/>
  <c r="S63" i="5"/>
  <c r="S337" i="5"/>
  <c r="S338" i="5"/>
  <c r="S19" i="5"/>
  <c r="S352" i="5"/>
  <c r="S278" i="5"/>
  <c r="S298" i="5"/>
  <c r="S292" i="5"/>
  <c r="S358" i="5"/>
  <c r="S301" i="5"/>
  <c r="S400" i="5"/>
  <c r="S204" i="5"/>
  <c r="S135" i="5"/>
  <c r="S339" i="5"/>
  <c r="S274" i="5"/>
  <c r="S12" i="5"/>
  <c r="S13" i="5"/>
  <c r="S407" i="5"/>
  <c r="S366" i="5"/>
  <c r="S291" i="5"/>
  <c r="S293" i="5"/>
  <c r="S276" i="5"/>
  <c r="S297" i="5"/>
  <c r="S353" i="5"/>
  <c r="S299" i="5"/>
  <c r="S277" i="5"/>
  <c r="S10" i="5"/>
  <c r="S139" i="5"/>
  <c r="S16" i="5"/>
  <c r="S288" i="5"/>
  <c r="S287" i="5"/>
  <c r="S132" i="5"/>
  <c r="S133" i="5"/>
  <c r="S340" i="5"/>
  <c r="S295" i="5"/>
  <c r="S239" i="5"/>
  <c r="S290" i="5"/>
  <c r="S294" i="5"/>
  <c r="S69" i="5"/>
  <c r="S66" i="5"/>
  <c r="S14" i="5"/>
  <c r="S289" i="5"/>
  <c r="S296" i="5"/>
  <c r="S328" i="5"/>
  <c r="S205" i="5"/>
  <c r="S300" i="5"/>
  <c r="S275" i="5"/>
  <c r="S203" i="5"/>
  <c r="S15" i="5"/>
  <c r="S67" i="5" l="1"/>
  <c r="S58" i="5"/>
  <c r="S32" i="5"/>
  <c r="S103" i="5"/>
  <c r="S105" i="5"/>
  <c r="S98" i="5"/>
  <c r="S38" i="5"/>
  <c r="S111" i="5"/>
  <c r="S106" i="5"/>
  <c r="R63" i="5"/>
  <c r="T63" i="5"/>
  <c r="U63" i="5" s="1"/>
  <c r="S354" i="5"/>
  <c r="S402" i="5"/>
  <c r="R337" i="5"/>
  <c r="T337" i="5"/>
  <c r="U337" i="5" s="1"/>
  <c r="T338" i="5"/>
  <c r="U338" i="5" s="1"/>
  <c r="R338" i="5"/>
  <c r="R19" i="5"/>
  <c r="T19" i="5"/>
  <c r="U19" i="5" s="1"/>
  <c r="S207" i="5"/>
  <c r="S83" i="5"/>
  <c r="S70" i="5"/>
  <c r="S357" i="5"/>
  <c r="T352" i="5"/>
  <c r="U352" i="5" s="1"/>
  <c r="R352" i="5"/>
  <c r="T278" i="5"/>
  <c r="U278" i="5" s="1"/>
  <c r="R278" i="5"/>
  <c r="T298" i="5"/>
  <c r="U298" i="5" s="1"/>
  <c r="R298" i="5"/>
  <c r="S50" i="5"/>
  <c r="S65" i="5"/>
  <c r="S64" i="5"/>
  <c r="S46" i="5"/>
  <c r="T292" i="5"/>
  <c r="U292" i="5" s="1"/>
  <c r="R292" i="5"/>
  <c r="S62" i="5"/>
  <c r="S41" i="5"/>
  <c r="R358" i="5"/>
  <c r="T358" i="5"/>
  <c r="U358" i="5" s="1"/>
  <c r="T301" i="5"/>
  <c r="U301" i="5" s="1"/>
  <c r="R301" i="5"/>
  <c r="T400" i="5"/>
  <c r="U400" i="5" s="1"/>
  <c r="R400" i="5"/>
  <c r="R204" i="5"/>
  <c r="T204" i="5"/>
  <c r="U204" i="5" s="1"/>
  <c r="R135" i="5"/>
  <c r="T135" i="5"/>
  <c r="U135" i="5" s="1"/>
  <c r="T339" i="5"/>
  <c r="U339" i="5" s="1"/>
  <c r="R339" i="5"/>
  <c r="S243" i="5"/>
  <c r="S214" i="5"/>
  <c r="S202" i="5"/>
  <c r="S11" i="5"/>
  <c r="S42" i="5"/>
  <c r="S43" i="5"/>
  <c r="S140" i="5"/>
  <c r="S25" i="5"/>
  <c r="S84" i="5"/>
  <c r="S208" i="5"/>
  <c r="T274" i="5"/>
  <c r="U274" i="5" s="1"/>
  <c r="R274" i="5"/>
  <c r="S9" i="5"/>
  <c r="S36" i="5"/>
  <c r="S221" i="5"/>
  <c r="S227" i="5"/>
  <c r="T12" i="5"/>
  <c r="U12" i="5" s="1"/>
  <c r="R12" i="5"/>
  <c r="T13" i="5"/>
  <c r="U13" i="5" s="1"/>
  <c r="R13" i="5"/>
  <c r="T407" i="5"/>
  <c r="U407" i="5" s="1"/>
  <c r="R407" i="5"/>
  <c r="T366" i="5"/>
  <c r="U366" i="5" s="1"/>
  <c r="R366" i="5"/>
  <c r="S44" i="5"/>
  <c r="S45" i="5"/>
  <c r="R291" i="5"/>
  <c r="T291" i="5"/>
  <c r="U291" i="5" s="1"/>
  <c r="S230" i="5"/>
  <c r="S215" i="5"/>
  <c r="S220" i="5"/>
  <c r="S18" i="5"/>
  <c r="R293" i="5"/>
  <c r="T293" i="5"/>
  <c r="U293" i="5" s="1"/>
  <c r="S262" i="5"/>
  <c r="S87" i="5"/>
  <c r="S86" i="5"/>
  <c r="S88" i="5"/>
  <c r="S355" i="5"/>
  <c r="S403" i="5"/>
  <c r="R276" i="5"/>
  <c r="T276" i="5"/>
  <c r="U276" i="5" s="1"/>
  <c r="S401" i="5"/>
  <c r="S131" i="5"/>
  <c r="R297" i="5"/>
  <c r="T297" i="5"/>
  <c r="U297" i="5" s="1"/>
  <c r="R353" i="5"/>
  <c r="T353" i="5"/>
  <c r="U353" i="5" s="1"/>
  <c r="T299" i="5"/>
  <c r="U299" i="5" s="1"/>
  <c r="R299" i="5"/>
  <c r="S55" i="5"/>
  <c r="S56" i="5"/>
  <c r="R277" i="5"/>
  <c r="T277" i="5"/>
  <c r="U277" i="5" s="1"/>
  <c r="R10" i="5"/>
  <c r="T10" i="5"/>
  <c r="U10" i="5" s="1"/>
  <c r="S17" i="5"/>
  <c r="S24" i="5"/>
  <c r="S171" i="5"/>
  <c r="S112" i="5"/>
  <c r="S52" i="5"/>
  <c r="S51" i="5"/>
  <c r="R139" i="5"/>
  <c r="T139" i="5"/>
  <c r="U139" i="5" s="1"/>
  <c r="S40" i="5"/>
  <c r="S121" i="5"/>
  <c r="S346" i="5"/>
  <c r="S27" i="5"/>
  <c r="R16" i="5"/>
  <c r="T16" i="5"/>
  <c r="U16" i="5" s="1"/>
  <c r="S22" i="5"/>
  <c r="S179" i="5"/>
  <c r="T288" i="5"/>
  <c r="U288" i="5" s="1"/>
  <c r="R288" i="5"/>
  <c r="S89" i="5"/>
  <c r="S85" i="5"/>
  <c r="S244" i="5"/>
  <c r="S229" i="5"/>
  <c r="S216" i="5"/>
  <c r="S20" i="5"/>
  <c r="S260" i="5"/>
  <c r="S356" i="5"/>
  <c r="T287" i="5"/>
  <c r="U287" i="5" s="1"/>
  <c r="R287" i="5"/>
  <c r="S209" i="5"/>
  <c r="S82" i="5"/>
  <c r="T132" i="5"/>
  <c r="U132" i="5" s="1"/>
  <c r="R132" i="5"/>
  <c r="T133" i="5"/>
  <c r="U133" i="5" s="1"/>
  <c r="R133" i="5"/>
  <c r="T340" i="5"/>
  <c r="U340" i="5" s="1"/>
  <c r="R340" i="5"/>
  <c r="S114" i="5"/>
  <c r="S99" i="5"/>
  <c r="S347" i="5"/>
  <c r="S241" i="5"/>
  <c r="S109" i="5"/>
  <c r="S349" i="5"/>
  <c r="S387" i="5"/>
  <c r="S110" i="5"/>
  <c r="T295" i="5"/>
  <c r="U295" i="5" s="1"/>
  <c r="R295" i="5"/>
  <c r="T239" i="5"/>
  <c r="U239" i="5" s="1"/>
  <c r="R239" i="5"/>
  <c r="R290" i="5"/>
  <c r="T290" i="5"/>
  <c r="U290" i="5" s="1"/>
  <c r="R294" i="5"/>
  <c r="T294" i="5"/>
  <c r="U294" i="5" s="1"/>
  <c r="S108" i="5"/>
  <c r="S5" i="5"/>
  <c r="S218" i="5"/>
  <c r="S115" i="5"/>
  <c r="S97" i="5"/>
  <c r="S107" i="5"/>
  <c r="T69" i="5"/>
  <c r="U69" i="5" s="1"/>
  <c r="R69" i="5"/>
  <c r="T66" i="5"/>
  <c r="U66" i="5" s="1"/>
  <c r="R66" i="5"/>
  <c r="S212" i="5"/>
  <c r="S172" i="5"/>
  <c r="S217" i="5"/>
  <c r="S170" i="5"/>
  <c r="S113" i="5"/>
  <c r="S57" i="5"/>
  <c r="S377" i="5"/>
  <c r="S49" i="5"/>
  <c r="S48" i="5"/>
  <c r="R14" i="5"/>
  <c r="T14" i="5"/>
  <c r="U14" i="5" s="1"/>
  <c r="R289" i="5"/>
  <c r="T289" i="5"/>
  <c r="U289" i="5" s="1"/>
  <c r="T296" i="5"/>
  <c r="U296" i="5" s="1"/>
  <c r="R296" i="5"/>
  <c r="R328" i="5"/>
  <c r="T328" i="5"/>
  <c r="U328" i="5" s="1"/>
  <c r="T205" i="5"/>
  <c r="U205" i="5" s="1"/>
  <c r="R205" i="5"/>
  <c r="R300" i="5"/>
  <c r="T300" i="5"/>
  <c r="U300" i="5" s="1"/>
  <c r="T275" i="5"/>
  <c r="U275" i="5" s="1"/>
  <c r="R275" i="5"/>
  <c r="T203" i="5"/>
  <c r="U203" i="5" s="1"/>
  <c r="R203" i="5"/>
  <c r="S53" i="5"/>
  <c r="S54" i="5"/>
  <c r="S47" i="5"/>
  <c r="S376" i="5"/>
  <c r="S7" i="5"/>
  <c r="S26" i="5"/>
  <c r="S122" i="5"/>
  <c r="S104" i="5"/>
  <c r="R15" i="5"/>
  <c r="T15" i="5"/>
  <c r="U15" i="5" s="1"/>
  <c r="S242" i="5"/>
  <c r="S228" i="5"/>
  <c r="S8" i="5"/>
  <c r="S213" i="5"/>
  <c r="S156" i="5"/>
  <c r="T67" i="5" l="1"/>
  <c r="U67" i="5" s="1"/>
  <c r="R67" i="5"/>
  <c r="R58" i="5"/>
  <c r="T58" i="5"/>
  <c r="U58" i="5" s="1"/>
  <c r="T32" i="5"/>
  <c r="U32" i="5" s="1"/>
  <c r="R32" i="5"/>
  <c r="R103" i="5"/>
  <c r="T103" i="5"/>
  <c r="U103" i="5" s="1"/>
  <c r="T105" i="5"/>
  <c r="U105" i="5" s="1"/>
  <c r="R105" i="5"/>
  <c r="R98" i="5"/>
  <c r="T98" i="5"/>
  <c r="U98" i="5" s="1"/>
  <c r="R38" i="5"/>
  <c r="T38" i="5"/>
  <c r="U38" i="5" s="1"/>
  <c r="R111" i="5"/>
  <c r="T111" i="5"/>
  <c r="U111" i="5" s="1"/>
  <c r="T106" i="5"/>
  <c r="U106" i="5" s="1"/>
  <c r="R106" i="5"/>
  <c r="T354" i="5"/>
  <c r="U354" i="5" s="1"/>
  <c r="R354" i="5"/>
  <c r="R402" i="5"/>
  <c r="T402" i="5"/>
  <c r="U402" i="5" s="1"/>
  <c r="T207" i="5"/>
  <c r="U207" i="5" s="1"/>
  <c r="R207" i="5"/>
  <c r="R83" i="5"/>
  <c r="T83" i="5"/>
  <c r="U83" i="5" s="1"/>
  <c r="T70" i="5"/>
  <c r="U70" i="5" s="1"/>
  <c r="R70" i="5"/>
  <c r="R357" i="5"/>
  <c r="T357" i="5"/>
  <c r="U357" i="5" s="1"/>
  <c r="T50" i="5"/>
  <c r="U50" i="5" s="1"/>
  <c r="R50" i="5"/>
  <c r="T65" i="5"/>
  <c r="U65" i="5" s="1"/>
  <c r="R65" i="5"/>
  <c r="T64" i="5"/>
  <c r="U64" i="5" s="1"/>
  <c r="R64" i="5"/>
  <c r="T46" i="5"/>
  <c r="U46" i="5" s="1"/>
  <c r="R46" i="5"/>
  <c r="T62" i="5"/>
  <c r="U62" i="5" s="1"/>
  <c r="R62" i="5"/>
  <c r="T41" i="5"/>
  <c r="U41" i="5" s="1"/>
  <c r="R41" i="5"/>
  <c r="R243" i="5"/>
  <c r="T243" i="5"/>
  <c r="U243" i="5" s="1"/>
  <c r="T214" i="5"/>
  <c r="U214" i="5" s="1"/>
  <c r="R214" i="5"/>
  <c r="R202" i="5"/>
  <c r="T202" i="5"/>
  <c r="U202" i="5" s="1"/>
  <c r="R11" i="5"/>
  <c r="T11" i="5"/>
  <c r="U11" i="5" s="1"/>
  <c r="T42" i="5"/>
  <c r="U42" i="5" s="1"/>
  <c r="R42" i="5"/>
  <c r="R43" i="5"/>
  <c r="T43" i="5"/>
  <c r="U43" i="5" s="1"/>
  <c r="T140" i="5"/>
  <c r="U140" i="5" s="1"/>
  <c r="R140" i="5"/>
  <c r="R25" i="5"/>
  <c r="T25" i="5"/>
  <c r="U25" i="5" s="1"/>
  <c r="R84" i="5"/>
  <c r="T84" i="5"/>
  <c r="U84" i="5" s="1"/>
  <c r="T208" i="5"/>
  <c r="U208" i="5" s="1"/>
  <c r="R208" i="5"/>
  <c r="R9" i="5"/>
  <c r="T9" i="5"/>
  <c r="U9" i="5" s="1"/>
  <c r="T36" i="5"/>
  <c r="U36" i="5" s="1"/>
  <c r="R36" i="5"/>
  <c r="T221" i="5"/>
  <c r="U221" i="5" s="1"/>
  <c r="R221" i="5"/>
  <c r="T227" i="5"/>
  <c r="U227" i="5" s="1"/>
  <c r="R227" i="5"/>
  <c r="T44" i="5"/>
  <c r="U44" i="5" s="1"/>
  <c r="R44" i="5"/>
  <c r="R45" i="5"/>
  <c r="T45" i="5"/>
  <c r="U45" i="5" s="1"/>
  <c r="T230" i="5"/>
  <c r="U230" i="5" s="1"/>
  <c r="R230" i="5"/>
  <c r="T215" i="5"/>
  <c r="U215" i="5" s="1"/>
  <c r="R215" i="5"/>
  <c r="T220" i="5"/>
  <c r="U220" i="5" s="1"/>
  <c r="R220" i="5"/>
  <c r="R18" i="5"/>
  <c r="T18" i="5"/>
  <c r="U18" i="5" s="1"/>
  <c r="T262" i="5"/>
  <c r="U262" i="5" s="1"/>
  <c r="R262" i="5"/>
  <c r="T87" i="5"/>
  <c r="U87" i="5" s="1"/>
  <c r="R87" i="5"/>
  <c r="T86" i="5"/>
  <c r="U86" i="5" s="1"/>
  <c r="R86" i="5"/>
  <c r="T88" i="5"/>
  <c r="U88" i="5" s="1"/>
  <c r="R88" i="5"/>
  <c r="R355" i="5"/>
  <c r="T355" i="5"/>
  <c r="U355" i="5" s="1"/>
  <c r="R403" i="5"/>
  <c r="T403" i="5"/>
  <c r="U403" i="5" s="1"/>
  <c r="R401" i="5"/>
  <c r="T401" i="5"/>
  <c r="U401" i="5" s="1"/>
  <c r="T131" i="5"/>
  <c r="U131" i="5" s="1"/>
  <c r="R131" i="5"/>
  <c r="R55" i="5"/>
  <c r="T55" i="5"/>
  <c r="U55" i="5" s="1"/>
  <c r="R56" i="5"/>
  <c r="T56" i="5"/>
  <c r="U56" i="5" s="1"/>
  <c r="T17" i="5"/>
  <c r="U17" i="5" s="1"/>
  <c r="R17" i="5"/>
  <c r="R24" i="5"/>
  <c r="T24" i="5"/>
  <c r="U24" i="5" s="1"/>
  <c r="T171" i="5"/>
  <c r="U171" i="5" s="1"/>
  <c r="R171" i="5"/>
  <c r="R112" i="5"/>
  <c r="T112" i="5"/>
  <c r="U112" i="5" s="1"/>
  <c r="T52" i="5"/>
  <c r="U52" i="5" s="1"/>
  <c r="R52" i="5"/>
  <c r="T51" i="5"/>
  <c r="U51" i="5" s="1"/>
  <c r="R51" i="5"/>
  <c r="T40" i="5"/>
  <c r="U40" i="5" s="1"/>
  <c r="R40" i="5"/>
  <c r="T121" i="5"/>
  <c r="U121" i="5" s="1"/>
  <c r="R121" i="5"/>
  <c r="R346" i="5"/>
  <c r="T346" i="5"/>
  <c r="U346" i="5" s="1"/>
  <c r="R27" i="5"/>
  <c r="T27" i="5"/>
  <c r="U27" i="5" s="1"/>
  <c r="R22" i="5"/>
  <c r="T22" i="5"/>
  <c r="U22" i="5" s="1"/>
  <c r="T179" i="5"/>
  <c r="U179" i="5" s="1"/>
  <c r="R179" i="5"/>
  <c r="R89" i="5"/>
  <c r="T89" i="5"/>
  <c r="U89" i="5" s="1"/>
  <c r="T85" i="5"/>
  <c r="U85" i="5" s="1"/>
  <c r="R85" i="5"/>
  <c r="R244" i="5"/>
  <c r="T244" i="5"/>
  <c r="U244" i="5" s="1"/>
  <c r="T229" i="5"/>
  <c r="U229" i="5" s="1"/>
  <c r="R229" i="5"/>
  <c r="T216" i="5"/>
  <c r="U216" i="5" s="1"/>
  <c r="R216" i="5"/>
  <c r="T20" i="5"/>
  <c r="U20" i="5" s="1"/>
  <c r="R20" i="5"/>
  <c r="T260" i="5"/>
  <c r="U260" i="5" s="1"/>
  <c r="R260" i="5"/>
  <c r="R356" i="5"/>
  <c r="T356" i="5"/>
  <c r="U356" i="5" s="1"/>
  <c r="T209" i="5"/>
  <c r="U209" i="5" s="1"/>
  <c r="R209" i="5"/>
  <c r="T82" i="5"/>
  <c r="U82" i="5" s="1"/>
  <c r="R82" i="5"/>
  <c r="T114" i="5"/>
  <c r="U114" i="5" s="1"/>
  <c r="R114" i="5"/>
  <c r="R99" i="5"/>
  <c r="T99" i="5"/>
  <c r="U99" i="5" s="1"/>
  <c r="T347" i="5"/>
  <c r="U347" i="5" s="1"/>
  <c r="R347" i="5"/>
  <c r="R241" i="5"/>
  <c r="T241" i="5"/>
  <c r="U241" i="5" s="1"/>
  <c r="R109" i="5"/>
  <c r="T109" i="5"/>
  <c r="U109" i="5" s="1"/>
  <c r="T349" i="5"/>
  <c r="U349" i="5" s="1"/>
  <c r="R349" i="5"/>
  <c r="T387" i="5"/>
  <c r="U387" i="5" s="1"/>
  <c r="R387" i="5"/>
  <c r="T110" i="5"/>
  <c r="U110" i="5" s="1"/>
  <c r="R110" i="5"/>
  <c r="T108" i="5"/>
  <c r="U108" i="5" s="1"/>
  <c r="R108" i="5"/>
  <c r="T5" i="5"/>
  <c r="U5" i="5" s="1"/>
  <c r="R5" i="5"/>
  <c r="R218" i="5"/>
  <c r="T218" i="5"/>
  <c r="U218" i="5" s="1"/>
  <c r="R115" i="5"/>
  <c r="T115" i="5"/>
  <c r="U115" i="5" s="1"/>
  <c r="R97" i="5"/>
  <c r="T97" i="5"/>
  <c r="U97" i="5" s="1"/>
  <c r="R107" i="5"/>
  <c r="T107" i="5"/>
  <c r="U107" i="5" s="1"/>
  <c r="R212" i="5"/>
  <c r="T212" i="5"/>
  <c r="U212" i="5" s="1"/>
  <c r="R172" i="5"/>
  <c r="T172" i="5"/>
  <c r="U172" i="5" s="1"/>
  <c r="T217" i="5"/>
  <c r="U217" i="5" s="1"/>
  <c r="R217" i="5"/>
  <c r="R170" i="5"/>
  <c r="T170" i="5"/>
  <c r="U170" i="5" s="1"/>
  <c r="R113" i="5"/>
  <c r="T113" i="5"/>
  <c r="U113" i="5" s="1"/>
  <c r="R57" i="5"/>
  <c r="T57" i="5"/>
  <c r="U57" i="5" s="1"/>
  <c r="R377" i="5"/>
  <c r="T377" i="5"/>
  <c r="U377" i="5" s="1"/>
  <c r="R49" i="5"/>
  <c r="T49" i="5"/>
  <c r="U49" i="5" s="1"/>
  <c r="T48" i="5"/>
  <c r="U48" i="5" s="1"/>
  <c r="R48" i="5"/>
  <c r="R53" i="5"/>
  <c r="T53" i="5"/>
  <c r="U53" i="5" s="1"/>
  <c r="T54" i="5"/>
  <c r="U54" i="5" s="1"/>
  <c r="R54" i="5"/>
  <c r="R47" i="5"/>
  <c r="T47" i="5"/>
  <c r="U47" i="5" s="1"/>
  <c r="R376" i="5"/>
  <c r="T376" i="5"/>
  <c r="U376" i="5" s="1"/>
  <c r="R7" i="5"/>
  <c r="T7" i="5"/>
  <c r="U7" i="5" s="1"/>
  <c r="T26" i="5"/>
  <c r="U26" i="5" s="1"/>
  <c r="R26" i="5"/>
  <c r="R122" i="5"/>
  <c r="T122" i="5"/>
  <c r="U122" i="5" s="1"/>
  <c r="T104" i="5"/>
  <c r="U104" i="5" s="1"/>
  <c r="R104" i="5"/>
  <c r="T242" i="5"/>
  <c r="U242" i="5" s="1"/>
  <c r="R242" i="5"/>
  <c r="T228" i="5"/>
  <c r="U228" i="5" s="1"/>
  <c r="R228" i="5"/>
  <c r="R8" i="5"/>
  <c r="T8" i="5"/>
  <c r="U8" i="5" s="1"/>
  <c r="R213" i="5"/>
  <c r="T213" i="5"/>
  <c r="U213" i="5" s="1"/>
  <c r="R156" i="5"/>
  <c r="T156" i="5"/>
  <c r="U156" i="5" s="1"/>
  <c r="S101" i="5"/>
  <c r="S102" i="5"/>
  <c r="S158" i="5"/>
  <c r="S282" i="5"/>
  <c r="S385" i="5"/>
  <c r="S285" i="5"/>
  <c r="S157" i="5"/>
  <c r="S72" i="5"/>
  <c r="S284" i="5"/>
  <c r="S160" i="5"/>
  <c r="S236" i="5"/>
  <c r="S159" i="5"/>
  <c r="S283" i="5"/>
  <c r="S280" i="5"/>
  <c r="S73" i="5"/>
  <c r="S384" i="5"/>
  <c r="S71" i="5"/>
  <c r="S281" i="5"/>
  <c r="S341" i="5"/>
  <c r="S154" i="5"/>
  <c r="S181" i="5"/>
  <c r="S182" i="5"/>
  <c r="S161" i="5"/>
  <c r="S279" i="5"/>
  <c r="S286" i="5"/>
  <c r="K283" i="5" l="1"/>
  <c r="L417" i="5"/>
  <c r="M417" i="5" s="1"/>
  <c r="K109" i="5"/>
  <c r="K241" i="5"/>
  <c r="K295" i="5"/>
  <c r="K348" i="5"/>
  <c r="K49" i="5"/>
  <c r="K218" i="5"/>
  <c r="L29" i="5"/>
  <c r="K228" i="5"/>
  <c r="L235" i="5"/>
  <c r="M235" i="5" s="1"/>
  <c r="L11" i="5"/>
  <c r="M11" i="5" s="1"/>
  <c r="L331" i="5"/>
  <c r="L89" i="5"/>
  <c r="M89" i="5" s="1"/>
  <c r="L264" i="5"/>
  <c r="L48" i="5"/>
  <c r="M48" i="5" s="1"/>
  <c r="K121" i="5"/>
  <c r="L106" i="5"/>
  <c r="M106" i="5" s="1"/>
  <c r="L98" i="5"/>
  <c r="M98" i="5" s="1"/>
  <c r="K357" i="5"/>
  <c r="L167" i="5"/>
  <c r="M167" i="5" s="1"/>
  <c r="L128" i="5"/>
  <c r="M128" i="5" s="1"/>
  <c r="K188" i="5"/>
  <c r="L265" i="5"/>
  <c r="K404" i="5"/>
  <c r="L421" i="5"/>
  <c r="M421" i="5" s="1"/>
  <c r="L309" i="5"/>
  <c r="M309" i="5" s="1"/>
  <c r="L209" i="5"/>
  <c r="M209" i="5" s="1"/>
  <c r="L236" i="5"/>
  <c r="M236" i="5" s="1"/>
  <c r="L351" i="5"/>
  <c r="L176" i="5"/>
  <c r="M176" i="5" s="1"/>
  <c r="K381" i="5"/>
  <c r="L137" i="5"/>
  <c r="M137" i="5" s="1"/>
  <c r="L206" i="5"/>
  <c r="M206" i="5" s="1"/>
  <c r="L196" i="5"/>
  <c r="M196" i="5" s="1"/>
  <c r="L393" i="5"/>
  <c r="K341" i="5"/>
  <c r="K71" i="5"/>
  <c r="L170" i="5"/>
  <c r="M170" i="5" s="1"/>
  <c r="L301" i="5"/>
  <c r="M301" i="5" s="1"/>
  <c r="L36" i="5"/>
  <c r="M36" i="5" s="1"/>
  <c r="K199" i="5"/>
  <c r="L174" i="5"/>
  <c r="M174" i="5" s="1"/>
  <c r="L37" i="5"/>
  <c r="L93" i="5"/>
  <c r="M93" i="5" s="1"/>
  <c r="L250" i="5"/>
  <c r="M250" i="5" s="1"/>
  <c r="K423" i="5"/>
  <c r="K57" i="5"/>
  <c r="L377" i="5"/>
  <c r="M377" i="5" s="1"/>
  <c r="K304" i="5"/>
  <c r="L298" i="5"/>
  <c r="M298" i="5" s="1"/>
  <c r="L273" i="5"/>
  <c r="K95" i="5"/>
  <c r="K217" i="5"/>
  <c r="K328" i="5"/>
  <c r="L355" i="5"/>
  <c r="M355" i="5" s="1"/>
  <c r="K79" i="5"/>
  <c r="K403" i="5"/>
  <c r="K181" i="5"/>
  <c r="L13" i="5"/>
  <c r="M13" i="5" s="1"/>
  <c r="L275" i="5"/>
  <c r="M275" i="5" s="1"/>
  <c r="L139" i="5"/>
  <c r="M139" i="5" s="1"/>
  <c r="K365" i="5"/>
  <c r="K254" i="5"/>
  <c r="L6" i="5"/>
  <c r="M6" i="5" s="1"/>
  <c r="L339" i="5"/>
  <c r="M339" i="5" s="1"/>
  <c r="L171" i="5"/>
  <c r="M171" i="5" s="1"/>
  <c r="K162" i="5"/>
  <c r="K246" i="5"/>
  <c r="K163" i="5"/>
  <c r="K262" i="5"/>
  <c r="K240" i="5"/>
  <c r="L423" i="5"/>
  <c r="M423" i="5" s="1"/>
  <c r="K175" i="5"/>
  <c r="K32" i="5"/>
  <c r="K310" i="5"/>
  <c r="L252" i="5"/>
  <c r="M252" i="5" s="1"/>
  <c r="K42" i="5"/>
  <c r="L349" i="5"/>
  <c r="M349" i="5" s="1"/>
  <c r="K371" i="5"/>
  <c r="K324" i="5"/>
  <c r="L291" i="5"/>
  <c r="M291" i="5" s="1"/>
  <c r="L90" i="5"/>
  <c r="K426" i="5"/>
  <c r="L199" i="5"/>
  <c r="M199" i="5" s="1"/>
  <c r="K392" i="5"/>
  <c r="L370" i="5"/>
  <c r="L214" i="5"/>
  <c r="M214" i="5" s="1"/>
  <c r="L292" i="5"/>
  <c r="M292" i="5" s="1"/>
  <c r="L379" i="5"/>
  <c r="M379" i="5" s="1"/>
  <c r="K258" i="5"/>
  <c r="K222" i="5"/>
  <c r="K390" i="5"/>
  <c r="K349" i="5"/>
  <c r="K197" i="5"/>
  <c r="K153" i="5"/>
  <c r="L425" i="5"/>
  <c r="M425" i="5" s="1"/>
  <c r="K53" i="5"/>
  <c r="K157" i="5"/>
  <c r="L157" i="5"/>
  <c r="M157" i="5" s="1"/>
  <c r="K339" i="5"/>
  <c r="K417" i="5"/>
  <c r="K306" i="5"/>
  <c r="L409" i="5"/>
  <c r="M409" i="5" s="1"/>
  <c r="K88" i="5"/>
  <c r="L127" i="5"/>
  <c r="M127" i="5" s="1"/>
  <c r="K60" i="5"/>
  <c r="K151" i="5"/>
  <c r="L285" i="5"/>
  <c r="M285" i="5" s="1"/>
  <c r="K128" i="5"/>
  <c r="L315" i="5"/>
  <c r="M315" i="5" s="1"/>
  <c r="L260" i="5"/>
  <c r="M260" i="5" s="1"/>
  <c r="L418" i="5"/>
  <c r="M418" i="5" s="1"/>
  <c r="L141" i="5"/>
  <c r="M141" i="5" s="1"/>
  <c r="K178" i="5"/>
  <c r="K308" i="5"/>
  <c r="K234" i="5"/>
  <c r="L247" i="5"/>
  <c r="M247" i="5" s="1"/>
  <c r="K67" i="5"/>
  <c r="L129" i="5"/>
  <c r="M129" i="5" s="1"/>
  <c r="K177" i="5"/>
  <c r="L38" i="5"/>
  <c r="M38" i="5" s="1"/>
  <c r="K56" i="5"/>
  <c r="L125" i="5"/>
  <c r="M125" i="5" s="1"/>
  <c r="K110" i="5"/>
  <c r="K92" i="5"/>
  <c r="K368" i="5"/>
  <c r="K411" i="5"/>
  <c r="L223" i="5"/>
  <c r="M223" i="5" s="1"/>
  <c r="K5" i="5"/>
  <c r="L183" i="5"/>
  <c r="M183" i="5" s="1"/>
  <c r="L254" i="5"/>
  <c r="M254" i="5" s="1"/>
  <c r="L378" i="5"/>
  <c r="M378" i="5" s="1"/>
  <c r="K343" i="5"/>
  <c r="L191" i="5"/>
  <c r="M191" i="5" s="1"/>
  <c r="K70" i="5"/>
  <c r="L105" i="5"/>
  <c r="M105" i="5" s="1"/>
  <c r="L152" i="5"/>
  <c r="M152" i="5" s="1"/>
  <c r="K280" i="5"/>
  <c r="L12" i="5"/>
  <c r="M12" i="5" s="1"/>
  <c r="L234" i="5"/>
  <c r="M234" i="5" s="1"/>
  <c r="L387" i="5"/>
  <c r="M387" i="5" s="1"/>
  <c r="L316" i="5"/>
  <c r="M316" i="5" s="1"/>
  <c r="L111" i="5"/>
  <c r="M111" i="5" s="1"/>
  <c r="L262" i="5"/>
  <c r="M262" i="5" s="1"/>
  <c r="L312" i="5"/>
  <c r="M312" i="5" s="1"/>
  <c r="K62" i="5"/>
  <c r="L399" i="5"/>
  <c r="L73" i="5"/>
  <c r="M73" i="5" s="1"/>
  <c r="K405" i="5"/>
  <c r="K230" i="5"/>
  <c r="L335" i="5"/>
  <c r="L305" i="5"/>
  <c r="M305" i="5" s="1"/>
  <c r="K85" i="5"/>
  <c r="L159" i="5"/>
  <c r="M159" i="5" s="1"/>
  <c r="K415" i="5"/>
  <c r="K131" i="5"/>
  <c r="K278" i="5"/>
  <c r="K242" i="5"/>
  <c r="L294" i="5"/>
  <c r="M294" i="5" s="1"/>
  <c r="L50" i="5"/>
  <c r="M50" i="5" s="1"/>
  <c r="L299" i="5"/>
  <c r="M299" i="5" s="1"/>
  <c r="K395" i="5"/>
  <c r="K253" i="5"/>
  <c r="K61" i="5"/>
  <c r="K52" i="5"/>
  <c r="K300" i="5"/>
  <c r="K84" i="5"/>
  <c r="K387" i="5"/>
  <c r="K330" i="5"/>
  <c r="L348" i="5"/>
  <c r="L156" i="5"/>
  <c r="M156" i="5" s="1"/>
  <c r="K327" i="5"/>
  <c r="L314" i="5"/>
  <c r="M314" i="5" s="1"/>
  <c r="L126" i="5"/>
  <c r="M126" i="5" s="1"/>
  <c r="K76" i="5"/>
  <c r="K274" i="5"/>
  <c r="K28" i="5"/>
  <c r="L119" i="5"/>
  <c r="M119" i="5" s="1"/>
  <c r="L116" i="5"/>
  <c r="L184" i="5"/>
  <c r="K91" i="5"/>
  <c r="L345" i="5"/>
  <c r="M345" i="5" s="1"/>
  <c r="K408" i="5"/>
  <c r="K117" i="5"/>
  <c r="K74" i="5"/>
  <c r="K259" i="5"/>
  <c r="K201" i="5"/>
  <c r="L82" i="5"/>
  <c r="M82" i="5" s="1"/>
  <c r="L142" i="5"/>
  <c r="L123" i="5"/>
  <c r="L175" i="5"/>
  <c r="M175" i="5" s="1"/>
  <c r="K302" i="5"/>
  <c r="L413" i="5"/>
  <c r="M413" i="5" s="1"/>
  <c r="K115" i="5"/>
  <c r="K14" i="5"/>
  <c r="L47" i="5"/>
  <c r="M47" i="5" s="1"/>
  <c r="L75" i="5"/>
  <c r="M75" i="5" s="1"/>
  <c r="K374" i="5"/>
  <c r="K334" i="5"/>
  <c r="K208" i="5"/>
  <c r="K138" i="5"/>
  <c r="K425" i="5"/>
  <c r="K281" i="5"/>
  <c r="L19" i="5"/>
  <c r="M19" i="5" s="1"/>
  <c r="K298" i="5"/>
  <c r="L279" i="5"/>
  <c r="M279" i="5" s="1"/>
  <c r="L338" i="5"/>
  <c r="M338" i="5" s="1"/>
  <c r="L406" i="5"/>
  <c r="M406" i="5" s="1"/>
  <c r="K48" i="5"/>
  <c r="K355" i="5"/>
  <c r="L231" i="5"/>
  <c r="M231" i="5" s="1"/>
  <c r="L72" i="5"/>
  <c r="M72" i="5" s="1"/>
  <c r="K367" i="5"/>
  <c r="L297" i="5"/>
  <c r="M297" i="5" s="1"/>
  <c r="L288" i="5"/>
  <c r="M288" i="5" s="1"/>
  <c r="L340" i="5"/>
  <c r="M340" i="5" s="1"/>
  <c r="L365" i="5"/>
  <c r="M365" i="5" s="1"/>
  <c r="K24" i="5"/>
  <c r="K267" i="5"/>
  <c r="K400" i="5"/>
  <c r="L25" i="5"/>
  <c r="M25" i="5" s="1"/>
  <c r="L336" i="5"/>
  <c r="K73" i="5"/>
  <c r="L368" i="5"/>
  <c r="M368" i="5" s="1"/>
  <c r="K332" i="5"/>
  <c r="L194" i="5"/>
  <c r="M194" i="5" s="1"/>
  <c r="K72" i="5"/>
  <c r="K86" i="5"/>
  <c r="K10" i="5"/>
  <c r="K363" i="5"/>
  <c r="L173" i="5"/>
  <c r="M173" i="5" s="1"/>
  <c r="L130" i="5"/>
  <c r="M130" i="5" s="1"/>
  <c r="K171" i="5"/>
  <c r="L92" i="5"/>
  <c r="M92" i="5" s="1"/>
  <c r="K89" i="5"/>
  <c r="K247" i="5"/>
  <c r="L71" i="5"/>
  <c r="M71" i="5" s="1"/>
  <c r="L402" i="5"/>
  <c r="M402" i="5" s="1"/>
  <c r="K195" i="5"/>
  <c r="K345" i="5"/>
  <c r="K6" i="5"/>
  <c r="L374" i="5"/>
  <c r="K190" i="5"/>
  <c r="K386" i="5"/>
  <c r="K361" i="5"/>
  <c r="L415" i="5"/>
  <c r="M415" i="5" s="1"/>
  <c r="K364" i="5"/>
  <c r="K290" i="5"/>
  <c r="L383" i="5"/>
  <c r="M383" i="5" s="1"/>
  <c r="K379" i="5"/>
  <c r="L229" i="5"/>
  <c r="M229" i="5" s="1"/>
  <c r="L200" i="5"/>
  <c r="M200" i="5" s="1"/>
  <c r="L7" i="5"/>
  <c r="M7" i="5" s="1"/>
  <c r="L178" i="5"/>
  <c r="M178" i="5" s="1"/>
  <c r="K229" i="5"/>
  <c r="K273" i="5"/>
  <c r="K75" i="5"/>
  <c r="K419" i="5"/>
  <c r="L242" i="5"/>
  <c r="M242" i="5" s="1"/>
  <c r="L300" i="5"/>
  <c r="M300" i="5" s="1"/>
  <c r="K189" i="5"/>
  <c r="L401" i="5"/>
  <c r="M401" i="5" s="1"/>
  <c r="L23" i="5"/>
  <c r="M23" i="5" s="1"/>
  <c r="L230" i="5"/>
  <c r="M230" i="5" s="1"/>
  <c r="K226" i="5"/>
  <c r="K170" i="5"/>
  <c r="K126" i="5"/>
  <c r="L367" i="5"/>
  <c r="M367" i="5" s="1"/>
  <c r="L18" i="5"/>
  <c r="M18" i="5" s="1"/>
  <c r="L155" i="5"/>
  <c r="M155" i="5" s="1"/>
  <c r="K323" i="5"/>
  <c r="K380" i="5"/>
  <c r="K406" i="5"/>
  <c r="L180" i="5"/>
  <c r="L263" i="5"/>
  <c r="K360" i="5"/>
  <c r="K45" i="5"/>
  <c r="K350" i="5"/>
  <c r="K51" i="5"/>
  <c r="K333" i="5"/>
  <c r="L160" i="5"/>
  <c r="M160" i="5" s="1"/>
  <c r="L151" i="5"/>
  <c r="M151" i="5" s="1"/>
  <c r="L278" i="5"/>
  <c r="M278" i="5" s="1"/>
  <c r="L248" i="5"/>
  <c r="M248" i="5" s="1"/>
  <c r="K104" i="5"/>
  <c r="L97" i="5"/>
  <c r="M97" i="5" s="1"/>
  <c r="K256" i="5"/>
  <c r="K284" i="5"/>
  <c r="K244" i="5"/>
  <c r="L354" i="5"/>
  <c r="M354" i="5" s="1"/>
  <c r="K176" i="5"/>
  <c r="K191" i="5"/>
  <c r="K335" i="5"/>
  <c r="L286" i="5"/>
  <c r="M286" i="5" s="1"/>
  <c r="K112" i="5"/>
  <c r="L366" i="5"/>
  <c r="M366" i="5" s="1"/>
  <c r="K307" i="5"/>
  <c r="L186" i="5"/>
  <c r="M186" i="5" s="1"/>
  <c r="K223" i="5"/>
  <c r="L136" i="5"/>
  <c r="M136" i="5" s="1"/>
  <c r="K139" i="5"/>
  <c r="L54" i="5"/>
  <c r="M54" i="5" s="1"/>
  <c r="L211" i="5"/>
  <c r="M211" i="5" s="1"/>
  <c r="K26" i="5"/>
  <c r="L350" i="5"/>
  <c r="K279" i="5"/>
  <c r="L310" i="5"/>
  <c r="M310" i="5" s="1"/>
  <c r="L193" i="5"/>
  <c r="M193" i="5" s="1"/>
  <c r="L104" i="5"/>
  <c r="M104" i="5" s="1"/>
  <c r="K255" i="5"/>
  <c r="K232" i="5"/>
  <c r="K397" i="5"/>
  <c r="L122" i="5"/>
  <c r="M122" i="5" s="1"/>
  <c r="L101" i="5"/>
  <c r="M101" i="5" s="1"/>
  <c r="L153" i="5"/>
  <c r="M153" i="5" s="1"/>
  <c r="K318" i="5"/>
  <c r="L33" i="5"/>
  <c r="K41" i="5"/>
  <c r="L182" i="5"/>
  <c r="M182" i="5" s="1"/>
  <c r="K317" i="5"/>
  <c r="L240" i="5"/>
  <c r="M240" i="5" s="1"/>
  <c r="L400" i="5"/>
  <c r="M400" i="5" s="1"/>
  <c r="L124" i="5"/>
  <c r="K346" i="5"/>
  <c r="L113" i="5"/>
  <c r="M113" i="5" s="1"/>
  <c r="K16" i="5"/>
  <c r="L344" i="5"/>
  <c r="M344" i="5" s="1"/>
  <c r="K370" i="5"/>
  <c r="K93" i="5"/>
  <c r="K319" i="5"/>
  <c r="L289" i="5"/>
  <c r="M289" i="5" s="1"/>
  <c r="L271" i="5"/>
  <c r="K108" i="5"/>
  <c r="L233" i="5"/>
  <c r="M233" i="5" s="1"/>
  <c r="L360" i="5"/>
  <c r="M360" i="5" s="1"/>
  <c r="L389" i="5"/>
  <c r="L78" i="5"/>
  <c r="M78" i="5" s="1"/>
  <c r="L282" i="5"/>
  <c r="M282" i="5" s="1"/>
  <c r="K103" i="5"/>
  <c r="L221" i="5"/>
  <c r="M221" i="5" s="1"/>
  <c r="L284" i="5"/>
  <c r="M284" i="5" s="1"/>
  <c r="L397" i="5"/>
  <c r="M397" i="5" s="1"/>
  <c r="L70" i="5"/>
  <c r="M70" i="5" s="1"/>
  <c r="L373" i="5"/>
  <c r="K64" i="5"/>
  <c r="L5" i="5"/>
  <c r="M5" i="5" s="1"/>
  <c r="K269" i="5"/>
  <c r="L244" i="5"/>
  <c r="M244" i="5" s="1"/>
  <c r="K160" i="5"/>
  <c r="L88" i="5"/>
  <c r="M88" i="5" s="1"/>
  <c r="L422" i="5"/>
  <c r="M422" i="5" s="1"/>
  <c r="L67" i="5"/>
  <c r="M67" i="5" s="1"/>
  <c r="L69" i="5"/>
  <c r="M69" i="5" s="1"/>
  <c r="K8" i="5"/>
  <c r="K100" i="5"/>
  <c r="K373" i="5"/>
  <c r="K36" i="5"/>
  <c r="K159" i="5"/>
  <c r="L64" i="5"/>
  <c r="M64" i="5" s="1"/>
  <c r="K358" i="5"/>
  <c r="K260" i="5"/>
  <c r="L102" i="5"/>
  <c r="M102" i="5" s="1"/>
  <c r="K78" i="5"/>
  <c r="K225" i="5"/>
  <c r="L412" i="5"/>
  <c r="M412" i="5" s="1"/>
  <c r="L359" i="5"/>
  <c r="M359" i="5" s="1"/>
  <c r="K270" i="5"/>
  <c r="K116" i="5"/>
  <c r="L24" i="5"/>
  <c r="M24" i="5" s="1"/>
  <c r="L195" i="5"/>
  <c r="M195" i="5" s="1"/>
  <c r="K154" i="5"/>
  <c r="K130" i="5"/>
  <c r="K113" i="5"/>
  <c r="K23" i="5"/>
  <c r="K97" i="5"/>
  <c r="K215" i="5"/>
  <c r="L212" i="5"/>
  <c r="M212" i="5" s="1"/>
  <c r="L146" i="5"/>
  <c r="L208" i="5"/>
  <c r="M208" i="5" s="1"/>
  <c r="L243" i="5"/>
  <c r="M243" i="5" s="1"/>
  <c r="K193" i="5"/>
  <c r="L147" i="5"/>
  <c r="M147" i="5" s="1"/>
  <c r="K418" i="5"/>
  <c r="K297" i="5"/>
  <c r="L21" i="5"/>
  <c r="M21" i="5" s="1"/>
  <c r="K383" i="5"/>
  <c r="K122" i="5"/>
  <c r="L281" i="5"/>
  <c r="M281" i="5" s="1"/>
  <c r="L256" i="5"/>
  <c r="M256" i="5" s="1"/>
  <c r="K147" i="5"/>
  <c r="L26" i="5"/>
  <c r="M26" i="5" s="1"/>
  <c r="L394" i="5"/>
  <c r="L283" i="5"/>
  <c r="M283" i="5" s="1"/>
  <c r="K243" i="5"/>
  <c r="L74" i="5"/>
  <c r="M74" i="5" s="1"/>
  <c r="K7" i="5"/>
  <c r="K421" i="5"/>
  <c r="K196" i="5"/>
  <c r="L261" i="5"/>
  <c r="M261" i="5" s="1"/>
  <c r="K276" i="5"/>
  <c r="K40" i="5"/>
  <c r="L346" i="5"/>
  <c r="M346" i="5" s="1"/>
  <c r="L411" i="5"/>
  <c r="M411" i="5" s="1"/>
  <c r="K133" i="5"/>
  <c r="L49" i="5"/>
  <c r="M49" i="5" s="1"/>
  <c r="K340" i="5"/>
  <c r="L43" i="5"/>
  <c r="M43" i="5" s="1"/>
  <c r="L321" i="5"/>
  <c r="M321" i="5" s="1"/>
  <c r="L77" i="5"/>
  <c r="M77" i="5" s="1"/>
  <c r="L274" i="5"/>
  <c r="M274" i="5" s="1"/>
  <c r="K194" i="5"/>
  <c r="L369" i="5"/>
  <c r="K198" i="5"/>
  <c r="L255" i="5"/>
  <c r="M255" i="5" s="1"/>
  <c r="K202" i="5"/>
  <c r="L14" i="5"/>
  <c r="M14" i="5" s="1"/>
  <c r="K263" i="5"/>
  <c r="K329" i="5"/>
  <c r="K414" i="5"/>
  <c r="L226" i="5"/>
  <c r="M226" i="5" s="1"/>
  <c r="K156" i="5"/>
  <c r="L290" i="5"/>
  <c r="M290" i="5" s="1"/>
  <c r="L329" i="5"/>
  <c r="L44" i="5"/>
  <c r="M44" i="5" s="1"/>
  <c r="K356" i="5"/>
  <c r="L95" i="5"/>
  <c r="M95" i="5" s="1"/>
  <c r="L405" i="5"/>
  <c r="K209" i="5"/>
  <c r="K124" i="5"/>
  <c r="L133" i="5"/>
  <c r="M133" i="5" s="1"/>
  <c r="K20" i="5"/>
  <c r="K305" i="5"/>
  <c r="K264" i="5"/>
  <c r="K293" i="5"/>
  <c r="K114" i="5"/>
  <c r="K422" i="5"/>
  <c r="L121" i="5"/>
  <c r="M121" i="5" s="1"/>
  <c r="K391" i="5"/>
  <c r="K192" i="5"/>
  <c r="L91" i="5"/>
  <c r="M91" i="5" s="1"/>
  <c r="K129" i="5"/>
  <c r="K388" i="5"/>
  <c r="K11" i="5"/>
  <c r="L320" i="5"/>
  <c r="M320" i="5" s="1"/>
  <c r="K252" i="5"/>
  <c r="L362" i="5"/>
  <c r="L140" i="5"/>
  <c r="M140" i="5" s="1"/>
  <c r="K337" i="5"/>
  <c r="L59" i="5"/>
  <c r="L166" i="5"/>
  <c r="M166" i="5" s="1"/>
  <c r="L328" i="5"/>
  <c r="M328" i="5" s="1"/>
  <c r="L39" i="5"/>
  <c r="K54" i="5"/>
  <c r="K245" i="5"/>
  <c r="L165" i="5"/>
  <c r="M165" i="5" s="1"/>
  <c r="L132" i="5"/>
  <c r="M132" i="5" s="1"/>
  <c r="K378" i="5"/>
  <c r="L239" i="5"/>
  <c r="M239" i="5" s="1"/>
  <c r="K213" i="5"/>
  <c r="L410" i="5"/>
  <c r="M410" i="5" s="1"/>
  <c r="K321" i="5"/>
  <c r="L83" i="5"/>
  <c r="M83" i="5" s="1"/>
  <c r="L52" i="5"/>
  <c r="M52" i="5" s="1"/>
  <c r="K77" i="5"/>
  <c r="K286" i="5"/>
  <c r="L110" i="5"/>
  <c r="M110" i="5" s="1"/>
  <c r="L145" i="5"/>
  <c r="M145" i="5" s="1"/>
  <c r="K219" i="5"/>
  <c r="K142" i="5"/>
  <c r="K39" i="5"/>
  <c r="K68" i="5"/>
  <c r="K136" i="5"/>
  <c r="K168" i="5"/>
  <c r="K182" i="5"/>
  <c r="K33" i="5"/>
  <c r="L371" i="5"/>
  <c r="L357" i="5"/>
  <c r="M357" i="5" s="1"/>
  <c r="L287" i="5"/>
  <c r="M287" i="5" s="1"/>
  <c r="L138" i="5"/>
  <c r="M138" i="5" s="1"/>
  <c r="K389" i="5"/>
  <c r="K46" i="5"/>
  <c r="K29" i="5"/>
  <c r="K12" i="5"/>
  <c r="K338" i="5"/>
  <c r="L386" i="5"/>
  <c r="K69" i="5"/>
  <c r="L356" i="5"/>
  <c r="M356" i="5" s="1"/>
  <c r="L99" i="5"/>
  <c r="M99" i="5" s="1"/>
  <c r="K265" i="5"/>
  <c r="K275" i="5"/>
  <c r="L332" i="5"/>
  <c r="L68" i="5"/>
  <c r="M68" i="5" s="1"/>
  <c r="L324" i="5"/>
  <c r="L363" i="5"/>
  <c r="M363" i="5" s="1"/>
  <c r="L55" i="5"/>
  <c r="M55" i="5" s="1"/>
  <c r="K37" i="5"/>
  <c r="L253" i="5"/>
  <c r="M253" i="5" s="1"/>
  <c r="L188" i="5"/>
  <c r="M188" i="5" s="1"/>
  <c r="L392" i="5"/>
  <c r="K401" i="5"/>
  <c r="L295" i="5"/>
  <c r="M295" i="5" s="1"/>
  <c r="L376" i="5"/>
  <c r="M376" i="5" s="1"/>
  <c r="K359" i="5"/>
  <c r="K94" i="5"/>
  <c r="L304" i="5"/>
  <c r="M304" i="5" s="1"/>
  <c r="K87" i="5"/>
  <c r="L382" i="5"/>
  <c r="M382" i="5" s="1"/>
  <c r="L408" i="5"/>
  <c r="M408" i="5" s="1"/>
  <c r="K250" i="5"/>
  <c r="L352" i="5"/>
  <c r="M352" i="5" s="1"/>
  <c r="K66" i="5"/>
  <c r="L232" i="5"/>
  <c r="M232" i="5" s="1"/>
  <c r="K22" i="5"/>
  <c r="L169" i="5"/>
  <c r="M169" i="5" s="1"/>
  <c r="L179" i="5"/>
  <c r="M179" i="5" s="1"/>
  <c r="K34" i="5"/>
  <c r="K50" i="5"/>
  <c r="K200" i="5"/>
  <c r="L219" i="5"/>
  <c r="M219" i="5" s="1"/>
  <c r="K320" i="5"/>
  <c r="L388" i="5"/>
  <c r="K224" i="5"/>
  <c r="L109" i="5"/>
  <c r="M109" i="5" s="1"/>
  <c r="K183" i="5"/>
  <c r="L257" i="5"/>
  <c r="M257" i="5" s="1"/>
  <c r="L94" i="5"/>
  <c r="M94" i="5" s="1"/>
  <c r="K313" i="5"/>
  <c r="L222" i="5"/>
  <c r="M222" i="5" s="1"/>
  <c r="K102" i="5"/>
  <c r="L267" i="5"/>
  <c r="L131" i="5"/>
  <c r="M131" i="5" s="1"/>
  <c r="K212" i="5"/>
  <c r="K83" i="5"/>
  <c r="L416" i="5"/>
  <c r="M416" i="5" s="1"/>
  <c r="K412" i="5"/>
  <c r="L154" i="5"/>
  <c r="M154" i="5" s="1"/>
  <c r="L245" i="5"/>
  <c r="M245" i="5" s="1"/>
  <c r="L296" i="5"/>
  <c r="M296" i="5" s="1"/>
  <c r="L237" i="5"/>
  <c r="M237" i="5" s="1"/>
  <c r="K325" i="5"/>
  <c r="K296" i="5"/>
  <c r="K396" i="5"/>
  <c r="L10" i="5"/>
  <c r="M10" i="5" s="1"/>
  <c r="K210" i="5"/>
  <c r="L143" i="5"/>
  <c r="M143" i="5" s="1"/>
  <c r="L342" i="5"/>
  <c r="M342" i="5" s="1"/>
  <c r="K311" i="5"/>
  <c r="L317" i="5"/>
  <c r="M317" i="5" s="1"/>
  <c r="L270" i="5"/>
  <c r="K187" i="5"/>
  <c r="K31" i="5"/>
  <c r="L333" i="5"/>
  <c r="L216" i="5"/>
  <c r="M216" i="5" s="1"/>
  <c r="L277" i="5"/>
  <c r="M277" i="5" s="1"/>
  <c r="K309" i="5"/>
  <c r="L60" i="5"/>
  <c r="K376" i="5"/>
  <c r="L41" i="5"/>
  <c r="M41" i="5" s="1"/>
  <c r="L323" i="5"/>
  <c r="K125" i="5"/>
  <c r="L424" i="5"/>
  <c r="M424" i="5" s="1"/>
  <c r="L426" i="5"/>
  <c r="M426" i="5" s="1"/>
  <c r="K80" i="5"/>
  <c r="K394" i="5"/>
  <c r="K221" i="5"/>
  <c r="K285" i="5"/>
  <c r="K167" i="5"/>
  <c r="L337" i="5"/>
  <c r="M337" i="5" s="1"/>
  <c r="L217" i="5"/>
  <c r="M217" i="5" s="1"/>
  <c r="L76" i="5"/>
  <c r="M76" i="5" s="1"/>
  <c r="L385" i="5"/>
  <c r="M385" i="5" s="1"/>
  <c r="L251" i="5"/>
  <c r="M251" i="5" s="1"/>
  <c r="L66" i="5"/>
  <c r="M66" i="5" s="1"/>
  <c r="K47" i="5"/>
  <c r="K82" i="5"/>
  <c r="K347" i="5"/>
  <c r="K174" i="5"/>
  <c r="K248" i="5"/>
  <c r="L190" i="5"/>
  <c r="M190" i="5" s="1"/>
  <c r="K407" i="5"/>
  <c r="K354" i="5"/>
  <c r="L177" i="5"/>
  <c r="M177" i="5" s="1"/>
  <c r="L80" i="5"/>
  <c r="M80" i="5" s="1"/>
  <c r="L358" i="5"/>
  <c r="M358" i="5" s="1"/>
  <c r="K288" i="5"/>
  <c r="L215" i="5"/>
  <c r="M215" i="5" s="1"/>
  <c r="K18" i="5"/>
  <c r="K90" i="5"/>
  <c r="L192" i="5"/>
  <c r="M192" i="5" s="1"/>
  <c r="L9" i="5"/>
  <c r="M9" i="5" s="1"/>
  <c r="K173" i="5"/>
  <c r="L117" i="5"/>
  <c r="M117" i="5" s="1"/>
  <c r="L17" i="5"/>
  <c r="M17" i="5" s="1"/>
  <c r="K235" i="5"/>
  <c r="K19" i="5"/>
  <c r="K96" i="5"/>
  <c r="K231" i="5"/>
  <c r="L322" i="5"/>
  <c r="M322" i="5" s="1"/>
  <c r="L158" i="5"/>
  <c r="M158" i="5" s="1"/>
  <c r="L302" i="5"/>
  <c r="M302" i="5" s="1"/>
  <c r="L341" i="5"/>
  <c r="M341" i="5" s="1"/>
  <c r="K43" i="5"/>
  <c r="L225" i="5"/>
  <c r="M225" i="5" s="1"/>
  <c r="K399" i="5"/>
  <c r="L280" i="5"/>
  <c r="M280" i="5" s="1"/>
  <c r="K15" i="5"/>
  <c r="K165" i="5"/>
  <c r="L390" i="5"/>
  <c r="L100" i="5"/>
  <c r="M100" i="5" s="1"/>
  <c r="L114" i="5"/>
  <c r="M114" i="5" s="1"/>
  <c r="L135" i="5"/>
  <c r="M135" i="5" s="1"/>
  <c r="K30" i="5"/>
  <c r="L372" i="5"/>
  <c r="K155" i="5"/>
  <c r="K266" i="5"/>
  <c r="L163" i="5"/>
  <c r="M163" i="5" s="1"/>
  <c r="L361" i="5"/>
  <c r="L396" i="5"/>
  <c r="K427" i="5"/>
  <c r="L62" i="5"/>
  <c r="M62" i="5" s="1"/>
  <c r="K251" i="5"/>
  <c r="L201" i="5"/>
  <c r="M201" i="5" s="1"/>
  <c r="K424" i="5"/>
  <c r="K393" i="5"/>
  <c r="L202" i="5"/>
  <c r="M202" i="5" s="1"/>
  <c r="L407" i="5"/>
  <c r="M407" i="5" s="1"/>
  <c r="L56" i="5"/>
  <c r="M56" i="5" s="1"/>
  <c r="L313" i="5"/>
  <c r="M313" i="5" s="1"/>
  <c r="K301" i="5"/>
  <c r="L238" i="5"/>
  <c r="M238" i="5" s="1"/>
  <c r="K164" i="5"/>
  <c r="K9" i="5"/>
  <c r="L227" i="5"/>
  <c r="M227" i="5" s="1"/>
  <c r="L57" i="5"/>
  <c r="M57" i="5" s="1"/>
  <c r="L31" i="5"/>
  <c r="K13" i="5"/>
  <c r="L205" i="5"/>
  <c r="M205" i="5" s="1"/>
  <c r="K331" i="5"/>
  <c r="L53" i="5"/>
  <c r="M53" i="5" s="1"/>
  <c r="L84" i="5"/>
  <c r="M84" i="5" s="1"/>
  <c r="L228" i="5"/>
  <c r="M228" i="5" s="1"/>
  <c r="L42" i="5"/>
  <c r="M42" i="5" s="1"/>
  <c r="K99" i="5"/>
  <c r="K184" i="5"/>
  <c r="K384" i="5"/>
  <c r="K120" i="5"/>
  <c r="L134" i="5"/>
  <c r="M134" i="5" s="1"/>
  <c r="K398" i="5"/>
  <c r="L307" i="5"/>
  <c r="M307" i="5" s="1"/>
  <c r="K144" i="5"/>
  <c r="L34" i="5"/>
  <c r="L46" i="5"/>
  <c r="M46" i="5" s="1"/>
  <c r="L327" i="5"/>
  <c r="L86" i="5"/>
  <c r="M86" i="5" s="1"/>
  <c r="K233" i="5"/>
  <c r="L268" i="5"/>
  <c r="L266" i="5"/>
  <c r="K342" i="5"/>
  <c r="L103" i="5"/>
  <c r="M103" i="5" s="1"/>
  <c r="L325" i="5"/>
  <c r="L148" i="5"/>
  <c r="M148" i="5" s="1"/>
  <c r="K303" i="5"/>
  <c r="K141" i="5"/>
  <c r="L381" i="5"/>
  <c r="M381" i="5" s="1"/>
  <c r="L45" i="5"/>
  <c r="M45" i="5" s="1"/>
  <c r="L224" i="5"/>
  <c r="M224" i="5" s="1"/>
  <c r="L326" i="5"/>
  <c r="L210" i="5"/>
  <c r="K118" i="5"/>
  <c r="K65" i="5"/>
  <c r="K294" i="5"/>
  <c r="K344" i="5"/>
  <c r="L189" i="5"/>
  <c r="M189" i="5" s="1"/>
  <c r="K416" i="5"/>
  <c r="L20" i="5"/>
  <c r="M20" i="5" s="1"/>
  <c r="L427" i="5"/>
  <c r="M427" i="5" s="1"/>
  <c r="K413" i="5"/>
  <c r="L40" i="5"/>
  <c r="M40" i="5" s="1"/>
  <c r="K140" i="5"/>
  <c r="L58" i="5"/>
  <c r="M58" i="5" s="1"/>
  <c r="L185" i="5"/>
  <c r="M185" i="5" s="1"/>
  <c r="L63" i="5"/>
  <c r="M63" i="5" s="1"/>
  <c r="K207" i="5"/>
  <c r="K326" i="5"/>
  <c r="L28" i="5"/>
  <c r="L198" i="5"/>
  <c r="M198" i="5" s="1"/>
  <c r="K315" i="5"/>
  <c r="L343" i="5"/>
  <c r="M343" i="5" s="1"/>
  <c r="K410" i="5"/>
  <c r="L162" i="5"/>
  <c r="M162" i="5" s="1"/>
  <c r="L213" i="5"/>
  <c r="M213" i="5" s="1"/>
  <c r="K38" i="5"/>
  <c r="L79" i="5"/>
  <c r="M79" i="5" s="1"/>
  <c r="K145" i="5"/>
  <c r="L115" i="5"/>
  <c r="M115" i="5" s="1"/>
  <c r="K161" i="5"/>
  <c r="K111" i="5"/>
  <c r="L118" i="5"/>
  <c r="M118" i="5" s="1"/>
  <c r="K150" i="5"/>
  <c r="K409" i="5"/>
  <c r="K137" i="5"/>
  <c r="K186" i="5"/>
  <c r="L308" i="5"/>
  <c r="M308" i="5" s="1"/>
  <c r="L172" i="5"/>
  <c r="M172" i="5" s="1"/>
  <c r="K119" i="5"/>
  <c r="L164" i="5"/>
  <c r="M164" i="5" s="1"/>
  <c r="L120" i="5"/>
  <c r="M120" i="5" s="1"/>
  <c r="K59" i="5"/>
  <c r="L259" i="5"/>
  <c r="M259" i="5" s="1"/>
  <c r="K25" i="5"/>
  <c r="L161" i="5"/>
  <c r="M161" i="5" s="1"/>
  <c r="K291" i="5"/>
  <c r="L65" i="5"/>
  <c r="M65" i="5" s="1"/>
  <c r="K63" i="5"/>
  <c r="L85" i="5"/>
  <c r="M85" i="5" s="1"/>
  <c r="K101" i="5"/>
  <c r="L15" i="5"/>
  <c r="M15" i="5" s="1"/>
  <c r="K271" i="5"/>
  <c r="K377" i="5"/>
  <c r="L380" i="5"/>
  <c r="M380" i="5" s="1"/>
  <c r="L276" i="5"/>
  <c r="M276" i="5" s="1"/>
  <c r="K362" i="5"/>
  <c r="K106" i="5"/>
  <c r="K385" i="5"/>
  <c r="K135" i="5"/>
  <c r="K299" i="5"/>
  <c r="L207" i="5"/>
  <c r="M207" i="5" s="1"/>
  <c r="L330" i="5"/>
  <c r="L249" i="5"/>
  <c r="M249" i="5" s="1"/>
  <c r="K134" i="5"/>
  <c r="L272" i="5"/>
  <c r="L8" i="5"/>
  <c r="M8" i="5" s="1"/>
  <c r="K214" i="5"/>
  <c r="K44" i="5"/>
  <c r="L353" i="5"/>
  <c r="M353" i="5" s="1"/>
  <c r="K261" i="5"/>
  <c r="K152" i="5"/>
  <c r="L87" i="5"/>
  <c r="M87" i="5" s="1"/>
  <c r="K98" i="5"/>
  <c r="K206" i="5"/>
  <c r="K282" i="5"/>
  <c r="K316" i="5"/>
  <c r="L306" i="5"/>
  <c r="M306" i="5" s="1"/>
  <c r="K353" i="5"/>
  <c r="L319" i="5"/>
  <c r="M319" i="5" s="1"/>
  <c r="K402" i="5"/>
  <c r="L203" i="5"/>
  <c r="M203" i="5" s="1"/>
  <c r="K149" i="5"/>
  <c r="K148" i="5"/>
  <c r="L181" i="5"/>
  <c r="M181" i="5" s="1"/>
  <c r="K352" i="5"/>
  <c r="L391" i="5"/>
  <c r="L22" i="5"/>
  <c r="M22" i="5" s="1"/>
  <c r="L108" i="5"/>
  <c r="M108" i="5" s="1"/>
  <c r="L144" i="5"/>
  <c r="M144" i="5" s="1"/>
  <c r="L414" i="5"/>
  <c r="M414" i="5" s="1"/>
  <c r="K166" i="5"/>
  <c r="K172" i="5"/>
  <c r="K105" i="5"/>
  <c r="L246" i="5"/>
  <c r="L395" i="5"/>
  <c r="K132" i="5"/>
  <c r="K268" i="5"/>
  <c r="L293" i="5"/>
  <c r="M293" i="5" s="1"/>
  <c r="L404" i="5"/>
  <c r="M404" i="5" s="1"/>
  <c r="L218" i="5"/>
  <c r="M218" i="5" s="1"/>
  <c r="L197" i="5"/>
  <c r="M197" i="5" s="1"/>
  <c r="L398" i="5"/>
  <c r="M398" i="5" s="1"/>
  <c r="K220" i="5"/>
  <c r="K289" i="5"/>
  <c r="K55" i="5"/>
  <c r="L96" i="5"/>
  <c r="M96" i="5" s="1"/>
  <c r="K123" i="5"/>
  <c r="K336" i="5"/>
  <c r="K127" i="5"/>
  <c r="K227" i="5"/>
  <c r="K180" i="5"/>
  <c r="L61" i="5"/>
  <c r="K58" i="5"/>
  <c r="L420" i="5"/>
  <c r="M420" i="5" s="1"/>
  <c r="L241" i="5"/>
  <c r="M241" i="5" s="1"/>
  <c r="K366" i="5"/>
  <c r="K322" i="5"/>
  <c r="L168" i="5"/>
  <c r="M168" i="5" s="1"/>
  <c r="L364" i="5"/>
  <c r="M364" i="5" s="1"/>
  <c r="K272" i="5"/>
  <c r="L311" i="5"/>
  <c r="M311" i="5" s="1"/>
  <c r="K420" i="5"/>
  <c r="K292" i="5"/>
  <c r="L204" i="5"/>
  <c r="M204" i="5" s="1"/>
  <c r="L16" i="5"/>
  <c r="M16" i="5" s="1"/>
  <c r="L150" i="5"/>
  <c r="M150" i="5" s="1"/>
  <c r="K169" i="5"/>
  <c r="L347" i="5"/>
  <c r="M347" i="5" s="1"/>
  <c r="K277" i="5"/>
  <c r="K21" i="5"/>
  <c r="L318" i="5"/>
  <c r="M318" i="5" s="1"/>
  <c r="L303" i="5"/>
  <c r="M303" i="5" s="1"/>
  <c r="K257" i="5"/>
  <c r="K185" i="5"/>
  <c r="L403" i="5"/>
  <c r="M403" i="5" s="1"/>
  <c r="K314" i="5"/>
  <c r="L419" i="5"/>
  <c r="M419" i="5" s="1"/>
  <c r="L30" i="5"/>
  <c r="K382" i="5"/>
  <c r="K287" i="5"/>
  <c r="L220" i="5"/>
  <c r="M220" i="5" s="1"/>
  <c r="K312" i="5"/>
  <c r="L258" i="5"/>
  <c r="M258" i="5" s="1"/>
  <c r="K179" i="5"/>
  <c r="L187" i="5"/>
  <c r="M187" i="5" s="1"/>
  <c r="L334" i="5"/>
  <c r="K351" i="5"/>
  <c r="L375" i="5"/>
  <c r="K372" i="5"/>
  <c r="L384" i="5"/>
  <c r="M384" i="5" s="1"/>
  <c r="K211" i="5"/>
  <c r="L32" i="5"/>
  <c r="M32" i="5" s="1"/>
  <c r="L112" i="5"/>
  <c r="M112" i="5" s="1"/>
  <c r="K158" i="5"/>
  <c r="K81" i="5"/>
  <c r="L51" i="5"/>
  <c r="M51" i="5" s="1"/>
  <c r="K375" i="5"/>
  <c r="L107" i="5"/>
  <c r="M107" i="5" s="1"/>
  <c r="L149" i="5"/>
  <c r="M149" i="5" s="1"/>
  <c r="L81" i="5"/>
  <c r="M81" i="5" s="1"/>
  <c r="K17" i="5"/>
  <c r="K249" i="5"/>
  <c r="L269" i="5"/>
  <c r="K369" i="5"/>
  <c r="K107" i="5"/>
  <c r="K143" i="5"/>
  <c r="K216" i="5"/>
  <c r="K146" i="5"/>
  <c r="L35" i="5"/>
  <c r="M35" i="5" s="1"/>
  <c r="L27" i="5"/>
  <c r="M27" i="5" s="1"/>
  <c r="K27" i="5"/>
  <c r="K35" i="5"/>
  <c r="R101" i="5"/>
  <c r="T101" i="5"/>
  <c r="U101" i="5" s="1"/>
  <c r="R102" i="5"/>
  <c r="T102" i="5"/>
  <c r="U102" i="5" s="1"/>
  <c r="T158" i="5"/>
  <c r="U158" i="5" s="1"/>
  <c r="R158" i="5"/>
  <c r="R282" i="5"/>
  <c r="T282" i="5"/>
  <c r="U282" i="5" s="1"/>
  <c r="S389" i="5"/>
  <c r="S394" i="5"/>
  <c r="T385" i="5"/>
  <c r="U385" i="5" s="1"/>
  <c r="R385" i="5"/>
  <c r="S272" i="5"/>
  <c r="S37" i="5"/>
  <c r="S271" i="5"/>
  <c r="R285" i="5"/>
  <c r="T285" i="5"/>
  <c r="U285" i="5" s="1"/>
  <c r="S336" i="5"/>
  <c r="S324" i="5"/>
  <c r="S39" i="5"/>
  <c r="S210" i="5"/>
  <c r="S90" i="5"/>
  <c r="R157" i="5"/>
  <c r="T157" i="5"/>
  <c r="U157" i="5" s="1"/>
  <c r="S329" i="5"/>
  <c r="S374" i="5"/>
  <c r="R72" i="5"/>
  <c r="T72" i="5"/>
  <c r="U72" i="5" s="1"/>
  <c r="T284" i="5"/>
  <c r="U284" i="5" s="1"/>
  <c r="R284" i="5"/>
  <c r="T160" i="5"/>
  <c r="U160" i="5" s="1"/>
  <c r="R160" i="5"/>
  <c r="R236" i="5"/>
  <c r="T236" i="5"/>
  <c r="U236" i="5" s="1"/>
  <c r="R159" i="5"/>
  <c r="T159" i="5"/>
  <c r="U159" i="5" s="1"/>
  <c r="T283" i="5"/>
  <c r="U283" i="5" s="1"/>
  <c r="R283" i="5"/>
  <c r="S33" i="5"/>
  <c r="S265" i="5"/>
  <c r="S264" i="5"/>
  <c r="S28" i="5"/>
  <c r="S266" i="5"/>
  <c r="S146" i="5"/>
  <c r="S332" i="5"/>
  <c r="S371" i="5"/>
  <c r="R280" i="5"/>
  <c r="T280" i="5"/>
  <c r="U280" i="5" s="1"/>
  <c r="S326" i="5"/>
  <c r="S331" i="5"/>
  <c r="T73" i="5"/>
  <c r="U73" i="5" s="1"/>
  <c r="R73" i="5"/>
  <c r="S335" i="5"/>
  <c r="S351" i="5"/>
  <c r="S373" i="5"/>
  <c r="S60" i="5"/>
  <c r="R384" i="5"/>
  <c r="T384" i="5"/>
  <c r="U384" i="5" s="1"/>
  <c r="S184" i="5"/>
  <c r="S246" i="5"/>
  <c r="S263" i="5"/>
  <c r="T71" i="5"/>
  <c r="U71" i="5" s="1"/>
  <c r="R71" i="5"/>
  <c r="R281" i="5"/>
  <c r="T281" i="5"/>
  <c r="U281" i="5" s="1"/>
  <c r="S399" i="5"/>
  <c r="S370" i="5"/>
  <c r="S391" i="5"/>
  <c r="S375" i="5"/>
  <c r="S372" i="5"/>
  <c r="S333" i="5"/>
  <c r="S393" i="5"/>
  <c r="S59" i="5"/>
  <c r="S269" i="5"/>
  <c r="S270" i="5"/>
  <c r="S29" i="5"/>
  <c r="S273" i="5"/>
  <c r="S267" i="5"/>
  <c r="S34" i="5"/>
  <c r="S116" i="5"/>
  <c r="S386" i="5"/>
  <c r="T341" i="5"/>
  <c r="U341" i="5" s="1"/>
  <c r="R341" i="5"/>
  <c r="S325" i="5"/>
  <c r="S330" i="5"/>
  <c r="R154" i="5"/>
  <c r="T154" i="5"/>
  <c r="U154" i="5" s="1"/>
  <c r="S323" i="5"/>
  <c r="S334" i="5"/>
  <c r="S327" i="5"/>
  <c r="S61" i="5"/>
  <c r="T181" i="5"/>
  <c r="U181" i="5" s="1"/>
  <c r="R181" i="5"/>
  <c r="S31" i="5"/>
  <c r="S30" i="5"/>
  <c r="S268" i="5"/>
  <c r="T182" i="5"/>
  <c r="U182" i="5" s="1"/>
  <c r="R182" i="5"/>
  <c r="S350" i="5"/>
  <c r="S348" i="5"/>
  <c r="R161" i="5"/>
  <c r="T161" i="5"/>
  <c r="U161" i="5" s="1"/>
  <c r="S392" i="5"/>
  <c r="S390" i="5"/>
  <c r="S369" i="5"/>
  <c r="S388" i="5"/>
  <c r="T279" i="5"/>
  <c r="U279" i="5" s="1"/>
  <c r="R279" i="5"/>
  <c r="T286" i="5"/>
  <c r="U286" i="5" s="1"/>
  <c r="R286" i="5"/>
  <c r="M332" i="5" l="1"/>
  <c r="M330" i="5"/>
  <c r="M390" i="5"/>
  <c r="M373" i="5"/>
  <c r="M386" i="5"/>
  <c r="M59" i="5"/>
  <c r="M33" i="5"/>
  <c r="M372" i="5"/>
  <c r="M264" i="5"/>
  <c r="M265" i="5"/>
  <c r="M350" i="5"/>
  <c r="M146" i="5"/>
  <c r="M266" i="5"/>
  <c r="M28" i="5"/>
  <c r="M324" i="5"/>
  <c r="M272" i="5"/>
  <c r="M29" i="5"/>
  <c r="M331" i="5"/>
  <c r="M351" i="5"/>
  <c r="M393" i="5"/>
  <c r="M273" i="5"/>
  <c r="M370" i="5"/>
  <c r="M399" i="5"/>
  <c r="M335" i="5"/>
  <c r="M348" i="5"/>
  <c r="M116" i="5"/>
  <c r="M184" i="5"/>
  <c r="M371" i="5"/>
  <c r="M263" i="5"/>
  <c r="M369" i="5"/>
  <c r="M388" i="5"/>
  <c r="M267" i="5"/>
  <c r="M270" i="5"/>
  <c r="M333" i="5"/>
  <c r="M60" i="5"/>
  <c r="M323" i="5"/>
  <c r="M31" i="5"/>
  <c r="M34" i="5"/>
  <c r="M327" i="5"/>
  <c r="M268" i="5"/>
  <c r="M325" i="5"/>
  <c r="M326" i="5"/>
  <c r="M391" i="5"/>
  <c r="M246" i="5"/>
  <c r="M61" i="5"/>
  <c r="M30" i="5"/>
  <c r="M334" i="5"/>
  <c r="M375" i="5"/>
  <c r="M269" i="5"/>
  <c r="M39" i="5"/>
  <c r="M392" i="5"/>
  <c r="T389" i="5"/>
  <c r="U389" i="5" s="1"/>
  <c r="R389" i="5"/>
  <c r="T394" i="5"/>
  <c r="U394" i="5" s="1"/>
  <c r="R394" i="5"/>
  <c r="T272" i="5"/>
  <c r="U272" i="5" s="1"/>
  <c r="R272" i="5"/>
  <c r="R37" i="5"/>
  <c r="T37" i="5"/>
  <c r="U37" i="5" s="1"/>
  <c r="T271" i="5"/>
  <c r="U271" i="5" s="1"/>
  <c r="R271" i="5"/>
  <c r="R336" i="5"/>
  <c r="T336" i="5"/>
  <c r="U336" i="5" s="1"/>
  <c r="R324" i="5"/>
  <c r="T324" i="5"/>
  <c r="U324" i="5" s="1"/>
  <c r="R39" i="5"/>
  <c r="T39" i="5"/>
  <c r="U39" i="5" s="1"/>
  <c r="T210" i="5"/>
  <c r="U210" i="5" s="1"/>
  <c r="R210" i="5"/>
  <c r="R90" i="5"/>
  <c r="T90" i="5"/>
  <c r="U90" i="5" s="1"/>
  <c r="T329" i="5"/>
  <c r="U329" i="5" s="1"/>
  <c r="R329" i="5"/>
  <c r="T374" i="5"/>
  <c r="U374" i="5" s="1"/>
  <c r="R374" i="5"/>
  <c r="R33" i="5"/>
  <c r="T33" i="5"/>
  <c r="U33" i="5" s="1"/>
  <c r="R265" i="5"/>
  <c r="T265" i="5"/>
  <c r="U265" i="5" s="1"/>
  <c r="T264" i="5"/>
  <c r="U264" i="5" s="1"/>
  <c r="R264" i="5"/>
  <c r="R28" i="5"/>
  <c r="T28" i="5"/>
  <c r="U28" i="5" s="1"/>
  <c r="R266" i="5"/>
  <c r="T266" i="5"/>
  <c r="U266" i="5" s="1"/>
  <c r="R146" i="5"/>
  <c r="T146" i="5"/>
  <c r="U146" i="5" s="1"/>
  <c r="R332" i="5"/>
  <c r="T332" i="5"/>
  <c r="U332" i="5" s="1"/>
  <c r="T371" i="5"/>
  <c r="U371" i="5" s="1"/>
  <c r="R371" i="5"/>
  <c r="R326" i="5"/>
  <c r="T326" i="5"/>
  <c r="U326" i="5" s="1"/>
  <c r="T331" i="5"/>
  <c r="U331" i="5" s="1"/>
  <c r="R331" i="5"/>
  <c r="R335" i="5"/>
  <c r="T335" i="5"/>
  <c r="U335" i="5" s="1"/>
  <c r="T351" i="5"/>
  <c r="U351" i="5" s="1"/>
  <c r="R351" i="5"/>
  <c r="R373" i="5"/>
  <c r="T373" i="5"/>
  <c r="U373" i="5" s="1"/>
  <c r="T60" i="5"/>
  <c r="U60" i="5" s="1"/>
  <c r="R60" i="5"/>
  <c r="R184" i="5"/>
  <c r="T184" i="5"/>
  <c r="U184" i="5" s="1"/>
  <c r="T246" i="5"/>
  <c r="U246" i="5" s="1"/>
  <c r="R246" i="5"/>
  <c r="R263" i="5"/>
  <c r="T263" i="5"/>
  <c r="U263" i="5" s="1"/>
  <c r="R399" i="5"/>
  <c r="T399" i="5"/>
  <c r="U399" i="5" s="1"/>
  <c r="T370" i="5"/>
  <c r="U370" i="5" s="1"/>
  <c r="R370" i="5"/>
  <c r="T391" i="5"/>
  <c r="U391" i="5" s="1"/>
  <c r="R391" i="5"/>
  <c r="T375" i="5"/>
  <c r="U375" i="5" s="1"/>
  <c r="R375" i="5"/>
  <c r="R372" i="5"/>
  <c r="T372" i="5"/>
  <c r="U372" i="5" s="1"/>
  <c r="T333" i="5"/>
  <c r="U333" i="5" s="1"/>
  <c r="R333" i="5"/>
  <c r="T393" i="5"/>
  <c r="U393" i="5" s="1"/>
  <c r="R393" i="5"/>
  <c r="R59" i="5"/>
  <c r="T59" i="5"/>
  <c r="U59" i="5" s="1"/>
  <c r="R269" i="5"/>
  <c r="T269" i="5"/>
  <c r="U269" i="5" s="1"/>
  <c r="R270" i="5"/>
  <c r="T270" i="5"/>
  <c r="U270" i="5" s="1"/>
  <c r="T29" i="5"/>
  <c r="U29" i="5" s="1"/>
  <c r="R29" i="5"/>
  <c r="R273" i="5"/>
  <c r="T273" i="5"/>
  <c r="U273" i="5" s="1"/>
  <c r="T267" i="5"/>
  <c r="U267" i="5" s="1"/>
  <c r="R267" i="5"/>
  <c r="T34" i="5"/>
  <c r="U34" i="5" s="1"/>
  <c r="R34" i="5"/>
  <c r="R116" i="5"/>
  <c r="T116" i="5"/>
  <c r="U116" i="5" s="1"/>
  <c r="R386" i="5"/>
  <c r="T386" i="5"/>
  <c r="U386" i="5" s="1"/>
  <c r="R325" i="5"/>
  <c r="T325" i="5"/>
  <c r="U325" i="5" s="1"/>
  <c r="T330" i="5"/>
  <c r="U330" i="5" s="1"/>
  <c r="R330" i="5"/>
  <c r="T323" i="5"/>
  <c r="U323" i="5" s="1"/>
  <c r="R323" i="5"/>
  <c r="T334" i="5"/>
  <c r="U334" i="5" s="1"/>
  <c r="R334" i="5"/>
  <c r="R327" i="5"/>
  <c r="T327" i="5"/>
  <c r="U327" i="5" s="1"/>
  <c r="R61" i="5"/>
  <c r="T61" i="5"/>
  <c r="U61" i="5" s="1"/>
  <c r="T31" i="5"/>
  <c r="U31" i="5" s="1"/>
  <c r="R31" i="5"/>
  <c r="T30" i="5"/>
  <c r="U30" i="5" s="1"/>
  <c r="R30" i="5"/>
  <c r="R268" i="5"/>
  <c r="T268" i="5"/>
  <c r="U268" i="5" s="1"/>
  <c r="R350" i="5"/>
  <c r="T350" i="5"/>
  <c r="U350" i="5" s="1"/>
  <c r="R348" i="5"/>
  <c r="T348" i="5"/>
  <c r="U348" i="5" s="1"/>
  <c r="T392" i="5"/>
  <c r="U392" i="5" s="1"/>
  <c r="R392" i="5"/>
  <c r="R390" i="5"/>
  <c r="T390" i="5"/>
  <c r="U390" i="5" s="1"/>
  <c r="R369" i="5"/>
  <c r="T369" i="5"/>
  <c r="U369" i="5" s="1"/>
  <c r="T388" i="5"/>
  <c r="U388" i="5" s="1"/>
  <c r="R388" i="5"/>
  <c r="M374" i="5"/>
  <c r="M336" i="5"/>
  <c r="M271" i="5"/>
  <c r="M389" i="5"/>
  <c r="M394" i="5"/>
  <c r="M329" i="5"/>
  <c r="M210" i="5"/>
  <c r="M37" i="5"/>
  <c r="M90" i="5"/>
  <c r="S362" i="5" l="1"/>
  <c r="S361" i="5"/>
  <c r="S142" i="5"/>
  <c r="S395" i="5" l="1"/>
  <c r="S124" i="5"/>
  <c r="M362" i="5"/>
  <c r="T362" i="5"/>
  <c r="U362" i="5" s="1"/>
  <c r="R362" i="5"/>
  <c r="S405" i="5"/>
  <c r="S180" i="5"/>
  <c r="S123" i="5"/>
  <c r="S396" i="5"/>
  <c r="M361" i="5"/>
  <c r="R361" i="5"/>
  <c r="T361" i="5"/>
  <c r="U361" i="5" s="1"/>
  <c r="M142" i="5"/>
  <c r="T142" i="5"/>
  <c r="U142" i="5" s="1"/>
  <c r="R142" i="5"/>
  <c r="M395" i="5" l="1"/>
  <c r="R395" i="5"/>
  <c r="T395" i="5"/>
  <c r="U395" i="5" s="1"/>
  <c r="M124" i="5"/>
  <c r="R124" i="5"/>
  <c r="T124" i="5"/>
  <c r="U124" i="5" s="1"/>
  <c r="M405" i="5"/>
  <c r="T405" i="5"/>
  <c r="U405" i="5" s="1"/>
  <c r="R405" i="5"/>
  <c r="M180" i="5"/>
  <c r="T180" i="5"/>
  <c r="U180" i="5" s="1"/>
  <c r="R180" i="5"/>
  <c r="M123" i="5"/>
  <c r="R123" i="5"/>
  <c r="T123" i="5"/>
  <c r="U123" i="5" s="1"/>
  <c r="M396" i="5"/>
  <c r="T396" i="5"/>
  <c r="U396" i="5" s="1"/>
  <c r="R396" i="5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AO427" i="5"/>
  <c r="J427" i="5"/>
  <c r="AO426" i="5"/>
  <c r="J426" i="5"/>
  <c r="AB426" i="5" s="1" a="1"/>
  <c r="AO425" i="5"/>
  <c r="J425" i="5"/>
  <c r="AO424" i="5"/>
  <c r="J424" i="5"/>
  <c r="AO423" i="5"/>
  <c r="J423" i="5"/>
  <c r="AO422" i="5"/>
  <c r="J422" i="5"/>
  <c r="AO421" i="5"/>
  <c r="J421" i="5"/>
  <c r="AB421" i="5" s="1" a="1"/>
  <c r="AO420" i="5"/>
  <c r="J420" i="5"/>
  <c r="AO419" i="5"/>
  <c r="J419" i="5"/>
  <c r="AO418" i="5"/>
  <c r="J418" i="5"/>
  <c r="AO417" i="5"/>
  <c r="J417" i="5"/>
  <c r="AO416" i="5"/>
  <c r="J416" i="5"/>
  <c r="AO415" i="5"/>
  <c r="J415" i="5"/>
  <c r="AO414" i="5"/>
  <c r="J414" i="5"/>
  <c r="AO413" i="5"/>
  <c r="J413" i="5"/>
  <c r="AB413" i="5" s="1" a="1"/>
  <c r="AB413" i="5" s="1"/>
  <c r="AO412" i="5"/>
  <c r="J412" i="5"/>
  <c r="AO411" i="5"/>
  <c r="J411" i="5"/>
  <c r="AO410" i="5"/>
  <c r="J410" i="5"/>
  <c r="AO409" i="5"/>
  <c r="J409" i="5"/>
  <c r="AB409" i="5" s="1" a="1"/>
  <c r="AB409" i="5" s="1"/>
  <c r="AO408" i="5"/>
  <c r="J408" i="5"/>
  <c r="AO407" i="5"/>
  <c r="J407" i="5"/>
  <c r="AO406" i="5"/>
  <c r="J406" i="5"/>
  <c r="AQ406" i="5" s="1"/>
  <c r="AO405" i="5"/>
  <c r="J405" i="5"/>
  <c r="AO404" i="5"/>
  <c r="J404" i="5"/>
  <c r="AQ404" i="5" s="1"/>
  <c r="AQ400" i="5" s="1"/>
  <c r="AO403" i="5"/>
  <c r="J403" i="5"/>
  <c r="AO402" i="5"/>
  <c r="J402" i="5"/>
  <c r="AQ402" i="5" s="1"/>
  <c r="AO401" i="5"/>
  <c r="J401" i="5"/>
  <c r="AO400" i="5"/>
  <c r="J400" i="5"/>
  <c r="AO399" i="5"/>
  <c r="J399" i="5"/>
  <c r="AO398" i="5"/>
  <c r="J398" i="5"/>
  <c r="AQ398" i="5" s="1"/>
  <c r="AO397" i="5"/>
  <c r="J397" i="5"/>
  <c r="AO396" i="5"/>
  <c r="J396" i="5"/>
  <c r="AO395" i="5"/>
  <c r="J395" i="5"/>
  <c r="AO394" i="5"/>
  <c r="J394" i="5"/>
  <c r="AO393" i="5"/>
  <c r="J393" i="5"/>
  <c r="AO392" i="5"/>
  <c r="J392" i="5"/>
  <c r="AO391" i="5"/>
  <c r="J391" i="5"/>
  <c r="AO390" i="5"/>
  <c r="J390" i="5"/>
  <c r="AO389" i="5"/>
  <c r="J389" i="5"/>
  <c r="AO388" i="5"/>
  <c r="J388" i="5"/>
  <c r="AO387" i="5"/>
  <c r="J387" i="5"/>
  <c r="AO386" i="5"/>
  <c r="J386" i="5"/>
  <c r="AO385" i="5"/>
  <c r="AB385" i="5"/>
  <c r="J385" i="5"/>
  <c r="AB385" i="5" s="1" a="1"/>
  <c r="AO384" i="5"/>
  <c r="J384" i="5"/>
  <c r="AO383" i="5"/>
  <c r="J383" i="5"/>
  <c r="AB383" i="5" s="1" a="1"/>
  <c r="AB383" i="5" s="1"/>
  <c r="AO382" i="5"/>
  <c r="J382" i="5"/>
  <c r="AO381" i="5"/>
  <c r="J381" i="5"/>
  <c r="AO380" i="5"/>
  <c r="J380" i="5"/>
  <c r="AO379" i="5"/>
  <c r="J379" i="5"/>
  <c r="AO378" i="5"/>
  <c r="J378" i="5"/>
  <c r="AO377" i="5"/>
  <c r="J377" i="5"/>
  <c r="AO376" i="5"/>
  <c r="J376" i="5"/>
  <c r="AO375" i="5"/>
  <c r="J375" i="5"/>
  <c r="AO374" i="5"/>
  <c r="J374" i="5"/>
  <c r="AO373" i="5"/>
  <c r="J373" i="5"/>
  <c r="AO372" i="5"/>
  <c r="J372" i="5"/>
  <c r="AO371" i="5"/>
  <c r="J371" i="5"/>
  <c r="AO370" i="5"/>
  <c r="J370" i="5"/>
  <c r="AO369" i="5"/>
  <c r="J369" i="5"/>
  <c r="AO368" i="5"/>
  <c r="J368" i="5"/>
  <c r="AO367" i="5"/>
  <c r="J367" i="5"/>
  <c r="AO366" i="5"/>
  <c r="J366" i="5"/>
  <c r="AO365" i="5"/>
  <c r="J365" i="5"/>
  <c r="AO364" i="5"/>
  <c r="J364" i="5"/>
  <c r="AO363" i="5"/>
  <c r="J363" i="5"/>
  <c r="AO362" i="5"/>
  <c r="J362" i="5"/>
  <c r="AO361" i="5"/>
  <c r="J361" i="5"/>
  <c r="AO360" i="5"/>
  <c r="J360" i="5"/>
  <c r="AO359" i="5"/>
  <c r="J359" i="5"/>
  <c r="AO358" i="5"/>
  <c r="J358" i="5"/>
  <c r="AO357" i="5"/>
  <c r="J357" i="5"/>
  <c r="AO356" i="5"/>
  <c r="J356" i="5"/>
  <c r="AO355" i="5"/>
  <c r="J355" i="5"/>
  <c r="AO354" i="5"/>
  <c r="J354" i="5"/>
  <c r="AO353" i="5"/>
  <c r="J353" i="5"/>
  <c r="AO352" i="5"/>
  <c r="J352" i="5"/>
  <c r="AO351" i="5"/>
  <c r="J351" i="5"/>
  <c r="AO350" i="5"/>
  <c r="J350" i="5"/>
  <c r="AO349" i="5"/>
  <c r="J349" i="5"/>
  <c r="AO348" i="5"/>
  <c r="J348" i="5"/>
  <c r="AO347" i="5"/>
  <c r="J347" i="5"/>
  <c r="AO346" i="5"/>
  <c r="J346" i="5"/>
  <c r="AO345" i="5"/>
  <c r="J345" i="5"/>
  <c r="AO344" i="5"/>
  <c r="J344" i="5"/>
  <c r="AO343" i="5"/>
  <c r="J343" i="5"/>
  <c r="AO342" i="5"/>
  <c r="J342" i="5"/>
  <c r="AO341" i="5"/>
  <c r="J341" i="5"/>
  <c r="AO340" i="5"/>
  <c r="J340" i="5"/>
  <c r="AO339" i="5"/>
  <c r="J339" i="5"/>
  <c r="AO338" i="5"/>
  <c r="J338" i="5"/>
  <c r="AO337" i="5"/>
  <c r="J337" i="5"/>
  <c r="AO336" i="5"/>
  <c r="J336" i="5"/>
  <c r="AO335" i="5"/>
  <c r="J335" i="5"/>
  <c r="AO334" i="5"/>
  <c r="J334" i="5"/>
  <c r="AO333" i="5"/>
  <c r="J333" i="5"/>
  <c r="AO332" i="5"/>
  <c r="J332" i="5"/>
  <c r="AO331" i="5"/>
  <c r="J331" i="5"/>
  <c r="AO330" i="5"/>
  <c r="J330" i="5"/>
  <c r="AO329" i="5"/>
  <c r="J329" i="5"/>
  <c r="AO328" i="5"/>
  <c r="J328" i="5"/>
  <c r="AO327" i="5"/>
  <c r="J327" i="5"/>
  <c r="AO326" i="5"/>
  <c r="J326" i="5"/>
  <c r="AO325" i="5"/>
  <c r="J325" i="5"/>
  <c r="AO324" i="5"/>
  <c r="J324" i="5"/>
  <c r="AQ324" i="5" s="1"/>
  <c r="AO323" i="5"/>
  <c r="J323" i="5"/>
  <c r="AO322" i="5"/>
  <c r="J322" i="5"/>
  <c r="AB322" i="5" s="1" a="1"/>
  <c r="AB322" i="5" s="1"/>
  <c r="AO321" i="5"/>
  <c r="J321" i="5"/>
  <c r="AO320" i="5"/>
  <c r="J320" i="5"/>
  <c r="AO319" i="5"/>
  <c r="J319" i="5"/>
  <c r="AO318" i="5"/>
  <c r="J318" i="5"/>
  <c r="AB318" i="5" s="1" a="1"/>
  <c r="AB318" i="5" s="1"/>
  <c r="AO317" i="5"/>
  <c r="J317" i="5"/>
  <c r="AO316" i="5"/>
  <c r="J316" i="5"/>
  <c r="AO315" i="5"/>
  <c r="J315" i="5"/>
  <c r="AO314" i="5"/>
  <c r="J314" i="5"/>
  <c r="AB314" i="5" s="1" a="1"/>
  <c r="AB314" i="5" s="1"/>
  <c r="AO313" i="5"/>
  <c r="J313" i="5"/>
  <c r="AO312" i="5"/>
  <c r="J312" i="5"/>
  <c r="AO311" i="5"/>
  <c r="J311" i="5"/>
  <c r="AO310" i="5"/>
  <c r="J310" i="5"/>
  <c r="AB310" i="5" s="1" a="1"/>
  <c r="AO309" i="5"/>
  <c r="J309" i="5"/>
  <c r="AO308" i="5"/>
  <c r="J308" i="5"/>
  <c r="AO307" i="5"/>
  <c r="J307" i="5"/>
  <c r="AO306" i="5"/>
  <c r="J306" i="5"/>
  <c r="AB306" i="5" s="1" a="1"/>
  <c r="AO305" i="5"/>
  <c r="J305" i="5"/>
  <c r="AO304" i="5"/>
  <c r="J304" i="5"/>
  <c r="AO303" i="5"/>
  <c r="J303" i="5"/>
  <c r="AO302" i="5"/>
  <c r="J302" i="5"/>
  <c r="AB302" i="5" s="1" a="1"/>
  <c r="AO301" i="5"/>
  <c r="J301" i="5"/>
  <c r="AO300" i="5"/>
  <c r="J300" i="5"/>
  <c r="AO299" i="5"/>
  <c r="J299" i="5"/>
  <c r="AO298" i="5"/>
  <c r="J298" i="5"/>
  <c r="AB298" i="5" s="1" a="1"/>
  <c r="AO297" i="5"/>
  <c r="J297" i="5"/>
  <c r="AO296" i="5"/>
  <c r="J296" i="5"/>
  <c r="AO295" i="5"/>
  <c r="J295" i="5"/>
  <c r="AO294" i="5"/>
  <c r="J294" i="5"/>
  <c r="AB294" i="5" s="1" a="1"/>
  <c r="AB294" i="5" s="1"/>
  <c r="AQ294" i="5" s="1"/>
  <c r="AO293" i="5"/>
  <c r="J293" i="5"/>
  <c r="AO292" i="5"/>
  <c r="J292" i="5"/>
  <c r="AO291" i="5"/>
  <c r="J291" i="5"/>
  <c r="AO290" i="5"/>
  <c r="J290" i="5"/>
  <c r="AB290" i="5" s="1" a="1"/>
  <c r="AO289" i="5"/>
  <c r="J289" i="5"/>
  <c r="AO288" i="5"/>
  <c r="J288" i="5"/>
  <c r="AO287" i="5"/>
  <c r="J287" i="5"/>
  <c r="AO286" i="5"/>
  <c r="J286" i="5"/>
  <c r="AB286" i="5" s="1" a="1"/>
  <c r="AO285" i="5"/>
  <c r="J285" i="5"/>
  <c r="AO284" i="5"/>
  <c r="J284" i="5"/>
  <c r="AO283" i="5"/>
  <c r="J283" i="5"/>
  <c r="AO282" i="5"/>
  <c r="J282" i="5"/>
  <c r="AB282" i="5" s="1" a="1"/>
  <c r="AO281" i="5"/>
  <c r="J281" i="5"/>
  <c r="AO280" i="5"/>
  <c r="J280" i="5"/>
  <c r="AO279" i="5"/>
  <c r="J279" i="5"/>
  <c r="AO278" i="5"/>
  <c r="J278" i="5"/>
  <c r="AB278" i="5" s="1" a="1"/>
  <c r="AB278" i="5" s="1"/>
  <c r="AO277" i="5"/>
  <c r="J277" i="5"/>
  <c r="AO276" i="5"/>
  <c r="J276" i="5"/>
  <c r="AO275" i="5"/>
  <c r="J275" i="5"/>
  <c r="AO274" i="5"/>
  <c r="J274" i="5"/>
  <c r="AB274" i="5" s="1" a="1"/>
  <c r="AB274" i="5" s="1"/>
  <c r="AO273" i="5"/>
  <c r="J273" i="5"/>
  <c r="AB273" i="5" s="1" a="1"/>
  <c r="AB273" i="5" s="1"/>
  <c r="AQ273" i="5" s="1"/>
  <c r="AO272" i="5"/>
  <c r="J272" i="5"/>
  <c r="AO271" i="5"/>
  <c r="J271" i="5"/>
  <c r="AO270" i="5"/>
  <c r="J270" i="5"/>
  <c r="AB270" i="5" s="1" a="1"/>
  <c r="AO269" i="5"/>
  <c r="J269" i="5"/>
  <c r="AO268" i="5"/>
  <c r="J268" i="5"/>
  <c r="AO267" i="5"/>
  <c r="J267" i="5"/>
  <c r="AO266" i="5"/>
  <c r="J266" i="5"/>
  <c r="AB266" i="5" s="1" a="1"/>
  <c r="AO265" i="5"/>
  <c r="J265" i="5"/>
  <c r="AB265" i="5" s="1" a="1"/>
  <c r="AO264" i="5"/>
  <c r="J264" i="5"/>
  <c r="AO263" i="5"/>
  <c r="J263" i="5"/>
  <c r="AO262" i="5"/>
  <c r="J262" i="5"/>
  <c r="AB262" i="5" s="1" a="1"/>
  <c r="AO261" i="5"/>
  <c r="J261" i="5"/>
  <c r="AB261" i="5" s="1" a="1"/>
  <c r="AB261" i="5" s="1"/>
  <c r="AO260" i="5"/>
  <c r="J260" i="5"/>
  <c r="AO259" i="5"/>
  <c r="J259" i="5"/>
  <c r="AO258" i="5"/>
  <c r="J258" i="5"/>
  <c r="AO257" i="5"/>
  <c r="J257" i="5"/>
  <c r="AO256" i="5"/>
  <c r="J256" i="5"/>
  <c r="AO255" i="5"/>
  <c r="J255" i="5"/>
  <c r="AO254" i="5"/>
  <c r="J254" i="5"/>
  <c r="AB254" i="5" s="1" a="1"/>
  <c r="AB254" i="5" s="1"/>
  <c r="AO253" i="5"/>
  <c r="J253" i="5"/>
  <c r="AB253" i="5" s="1" a="1"/>
  <c r="AB253" i="5" s="1"/>
  <c r="AQ253" i="5" s="1"/>
  <c r="AO252" i="5"/>
  <c r="J252" i="5"/>
  <c r="AO251" i="5"/>
  <c r="J251" i="5"/>
  <c r="AO250" i="5"/>
  <c r="J250" i="5"/>
  <c r="AB250" i="5" s="1" a="1"/>
  <c r="AB250" i="5" s="1"/>
  <c r="AO249" i="5"/>
  <c r="J249" i="5"/>
  <c r="AB249" i="5" s="1" a="1"/>
  <c r="AB249" i="5" s="1"/>
  <c r="AO248" i="5"/>
  <c r="J248" i="5"/>
  <c r="AO247" i="5"/>
  <c r="J247" i="5"/>
  <c r="AO246" i="5"/>
  <c r="J246" i="5"/>
  <c r="AB246" i="5" s="1" a="1"/>
  <c r="AO245" i="5"/>
  <c r="J245" i="5"/>
  <c r="AB245" i="5" s="1" a="1"/>
  <c r="AO244" i="5"/>
  <c r="J244" i="5"/>
  <c r="AO243" i="5"/>
  <c r="J243" i="5"/>
  <c r="AO242" i="5"/>
  <c r="J242" i="5"/>
  <c r="AO241" i="5"/>
  <c r="J241" i="5"/>
  <c r="AB241" i="5" s="1" a="1"/>
  <c r="AB241" i="5" s="1"/>
  <c r="AO240" i="5"/>
  <c r="J240" i="5"/>
  <c r="AO239" i="5"/>
  <c r="AB239" i="5" s="1" a="1"/>
  <c r="AB239" i="5" s="1"/>
  <c r="AO238" i="5"/>
  <c r="AO237" i="5"/>
  <c r="AB237" i="5" s="1" a="1"/>
  <c r="AB237" i="5" s="1"/>
  <c r="AO236" i="5"/>
  <c r="AO235" i="5"/>
  <c r="J235" i="5"/>
  <c r="AB235" i="5" s="1" a="1"/>
  <c r="AB235" i="5" s="1"/>
  <c r="AO234" i="5"/>
  <c r="J234" i="5"/>
  <c r="AO233" i="5"/>
  <c r="J233" i="5"/>
  <c r="AB233" i="5" s="1" a="1"/>
  <c r="AB233" i="5" s="1"/>
  <c r="AO232" i="5"/>
  <c r="J232" i="5"/>
  <c r="AO231" i="5"/>
  <c r="J231" i="5"/>
  <c r="AB231" i="5" s="1" a="1"/>
  <c r="AO230" i="5"/>
  <c r="J230" i="5"/>
  <c r="AO229" i="5"/>
  <c r="J229" i="5"/>
  <c r="AO228" i="5"/>
  <c r="J228" i="5"/>
  <c r="AO227" i="5"/>
  <c r="J227" i="5"/>
  <c r="AO226" i="5"/>
  <c r="J226" i="5"/>
  <c r="AO225" i="5"/>
  <c r="J225" i="5"/>
  <c r="AB225" i="5" s="1" a="1"/>
  <c r="AB225" i="5" s="1"/>
  <c r="AO224" i="5"/>
  <c r="J224" i="5"/>
  <c r="AO223" i="5"/>
  <c r="J223" i="5"/>
  <c r="AO222" i="5"/>
  <c r="J222" i="5"/>
  <c r="AO221" i="5"/>
  <c r="J221" i="5"/>
  <c r="AO220" i="5"/>
  <c r="J220" i="5"/>
  <c r="AO219" i="5"/>
  <c r="J219" i="5"/>
  <c r="AB219" i="5" s="1" a="1"/>
  <c r="AB219" i="5" s="1"/>
  <c r="AO218" i="5"/>
  <c r="J218" i="5"/>
  <c r="AO217" i="5"/>
  <c r="J217" i="5"/>
  <c r="AB217" i="5" s="1" a="1"/>
  <c r="AO216" i="5"/>
  <c r="J216" i="5"/>
  <c r="AO215" i="5"/>
  <c r="J215" i="5"/>
  <c r="AB215" i="5" s="1" a="1"/>
  <c r="AB215" i="5" s="1"/>
  <c r="AO214" i="5"/>
  <c r="J214" i="5"/>
  <c r="AO213" i="5"/>
  <c r="J213" i="5"/>
  <c r="AB213" i="5" s="1" a="1"/>
  <c r="AO212" i="5"/>
  <c r="J212" i="5"/>
  <c r="AO211" i="5"/>
  <c r="J211" i="5"/>
  <c r="AB211" i="5" s="1" a="1"/>
  <c r="AB211" i="5" s="1"/>
  <c r="AO210" i="5"/>
  <c r="J210" i="5"/>
  <c r="AO209" i="5"/>
  <c r="J209" i="5"/>
  <c r="AO208" i="5"/>
  <c r="J208" i="5"/>
  <c r="AO207" i="5"/>
  <c r="J207" i="5"/>
  <c r="AB207" i="5" s="1" a="1"/>
  <c r="AB207" i="5" s="1"/>
  <c r="AQ207" i="5" s="1"/>
  <c r="AO206" i="5"/>
  <c r="J206" i="5"/>
  <c r="AO205" i="5"/>
  <c r="AO204" i="5"/>
  <c r="AO203" i="5"/>
  <c r="AO202" i="5"/>
  <c r="J202" i="5"/>
  <c r="AB202" i="5" s="1" a="1"/>
  <c r="AB202" i="5" s="1"/>
  <c r="AO201" i="5"/>
  <c r="J201" i="5"/>
  <c r="AO200" i="5"/>
  <c r="J200" i="5"/>
  <c r="AB200" i="5" s="1" a="1"/>
  <c r="AB200" i="5" s="1"/>
  <c r="AQ200" i="5" s="1"/>
  <c r="AO199" i="5"/>
  <c r="J199" i="5"/>
  <c r="AO198" i="5"/>
  <c r="J198" i="5"/>
  <c r="AO197" i="5"/>
  <c r="J197" i="5"/>
  <c r="AO196" i="5"/>
  <c r="J196" i="5"/>
  <c r="AB196" i="5" s="1" a="1"/>
  <c r="AO195" i="5"/>
  <c r="J195" i="5"/>
  <c r="AO194" i="5"/>
  <c r="J194" i="5"/>
  <c r="AB194" i="5" s="1" a="1"/>
  <c r="AB194" i="5" s="1"/>
  <c r="AO193" i="5"/>
  <c r="J193" i="5"/>
  <c r="AB193" i="5" s="1" a="1"/>
  <c r="AB193" i="5" s="1"/>
  <c r="AO192" i="5"/>
  <c r="J192" i="5"/>
  <c r="AO191" i="5"/>
  <c r="J191" i="5"/>
  <c r="AO190" i="5"/>
  <c r="J190" i="5"/>
  <c r="AB190" i="5" s="1" a="1"/>
  <c r="AB190" i="5" s="1"/>
  <c r="AO189" i="5"/>
  <c r="J189" i="5"/>
  <c r="AO188" i="5"/>
  <c r="J188" i="5"/>
  <c r="AO187" i="5"/>
  <c r="J187" i="5"/>
  <c r="AO186" i="5"/>
  <c r="J186" i="5"/>
  <c r="AO185" i="5"/>
  <c r="J185" i="5"/>
  <c r="AO184" i="5"/>
  <c r="J184" i="5"/>
  <c r="AB184" i="5" s="1" a="1"/>
  <c r="AB184" i="5" s="1"/>
  <c r="AQ184" i="5" s="1"/>
  <c r="AO183" i="5"/>
  <c r="J183" i="5"/>
  <c r="AO182" i="5"/>
  <c r="J182" i="5"/>
  <c r="AB182" i="5" s="1" a="1"/>
  <c r="AB182" i="5" s="1"/>
  <c r="AO181" i="5"/>
  <c r="J181" i="5"/>
  <c r="AB181" i="5" s="1" a="1"/>
  <c r="AB181" i="5" s="1"/>
  <c r="AO180" i="5"/>
  <c r="J180" i="5"/>
  <c r="AO179" i="5"/>
  <c r="J179" i="5"/>
  <c r="AO178" i="5"/>
  <c r="J178" i="5"/>
  <c r="AO177" i="5"/>
  <c r="J177" i="5"/>
  <c r="AO176" i="5"/>
  <c r="J176" i="5"/>
  <c r="AB176" i="5" s="1" a="1"/>
  <c r="AO175" i="5"/>
  <c r="J175" i="5"/>
  <c r="AO174" i="5"/>
  <c r="J174" i="5"/>
  <c r="AB174" i="5" s="1" a="1"/>
  <c r="AB174" i="5" s="1"/>
  <c r="AO173" i="5"/>
  <c r="J173" i="5"/>
  <c r="AO172" i="5"/>
  <c r="J172" i="5"/>
  <c r="AO171" i="5"/>
  <c r="J171" i="5"/>
  <c r="AO170" i="5"/>
  <c r="J170" i="5"/>
  <c r="AB170" i="5" s="1" a="1"/>
  <c r="AB170" i="5" s="1"/>
  <c r="AO169" i="5"/>
  <c r="J169" i="5"/>
  <c r="AO168" i="5"/>
  <c r="J168" i="5"/>
  <c r="AB168" i="5" s="1" a="1"/>
  <c r="AO167" i="5"/>
  <c r="J167" i="5"/>
  <c r="AO166" i="5"/>
  <c r="J166" i="5"/>
  <c r="AB166" i="5" s="1" a="1"/>
  <c r="AB166" i="5" s="1"/>
  <c r="AQ166" i="5" s="1"/>
  <c r="AO165" i="5"/>
  <c r="J165" i="5"/>
  <c r="AB165" i="5" s="1" a="1"/>
  <c r="AB165" i="5" s="1"/>
  <c r="AO164" i="5"/>
  <c r="J164" i="5"/>
  <c r="AB164" i="5" s="1" a="1"/>
  <c r="AB164" i="5" s="1"/>
  <c r="AO163" i="5"/>
  <c r="J163" i="5"/>
  <c r="AO162" i="5"/>
  <c r="J162" i="5"/>
  <c r="AB162" i="5" s="1" a="1"/>
  <c r="AB162" i="5" s="1"/>
  <c r="AQ162" i="5" s="1"/>
  <c r="AO161" i="5"/>
  <c r="J161" i="5"/>
  <c r="AB161" i="5" s="1" a="1"/>
  <c r="AB161" i="5" s="1"/>
  <c r="AQ161" i="5" s="1"/>
  <c r="AO160" i="5"/>
  <c r="J160" i="5"/>
  <c r="AB160" i="5" s="1" a="1"/>
  <c r="AB160" i="5" s="1"/>
  <c r="AO159" i="5"/>
  <c r="J159" i="5"/>
  <c r="AO158" i="5"/>
  <c r="J158" i="5"/>
  <c r="AB158" i="5" s="1" a="1"/>
  <c r="AB158" i="5" s="1"/>
  <c r="AO157" i="5"/>
  <c r="J157" i="5"/>
  <c r="AB157" i="5" s="1" a="1"/>
  <c r="AB157" i="5" s="1"/>
  <c r="AO156" i="5"/>
  <c r="J156" i="5"/>
  <c r="AB156" i="5" s="1" a="1"/>
  <c r="AB156" i="5" s="1"/>
  <c r="AQ156" i="5" s="1"/>
  <c r="AO155" i="5"/>
  <c r="J155" i="5"/>
  <c r="AO154" i="5"/>
  <c r="J154" i="5"/>
  <c r="AB154" i="5" s="1" a="1"/>
  <c r="AB154" i="5" s="1"/>
  <c r="AQ154" i="5" s="1"/>
  <c r="AO153" i="5"/>
  <c r="J153" i="5"/>
  <c r="AB153" i="5" s="1" a="1"/>
  <c r="AB153" i="5" s="1"/>
  <c r="AO152" i="5"/>
  <c r="J152" i="5"/>
  <c r="AB152" i="5" s="1" a="1"/>
  <c r="AB152" i="5" s="1"/>
  <c r="AQ152" i="5" s="1"/>
  <c r="AO151" i="5"/>
  <c r="J151" i="5"/>
  <c r="AO150" i="5"/>
  <c r="J150" i="5"/>
  <c r="AB150" i="5" s="1" a="1"/>
  <c r="AB150" i="5" s="1"/>
  <c r="AQ150" i="5" s="1"/>
  <c r="AO149" i="5"/>
  <c r="J149" i="5"/>
  <c r="AB149" i="5" s="1" a="1"/>
  <c r="AB149" i="5" s="1"/>
  <c r="AQ149" i="5" s="1"/>
  <c r="AO148" i="5"/>
  <c r="J148" i="5"/>
  <c r="AB148" i="5" s="1" a="1"/>
  <c r="AB148" i="5" s="1"/>
  <c r="AQ148" i="5" s="1"/>
  <c r="AO147" i="5"/>
  <c r="J147" i="5"/>
  <c r="AO146" i="5"/>
  <c r="J146" i="5"/>
  <c r="AB146" i="5" s="1" a="1"/>
  <c r="AB146" i="5" s="1"/>
  <c r="AO145" i="5"/>
  <c r="J145" i="5"/>
  <c r="AB145" i="5" s="1" a="1"/>
  <c r="AO144" i="5"/>
  <c r="J144" i="5"/>
  <c r="AB144" i="5" s="1" a="1"/>
  <c r="AO143" i="5"/>
  <c r="J143" i="5"/>
  <c r="AO142" i="5"/>
  <c r="J142" i="5"/>
  <c r="AB142" i="5" s="1" a="1"/>
  <c r="AB142" i="5" s="1"/>
  <c r="AO141" i="5"/>
  <c r="J141" i="5"/>
  <c r="AB141" i="5" s="1" a="1"/>
  <c r="AB141" i="5" s="1"/>
  <c r="AO140" i="5"/>
  <c r="J140" i="5"/>
  <c r="AB140" i="5" s="1" a="1"/>
  <c r="AB140" i="5" s="1"/>
  <c r="AQ140" i="5" s="1"/>
  <c r="AO139" i="5"/>
  <c r="J139" i="5"/>
  <c r="AO138" i="5"/>
  <c r="J138" i="5"/>
  <c r="AO137" i="5"/>
  <c r="J137" i="5"/>
  <c r="AB137" i="5" s="1" a="1"/>
  <c r="AB137" i="5" s="1"/>
  <c r="AO136" i="5"/>
  <c r="J136" i="5"/>
  <c r="AO135" i="5"/>
  <c r="J135" i="5"/>
  <c r="AO134" i="5"/>
  <c r="J134" i="5"/>
  <c r="AB134" i="5" s="1" a="1"/>
  <c r="AB134" i="5" s="1"/>
  <c r="AO133" i="5"/>
  <c r="J133" i="5"/>
  <c r="AB133" i="5" s="1" a="1"/>
  <c r="AO132" i="5"/>
  <c r="J132" i="5"/>
  <c r="AB132" i="5" s="1" a="1"/>
  <c r="AO131" i="5"/>
  <c r="J131" i="5"/>
  <c r="AO130" i="5"/>
  <c r="J130" i="5"/>
  <c r="AB130" i="5" s="1" a="1"/>
  <c r="AB130" i="5" s="1"/>
  <c r="AO129" i="5"/>
  <c r="J129" i="5"/>
  <c r="AB129" i="5" s="1" a="1"/>
  <c r="AO128" i="5"/>
  <c r="J128" i="5"/>
  <c r="AB128" i="5" s="1" a="1"/>
  <c r="AB128" i="5" s="1"/>
  <c r="AO127" i="5"/>
  <c r="J127" i="5"/>
  <c r="AO126" i="5"/>
  <c r="J126" i="5"/>
  <c r="AB126" i="5" s="1" a="1"/>
  <c r="AB126" i="5" s="1"/>
  <c r="AO125" i="5"/>
  <c r="J125" i="5"/>
  <c r="AB125" i="5" s="1" a="1"/>
  <c r="AB125" i="5" s="1"/>
  <c r="AO124" i="5"/>
  <c r="J124" i="5"/>
  <c r="AB124" i="5" s="1" a="1"/>
  <c r="AB124" i="5" s="1"/>
  <c r="AO123" i="5"/>
  <c r="J123" i="5"/>
  <c r="AO122" i="5"/>
  <c r="J122" i="5"/>
  <c r="AB122" i="5" s="1" a="1"/>
  <c r="AB122" i="5" s="1"/>
  <c r="AO121" i="5"/>
  <c r="J121" i="5"/>
  <c r="AB121" i="5" s="1" a="1"/>
  <c r="AO120" i="5"/>
  <c r="J120" i="5"/>
  <c r="AO119" i="5"/>
  <c r="J119" i="5"/>
  <c r="AO118" i="5"/>
  <c r="J118" i="5"/>
  <c r="AB118" i="5" s="1" a="1"/>
  <c r="AB118" i="5" s="1"/>
  <c r="AO117" i="5"/>
  <c r="J117" i="5"/>
  <c r="AB117" i="5" s="1" a="1"/>
  <c r="AB117" i="5" s="1"/>
  <c r="AQ117" i="5" s="1"/>
  <c r="AO116" i="5"/>
  <c r="J116" i="5"/>
  <c r="AB116" i="5" s="1" a="1"/>
  <c r="AB116" i="5" s="1"/>
  <c r="AQ116" i="5" s="1"/>
  <c r="AO115" i="5"/>
  <c r="J115" i="5"/>
  <c r="AO114" i="5"/>
  <c r="J114" i="5"/>
  <c r="AB114" i="5" s="1" a="1"/>
  <c r="AB114" i="5" s="1"/>
  <c r="AQ114" i="5" s="1"/>
  <c r="AO113" i="5"/>
  <c r="J113" i="5"/>
  <c r="AB113" i="5" s="1" a="1"/>
  <c r="AB113" i="5" s="1"/>
  <c r="AO112" i="5"/>
  <c r="J112" i="5"/>
  <c r="AB112" i="5" s="1" a="1"/>
  <c r="AB112" i="5" s="1"/>
  <c r="AO111" i="5"/>
  <c r="J111" i="5"/>
  <c r="AO110" i="5"/>
  <c r="J110" i="5"/>
  <c r="AB110" i="5" s="1" a="1"/>
  <c r="AB110" i="5" s="1"/>
  <c r="AQ110" i="5" s="1"/>
  <c r="AO109" i="5"/>
  <c r="J109" i="5"/>
  <c r="AB109" i="5" s="1" a="1"/>
  <c r="AO108" i="5"/>
  <c r="J108" i="5"/>
  <c r="AB108" i="5" s="1" a="1"/>
  <c r="AB108" i="5" s="1"/>
  <c r="AO107" i="5"/>
  <c r="J107" i="5"/>
  <c r="AO106" i="5"/>
  <c r="J106" i="5"/>
  <c r="AO105" i="5"/>
  <c r="J105" i="5"/>
  <c r="AO104" i="5"/>
  <c r="J104" i="5"/>
  <c r="AB104" i="5" s="1" a="1"/>
  <c r="AB104" i="5" s="1"/>
  <c r="AQ104" i="5" s="1"/>
  <c r="AO103" i="5"/>
  <c r="J103" i="5"/>
  <c r="AO102" i="5"/>
  <c r="J102" i="5"/>
  <c r="AB102" i="5" s="1" a="1"/>
  <c r="AB102" i="5" s="1"/>
  <c r="AO101" i="5"/>
  <c r="J101" i="5"/>
  <c r="AB101" i="5" s="1" a="1"/>
  <c r="AB101" i="5" s="1"/>
  <c r="AQ101" i="5" s="1"/>
  <c r="AO100" i="5"/>
  <c r="J100" i="5"/>
  <c r="AB100" i="5" s="1" a="1"/>
  <c r="AB100" i="5" s="1"/>
  <c r="AO99" i="5"/>
  <c r="J99" i="5"/>
  <c r="AO98" i="5"/>
  <c r="J98" i="5"/>
  <c r="AO97" i="5"/>
  <c r="J97" i="5"/>
  <c r="AB97" i="5" s="1" a="1"/>
  <c r="AB97" i="5" s="1"/>
  <c r="AO96" i="5"/>
  <c r="J96" i="5"/>
  <c r="AB96" i="5" s="1" a="1"/>
  <c r="AO95" i="5"/>
  <c r="J95" i="5"/>
  <c r="AO94" i="5"/>
  <c r="J94" i="5"/>
  <c r="AB94" i="5" s="1" a="1"/>
  <c r="AB94" i="5" s="1"/>
  <c r="AO93" i="5"/>
  <c r="J93" i="5"/>
  <c r="AB93" i="5" s="1" a="1"/>
  <c r="AO92" i="5"/>
  <c r="J92" i="5"/>
  <c r="AB92" i="5" s="1" a="1"/>
  <c r="AB92" i="5" s="1"/>
  <c r="AQ92" i="5" s="1"/>
  <c r="AO91" i="5"/>
  <c r="J91" i="5"/>
  <c r="AO90" i="5"/>
  <c r="J90" i="5"/>
  <c r="AB90" i="5" s="1" a="1"/>
  <c r="AB90" i="5" s="1"/>
  <c r="AQ90" i="5" s="1"/>
  <c r="AO89" i="5"/>
  <c r="J89" i="5"/>
  <c r="AB89" i="5" s="1" a="1"/>
  <c r="AB89" i="5" s="1"/>
  <c r="AO88" i="5"/>
  <c r="J88" i="5"/>
  <c r="AB88" i="5" s="1" a="1"/>
  <c r="AB88" i="5" s="1"/>
  <c r="AQ88" i="5" s="1"/>
  <c r="AO87" i="5"/>
  <c r="J87" i="5"/>
  <c r="AO86" i="5"/>
  <c r="J86" i="5"/>
  <c r="AB86" i="5" s="1" a="1"/>
  <c r="AB86" i="5" s="1"/>
  <c r="AO85" i="5"/>
  <c r="J85" i="5"/>
  <c r="AB85" i="5" s="1" a="1"/>
  <c r="AB85" i="5" s="1"/>
  <c r="AQ85" i="5" s="1"/>
  <c r="AO84" i="5"/>
  <c r="J84" i="5"/>
  <c r="AB84" i="5" s="1" a="1"/>
  <c r="AB84" i="5" s="1"/>
  <c r="AO83" i="5"/>
  <c r="J83" i="5"/>
  <c r="AB83" i="5" s="1" a="1"/>
  <c r="AB83" i="5" s="1"/>
  <c r="AO82" i="5"/>
  <c r="J82" i="5"/>
  <c r="AB82" i="5" s="1" a="1"/>
  <c r="AB82" i="5" s="1"/>
  <c r="AQ82" i="5" s="1"/>
  <c r="AO81" i="5"/>
  <c r="J81" i="5"/>
  <c r="AB81" i="5" s="1" a="1"/>
  <c r="AO80" i="5"/>
  <c r="J80" i="5"/>
  <c r="AB80" i="5" s="1" a="1"/>
  <c r="AB80" i="5" s="1"/>
  <c r="AQ80" i="5" s="1"/>
  <c r="AO79" i="5"/>
  <c r="J79" i="5"/>
  <c r="AB79" i="5" s="1" a="1"/>
  <c r="AO78" i="5"/>
  <c r="J78" i="5"/>
  <c r="AB78" i="5" s="1" a="1"/>
  <c r="AB78" i="5" s="1"/>
  <c r="AO77" i="5"/>
  <c r="J77" i="5"/>
  <c r="AB77" i="5" s="1" a="1"/>
  <c r="AB77" i="5" s="1"/>
  <c r="AO76" i="5"/>
  <c r="J76" i="5"/>
  <c r="AB76" i="5" s="1" a="1"/>
  <c r="AB76" i="5" s="1"/>
  <c r="AO75" i="5"/>
  <c r="J75" i="5"/>
  <c r="AB75" i="5" s="1" a="1"/>
  <c r="AO74" i="5"/>
  <c r="J74" i="5"/>
  <c r="AB74" i="5" s="1" a="1"/>
  <c r="AB74" i="5" s="1"/>
  <c r="AO73" i="5"/>
  <c r="J73" i="5"/>
  <c r="AB73" i="5" s="1" a="1"/>
  <c r="AO72" i="5"/>
  <c r="J72" i="5"/>
  <c r="AB72" i="5" s="1" a="1"/>
  <c r="AB72" i="5" s="1"/>
  <c r="AO71" i="5"/>
  <c r="J71" i="5"/>
  <c r="AB71" i="5" s="1" a="1"/>
  <c r="AB71" i="5" s="1"/>
  <c r="AO70" i="5"/>
  <c r="J70" i="5"/>
  <c r="AB70" i="5" s="1" a="1"/>
  <c r="AB70" i="5" s="1"/>
  <c r="AO69" i="5"/>
  <c r="J69" i="5"/>
  <c r="AB69" i="5" s="1" a="1"/>
  <c r="AB69" i="5" s="1"/>
  <c r="AQ69" i="5" s="1"/>
  <c r="AO68" i="5"/>
  <c r="J68" i="5"/>
  <c r="AO67" i="5"/>
  <c r="J67" i="5"/>
  <c r="AB67" i="5" s="1" a="1"/>
  <c r="AB67" i="5" s="1"/>
  <c r="AO66" i="5"/>
  <c r="J66" i="5"/>
  <c r="AO65" i="5"/>
  <c r="AO64" i="5"/>
  <c r="J64" i="5"/>
  <c r="AO63" i="5"/>
  <c r="J63" i="5"/>
  <c r="AO62" i="5"/>
  <c r="J62" i="5"/>
  <c r="AO61" i="5"/>
  <c r="J61" i="5"/>
  <c r="AO60" i="5"/>
  <c r="J60" i="5"/>
  <c r="AO59" i="5"/>
  <c r="J59" i="5"/>
  <c r="AO58" i="5"/>
  <c r="J58" i="5"/>
  <c r="AO57" i="5"/>
  <c r="J57" i="5"/>
  <c r="AO56" i="5"/>
  <c r="J56" i="5"/>
  <c r="AO55" i="5"/>
  <c r="J55" i="5"/>
  <c r="AO54" i="5"/>
  <c r="J54" i="5"/>
  <c r="AO53" i="5"/>
  <c r="J53" i="5"/>
  <c r="AO52" i="5"/>
  <c r="J52" i="5"/>
  <c r="AO51" i="5"/>
  <c r="J51" i="5"/>
  <c r="AO50" i="5"/>
  <c r="J50" i="5"/>
  <c r="AO49" i="5"/>
  <c r="J49" i="5"/>
  <c r="AO48" i="5"/>
  <c r="J48" i="5"/>
  <c r="AO47" i="5"/>
  <c r="J47" i="5"/>
  <c r="AB47" i="5" s="1" a="1"/>
  <c r="AB47" i="5" s="1"/>
  <c r="AQ47" i="5" s="1"/>
  <c r="AO46" i="5"/>
  <c r="J46" i="5"/>
  <c r="AO45" i="5"/>
  <c r="J45" i="5"/>
  <c r="AO44" i="5"/>
  <c r="J44" i="5"/>
  <c r="AO43" i="5"/>
  <c r="J43" i="5"/>
  <c r="AB43" i="5" s="1" a="1"/>
  <c r="AB43" i="5" s="1"/>
  <c r="AQ43" i="5" s="1"/>
  <c r="AO42" i="5"/>
  <c r="J42" i="5"/>
  <c r="AO41" i="5"/>
  <c r="J41" i="5"/>
  <c r="AO40" i="5"/>
  <c r="J40" i="5"/>
  <c r="AO39" i="5"/>
  <c r="J39" i="5"/>
  <c r="AB39" i="5" s="1" a="1"/>
  <c r="AB39" i="5" s="1"/>
  <c r="AO38" i="5"/>
  <c r="J38" i="5"/>
  <c r="AO37" i="5"/>
  <c r="J37" i="5"/>
  <c r="AO36" i="5"/>
  <c r="J36" i="5"/>
  <c r="AO35" i="5"/>
  <c r="J35" i="5"/>
  <c r="AB35" i="5" s="1" a="1"/>
  <c r="AO34" i="5"/>
  <c r="J34" i="5"/>
  <c r="AO33" i="5"/>
  <c r="J33" i="5"/>
  <c r="AO32" i="5"/>
  <c r="J32" i="5"/>
  <c r="AO31" i="5"/>
  <c r="J31" i="5"/>
  <c r="AB31" i="5" s="1" a="1"/>
  <c r="AO30" i="5"/>
  <c r="J30" i="5"/>
  <c r="AO29" i="5"/>
  <c r="J29" i="5"/>
  <c r="AO28" i="5"/>
  <c r="J28" i="5"/>
  <c r="AO27" i="5"/>
  <c r="J27" i="5"/>
  <c r="AB27" i="5" s="1" a="1"/>
  <c r="AB27" i="5" s="1"/>
  <c r="AO26" i="5"/>
  <c r="J26" i="5"/>
  <c r="AO25" i="5"/>
  <c r="J25" i="5"/>
  <c r="AO24" i="5"/>
  <c r="J24" i="5"/>
  <c r="AO23" i="5"/>
  <c r="J23" i="5"/>
  <c r="AB23" i="5" s="1" a="1"/>
  <c r="AB23" i="5" s="1"/>
  <c r="AQ23" i="5" s="1"/>
  <c r="AO22" i="5"/>
  <c r="J22" i="5"/>
  <c r="AO21" i="5"/>
  <c r="J21" i="5"/>
  <c r="AO20" i="5"/>
  <c r="J20" i="5"/>
  <c r="AO19" i="5"/>
  <c r="J19" i="5"/>
  <c r="AB19" i="5" s="1" a="1"/>
  <c r="AO18" i="5"/>
  <c r="J18" i="5"/>
  <c r="AO17" i="5"/>
  <c r="J17" i="5"/>
  <c r="AO16" i="5"/>
  <c r="J16" i="5"/>
  <c r="AO15" i="5"/>
  <c r="J15" i="5"/>
  <c r="AB15" i="5" s="1" a="1"/>
  <c r="AO14" i="5"/>
  <c r="J14" i="5"/>
  <c r="AO13" i="5"/>
  <c r="J13" i="5"/>
  <c r="AO12" i="5"/>
  <c r="J12" i="5"/>
  <c r="AO11" i="5"/>
  <c r="J11" i="5"/>
  <c r="AB11" i="5" s="1" a="1"/>
  <c r="AB11" i="5" s="1"/>
  <c r="AO10" i="5"/>
  <c r="J10" i="5"/>
  <c r="AO9" i="5"/>
  <c r="J9" i="5"/>
  <c r="AO8" i="5"/>
  <c r="J8" i="5"/>
  <c r="AO7" i="5"/>
  <c r="J7" i="5"/>
  <c r="AB7" i="5" s="1" a="1"/>
  <c r="AB7" i="5" s="1"/>
  <c r="AQ7" i="5" s="1"/>
  <c r="AO6" i="5"/>
  <c r="J6" i="5"/>
  <c r="AO5" i="5"/>
  <c r="J5" i="5"/>
  <c r="AQ158" i="5" l="1"/>
  <c r="AQ102" i="5"/>
  <c r="AQ241" i="5" s="1"/>
  <c r="AQ211" i="5"/>
  <c r="AQ323" i="5"/>
  <c r="AQ194" i="5"/>
  <c r="AQ124" i="5" s="1"/>
  <c r="AQ125" i="5" s="1"/>
  <c r="AQ83" i="5" s="1"/>
  <c r="AQ94" i="5"/>
  <c r="AQ113" i="5"/>
  <c r="AB10" i="5" a="1"/>
  <c r="AB10" i="5" s="1"/>
  <c r="AB18" i="5" a="1"/>
  <c r="AB26" i="5" a="1"/>
  <c r="AB34" i="5" a="1"/>
  <c r="AB34" i="5" s="1"/>
  <c r="AB42" i="5" a="1"/>
  <c r="AB46" i="5" a="1"/>
  <c r="AB46" i="5" s="1"/>
  <c r="AB54" i="5" a="1"/>
  <c r="AB54" i="5" s="1"/>
  <c r="AQ54" i="5" s="1"/>
  <c r="AB58" i="5" a="1"/>
  <c r="AB58" i="5" s="1"/>
  <c r="AB62" i="5" a="1"/>
  <c r="AB62" i="5" s="1"/>
  <c r="AQ62" i="5" s="1"/>
  <c r="AB231" i="5"/>
  <c r="AQ231" i="5" s="1"/>
  <c r="AQ219" i="5"/>
  <c r="AB6" i="5" a="1"/>
  <c r="AB14" i="5" a="1"/>
  <c r="AB14" i="5" s="1"/>
  <c r="AQ14" i="5" s="1"/>
  <c r="AB22" i="5" a="1"/>
  <c r="AB22" i="5" s="1"/>
  <c r="AQ22" i="5" s="1"/>
  <c r="AB30" i="5" a="1"/>
  <c r="AB38" i="5" a="1"/>
  <c r="AB50" i="5" a="1"/>
  <c r="AB50" i="5" s="1"/>
  <c r="AQ50" i="5" s="1"/>
  <c r="AB277" i="5" a="1"/>
  <c r="AB277" i="5" s="1"/>
  <c r="AQ277" i="5" s="1"/>
  <c r="AB285" i="5" a="1"/>
  <c r="AB289" i="5" a="1"/>
  <c r="AB293" i="5" a="1"/>
  <c r="AB293" i="5" s="1"/>
  <c r="AQ293" i="5" s="1"/>
  <c r="AB297" i="5" a="1"/>
  <c r="AB301" i="5" a="1"/>
  <c r="AB301" i="5" s="1"/>
  <c r="AQ301" i="5" s="1"/>
  <c r="AB305" i="5" a="1"/>
  <c r="AB309" i="5" a="1"/>
  <c r="AB313" i="5" a="1"/>
  <c r="AB313" i="5" s="1"/>
  <c r="AQ313" i="5" s="1"/>
  <c r="AB317" i="5" a="1"/>
  <c r="AB317" i="5" s="1"/>
  <c r="AQ317" i="5" s="1"/>
  <c r="AQ112" i="5" s="1"/>
  <c r="AQ181" i="5" s="1"/>
  <c r="AB321" i="5" a="1"/>
  <c r="AB321" i="5" s="1"/>
  <c r="AQ321" i="5" s="1"/>
  <c r="AQ409" i="5" s="1"/>
  <c r="AQ401" i="5"/>
  <c r="AQ399" i="5" s="1"/>
  <c r="AB87" i="5" a="1"/>
  <c r="AB91" i="5" a="1"/>
  <c r="AB91" i="5" s="1"/>
  <c r="AB95" i="5" a="1"/>
  <c r="AB99" i="5" a="1"/>
  <c r="AB99" i="5" s="1"/>
  <c r="AQ99" i="5" s="1"/>
  <c r="AB103" i="5" a="1"/>
  <c r="AB103" i="5" s="1"/>
  <c r="AB107" i="5" a="1"/>
  <c r="AB107" i="5" s="1"/>
  <c r="AQ107" i="5" s="1"/>
  <c r="AB111" i="5" a="1"/>
  <c r="AB111" i="5" s="1"/>
  <c r="AQ111" i="5" s="1"/>
  <c r="AB120" i="5" s="1" a="1"/>
  <c r="AB120" i="5" s="1"/>
  <c r="AQ120" i="5" s="1"/>
  <c r="AB119" i="5" a="1"/>
  <c r="AB119" i="5" s="1"/>
  <c r="AB123" i="5" a="1"/>
  <c r="AB127" i="5" a="1"/>
  <c r="AB127" i="5" s="1"/>
  <c r="AB131" i="5" a="1"/>
  <c r="AB139" i="5" a="1"/>
  <c r="AB139" i="5" s="1"/>
  <c r="AQ139" i="5" s="1"/>
  <c r="AQ261" i="5" s="1"/>
  <c r="AB143" i="5" a="1"/>
  <c r="AB143" i="5" s="1"/>
  <c r="AB147" i="5" a="1"/>
  <c r="AB147" i="5" s="1"/>
  <c r="AB151" i="5" a="1"/>
  <c r="AB151" i="5" s="1"/>
  <c r="AQ151" i="5" s="1"/>
  <c r="AB155" i="5" a="1"/>
  <c r="AB155" i="5" s="1"/>
  <c r="AQ155" i="5" s="1"/>
  <c r="AB159" i="5" a="1"/>
  <c r="AB159" i="5" s="1"/>
  <c r="AQ159" i="5" s="1"/>
  <c r="AB163" i="5" a="1"/>
  <c r="AB163" i="5" s="1"/>
  <c r="AB167" i="5" a="1"/>
  <c r="AB179" i="5" a="1"/>
  <c r="AB179" i="5" s="1"/>
  <c r="AB183" i="5" a="1"/>
  <c r="AB187" i="5" a="1"/>
  <c r="AB187" i="5" s="1"/>
  <c r="AB195" i="5" a="1"/>
  <c r="AB195" i="5" s="1"/>
  <c r="AB199" i="5" a="1"/>
  <c r="AB208" i="5" a="1"/>
  <c r="AB208" i="5" s="1"/>
  <c r="AB212" i="5" a="1"/>
  <c r="AB216" i="5" a="1"/>
  <c r="AB220" i="5" a="1"/>
  <c r="AB232" i="5" a="1"/>
  <c r="AB232" i="5" s="1"/>
  <c r="AB245" i="5"/>
  <c r="AQ245" i="5" s="1"/>
  <c r="AB265" i="5"/>
  <c r="AQ265" i="5" s="1"/>
  <c r="AQ383" i="5"/>
  <c r="AB382" i="5" s="1" a="1"/>
  <c r="AB382" i="5" s="1"/>
  <c r="AQ182" i="5"/>
  <c r="AB59" i="5" a="1"/>
  <c r="AB63" i="5" a="1"/>
  <c r="AB75" i="5"/>
  <c r="AQ75" i="5" s="1"/>
  <c r="AB79" i="5"/>
  <c r="AQ79" i="5" s="1"/>
  <c r="AQ134" i="5"/>
  <c r="AQ235" i="5"/>
  <c r="AB35" i="5"/>
  <c r="AQ35" i="5" s="1"/>
  <c r="AB421" i="5"/>
  <c r="AQ421" i="5" s="1"/>
  <c r="AQ237" i="5"/>
  <c r="AB236" i="5" s="1" a="1"/>
  <c r="AB246" i="5"/>
  <c r="AQ246" i="5" s="1"/>
  <c r="AB262" i="5"/>
  <c r="AQ262" i="5" s="1"/>
  <c r="AB266" i="5"/>
  <c r="AQ266" i="5" s="1"/>
  <c r="AB270" i="5"/>
  <c r="AQ270" i="5" s="1"/>
  <c r="AB282" i="5"/>
  <c r="AQ282" i="5" s="1"/>
  <c r="AB286" i="5"/>
  <c r="AQ286" i="5" s="1"/>
  <c r="AB290" i="5"/>
  <c r="AQ290" i="5" s="1"/>
  <c r="AB298" i="5"/>
  <c r="AQ298" i="5" s="1"/>
  <c r="AB302" i="5"/>
  <c r="AQ302" i="5" s="1"/>
  <c r="AB306" i="5"/>
  <c r="AQ306" i="5" s="1"/>
  <c r="AB310" i="5"/>
  <c r="AQ310" i="5" s="1"/>
  <c r="AQ397" i="5"/>
  <c r="AQ396" i="5" s="1"/>
  <c r="AQ395" i="5" s="1"/>
  <c r="AQ374" i="5" s="1"/>
  <c r="AQ373" i="5" s="1"/>
  <c r="AQ372" i="5" s="1"/>
  <c r="AQ371" i="5" s="1"/>
  <c r="AQ394" i="5" s="1"/>
  <c r="AQ370" i="5" s="1"/>
  <c r="AQ369" i="5" s="1"/>
  <c r="AQ393" i="5" s="1"/>
  <c r="AQ392" i="5" s="1"/>
  <c r="AQ375" i="5" s="1"/>
  <c r="AQ367" i="5" s="1"/>
  <c r="AQ368" i="5" s="1"/>
  <c r="AQ366" i="5" s="1"/>
  <c r="AQ365" i="5" s="1"/>
  <c r="AQ364" i="5" s="1"/>
  <c r="AQ363" i="5" s="1"/>
  <c r="AQ362" i="5" s="1"/>
  <c r="AQ361" i="5" s="1"/>
  <c r="AQ360" i="5" s="1"/>
  <c r="AQ359" i="5" s="1"/>
  <c r="AQ358" i="5" s="1"/>
  <c r="AQ357" i="5" s="1"/>
  <c r="AQ356" i="5" s="1"/>
  <c r="AQ355" i="5" s="1"/>
  <c r="AQ354" i="5" s="1"/>
  <c r="AQ353" i="5" s="1"/>
  <c r="AQ352" i="5" s="1"/>
  <c r="AQ351" i="5" s="1"/>
  <c r="AQ349" i="5" s="1"/>
  <c r="AQ345" i="5" s="1"/>
  <c r="AQ348" i="5" s="1"/>
  <c r="AQ347" i="5" s="1"/>
  <c r="AQ346" i="5" s="1"/>
  <c r="AQ350" i="5" s="1"/>
  <c r="AQ344" i="5" s="1"/>
  <c r="AQ343" i="5" s="1"/>
  <c r="AQ342" i="5" s="1"/>
  <c r="AQ341" i="5" s="1"/>
  <c r="AQ339" i="5" s="1"/>
  <c r="AQ338" i="5" s="1"/>
  <c r="AQ340" i="5" s="1"/>
  <c r="AQ337" i="5" s="1"/>
  <c r="AQ336" i="5" s="1"/>
  <c r="AQ335" i="5" s="1"/>
  <c r="AQ334" i="5" s="1"/>
  <c r="AQ333" i="5" s="1"/>
  <c r="AQ332" i="5" s="1"/>
  <c r="AQ331" i="5" s="1"/>
  <c r="AQ330" i="5" s="1"/>
  <c r="AQ329" i="5" s="1"/>
  <c r="AQ328" i="5" s="1"/>
  <c r="AQ327" i="5" s="1"/>
  <c r="AQ70" i="5"/>
  <c r="AQ190" i="5"/>
  <c r="AQ67" i="5"/>
  <c r="AB66" i="5" s="1" a="1"/>
  <c r="AB19" i="5"/>
  <c r="AQ19" i="5" s="1"/>
  <c r="AB8" i="5" a="1"/>
  <c r="AB16" i="5" a="1"/>
  <c r="AB16" i="5" s="1"/>
  <c r="AQ16" i="5" s="1"/>
  <c r="AB24" i="5" a="1"/>
  <c r="AB24" i="5" s="1"/>
  <c r="AQ24" i="5" s="1"/>
  <c r="AQ76" i="5" s="1"/>
  <c r="AQ250" i="5" s="1"/>
  <c r="AQ72" i="5" s="1"/>
  <c r="AB36" i="5" a="1"/>
  <c r="AB40" i="5" a="1"/>
  <c r="AB40" i="5" s="1"/>
  <c r="AQ40" i="5" s="1"/>
  <c r="AB44" i="5" a="1"/>
  <c r="AB48" i="5" a="1"/>
  <c r="AB52" i="5" a="1"/>
  <c r="AB52" i="5" s="1"/>
  <c r="AQ52" i="5" s="1"/>
  <c r="AB51" i="5" s="1" a="1"/>
  <c r="AB56" i="5" a="1"/>
  <c r="AB60" i="5" a="1"/>
  <c r="AB64" i="5" a="1"/>
  <c r="AB64" i="5" s="1"/>
  <c r="AB96" i="5"/>
  <c r="AQ96" i="5" s="1"/>
  <c r="AB132" i="5"/>
  <c r="AQ132" i="5" s="1"/>
  <c r="AB144" i="5"/>
  <c r="AQ144" i="5" s="1"/>
  <c r="AB168" i="5"/>
  <c r="AQ168" i="5" s="1"/>
  <c r="AB176" i="5"/>
  <c r="AQ176" i="5" s="1"/>
  <c r="AB196" i="5"/>
  <c r="AQ196" i="5" s="1"/>
  <c r="AB213" i="5"/>
  <c r="AQ213" i="5" s="1"/>
  <c r="AB217" i="5"/>
  <c r="AQ217" i="5" s="1"/>
  <c r="AB425" i="5" a="1"/>
  <c r="AQ142" i="5"/>
  <c r="AQ215" i="5"/>
  <c r="AQ27" i="5"/>
  <c r="AQ39" i="5"/>
  <c r="AB15" i="5"/>
  <c r="AQ15" i="5" s="1"/>
  <c r="AB31" i="5"/>
  <c r="AQ31" i="5" s="1"/>
  <c r="AQ100" i="5"/>
  <c r="AQ164" i="5"/>
  <c r="AB12" i="5" a="1"/>
  <c r="AB20" i="5" a="1"/>
  <c r="AB28" i="5" a="1"/>
  <c r="AB247" i="5" a="1"/>
  <c r="AB247" i="5" s="1"/>
  <c r="AB251" i="5" a="1"/>
  <c r="AB251" i="5" s="1"/>
  <c r="AQ251" i="5" s="1"/>
  <c r="AB255" i="5" a="1"/>
  <c r="AB267" i="5" a="1"/>
  <c r="AB271" i="5" a="1"/>
  <c r="AB275" i="5" a="1"/>
  <c r="AB275" i="5" s="1"/>
  <c r="AQ275" i="5" s="1"/>
  <c r="AB283" i="5" a="1"/>
  <c r="AB283" i="5" s="1"/>
  <c r="AQ283" i="5" s="1"/>
  <c r="AB287" i="5" a="1"/>
  <c r="AB291" i="5" a="1"/>
  <c r="AB299" i="5" a="1"/>
  <c r="AB299" i="5" s="1"/>
  <c r="AQ299" i="5" s="1"/>
  <c r="AB303" i="5" a="1"/>
  <c r="AB303" i="5" s="1"/>
  <c r="AQ303" i="5" s="1"/>
  <c r="AB307" i="5" a="1"/>
  <c r="AB307" i="5" s="1"/>
  <c r="AQ307" i="5" s="1"/>
  <c r="AB311" i="5" a="1"/>
  <c r="AB315" i="5" a="1"/>
  <c r="AB315" i="5" s="1"/>
  <c r="AQ315" i="5" s="1"/>
  <c r="AB319" i="5" a="1"/>
  <c r="AB319" i="5" s="1"/>
  <c r="AB426" i="5"/>
  <c r="AQ426" i="5" s="1"/>
  <c r="AB424" i="5" s="1" a="1"/>
  <c r="AQ78" i="5"/>
  <c r="AQ130" i="5"/>
  <c r="AQ129" i="5"/>
  <c r="AQ157" i="5"/>
  <c r="AB201" i="5" a="1"/>
  <c r="AB206" i="5" a="1"/>
  <c r="AB214" i="5" a="1"/>
  <c r="AB218" i="5" a="1"/>
  <c r="AB222" i="5" a="1"/>
  <c r="AB222" i="5" s="1"/>
  <c r="AB226" i="5" a="1"/>
  <c r="AB226" i="5" s="1"/>
  <c r="AB234" i="5" a="1"/>
  <c r="AQ385" i="5"/>
  <c r="AB384" i="5" s="1" a="1"/>
  <c r="AQ118" i="5"/>
  <c r="AQ202" i="5"/>
  <c r="AQ71" i="5"/>
  <c r="AB9" i="5" a="1"/>
  <c r="AB17" i="5" a="1"/>
  <c r="AB17" i="5" s="1"/>
  <c r="AB29" i="5" a="1"/>
  <c r="AB29" i="5" s="1"/>
  <c r="AB41" i="5" a="1"/>
  <c r="AB53" i="5" a="1"/>
  <c r="AB61" i="5" a="1"/>
  <c r="AB81" i="5"/>
  <c r="AQ81" i="5" s="1"/>
  <c r="AB93" i="5"/>
  <c r="AQ93" i="5" s="1"/>
  <c r="AB109" i="5"/>
  <c r="AQ109" i="5" s="1"/>
  <c r="AB98" i="5" s="1" a="1"/>
  <c r="AB98" i="5" s="1"/>
  <c r="AQ98" i="5" s="1"/>
  <c r="AQ84" i="5" s="1"/>
  <c r="AB121" i="5"/>
  <c r="AQ121" i="5" s="1"/>
  <c r="AB129" i="5"/>
  <c r="AB133" i="5"/>
  <c r="AQ133" i="5" s="1"/>
  <c r="AB145" i="5"/>
  <c r="AQ145" i="5" s="1"/>
  <c r="AQ141" i="5"/>
  <c r="AQ325" i="5"/>
  <c r="AB312" i="5" s="1" a="1"/>
  <c r="AB427" i="5" a="1"/>
  <c r="AB427" i="5" s="1"/>
  <c r="AQ146" i="5"/>
  <c r="AQ11" i="5"/>
  <c r="AQ89" i="5"/>
  <c r="AQ97" i="5"/>
  <c r="AB5" i="5" a="1"/>
  <c r="AB13" i="5" a="1"/>
  <c r="AB13" i="5" s="1"/>
  <c r="AQ13" i="5" s="1"/>
  <c r="AB55" i="5" s="1" a="1"/>
  <c r="AB21" i="5" a="1"/>
  <c r="AB25" i="5" a="1"/>
  <c r="AB25" i="5" s="1"/>
  <c r="AQ25" i="5" s="1"/>
  <c r="AB33" i="5" a="1"/>
  <c r="AB33" i="5" s="1"/>
  <c r="AQ33" i="5" s="1"/>
  <c r="AQ34" i="5" s="1"/>
  <c r="AB37" i="5" a="1"/>
  <c r="AB45" i="5" a="1"/>
  <c r="AB49" i="5" a="1"/>
  <c r="AB49" i="5" s="1"/>
  <c r="AQ49" i="5" s="1"/>
  <c r="AB57" i="5" a="1"/>
  <c r="AB57" i="5" s="1"/>
  <c r="AB73" i="5"/>
  <c r="AQ73" i="5" s="1"/>
  <c r="AQ86" i="5"/>
  <c r="AQ278" i="5" s="1"/>
  <c r="AQ208" i="5" s="1"/>
  <c r="AQ127" i="5" s="1"/>
  <c r="AB240" i="5" a="1"/>
  <c r="AB244" i="5" a="1"/>
  <c r="AB244" i="5" s="1"/>
  <c r="AQ244" i="5" s="1"/>
  <c r="AB248" i="5" a="1"/>
  <c r="AB248" i="5" s="1"/>
  <c r="AQ248" i="5" s="1"/>
  <c r="AQ314" i="5" s="1"/>
  <c r="AB252" i="5" a="1"/>
  <c r="AB256" i="5" a="1"/>
  <c r="AB260" i="5" a="1"/>
  <c r="AB264" i="5" a="1"/>
  <c r="AB268" i="5" a="1"/>
  <c r="AB276" i="5" a="1"/>
  <c r="AB276" i="5" s="1"/>
  <c r="AB288" i="5" a="1"/>
  <c r="AB292" i="5" a="1"/>
  <c r="AB296" i="5" a="1"/>
  <c r="AB296" i="5" s="1"/>
  <c r="AQ296" i="5" s="1"/>
  <c r="AB295" i="5" s="1" a="1"/>
  <c r="AB295" i="5" s="1"/>
  <c r="AB300" i="5" a="1"/>
  <c r="AB304" i="5" a="1"/>
  <c r="AB308" i="5" a="1"/>
  <c r="AB316" i="5" a="1"/>
  <c r="AB316" i="5" s="1"/>
  <c r="AB320" i="5" a="1"/>
  <c r="AB320" i="5" s="1"/>
  <c r="AQ10" i="5" l="1"/>
  <c r="AQ91" i="5"/>
  <c r="AQ427" i="5"/>
  <c r="AQ187" i="5"/>
  <c r="AQ225" i="5" s="1"/>
  <c r="AQ318" i="5" s="1"/>
  <c r="AQ126" i="5" s="1"/>
  <c r="AQ103" i="5" s="1"/>
  <c r="AQ382" i="5" s="1"/>
  <c r="AB381" i="5" s="1" a="1"/>
  <c r="AB381" i="5" s="1"/>
  <c r="AQ381" i="5" s="1"/>
  <c r="AB380" i="5" s="1" a="1"/>
  <c r="AB380" i="5" s="1"/>
  <c r="AQ380" i="5" s="1"/>
  <c r="AB379" i="5" s="1" a="1"/>
  <c r="AB379" i="5" s="1"/>
  <c r="AQ379" i="5" s="1"/>
  <c r="AB378" i="5" s="1" a="1"/>
  <c r="AB292" i="5"/>
  <c r="AQ292" i="5" s="1"/>
  <c r="AB61" i="5"/>
  <c r="AQ61" i="5" s="1"/>
  <c r="AB234" i="5"/>
  <c r="AQ234" i="5" s="1"/>
  <c r="AB287" i="5"/>
  <c r="AQ287" i="5" s="1"/>
  <c r="AB36" i="5"/>
  <c r="AQ36" i="5" s="1"/>
  <c r="AB87" i="5"/>
  <c r="AQ87" i="5" s="1"/>
  <c r="AB289" i="5"/>
  <c r="AQ289" i="5" s="1"/>
  <c r="AB53" i="5"/>
  <c r="AQ53" i="5" s="1"/>
  <c r="AB199" i="5"/>
  <c r="AQ199" i="5" s="1"/>
  <c r="AB285" i="5"/>
  <c r="AQ285" i="5" s="1"/>
  <c r="AQ58" i="5"/>
  <c r="AQ64" i="5" s="1"/>
  <c r="AQ46" i="5" s="1"/>
  <c r="AB63" i="5"/>
  <c r="AQ63" i="5" s="1"/>
  <c r="AB131" i="5"/>
  <c r="AQ131" i="5" s="1"/>
  <c r="AQ226" i="5"/>
  <c r="AQ247" i="5" s="1"/>
  <c r="AQ160" i="5" s="1"/>
  <c r="AQ77" i="5" s="1"/>
  <c r="AQ249" i="5" s="1"/>
  <c r="AB59" i="5"/>
  <c r="AQ59" i="5" s="1"/>
  <c r="AQ320" i="5"/>
  <c r="AQ322" i="5" s="1"/>
  <c r="AB218" i="5"/>
  <c r="AQ218" i="5" s="1"/>
  <c r="AB8" i="5"/>
  <c r="AQ8" i="5" s="1"/>
  <c r="AB37" i="5"/>
  <c r="AQ37" i="5" s="1"/>
  <c r="AB214" i="5"/>
  <c r="AQ214" i="5" s="1"/>
  <c r="AB424" i="5"/>
  <c r="AQ424" i="5" s="1"/>
  <c r="AB420" i="5" s="1" a="1"/>
  <c r="AB420" i="5" s="1"/>
  <c r="AQ420" i="5" s="1"/>
  <c r="AB418" i="5" s="1" a="1"/>
  <c r="AB418" i="5" s="1"/>
  <c r="AQ418" i="5" s="1"/>
  <c r="AB416" i="5" s="1" a="1"/>
  <c r="AB267" i="5"/>
  <c r="AQ267" i="5" s="1"/>
  <c r="AB183" i="5"/>
  <c r="AQ183" i="5" s="1"/>
  <c r="AB123" i="5"/>
  <c r="AQ123" i="5" s="1"/>
  <c r="AQ179" i="5"/>
  <c r="AB288" i="5"/>
  <c r="AQ288" i="5" s="1"/>
  <c r="AB268" i="5"/>
  <c r="AQ268" i="5" s="1"/>
  <c r="AB271" i="5"/>
  <c r="AQ271" i="5" s="1"/>
  <c r="AQ29" i="5"/>
  <c r="AB255" i="5"/>
  <c r="AQ255" i="5" s="1"/>
  <c r="AB42" i="5"/>
  <c r="AQ42" i="5" s="1"/>
  <c r="AB384" i="5"/>
  <c r="AQ384" i="5" s="1"/>
  <c r="AB41" i="5"/>
  <c r="AQ41" i="5" s="1"/>
  <c r="AB45" i="5"/>
  <c r="AQ45" i="5" s="1"/>
  <c r="AB264" i="5"/>
  <c r="AQ264" i="5" s="1"/>
  <c r="AB260" i="5"/>
  <c r="AQ260" i="5" s="1"/>
  <c r="AB206" i="5"/>
  <c r="AQ206" i="5" s="1"/>
  <c r="AB188" i="5" s="1" a="1"/>
  <c r="AB188" i="5" s="1"/>
  <c r="AQ188" i="5" s="1"/>
  <c r="AQ222" i="5" s="1"/>
  <c r="AQ153" i="5" s="1"/>
  <c r="AQ195" i="5"/>
  <c r="AB201" i="5"/>
  <c r="AQ201" i="5" s="1"/>
  <c r="AB60" i="5"/>
  <c r="AQ60" i="5" s="1"/>
  <c r="AB167" i="5"/>
  <c r="AQ167" i="5" s="1"/>
  <c r="AB38" i="5"/>
  <c r="AQ38" i="5" s="1"/>
  <c r="AB9" i="5"/>
  <c r="AQ9" i="5" s="1"/>
  <c r="AB256" i="5"/>
  <c r="AQ256" i="5" s="1"/>
  <c r="AB252" i="5"/>
  <c r="AQ252" i="5" s="1"/>
  <c r="AB21" i="5"/>
  <c r="AQ21" i="5" s="1"/>
  <c r="AB311" i="5"/>
  <c r="AQ311" i="5" s="1"/>
  <c r="AB56" i="5"/>
  <c r="AQ56" i="5" s="1"/>
  <c r="AB309" i="5"/>
  <c r="AQ309" i="5" s="1"/>
  <c r="AB30" i="5"/>
  <c r="AQ30" i="5" s="1"/>
  <c r="AB26" i="5"/>
  <c r="AQ26" i="5" s="1"/>
  <c r="AB291" i="5"/>
  <c r="AQ291" i="5" s="1"/>
  <c r="AB312" i="5"/>
  <c r="AQ312" i="5" s="1"/>
  <c r="AB308" i="5"/>
  <c r="AQ308" i="5" s="1"/>
  <c r="AB55" i="5"/>
  <c r="AQ55" i="5" s="1"/>
  <c r="AB28" i="5"/>
  <c r="AQ28" i="5" s="1"/>
  <c r="AB423" i="5" a="1"/>
  <c r="AB425" i="5"/>
  <c r="AB51" i="5"/>
  <c r="AQ51" i="5" s="1"/>
  <c r="AB66" i="5"/>
  <c r="AQ66" i="5" s="1"/>
  <c r="AB305" i="5"/>
  <c r="AQ305" i="5" s="1"/>
  <c r="AB18" i="5"/>
  <c r="AQ18" i="5" s="1"/>
  <c r="AB304" i="5"/>
  <c r="AQ304" i="5" s="1"/>
  <c r="AB5" i="5"/>
  <c r="AQ5" i="5" s="1"/>
  <c r="AB20" i="5"/>
  <c r="AQ20" i="5" s="1"/>
  <c r="AB48" i="5"/>
  <c r="AQ48" i="5" s="1"/>
  <c r="AB220" i="5"/>
  <c r="AQ220" i="5" s="1"/>
  <c r="AB230" i="5" s="1" a="1"/>
  <c r="AB300" i="5"/>
  <c r="AQ300" i="5" s="1"/>
  <c r="AB240" i="5"/>
  <c r="AQ240" i="5" s="1"/>
  <c r="AB12" i="5"/>
  <c r="AQ12" i="5" s="1"/>
  <c r="AB44" i="5"/>
  <c r="AQ44" i="5" s="1"/>
  <c r="AB216" i="5"/>
  <c r="AQ216" i="5" s="1"/>
  <c r="AB95" i="5"/>
  <c r="AQ95" i="5" s="1"/>
  <c r="AB297" i="5"/>
  <c r="AQ297" i="5" s="1"/>
  <c r="AB6" i="5"/>
  <c r="AQ6" i="5" s="1"/>
  <c r="AB236" i="5"/>
  <c r="AQ236" i="5" s="1"/>
  <c r="AB212" i="5"/>
  <c r="AQ212" i="5" s="1"/>
  <c r="AB416" i="5" l="1"/>
  <c r="AQ416" i="5" s="1"/>
  <c r="AB414" i="5" s="1" a="1"/>
  <c r="AB230" i="5"/>
  <c r="AQ230" i="5" s="1"/>
  <c r="AB229" i="5" s="1" a="1"/>
  <c r="AB229" i="5" s="1"/>
  <c r="AQ229" i="5" s="1"/>
  <c r="AQ239" i="5"/>
  <c r="AB378" i="5"/>
  <c r="AB423" i="5"/>
  <c r="AQ423" i="5" s="1"/>
  <c r="AB422" i="5" s="1" a="1"/>
  <c r="AQ378" i="5" l="1"/>
  <c r="AB377" i="5" s="1" a="1"/>
  <c r="AB377" i="5" s="1"/>
  <c r="AB422" i="5"/>
  <c r="AQ422" i="5" s="1"/>
  <c r="AB419" i="5" s="1" a="1"/>
  <c r="AB414" i="5"/>
  <c r="AQ414" i="5" s="1"/>
  <c r="AB412" i="5" s="1" a="1"/>
  <c r="AB412" i="5" s="1"/>
  <c r="AQ412" i="5" s="1"/>
  <c r="AB391" i="5" s="1" a="1"/>
  <c r="AB391" i="5" l="1"/>
  <c r="AQ391" i="5" s="1"/>
  <c r="AB390" i="5" s="1" a="1"/>
  <c r="AB390" i="5" s="1"/>
  <c r="AQ390" i="5" s="1"/>
  <c r="AB389" i="5" s="1" a="1"/>
  <c r="AB389" i="5" s="1"/>
  <c r="AQ389" i="5" s="1"/>
  <c r="AB388" i="5" s="1" a="1"/>
  <c r="AB417" i="5" a="1"/>
  <c r="AB419" i="5"/>
  <c r="AB388" i="5" l="1"/>
  <c r="AQ388" i="5" s="1"/>
  <c r="AB387" i="5" s="1" a="1"/>
  <c r="AB415" i="5" a="1"/>
  <c r="AB417" i="5"/>
  <c r="AB411" i="5" l="1" a="1"/>
  <c r="AB415" i="5"/>
  <c r="AB387" i="5"/>
  <c r="AQ387" i="5" s="1"/>
  <c r="AQ57" i="5" s="1"/>
  <c r="AQ377" i="5" s="1"/>
  <c r="AB410" i="5" l="1" a="1"/>
  <c r="AB411" i="5"/>
  <c r="AQ411" i="5" s="1"/>
  <c r="AQ413" i="5" s="1"/>
  <c r="AQ415" i="5" s="1"/>
  <c r="AQ417" i="5" s="1"/>
  <c r="AQ419" i="5" s="1"/>
  <c r="AQ425" i="5" s="1"/>
  <c r="AB410" i="5" l="1"/>
  <c r="AQ410" i="5" s="1"/>
  <c r="AQ408" i="5" s="1"/>
  <c r="AQ407" i="5" s="1"/>
  <c r="AB272" i="5" s="1" a="1"/>
  <c r="AB272" i="5" l="1"/>
  <c r="AQ272" i="5" s="1"/>
  <c r="AB269" i="5" s="1" a="1"/>
  <c r="AB386" i="5" l="1" a="1"/>
  <c r="AB269" i="5"/>
  <c r="AQ269" i="5" s="1"/>
  <c r="AB376" i="5" l="1" a="1"/>
  <c r="AB386" i="5"/>
  <c r="AQ386" i="5" s="1"/>
  <c r="AQ405" i="5" l="1"/>
  <c r="AQ403" i="5" s="1"/>
  <c r="AB243" i="5" s="1" a="1"/>
  <c r="AB376" i="5"/>
  <c r="AB242" i="5" l="1" a="1"/>
  <c r="AB243" i="5"/>
  <c r="AQ243" i="5" s="1"/>
  <c r="AB228" i="5" l="1" a="1"/>
  <c r="AB242" i="5"/>
  <c r="AQ242" i="5" s="1"/>
  <c r="AB228" i="5" l="1"/>
  <c r="AQ228" i="5" s="1"/>
  <c r="AB227" i="5" s="1" a="1"/>
  <c r="AB224" i="5" l="1" a="1"/>
  <c r="AB227" i="5"/>
  <c r="AB223" i="5" l="1" a="1"/>
  <c r="AB224" i="5"/>
  <c r="AQ224" i="5" s="1"/>
  <c r="AQ295" i="5" s="1"/>
  <c r="AB284" i="5" s="1" a="1"/>
  <c r="AB284" i="5" l="1"/>
  <c r="AQ284" i="5" s="1"/>
  <c r="AB281" i="5" s="1" a="1"/>
  <c r="AB221" i="5" a="1"/>
  <c r="AB223" i="5"/>
  <c r="AQ223" i="5" s="1"/>
  <c r="AQ227" i="5" s="1"/>
  <c r="AQ376" i="5" s="1"/>
  <c r="AB263" i="5" s="1" a="1"/>
  <c r="AB263" i="5" s="1"/>
  <c r="AQ263" i="5" s="1"/>
  <c r="AB281" i="5" l="1"/>
  <c r="AQ281" i="5" s="1"/>
  <c r="AB280" i="5" s="1" a="1"/>
  <c r="AB221" i="5"/>
  <c r="AQ221" i="5" s="1"/>
  <c r="AB210" i="5" s="1" a="1"/>
  <c r="AB280" i="5" l="1"/>
  <c r="AQ280" i="5" s="1"/>
  <c r="AB279" i="5" s="1" a="1"/>
  <c r="AB209" i="5" a="1"/>
  <c r="AB210" i="5"/>
  <c r="AQ210" i="5" s="1"/>
  <c r="AB198" i="5" l="1" a="1"/>
  <c r="AB209" i="5"/>
  <c r="AQ209" i="5" s="1"/>
  <c r="AB279" i="5"/>
  <c r="AQ279" i="5" s="1"/>
  <c r="AB259" i="5" s="1" a="1"/>
  <c r="AB259" i="5" s="1"/>
  <c r="AQ259" i="5" s="1"/>
  <c r="AB257" i="5" s="1" a="1"/>
  <c r="AB257" i="5" l="1"/>
  <c r="AQ257" i="5" s="1"/>
  <c r="AB258" i="5" s="1" a="1"/>
  <c r="AB197" i="5" a="1"/>
  <c r="AB198" i="5"/>
  <c r="AQ198" i="5" s="1"/>
  <c r="AB258" i="5" l="1"/>
  <c r="AQ258" i="5" s="1"/>
  <c r="AB192" i="5" a="1"/>
  <c r="AB197" i="5"/>
  <c r="AB191" i="5" l="1" a="1"/>
  <c r="AB192" i="5"/>
  <c r="AB189" i="5" l="1" a="1"/>
  <c r="AB191" i="5"/>
  <c r="AQ191" i="5" s="1"/>
  <c r="AQ274" i="5" s="1"/>
  <c r="AB186" i="5" l="1" a="1"/>
  <c r="AB189" i="5"/>
  <c r="AQ189" i="5" s="1"/>
  <c r="AB185" i="5" l="1" a="1"/>
  <c r="AB186" i="5"/>
  <c r="AQ186" i="5" s="1"/>
  <c r="AB180" i="5" l="1" a="1"/>
  <c r="AB185" i="5"/>
  <c r="AQ185" i="5" s="1"/>
  <c r="AQ276" i="5" s="1"/>
  <c r="AQ233" i="5" s="1"/>
  <c r="AQ254" i="5" s="1"/>
  <c r="AQ192" i="5" s="1"/>
  <c r="AQ108" i="5" s="1"/>
  <c r="AQ165" i="5" s="1"/>
  <c r="AB180" i="5" l="1"/>
  <c r="AQ180" i="5" s="1"/>
  <c r="AB178" i="5" s="1" a="1"/>
  <c r="AB177" i="5" l="1" a="1"/>
  <c r="AB178" i="5"/>
  <c r="AQ178" i="5" s="1"/>
  <c r="AB175" i="5" l="1" a="1"/>
  <c r="AB177" i="5"/>
  <c r="AQ177" i="5" s="1"/>
  <c r="AQ163" i="5" s="1"/>
  <c r="AQ143" i="5" s="1"/>
  <c r="AQ74" i="5" s="1"/>
  <c r="AQ119" i="5" s="1"/>
  <c r="AB173" i="5" l="1" a="1"/>
  <c r="AB175" i="5"/>
  <c r="AB172" i="5" l="1" a="1"/>
  <c r="AB173" i="5"/>
  <c r="AQ173" i="5" s="1"/>
  <c r="AQ174" i="5" s="1"/>
  <c r="AQ128" i="5" s="1"/>
  <c r="AQ316" i="5" s="1"/>
  <c r="AQ175" i="5" s="1"/>
  <c r="AQ319" i="5" s="1"/>
  <c r="AB171" i="5" l="1" a="1"/>
  <c r="AB172" i="5"/>
  <c r="AQ172" i="5" s="1"/>
  <c r="AB169" i="5" l="1" a="1"/>
  <c r="AB171" i="5"/>
  <c r="AQ171" i="5" s="1"/>
  <c r="AB138" i="5" l="1" a="1"/>
  <c r="AB169" i="5"/>
  <c r="AQ169" i="5" s="1"/>
  <c r="AQ170" i="5" s="1"/>
  <c r="AQ197" i="5" s="1"/>
  <c r="AQ232" i="5" s="1"/>
  <c r="AB136" i="5" l="1" a="1"/>
  <c r="AB138" i="5"/>
  <c r="AQ138" i="5" s="1"/>
  <c r="AB136" i="5" l="1"/>
  <c r="AQ136" i="5" s="1"/>
  <c r="AB135" i="5" s="1" a="1"/>
  <c r="AB135" i="5" l="1"/>
  <c r="AQ135" i="5" s="1"/>
  <c r="AB115" i="5" s="1" a="1"/>
  <c r="AB32" i="5" l="1" a="1"/>
  <c r="AB115" i="5"/>
  <c r="AQ115" i="5" s="1"/>
  <c r="AB106" i="5" l="1" a="1"/>
  <c r="AB32" i="5"/>
  <c r="AQ32" i="5" s="1"/>
  <c r="AQ17" i="5" s="1"/>
  <c r="AQ147" i="5" s="1"/>
  <c r="AQ193" i="5" s="1"/>
  <c r="AQ137" i="5" s="1"/>
  <c r="AB105" i="5" l="1" a="1"/>
  <c r="AB106" i="5"/>
  <c r="AQ106" i="5" s="1"/>
  <c r="AQ122" i="5" s="1"/>
  <c r="AB105" i="5" l="1"/>
  <c r="AQ105" i="5" s="1"/>
  <c r="AB68" i="5" s="1" a="1"/>
  <c r="AB65" i="5" l="1" a="1"/>
  <c r="AB68" i="5"/>
  <c r="AQ68" i="5" s="1"/>
  <c r="AQ326" i="5" l="1"/>
  <c r="AB238" i="5" s="1" a="1"/>
  <c r="AB65" i="5"/>
  <c r="AQ65" i="5" s="1"/>
  <c r="AB238" i="5" l="1"/>
  <c r="AQ238" i="5" s="1"/>
  <c r="AB205" i="5" s="1" a="1"/>
  <c r="AB204" i="5" l="1" a="1"/>
  <c r="AB204" i="5" s="1"/>
  <c r="AQ204" i="5" s="1"/>
  <c r="AB205" i="5"/>
  <c r="AQ205" i="5" s="1"/>
  <c r="AB203" i="5" s="1" a="1"/>
  <c r="AB203" i="5" l="1"/>
  <c r="AQ20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<sst xmlns="http://schemas.openxmlformats.org/spreadsheetml/2006/main" count="4983" uniqueCount="460">
  <si>
    <t>Controle de Pedidos</t>
  </si>
  <si>
    <t>ID do Pedido</t>
  </si>
  <si>
    <t>Cliente</t>
  </si>
  <si>
    <t>SKU</t>
  </si>
  <si>
    <t>Produto</t>
  </si>
  <si>
    <t>Lote</t>
  </si>
  <si>
    <t>Data do Pedido</t>
  </si>
  <si>
    <t>Qtd.</t>
  </si>
  <si>
    <t>Tipo de Serviço</t>
  </si>
  <si>
    <t>Data de Prod.</t>
  </si>
  <si>
    <t>Linha</t>
  </si>
  <si>
    <t>Horas Agend.</t>
  </si>
  <si>
    <t>Qtd. Agend.</t>
  </si>
  <si>
    <t>Final da Prod.</t>
  </si>
  <si>
    <t>Volume</t>
  </si>
  <si>
    <t>Produção / dia</t>
  </si>
  <si>
    <t>Produção / hora</t>
  </si>
  <si>
    <t>Horas de Produção</t>
  </si>
  <si>
    <t>Prazo de Produção</t>
  </si>
  <si>
    <t>Dias Prod.</t>
  </si>
  <si>
    <t>Méd Diária</t>
  </si>
  <si>
    <t>Dias Rest.</t>
  </si>
  <si>
    <t>Status</t>
  </si>
  <si>
    <t>Verif. Arte</t>
  </si>
  <si>
    <t>Cadastro Anvisa</t>
  </si>
  <si>
    <t>Rótulos / Gravação</t>
  </si>
  <si>
    <t>Frascos / Potes</t>
  </si>
  <si>
    <t>Tampas / Sobretampa</t>
  </si>
  <si>
    <t>Cartucho</t>
  </si>
  <si>
    <t>Válvulas</t>
  </si>
  <si>
    <t>Celofane / Sleeve</t>
  </si>
  <si>
    <t>Caixa de Embarque</t>
  </si>
  <si>
    <t>Essência</t>
  </si>
  <si>
    <t>MP</t>
  </si>
  <si>
    <t>OK</t>
  </si>
  <si>
    <t>Observações</t>
  </si>
  <si>
    <t>FABIANO 09/12</t>
  </si>
  <si>
    <t>MRARBS11</t>
  </si>
  <si>
    <t>-</t>
  </si>
  <si>
    <t>Produção</t>
  </si>
  <si>
    <t>FABIANO 20/01/26</t>
  </si>
  <si>
    <t>MRARBS01</t>
  </si>
  <si>
    <t>Reposição</t>
  </si>
  <si>
    <t>BRIA 01</t>
  </si>
  <si>
    <t>BBSJBS01</t>
  </si>
  <si>
    <t>BBSJBS02</t>
  </si>
  <si>
    <t>BBSJBS03</t>
  </si>
  <si>
    <t>CIDA 02.25</t>
  </si>
  <si>
    <t>KUBPBA02</t>
  </si>
  <si>
    <t>SAFIRA 674</t>
  </si>
  <si>
    <t>SASCGF02</t>
  </si>
  <si>
    <t>SASCGF01</t>
  </si>
  <si>
    <t>SASCES02</t>
  </si>
  <si>
    <t>SASCES01</t>
  </si>
  <si>
    <t>SASCDM02</t>
  </si>
  <si>
    <t>SASCDM01</t>
  </si>
  <si>
    <t>RETRABALHO</t>
  </si>
  <si>
    <t>RETRAB06</t>
  </si>
  <si>
    <t>Retrabalho</t>
  </si>
  <si>
    <t>RETRAB03</t>
  </si>
  <si>
    <t>Concluído</t>
  </si>
  <si>
    <t>KUBPBA01</t>
  </si>
  <si>
    <t>FABIANO 19/11</t>
  </si>
  <si>
    <t>MRARHD04</t>
  </si>
  <si>
    <t>MRARHD03</t>
  </si>
  <si>
    <t>MRARHD02</t>
  </si>
  <si>
    <t>Miss Rôse - Hidratante</t>
  </si>
  <si>
    <t>ml</t>
  </si>
  <si>
    <t>MRARHD01</t>
  </si>
  <si>
    <t>MRARBS12</t>
  </si>
  <si>
    <t>MRARBS03</t>
  </si>
  <si>
    <t>MRARBS10</t>
  </si>
  <si>
    <t>KUBPBA02 - 2</t>
  </si>
  <si>
    <t>MRARBS08</t>
  </si>
  <si>
    <t>MRARBS07</t>
  </si>
  <si>
    <t>MRARBS06</t>
  </si>
  <si>
    <t>MAHMUD 23/10</t>
  </si>
  <si>
    <t>MRARBS05</t>
  </si>
  <si>
    <t>02_06</t>
  </si>
  <si>
    <t>Fabiano 22/09</t>
  </si>
  <si>
    <t>MRARBS04</t>
  </si>
  <si>
    <t>Miss Rôse - Body Splash 1.0</t>
  </si>
  <si>
    <t>01_07</t>
  </si>
  <si>
    <t>MRARBS02</t>
  </si>
  <si>
    <t>2 de 3</t>
  </si>
  <si>
    <t>3 de 3</t>
  </si>
  <si>
    <t>MISS RÔSE</t>
  </si>
  <si>
    <t>FABIANO 06/11</t>
  </si>
  <si>
    <t>FABIANO 22/01/26</t>
  </si>
  <si>
    <t>WKBS0004</t>
  </si>
  <si>
    <t>WKBS0005</t>
  </si>
  <si>
    <t>Fabiano 20/10</t>
  </si>
  <si>
    <t>Problema nas válvulas do Luiz, parando a produção.</t>
  </si>
  <si>
    <t>01_06</t>
  </si>
  <si>
    <t>1 de 2</t>
  </si>
  <si>
    <t>Moutier 01/09</t>
  </si>
  <si>
    <t>MOPFFW19</t>
  </si>
  <si>
    <t>MOPFFW18</t>
  </si>
  <si>
    <t>WKBS0006</t>
  </si>
  <si>
    <t>ANDRE 14/01/26</t>
  </si>
  <si>
    <t>GLMKAM06</t>
  </si>
  <si>
    <t>MRARBS09</t>
  </si>
  <si>
    <t>GLMKAM05</t>
  </si>
  <si>
    <t>GLMKAM04</t>
  </si>
  <si>
    <t>GLMKAM03</t>
  </si>
  <si>
    <t>GLMKAM02</t>
  </si>
  <si>
    <t>Perfumes Moutier</t>
  </si>
  <si>
    <t>MOPFFW10</t>
  </si>
  <si>
    <t>MOPFFW09</t>
  </si>
  <si>
    <t>MOPFFW08</t>
  </si>
  <si>
    <t>MOPFFW07</t>
  </si>
  <si>
    <t>BBSJBS05-2</t>
  </si>
  <si>
    <t>MOPFFW06</t>
  </si>
  <si>
    <t>BBSJBS04-2</t>
  </si>
  <si>
    <t>MOPFFW05</t>
  </si>
  <si>
    <t>BBSJBS02-2</t>
  </si>
  <si>
    <t>MOPFFW04</t>
  </si>
  <si>
    <t>BBSJBS01-2</t>
  </si>
  <si>
    <t>MOPFFW03</t>
  </si>
  <si>
    <t>MOPFFW02</t>
  </si>
  <si>
    <t>MOPFFW01</t>
  </si>
  <si>
    <t>HABIBI 01</t>
  </si>
  <si>
    <t>HBHD0008</t>
  </si>
  <si>
    <t>HBHD0007</t>
  </si>
  <si>
    <t>HBHD0006</t>
  </si>
  <si>
    <t>HBHD0005</t>
  </si>
  <si>
    <t>HBHD0004</t>
  </si>
  <si>
    <t>HBHD0003</t>
  </si>
  <si>
    <t>HBHD0002</t>
  </si>
  <si>
    <t>MOPFFM13</t>
  </si>
  <si>
    <t>MOPFFM12</t>
  </si>
  <si>
    <t>MOPFFM11</t>
  </si>
  <si>
    <t>MOPFFM10</t>
  </si>
  <si>
    <t>MOPFFM09</t>
  </si>
  <si>
    <t>MOPFFM08</t>
  </si>
  <si>
    <t>HBHD0001</t>
  </si>
  <si>
    <t>MOPFFM07</t>
  </si>
  <si>
    <t>MOPFFM06</t>
  </si>
  <si>
    <t>FABIANO 03/02/26</t>
  </si>
  <si>
    <t>MRBR0001</t>
  </si>
  <si>
    <t>MOPFFM05</t>
  </si>
  <si>
    <t>2 de 2</t>
  </si>
  <si>
    <t>MOPFFM04</t>
  </si>
  <si>
    <t>MOPFFM03</t>
  </si>
  <si>
    <t>MOPFFM02</t>
  </si>
  <si>
    <t>MOPFFM01</t>
  </si>
  <si>
    <t>ANDRÉ 15/09</t>
  </si>
  <si>
    <t>MAOEOL02</t>
  </si>
  <si>
    <t>MRFX0001</t>
  </si>
  <si>
    <t>REPOSICAO BRIA 01</t>
  </si>
  <si>
    <t>BBSJBS03-2</t>
  </si>
  <si>
    <t>SMAYKEL 01</t>
  </si>
  <si>
    <t>DYPFPF03</t>
  </si>
  <si>
    <t>JOKER</t>
  </si>
  <si>
    <t>MAOEOL01</t>
  </si>
  <si>
    <t>WKBS0003</t>
  </si>
  <si>
    <t>WKBS0002</t>
  </si>
  <si>
    <t>WKBS0001</t>
  </si>
  <si>
    <t>AMEERATI 01</t>
  </si>
  <si>
    <t>AMNCHD08</t>
  </si>
  <si>
    <t>AMNCHD07</t>
  </si>
  <si>
    <t>AMNCHD06</t>
  </si>
  <si>
    <t>AMNCHD05</t>
  </si>
  <si>
    <t>AMNCHD04</t>
  </si>
  <si>
    <t>AMNCHD03</t>
  </si>
  <si>
    <t>AMNCHD02</t>
  </si>
  <si>
    <t>AMNCHD01</t>
  </si>
  <si>
    <t>AMNCBS06</t>
  </si>
  <si>
    <t>AMNCBS05</t>
  </si>
  <si>
    <t>03_06</t>
  </si>
  <si>
    <t>04_07</t>
  </si>
  <si>
    <t>AMNCBS02</t>
  </si>
  <si>
    <t>Bases - Multi Lojas</t>
  </si>
  <si>
    <t>CIDA 11/11</t>
  </si>
  <si>
    <t>Sassa 26/09</t>
  </si>
  <si>
    <t>KUBPBA01 - 2</t>
  </si>
  <si>
    <t>AMNCBS01</t>
  </si>
  <si>
    <t>03_07</t>
  </si>
  <si>
    <t>IBCHGC03</t>
  </si>
  <si>
    <t>g</t>
  </si>
  <si>
    <t>IBCHGC02</t>
  </si>
  <si>
    <t>IBCHGC01</t>
  </si>
  <si>
    <t>IBCHEC03</t>
  </si>
  <si>
    <t>AMABHD08</t>
  </si>
  <si>
    <t>IBCHEC02</t>
  </si>
  <si>
    <t>IBCHEC01</t>
  </si>
  <si>
    <t>IBARHD06</t>
  </si>
  <si>
    <t>IBARHD05</t>
  </si>
  <si>
    <t>IBARHD04</t>
  </si>
  <si>
    <t>IBARHD03</t>
  </si>
  <si>
    <t>IBARHD02</t>
  </si>
  <si>
    <t>IBARHD01</t>
  </si>
  <si>
    <t>IBARGB06</t>
  </si>
  <si>
    <t>IBARGB05</t>
  </si>
  <si>
    <t>IBARGB04</t>
  </si>
  <si>
    <t>IBARGB03</t>
  </si>
  <si>
    <t>AMABHD07</t>
  </si>
  <si>
    <t>IBARGB01</t>
  </si>
  <si>
    <t>IBARBS06</t>
  </si>
  <si>
    <t>IBARBS05</t>
  </si>
  <si>
    <t>IBARBS04</t>
  </si>
  <si>
    <t>IBARBS03</t>
  </si>
  <si>
    <t>IBARBS02</t>
  </si>
  <si>
    <t>IBARBS01</t>
  </si>
  <si>
    <t>AMABHD06</t>
  </si>
  <si>
    <t>AMABHD05</t>
  </si>
  <si>
    <t>AMABHD04</t>
  </si>
  <si>
    <t>AMABHD03</t>
  </si>
  <si>
    <t>GOTA ZEN - Body Slash</t>
  </si>
  <si>
    <t>GZLBBS06</t>
  </si>
  <si>
    <t>GZLBBS05</t>
  </si>
  <si>
    <t>GZLBBS04</t>
  </si>
  <si>
    <t>GZLBBS03</t>
  </si>
  <si>
    <t>GZLBBS02</t>
  </si>
  <si>
    <t>GZLBBS01</t>
  </si>
  <si>
    <t>ANDRE 06/11</t>
  </si>
  <si>
    <t>GLMKAM07</t>
  </si>
  <si>
    <t>GLOW - Água Micelar</t>
  </si>
  <si>
    <t>AMABHD02</t>
  </si>
  <si>
    <t>AMABHD01</t>
  </si>
  <si>
    <t>GLMKAM01</t>
  </si>
  <si>
    <t>AMABBS08</t>
  </si>
  <si>
    <t>AMABBS07</t>
  </si>
  <si>
    <t>DYPFPF04</t>
  </si>
  <si>
    <t>AMABBS06</t>
  </si>
  <si>
    <t>DYPFPF02</t>
  </si>
  <si>
    <t>DYPFPF01</t>
  </si>
  <si>
    <t>DAPOP - Pedido 360 mil</t>
  </si>
  <si>
    <t>DAPOP</t>
  </si>
  <si>
    <t>DPMTHD03</t>
  </si>
  <si>
    <t>DPMTHD02</t>
  </si>
  <si>
    <t>DPMTHD01</t>
  </si>
  <si>
    <t>DPMTES03</t>
  </si>
  <si>
    <t>DPMTES02</t>
  </si>
  <si>
    <t>DPMTES01</t>
  </si>
  <si>
    <t>DPMTBS03</t>
  </si>
  <si>
    <t>DPMTBS02</t>
  </si>
  <si>
    <t>DPMTBS01</t>
  </si>
  <si>
    <t>02_07</t>
  </si>
  <si>
    <t>DPHNPC01</t>
  </si>
  <si>
    <t>DPHNBS02</t>
  </si>
  <si>
    <t>DPHNBS01</t>
  </si>
  <si>
    <t>DPGLHD03</t>
  </si>
  <si>
    <t>DPGLHD02</t>
  </si>
  <si>
    <t>DPGLHD01</t>
  </si>
  <si>
    <t>AMABBS05</t>
  </si>
  <si>
    <t>DPGLES02</t>
  </si>
  <si>
    <t>DPGLBS03</t>
  </si>
  <si>
    <t>DPGLBS02</t>
  </si>
  <si>
    <t>DPGLBS01</t>
  </si>
  <si>
    <t>Curaderm</t>
  </si>
  <si>
    <t>CRPMCR01</t>
  </si>
  <si>
    <t>AMABBS04</t>
  </si>
  <si>
    <t>AMABBS03</t>
  </si>
  <si>
    <t>01_08</t>
  </si>
  <si>
    <t>BIOFLORA</t>
  </si>
  <si>
    <t>BFBBBS06</t>
  </si>
  <si>
    <t>BFBBBS05</t>
  </si>
  <si>
    <t>BFBBBS04</t>
  </si>
  <si>
    <t>BFBBBS03</t>
  </si>
  <si>
    <t>BFBBBS02</t>
  </si>
  <si>
    <t>BFBBBS01</t>
  </si>
  <si>
    <t>BBSJPF03</t>
  </si>
  <si>
    <t>BBSJPF02</t>
  </si>
  <si>
    <t>BBSJPF01</t>
  </si>
  <si>
    <t>AMABBS02</t>
  </si>
  <si>
    <t>AMABBS01</t>
  </si>
  <si>
    <t>LNHGSH03</t>
  </si>
  <si>
    <t>LNHGSH02</t>
  </si>
  <si>
    <t>LNHGSH01</t>
  </si>
  <si>
    <t>novo</t>
  </si>
  <si>
    <t>LNHGMS03</t>
  </si>
  <si>
    <t>reciclavel</t>
  </si>
  <si>
    <t>LNHGMS02</t>
  </si>
  <si>
    <t>LNHGMS01</t>
  </si>
  <si>
    <t>LNHGFN03</t>
  </si>
  <si>
    <t>LNHGFN02</t>
  </si>
  <si>
    <t>LNHGFN01</t>
  </si>
  <si>
    <t>LNHGCN03</t>
  </si>
  <si>
    <t>LNHGCN02</t>
  </si>
  <si>
    <t>LNHGCN01</t>
  </si>
  <si>
    <t>AMCLHD08</t>
  </si>
  <si>
    <t>AMCLHD07</t>
  </si>
  <si>
    <t>AMNCBS08</t>
  </si>
  <si>
    <t>AMNCBS07</t>
  </si>
  <si>
    <t>AMCLHD06</t>
  </si>
  <si>
    <t>AMCLHD05</t>
  </si>
  <si>
    <t>AMNCBS04</t>
  </si>
  <si>
    <t>AMNCBS03</t>
  </si>
  <si>
    <t>AMCLHD04</t>
  </si>
  <si>
    <t>AMCLHD03</t>
  </si>
  <si>
    <t>AMCLHD02</t>
  </si>
  <si>
    <t>AMCLHD01</t>
  </si>
  <si>
    <t>AMCLBS08</t>
  </si>
  <si>
    <t>AMCLBS07</t>
  </si>
  <si>
    <t>AMCLBS06</t>
  </si>
  <si>
    <t>AMCLBS05</t>
  </si>
  <si>
    <t>AMCLBS04</t>
  </si>
  <si>
    <t>AMCLBS03</t>
  </si>
  <si>
    <t>AMCLBS02</t>
  </si>
  <si>
    <t>AMCLBS01</t>
  </si>
  <si>
    <t>ON-HOLD</t>
  </si>
  <si>
    <t>LNINBS07</t>
  </si>
  <si>
    <t>LNINBS06</t>
  </si>
  <si>
    <t>LNINBS05</t>
  </si>
  <si>
    <t>LNINBS04</t>
  </si>
  <si>
    <t>LNINBS03</t>
  </si>
  <si>
    <t>LNINBS02</t>
  </si>
  <si>
    <t>LNINBS01</t>
  </si>
  <si>
    <t>x de X</t>
  </si>
  <si>
    <t>MOPFFW17</t>
  </si>
  <si>
    <t>MOPFFW16</t>
  </si>
  <si>
    <t>MOPFFW15</t>
  </si>
  <si>
    <t>MOPFFW14</t>
  </si>
  <si>
    <t>MOPFFW13</t>
  </si>
  <si>
    <t>MOPFFW12</t>
  </si>
  <si>
    <t>MOPFFW11</t>
  </si>
  <si>
    <t>MOPFFM20</t>
  </si>
  <si>
    <t>MOPFFM19</t>
  </si>
  <si>
    <t>MOPFFM18</t>
  </si>
  <si>
    <t>MOPFFM17</t>
  </si>
  <si>
    <t>MOPFFM16</t>
  </si>
  <si>
    <t>MOPFFM15</t>
  </si>
  <si>
    <t>MOPFFM14</t>
  </si>
  <si>
    <t>Blindagem</t>
  </si>
  <si>
    <t>Desodorante Creme - Calm</t>
  </si>
  <si>
    <t>Desodorante Creme - Fresh</t>
  </si>
  <si>
    <t>Desodorante Creme - Relax</t>
  </si>
  <si>
    <t>Desodorante Creme - Sem Perfume</t>
  </si>
  <si>
    <t>Desodorante Creme - Sensitive</t>
  </si>
  <si>
    <t>Desodorante Rollon - Calm</t>
  </si>
  <si>
    <t>Desodorante Rollon - Fresh</t>
  </si>
  <si>
    <t>Desodorante Rollon - Relax</t>
  </si>
  <si>
    <t>Desodorante Rollon - Sem Perfume</t>
  </si>
  <si>
    <t>Desodorante Rollon - Sensitive</t>
  </si>
  <si>
    <t>Hidratante - Ambar Crush</t>
  </si>
  <si>
    <t>Hidratante - Aqua Vibe</t>
  </si>
  <si>
    <t>Hidratante - Coconut Fresh</t>
  </si>
  <si>
    <t>Hidratante - Intense Red</t>
  </si>
  <si>
    <t>Hidratante - Mystic Spill</t>
  </si>
  <si>
    <t>Hidratante - Pink Seduction</t>
  </si>
  <si>
    <t>Hidratante - Pure Vanilla</t>
  </si>
  <si>
    <t>Hidratante - Velvet Rose</t>
  </si>
  <si>
    <t>Est. Final. da Prod.</t>
  </si>
  <si>
    <t>Qtd Pedido</t>
  </si>
  <si>
    <t>Linha de Produção</t>
  </si>
  <si>
    <t>Func. / Linha</t>
  </si>
  <si>
    <t># SKUs</t>
  </si>
  <si>
    <t>Produzido</t>
  </si>
  <si>
    <t>Arte</t>
  </si>
  <si>
    <t>Anvisa</t>
  </si>
  <si>
    <t>Frascos</t>
  </si>
  <si>
    <t>Tampas</t>
  </si>
  <si>
    <t>Ult. Att.</t>
  </si>
  <si>
    <t>Dias Úteis</t>
  </si>
  <si>
    <t>Data Estimada</t>
  </si>
  <si>
    <t>Dapop</t>
  </si>
  <si>
    <t>Gel Creme Sweet</t>
  </si>
  <si>
    <t>Ginger</t>
  </si>
  <si>
    <t>Perfumes Amostras - Masc.</t>
  </si>
  <si>
    <t>Perfumes Amostras - Fem.</t>
  </si>
  <si>
    <t>Lua &amp; Neve</t>
  </si>
  <si>
    <t>Shampoo Hubba Gum Banana - Lote 1</t>
  </si>
  <si>
    <t>Shampoo Hubba Gum Tutti-Frutti - Lote 1</t>
  </si>
  <si>
    <t>Condicionador Hubba Gum Banana - Lote 1</t>
  </si>
  <si>
    <t>Condicionador Hubba Gum Tutti-Frutti - Lote 1</t>
  </si>
  <si>
    <t>Shampoo Hubba Gum Uva - Lote 1</t>
  </si>
  <si>
    <t>Condicionador Hubba Gum Uva - Lote 1</t>
  </si>
  <si>
    <t>Máscara Hubba Gum Banana - Lote 1</t>
  </si>
  <si>
    <t>Máscara Hubba Gum Tutti-Frutti - Lote 1</t>
  </si>
  <si>
    <t>Máscara Hubba Gum Uva - Lote 1</t>
  </si>
  <si>
    <t>Finalizador Hubba Gum -Banana  Lote 1</t>
  </si>
  <si>
    <t>Finalizador Hubba Gum Tutti-Frutti - Lote 1</t>
  </si>
  <si>
    <t>Finalizador Hubba Gum Uva - Lote 1</t>
  </si>
  <si>
    <t>Mega Center</t>
  </si>
  <si>
    <t>Base para Perfume</t>
  </si>
  <si>
    <t>Miss Rose</t>
  </si>
  <si>
    <t>Body Splash Asad</t>
  </si>
  <si>
    <t>Body Splash Aurora Imperial</t>
  </si>
  <si>
    <t>Body Splash Eclipse Dourado</t>
  </si>
  <si>
    <t>Moutier</t>
  </si>
  <si>
    <t>Perfume Masc.</t>
  </si>
  <si>
    <t>Perfume Fem.</t>
  </si>
  <si>
    <t>Paraíso das Essências</t>
  </si>
  <si>
    <t>Base para Perfume Premium</t>
  </si>
  <si>
    <t>Safira</t>
  </si>
  <si>
    <t>Gel Facial Hidratante Pitaya</t>
  </si>
  <si>
    <t>Gel Facial Hidratante Vit. C</t>
  </si>
  <si>
    <t>Esfoliante Pitaya</t>
  </si>
  <si>
    <t>Esfoliante Vit. C</t>
  </si>
  <si>
    <t>Sabão Líq Pitaya</t>
  </si>
  <si>
    <t>Sabão Líq Vit. C</t>
  </si>
  <si>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</si>
  <si>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</si>
  <si>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</si>
  <si>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</si>
  <si>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</si>
  <si>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</si>
  <si>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</si>
  <si>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</si>
  <si>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</si>
  <si>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</si>
  <si>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</si>
  <si>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</si>
  <si>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</si>
  <si>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</si>
  <si>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</si>
  <si>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</si>
  <si>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</si>
  <si>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</si>
  <si>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</si>
  <si>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</si>
  <si>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</si>
  <si>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FABIANO 06/02/26</t>
  </si>
  <si>
    <t>WKBM0001</t>
  </si>
  <si>
    <t>Display</t>
  </si>
  <si>
    <t>MARIO 09/02/26</t>
  </si>
  <si>
    <t>BBPF0004</t>
  </si>
  <si>
    <t>FBPF0001</t>
  </si>
  <si>
    <t>FBPF0002</t>
  </si>
  <si>
    <t>FILATO 02/26</t>
  </si>
  <si>
    <t>HBPC0001</t>
  </si>
  <si>
    <t>LPD</t>
  </si>
  <si>
    <t xml:space="preserve"> Prod. OPs</t>
  </si>
  <si>
    <t>Prod. Stk</t>
  </si>
  <si>
    <t>CAMIE 04/03</t>
  </si>
  <si>
    <t>CMBS0001</t>
  </si>
  <si>
    <t>CMOC0001</t>
  </si>
  <si>
    <t>CMGL0001</t>
  </si>
  <si>
    <t>REPOSICAO 23/03</t>
  </si>
  <si>
    <t>PROG 01 25/03/26</t>
  </si>
  <si>
    <t>Qtd de OPs</t>
  </si>
  <si>
    <t>Percas*</t>
  </si>
  <si>
    <t>COMPLEMENTO PEDIDO 01/25</t>
  </si>
  <si>
    <t>Ordenação</t>
  </si>
  <si>
    <t>0005</t>
  </si>
  <si>
    <t>0006</t>
  </si>
  <si>
    <t>0007</t>
  </si>
  <si>
    <t>0008</t>
  </si>
  <si>
    <t>Vol.</t>
  </si>
  <si>
    <t>05</t>
  </si>
  <si>
    <t>1 de 3</t>
  </si>
  <si>
    <t>FBBS0003</t>
  </si>
  <si>
    <t>FBBS0004</t>
  </si>
  <si>
    <t>FBBS0005</t>
  </si>
  <si>
    <t>FBBS0006</t>
  </si>
  <si>
    <t>FBHD0002</t>
  </si>
  <si>
    <t>FBOC0002</t>
  </si>
  <si>
    <t>FBMF0002</t>
  </si>
  <si>
    <t>FBBS0002</t>
  </si>
  <si>
    <t>RETRAB 01.2026</t>
  </si>
  <si>
    <t>RETRAB07</t>
  </si>
  <si>
    <t>0011</t>
  </si>
  <si>
    <t>0012</t>
  </si>
  <si>
    <t xml:space="preserve"> </t>
  </si>
  <si>
    <t>0014</t>
  </si>
  <si>
    <t>0015</t>
  </si>
  <si>
    <t>0016</t>
  </si>
  <si>
    <t>PRF-MENE-0001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</si>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</sst>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_)"/>
    <numFmt numFmtId="165" formatCode="0E+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name val="Arial"/>
      <family val="2"/>
    </font>
    <font>
      <sz val="11"/>
      <color rgb="FF0000FF"/>
      <name val="Aptos Narrow"/>
      <family val="2"/>
      <scheme val="minor"/>
    </font>
    <font>
      <sz val="11"/>
      <name val="Aptos Narrow"/>
      <family val="2"/>
      <scheme val="minor"/>
    </font>
    <font>
      <sz val="9"/>
      <name val="Arial Narrow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rgb="FF0000FF"/>
      <name val="Arial"/>
      <family val="2"/>
    </font>
    <font>
      <sz val="11"/>
      <color rgb="FFFF000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rial"/>
      <family val="2"/>
    </font>
    <font>
      <sz val="28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46972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101E5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FFECAF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theme="0"/>
      </right>
      <top style="thin">
        <color indexed="64"/>
      </top>
      <bottom style="dotted">
        <color indexed="64"/>
      </bottom>
      <diagonal/>
    </border>
    <border>
      <left style="medium">
        <color theme="0"/>
      </left>
      <right style="medium">
        <color theme="0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medium">
        <color theme="0"/>
      </right>
      <top/>
      <bottom style="dotted">
        <color indexed="64"/>
      </bottom>
      <diagonal/>
    </border>
    <border>
      <left style="hair">
        <color indexed="64"/>
      </left>
      <right style="dotted">
        <color theme="0"/>
      </right>
      <top style="thin">
        <color indexed="64"/>
      </top>
      <bottom style="thin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 style="thin">
        <color indexed="64"/>
      </bottom>
      <diagonal/>
    </border>
    <border>
      <left style="dotted">
        <color theme="0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dotted">
        <color auto="1"/>
      </bottom>
      <diagonal/>
    </border>
    <border>
      <left style="medium">
        <color theme="0"/>
      </left>
      <right/>
      <top style="thin">
        <color indexed="64"/>
      </top>
      <bottom style="dotted">
        <color indexed="64"/>
      </bottom>
      <diagonal/>
    </border>
    <border>
      <left style="medium">
        <color theme="0"/>
      </left>
      <right/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indexed="64"/>
      </right>
      <top style="dotted">
        <color auto="1"/>
      </top>
      <bottom style="dotted">
        <color auto="1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3" fillId="0" borderId="0"/>
    <xf numFmtId="49" fontId="6" fillId="0" borderId="0" applyFill="0" applyBorder="0" applyProtection="0">
      <alignment horizontal="left" vertical="top" wrapText="1"/>
    </xf>
    <xf numFmtId="0" fontId="1" fillId="0" borderId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3" fillId="0" borderId="0" xfId="1"/>
    <xf numFmtId="164" fontId="1" fillId="3" borderId="0" xfId="3" applyNumberFormat="1" applyFill="1"/>
    <xf numFmtId="0" fontId="8" fillId="3" borderId="5" xfId="3" applyFont="1" applyFill="1" applyBorder="1" applyAlignment="1">
      <alignment horizontal="center" vertical="center" wrapText="1"/>
    </xf>
    <xf numFmtId="0" fontId="8" fillId="3" borderId="6" xfId="3" applyFont="1" applyFill="1" applyBorder="1" applyAlignment="1">
      <alignment horizontal="center" vertical="center" wrapText="1"/>
    </xf>
    <xf numFmtId="14" fontId="8" fillId="3" borderId="7" xfId="3" applyNumberFormat="1" applyFont="1" applyFill="1" applyBorder="1" applyAlignment="1">
      <alignment horizontal="center" vertical="center" wrapText="1"/>
    </xf>
    <xf numFmtId="0" fontId="8" fillId="3" borderId="8" xfId="3" applyFont="1" applyFill="1" applyBorder="1" applyAlignment="1">
      <alignment horizontal="center" vertical="center" wrapText="1"/>
    </xf>
    <xf numFmtId="0" fontId="8" fillId="3" borderId="9" xfId="3" applyFont="1" applyFill="1" applyBorder="1" applyAlignment="1">
      <alignment horizontal="center" vertical="center" wrapText="1"/>
    </xf>
    <xf numFmtId="14" fontId="8" fillId="3" borderId="10" xfId="3" applyNumberFormat="1" applyFont="1" applyFill="1" applyBorder="1" applyAlignment="1">
      <alignment horizontal="center" vertical="center" wrapText="1"/>
    </xf>
    <xf numFmtId="0" fontId="8" fillId="3" borderId="11" xfId="3" applyFont="1" applyFill="1" applyBorder="1" applyAlignment="1">
      <alignment horizontal="center" vertical="center" wrapText="1"/>
    </xf>
    <xf numFmtId="0" fontId="8" fillId="3" borderId="12" xfId="3" applyFont="1" applyFill="1" applyBorder="1" applyAlignment="1">
      <alignment horizontal="center" vertical="center" wrapText="1"/>
    </xf>
    <xf numFmtId="14" fontId="8" fillId="3" borderId="13" xfId="3" applyNumberFormat="1" applyFont="1" applyFill="1" applyBorder="1" applyAlignment="1">
      <alignment horizontal="center" vertical="center" wrapText="1"/>
    </xf>
    <xf numFmtId="0" fontId="7" fillId="0" borderId="0" xfId="1" applyFont="1"/>
    <xf numFmtId="0" fontId="10" fillId="5" borderId="18" xfId="0" applyFont="1" applyFill="1" applyBorder="1" applyAlignment="1">
      <alignment horizontal="center" vertical="center"/>
    </xf>
    <xf numFmtId="0" fontId="10" fillId="5" borderId="19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0" fillId="5" borderId="29" xfId="0" applyFont="1" applyFill="1" applyBorder="1" applyAlignment="1">
      <alignment horizontal="center" vertical="center"/>
    </xf>
    <xf numFmtId="0" fontId="10" fillId="5" borderId="29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14" fontId="0" fillId="0" borderId="22" xfId="0" applyNumberForma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3" fontId="4" fillId="0" borderId="3" xfId="1" applyNumberFormat="1" applyFont="1" applyBorder="1" applyAlignment="1">
      <alignment horizontal="center" vertical="center" wrapText="1"/>
    </xf>
    <xf numFmtId="1" fontId="13" fillId="0" borderId="2" xfId="1" applyNumberFormat="1" applyFont="1" applyBorder="1" applyAlignment="1">
      <alignment horizontal="center" vertical="center" wrapText="1"/>
    </xf>
    <xf numFmtId="3" fontId="5" fillId="0" borderId="3" xfId="1" applyNumberFormat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3" fontId="11" fillId="0" borderId="3" xfId="1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4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6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2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1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5" fillId="0" borderId="2" xfId="1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14" fontId="4" fillId="0" borderId="1" xfId="0" applyNumberFormat="1" applyFont="1" applyBorder="1" applyAlignment="1">
      <alignment horizontal="center" vertical="center" wrapText="1"/>
    </xf>
    <xf numFmtId="3" fontId="4" fillId="0" borderId="2" xfId="1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3" fontId="11" fillId="0" borderId="2" xfId="1" applyNumberFormat="1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3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0" borderId="4" xfId="0" applyNumberFormat="1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6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0" fillId="0" borderId="21" xfId="0" applyNumberFormat="1" applyBorder="1" applyAlignment="1">
      <alignment horizontal="center" vertical="center" wrapText="1"/>
    </xf>
    <xf numFmtId="14" fontId="4" fillId="0" borderId="22" xfId="0" applyNumberFormat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14" fontId="0" fillId="0" borderId="27" xfId="0" applyNumberForma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5" fillId="2" borderId="3" xfId="1" applyNumberFormat="1" applyFont="1" applyFill="1" applyBorder="1" applyAlignment="1">
      <alignment horizontal="center" vertical="center" wrapText="1"/>
    </xf>
    <xf numFmtId="9" fontId="3" fillId="0" borderId="0" xfId="4" applyFont="1"/>
    <xf numFmtId="9" fontId="5" fillId="0" borderId="2" xfId="4" applyFont="1" applyBorder="1" applyAlignment="1">
      <alignment horizontal="center" vertical="center" wrapText="1"/>
    </xf>
    <xf numFmtId="0" fontId="10" fillId="7" borderId="17" xfId="0" applyFont="1" applyFill="1" applyBorder="1" applyAlignment="1">
      <alignment horizontal="center" vertical="center" wrapText="1"/>
    </xf>
    <xf numFmtId="9" fontId="5" fillId="0" borderId="2" xfId="4" applyFont="1" applyFill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8" borderId="2" xfId="1" applyFont="1" applyFill="1" applyBorder="1" applyAlignment="1">
      <alignment horizontal="center" vertical="center" wrapText="1"/>
    </xf>
    <xf numFmtId="3" fontId="4" fillId="8" borderId="2" xfId="1" applyNumberFormat="1" applyFont="1" applyFill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0" fontId="4" fillId="8" borderId="1" xfId="1" applyFont="1" applyFill="1" applyBorder="1" applyAlignment="1">
      <alignment horizontal="center" vertical="center" wrapText="1"/>
    </xf>
    <xf numFmtId="16" fontId="0" fillId="0" borderId="25" xfId="0" applyNumberForma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 applyBorder="1" applyAlignment="1">
      <alignment horizontal="center" vertical="center" wrapText="1"/>
    </xf>
    <xf numFmtId="14" fontId="5" fillId="9" borderId="25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2" xfId="1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10" borderId="17" xfId="0" applyFont="1" applyFill="1" applyBorder="1" applyAlignment="1">
      <alignment horizontal="left" vertical="center" indent="2"/>
    </xf>
    <xf numFmtId="0" fontId="12" fillId="10" borderId="18" xfId="0" applyFont="1" applyFill="1" applyBorder="1" applyAlignment="1">
      <alignment horizontal="right" vertical="center"/>
    </xf>
    <xf numFmtId="0" fontId="0" fillId="10" borderId="18" xfId="0" applyFill="1" applyBorder="1"/>
    <xf numFmtId="0" fontId="12" fillId="10" borderId="18" xfId="0" applyFont="1" applyFill="1" applyBorder="1" applyAlignment="1">
      <alignment horizontal="left" vertical="center" indent="2"/>
    </xf>
    <xf numFmtId="0" fontId="12" fillId="10" borderId="18" xfId="0" applyFont="1" applyFill="1" applyBorder="1" applyAlignment="1">
      <alignment horizontal="left" vertical="center"/>
    </xf>
    <xf numFmtId="0" fontId="2" fillId="10" borderId="18" xfId="0" applyFont="1" applyFill="1" applyBorder="1" applyAlignment="1">
      <alignment horizontal="left" vertical="center"/>
    </xf>
    <xf numFmtId="9" fontId="0" fillId="10" borderId="18" xfId="4" applyFont="1" applyFill="1" applyBorder="1"/>
    <xf numFmtId="0" fontId="2" fillId="10" borderId="20" xfId="1" applyFont="1" applyFill="1" applyBorder="1" applyAlignment="1">
      <alignment horizontal="center" vertical="center" wrapText="1"/>
    </xf>
    <xf numFmtId="0" fontId="2" fillId="10" borderId="20" xfId="1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left" vertical="center" indent="2"/>
    </xf>
    <xf numFmtId="0" fontId="16" fillId="10" borderId="18" xfId="0" applyFont="1" applyFill="1" applyBorder="1"/>
    <xf numFmtId="0" fontId="17" fillId="10" borderId="16" xfId="3" applyFont="1" applyFill="1" applyBorder="1" applyAlignment="1">
      <alignment horizontal="center" vertical="center" wrapText="1"/>
    </xf>
    <xf numFmtId="0" fontId="17" fillId="10" borderId="15" xfId="3" applyFont="1" applyFill="1" applyBorder="1" applyAlignment="1">
      <alignment horizontal="center" vertical="center" wrapText="1"/>
    </xf>
    <xf numFmtId="0" fontId="17" fillId="10" borderId="14" xfId="3" applyFont="1" applyFill="1" applyBorder="1" applyAlignment="1">
      <alignment horizontal="center" vertical="center" wrapText="1"/>
    </xf>
    <xf numFmtId="12" fontId="14" fillId="9" borderId="25" xfId="4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2" fontId="5" fillId="9" borderId="25" xfId="4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9" borderId="25" xfId="4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25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6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2" fontId="5" fillId="9" borderId="25" xfId="0" quotePrefix="1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16" fillId="10" borderId="18" xfId="0" applyNumberFormat="1" applyFont="1" applyFill="1" applyBorder="1" applyAlignment="1">
      <alignment horizontal="center"/>
    </xf>
    <xf numFmtId="0" fontId="5" fillId="8" borderId="2" xfId="1" applyFont="1" applyFill="1" applyBorder="1" applyAlignment="1">
      <alignment horizontal="center" vertical="center" wrapText="1"/>
    </xf>
    <xf numFmtId="0" fontId="2" fillId="10" borderId="18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1" fontId="0" fillId="0" borderId="22" xfId="0" applyNumberFormat="1" applyBorder="1" applyAlignment="1">
      <alignment horizontal="center" vertical="center" wrapText="1"/>
    </xf>
    <xf numFmtId="0" fontId="11" fillId="7" borderId="20" xfId="1" applyFont="1" applyFill="1" applyBorder="1" applyAlignment="1">
      <alignment horizontal="center" vertical="center" wrapText="1"/>
    </xf>
    <xf numFmtId="0" fontId="11" fillId="5" borderId="20" xfId="1" applyFont="1" applyFill="1" applyBorder="1" applyAlignment="1">
      <alignment horizontal="center" vertical="center"/>
    </xf>
    <xf numFmtId="0" fontId="10" fillId="11" borderId="28" xfId="0" applyFont="1" applyFill="1" applyBorder="1" applyAlignment="1">
      <alignment horizontal="center" vertical="center" wrapText="1"/>
    </xf>
    <xf numFmtId="0" fontId="10" fillId="11" borderId="29" xfId="0" applyFont="1" applyFill="1" applyBorder="1" applyAlignment="1">
      <alignment horizontal="center" vertical="center" wrapText="1"/>
    </xf>
    <xf numFmtId="0" fontId="10" fillId="11" borderId="2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4" fillId="12" borderId="1" xfId="0" applyNumberFormat="1" applyFont="1" applyFill="1" applyBorder="1" applyAlignment="1">
      <alignment horizontal="center" vertical="center" wrapText="1"/>
    </xf>
    <xf numFmtId="0" fontId="10" fillId="13" borderId="20" xfId="0" applyFont="1" applyFill="1" applyBorder="1" applyAlignment="1">
      <alignment horizontal="center" vertical="center" wrapText="1"/>
    </xf>
    <xf numFmtId="2" fontId="5" fillId="0" borderId="2" xfId="1" applyNumberFormat="1" applyFont="1" applyBorder="1" applyAlignment="1">
      <alignment horizontal="center" vertical="center" wrapText="1"/>
    </xf>
    <xf numFmtId="0" fontId="11" fillId="14" borderId="20" xfId="1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center" vertical="center"/>
    </xf>
    <xf numFmtId="10" fontId="5" fillId="0" borderId="3" xfId="4" applyNumberFormat="1" applyFont="1" applyBorder="1" applyAlignment="1">
      <alignment horizontal="center" vertical="center" wrapText="1"/>
    </xf>
    <xf numFmtId="9" fontId="2" fillId="6" borderId="18" xfId="4" applyFont="1" applyFill="1" applyBorder="1" applyAlignment="1">
      <alignment horizontal="center" vertical="center"/>
    </xf>
    <xf numFmtId="0" fontId="10" fillId="15" borderId="37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4" fontId="4" fillId="0" borderId="1" xfId="0" quotePrefix="1" applyNumberFormat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/>
    </xf>
    <xf numFmtId="3" fontId="0" fillId="0" borderId="0" xfId="0" applyNumberFormat="1"/>
    <xf numFmtId="0" fontId="4" fillId="0" borderId="1" xfId="0" applyFont="1" applyBorder="1" applyAlignment="1">
      <alignment horizontal="center" vertical="center" wrapText="1"/>
    </xf>
    <xf numFmtId="1" fontId="4" fillId="0" borderId="1" xfId="0" quotePrefix="1" applyNumberFormat="1" applyFont="1" applyBorder="1" applyAlignment="1">
      <alignment horizontal="center" vertical="center" wrapText="1"/>
    </xf>
    <xf numFmtId="0" fontId="4" fillId="16" borderId="2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0" fillId="0" borderId="0" xfId="0" quotePrefix="1"/>
    <xf numFmtId="3" fontId="4" fillId="17" borderId="2" xfId="1" applyNumberFormat="1" applyFont="1" applyFill="1" applyBorder="1" applyAlignment="1">
      <alignment horizontal="center" vertical="center"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14" fontId="14" fillId="9" borderId="25" xfId="0" applyNumberFormat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0" borderId="0" xfId="0" applyNumberFormat="1" applyFont="1" applyAlignment="1">
      <alignment horizontal="center" vertical="center" wrapText="1"/>
    </xf>
    <xf numFmtId="0" fontId="4" fillId="0" borderId="2" xfId="0" applyFont="1" applyBorder="1" applyAlignment="1">
      <alignment horizontal="center"/>
    </xf>
    <xf numFmtId="0" fontId="4" fillId="0" borderId="9" xfId="1" applyFont="1" applyBorder="1" applyAlignment="1">
      <alignment horizontal="center" vertical="center" wrapText="1"/>
    </xf>
  </cellXfs>
  <cellStyles count="5">
    <cellStyle name="Normal" xfId="0" builtinId="0"/>
    <cellStyle name="Normal 17" xfId="3" xr:uid="{BFBB3B29-4881-4369-9C7D-980378472F3E}"/>
    <cellStyle name="Normal 2" xfId="1" xr:uid="{FBCF74B4-788D-4E19-923C-4D28F42EB194}"/>
    <cellStyle name="Percent" xfId="4" builtinId="5"/>
    <cellStyle name="WinCalendar_BlankDates_7" xfId="2" xr:uid="{97E8441F-1C80-4E8B-92B3-C6C3128F8EE2}"/>
  </cellStyles>
  <dxfs count="57">
    <dxf>
      <fill>
        <patternFill>
          <bgColor theme="9" tint="0.79998168889431442"/>
        </patternFill>
      </fill>
    </dxf>
    <dxf>
      <fill>
        <patternFill>
          <bgColor rgb="FFFAC2C2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ECAF"/>
        </patternFill>
      </fill>
    </dxf>
    <dxf>
      <fill>
        <patternFill>
          <bgColor rgb="FFB8FEA8"/>
        </patternFill>
      </fill>
    </dxf>
    <dxf>
      <fill>
        <patternFill>
          <bgColor rgb="FFFFC5B3"/>
        </patternFill>
      </fill>
    </dxf>
    <dxf>
      <fill>
        <patternFill>
          <bgColor rgb="FFFFECAF"/>
        </patternFill>
      </fill>
    </dxf>
    <dxf>
      <fill>
        <patternFill>
          <bgColor rgb="FFB8FEA8"/>
        </patternFill>
      </fill>
    </dxf>
    <dxf>
      <fill>
        <patternFill>
          <bgColor rgb="FFFFC5B3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47FF9A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FFFFE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BFBFBF"/>
        </patternFill>
      </fill>
    </dxf>
    <dxf>
      <font>
        <color rgb="FFFFFFFF"/>
      </font>
      <fill>
        <patternFill patternType="solid">
          <fgColor indexed="64"/>
          <bgColor rgb="FF8B0000"/>
        </patternFill>
      </fill>
    </dxf>
    <dxf>
      <font>
        <color rgb="FFFFFFFF"/>
      </font>
      <fill>
        <patternFill patternType="solid">
          <fgColor indexed="64"/>
          <bgColor rgb="FFC0392B"/>
        </patternFill>
      </fill>
    </dxf>
    <dxf>
      <font>
        <color rgb="FFFFFFFF"/>
      </font>
      <fill>
        <patternFill patternType="solid">
          <fgColor indexed="64"/>
          <bgColor rgb="FFE74C3C"/>
        </patternFill>
      </fill>
    </dxf>
    <dxf>
      <fill>
        <patternFill patternType="solid">
          <fgColor indexed="64"/>
          <bgColor rgb="FFF1948A"/>
        </patternFill>
      </fill>
    </dxf>
    <dxf>
      <fill>
        <patternFill patternType="solid">
          <fgColor indexed="64"/>
          <bgColor rgb="FFFCCCCC"/>
        </patternFill>
      </fill>
    </dxf>
    <dxf>
      <font>
        <color rgb="FFFFFFFF"/>
      </font>
      <fill>
        <patternFill patternType="solid">
          <fgColor indexed="64"/>
          <bgColor rgb="FF006400"/>
        </patternFill>
      </fill>
    </dxf>
    <dxf>
      <font>
        <color rgb="FFFFFFFF"/>
      </font>
      <fill>
        <patternFill patternType="solid">
          <fgColor indexed="64"/>
          <bgColor rgb="FF1E8449"/>
        </patternFill>
      </fill>
    </dxf>
    <dxf>
      <font>
        <color rgb="FFFFFFFF"/>
      </font>
      <fill>
        <patternFill patternType="solid">
          <fgColor indexed="64"/>
          <bgColor rgb="FF27AE60"/>
        </patternFill>
      </fill>
    </dxf>
    <dxf>
      <fill>
        <patternFill patternType="solid">
          <fgColor indexed="64"/>
          <bgColor rgb="FF82E0AA"/>
        </patternFill>
      </fill>
    </dxf>
    <dxf>
      <fill>
        <patternFill patternType="solid">
          <fgColor indexed="64"/>
          <bgColor rgb="FFD5F5E3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0000"/>
      </font>
      <fill>
        <patternFill patternType="solid">
          <fgColor indexed="64"/>
          <bgColor rgb="FFD9D9D9"/>
        </patternFill>
      </fill>
    </dxf>
    <dxf>
      <fill>
        <patternFill>
          <bgColor rgb="FFFFFFE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rgb="FFFFFFE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rgb="FFFFFFE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47FF9A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47FF9A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ECAF"/>
        </patternFill>
      </fill>
    </dxf>
    <dxf>
      <fill>
        <patternFill>
          <bgColor rgb="FFB8FEA8"/>
        </patternFill>
      </fill>
    </dxf>
    <dxf>
      <fill>
        <patternFill>
          <bgColor rgb="FFFFC5B3"/>
        </patternFill>
      </fill>
    </dxf>
    <dxf>
      <fill>
        <patternFill>
          <bgColor rgb="FFFFEE8C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47FF9A"/>
        </patternFill>
      </fill>
    </dxf>
  </dxfs>
  <tableStyles count="0" defaultTableStyle="TableStyleMedium2" defaultPivotStyle="PivotStyleLight16"/>
  <colors>
    <mruColors>
      <color rgb="FFFFECAF"/>
      <color rgb="FFFFFFE1"/>
      <color rgb="FFFFFFCC"/>
      <color rgb="FF101E5C"/>
      <color rgb="FFFFFFAF"/>
      <color rgb="FF96DB7B"/>
      <color rgb="FFFFFFD1"/>
      <color rgb="FF0000FF"/>
      <color rgb="FF469729"/>
      <color rgb="FFFAC2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2/11/relationships/FeaturePropertyBag" Target="featurePropertyBag/featurePropertyBag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17/10/relationships/person" Target="persons/person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2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393700</xdr:colOff>
      <xdr:row>1</xdr:row>
      <xdr:rowOff>25400</xdr:rowOff>
    </xdr:from>
    <xdr:to>
      <xdr:col>6</xdr:col>
      <xdr:colOff>178593</xdr:colOff>
      <xdr:row>1</xdr:row>
      <xdr:rowOff>342900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448AB0-BD58-0C14-87BE-DD421282FC16}"/>
            </a:ext>
          </a:extLst>
        </xdr:cNvPr>
        <xdr:cNvSpPr/>
      </xdr:nvSpPr>
      <xdr:spPr>
        <a:xfrm>
          <a:off x="2548731" y="215900"/>
          <a:ext cx="4225925" cy="3175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Ordenar do menor para o maior na ultima</a:t>
          </a:r>
          <a:r>
            <a:rPr lang="en-US" sz="1200" b="1" baseline="0">
              <a:solidFill>
                <a:sysClr val="windowText" lastClr="000000"/>
              </a:solidFill>
            </a:rPr>
            <a:t> coluna 'Ordenação'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8.%20Logistica%20e%20Armazenamento/00.%20Logistica/Controle%20de%20Produtos.xlsx" TargetMode="External"/><Relationship Id="rId2" Type="http://schemas.openxmlformats.org/officeDocument/2006/relationships/externalLinkPath" Target="https://kuryos.sharepoint.com/sites/ServidorKuryos/Shared%20Documents/08.%20Logistica%20e%20Armazenamento/00.%20Logistica/Controle%20de%20Produtos.xlsx" TargetMode="External"/><Relationship Id="rId1" Type="http://schemas.openxmlformats.org/officeDocument/2006/relationships/externalLinkPath" Target="/sites/ServidorKuryos/Shared%20Documents/08.%20Logistica%20e%20Armazenamento/00.%20Logistica/Controle%20de%20Produto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uryos.sharepoint.com/sites/ServidorKuryos/Shared%20Documents/04.%20Design%20de%20Produtos%20e%20PCP/1.%20PCP/Controle%20de%20Produ&#231;&#227;o.xlsm" TargetMode="External"/><Relationship Id="rId1" Type="http://schemas.openxmlformats.org/officeDocument/2006/relationships/externalLinkPath" Target="Controle%20de%20Produ&#231;&#227;o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8.%20Logistica%20e%20Armazenamento/00.%20Logistica/ESTOQUE/Controle%20de%20Entradas,%20Saidas%20e%20Estoque.xlsx" TargetMode="External"/><Relationship Id="rId2" Type="http://schemas.openxmlformats.org/officeDocument/2006/relationships/externalLinkPath" Target="https://kuryos.sharepoint.com/sites/ServidorKuryos/Shared%20Documents/08.%20Logistica%20e%20Armazenamento/00.%20Logistica/ESTOQUE/Controle%20de%20Entradas,%20Saidas%20e%20Estoque.xlsx" TargetMode="External"/><Relationship Id="rId1" Type="http://schemas.openxmlformats.org/officeDocument/2006/relationships/externalLinkPath" Target="/sites/ServidorKuryos/Shared%20Documents/08.%20Logistica%20e%20Armazenamento/00.%20Logistica/ESTOQUE/Controle%20de%20Entradas,%20Saidas%20e%20Estoqu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y-tXxwIStUOuTRlCGEMWNtPrtsVQ9HBOtnFl2noHyRcEjoDIjaTsRKqihKs8SpeJ" itemId="017DPLXKN5TVGG4PFJPRCIQ5U5UAI22H5B">
      <xxl21:absoluteUrl r:id="rId2"/>
      <xxl21:relativeUrl r:id="rId3"/>
    </xxl21:alternateUrls>
    <sheetNames>
      <sheetName val="Gerador de SKU"/>
      <sheetName val="Produtos"/>
      <sheetName val="Sheet2"/>
      <sheetName val="MPs"/>
      <sheetName val="Insumos"/>
      <sheetName val="Sheet1"/>
      <sheetName val="TAB_FORMAS"/>
      <sheetName val="TAB_CLIENTES"/>
    </sheetNames>
    <sheetDataSet>
      <sheetData sheetId="0"/>
      <sheetData sheetId="1">
        <row r="2">
          <cell r="B2" t="str">
            <v>SKU</v>
          </cell>
          <cell r="C2" t="str">
            <v>Descrição do Item</v>
          </cell>
          <cell r="G2" t="str">
            <v>Cliente</v>
          </cell>
          <cell r="L2" t="str">
            <v>Prod. Viscosidade</v>
          </cell>
          <cell r="Y2" t="str">
            <v>LP</v>
          </cell>
        </row>
        <row r="3">
          <cell r="B3" t="str">
            <v>-</v>
          </cell>
          <cell r="C3" t="str">
            <v>DESODORANTE ROLLON ALGODÃO</v>
          </cell>
          <cell r="E3" t="str">
            <v>-</v>
          </cell>
          <cell r="F3" t="str">
            <v>-</v>
          </cell>
          <cell r="G3" t="str">
            <v>-</v>
          </cell>
          <cell r="L3">
            <v>802.46872213014433</v>
          </cell>
        </row>
        <row r="4">
          <cell r="B4" t="str">
            <v>-</v>
          </cell>
          <cell r="C4" t="str">
            <v>DESODORANTE ROLLON LAVANDA</v>
          </cell>
          <cell r="E4" t="str">
            <v>-</v>
          </cell>
          <cell r="F4" t="str">
            <v>-</v>
          </cell>
          <cell r="G4" t="str">
            <v>-</v>
          </cell>
          <cell r="L4">
            <v>802.46872213014433</v>
          </cell>
        </row>
        <row r="5">
          <cell r="B5" t="str">
            <v>-</v>
          </cell>
          <cell r="C5" t="str">
            <v>GEL BRILHO AMARELO</v>
          </cell>
          <cell r="E5">
            <v>30</v>
          </cell>
          <cell r="F5" t="str">
            <v>ml</v>
          </cell>
          <cell r="G5" t="str">
            <v>BE MAGIC</v>
          </cell>
          <cell r="L5">
            <v>519.13260484234854</v>
          </cell>
        </row>
        <row r="6">
          <cell r="B6" t="str">
            <v>-</v>
          </cell>
          <cell r="C6" t="str">
            <v>GEL BRILHO ROSA</v>
          </cell>
          <cell r="E6">
            <v>30</v>
          </cell>
          <cell r="F6" t="str">
            <v>ml</v>
          </cell>
          <cell r="G6" t="str">
            <v>BE MAGIC</v>
          </cell>
          <cell r="L6">
            <v>519.13260484234854</v>
          </cell>
        </row>
        <row r="7">
          <cell r="B7" t="str">
            <v>-</v>
          </cell>
          <cell r="C7" t="str">
            <v>GEL BRILHO ROXO</v>
          </cell>
          <cell r="E7">
            <v>30</v>
          </cell>
          <cell r="F7" t="str">
            <v>ml</v>
          </cell>
          <cell r="G7" t="str">
            <v>BE MAGIC</v>
          </cell>
          <cell r="L7">
            <v>519.13260484234854</v>
          </cell>
        </row>
        <row r="8">
          <cell r="B8" t="str">
            <v>-</v>
          </cell>
          <cell r="C8" t="str">
            <v>GEL BRILHO VERMELHO</v>
          </cell>
          <cell r="E8">
            <v>30</v>
          </cell>
          <cell r="F8" t="str">
            <v>ml</v>
          </cell>
          <cell r="G8" t="str">
            <v>BE MAGIC</v>
          </cell>
          <cell r="L8">
            <v>519.13260484234854</v>
          </cell>
        </row>
        <row r="9">
          <cell r="B9" t="str">
            <v>-</v>
          </cell>
          <cell r="C9" t="str">
            <v>IMEDIATT LISS PASSO 1</v>
          </cell>
          <cell r="E9">
            <v>1000</v>
          </cell>
          <cell r="F9" t="str">
            <v>ml</v>
          </cell>
          <cell r="G9" t="str">
            <v>PRO STYLE</v>
          </cell>
          <cell r="L9">
            <v>571.39859273161176</v>
          </cell>
        </row>
        <row r="10">
          <cell r="B10" t="str">
            <v>-</v>
          </cell>
          <cell r="C10" t="str">
            <v>IMEDIATT LISS PASSO 2</v>
          </cell>
          <cell r="E10">
            <v>1000</v>
          </cell>
          <cell r="F10" t="str">
            <v>ml</v>
          </cell>
          <cell r="G10" t="str">
            <v>PRO STYLE</v>
          </cell>
          <cell r="L10">
            <v>0</v>
          </cell>
        </row>
        <row r="11">
          <cell r="B11" t="str">
            <v>AMABBS01</v>
          </cell>
          <cell r="C11" t="str">
            <v>BODY MIST TESOURO DO OASIS</v>
          </cell>
          <cell r="E11">
            <v>250</v>
          </cell>
          <cell r="F11" t="str">
            <v>ml</v>
          </cell>
          <cell r="G11" t="str">
            <v>AMEERATI</v>
          </cell>
          <cell r="L11">
            <v>843.58780095852239</v>
          </cell>
          <cell r="Y11">
            <v>1.35</v>
          </cell>
        </row>
        <row r="12">
          <cell r="B12" t="str">
            <v>AMABBS02</v>
          </cell>
          <cell r="C12" t="str">
            <v>BODY MIST JARDINS DO ORIENTE</v>
          </cell>
          <cell r="E12">
            <v>250</v>
          </cell>
          <cell r="F12" t="str">
            <v>ml</v>
          </cell>
          <cell r="G12" t="str">
            <v>AMEERATI</v>
          </cell>
          <cell r="L12">
            <v>843.58780095852239</v>
          </cell>
          <cell r="Y12">
            <v>1.35</v>
          </cell>
        </row>
        <row r="13">
          <cell r="B13" t="str">
            <v>AMABBS03</v>
          </cell>
          <cell r="C13" t="str">
            <v>BODY MIST FLOR DO DESERTO</v>
          </cell>
          <cell r="E13">
            <v>250</v>
          </cell>
          <cell r="F13" t="str">
            <v>ml</v>
          </cell>
          <cell r="G13" t="str">
            <v>AMEERATI</v>
          </cell>
          <cell r="L13">
            <v>843.58780095852239</v>
          </cell>
          <cell r="Y13">
            <v>1.35</v>
          </cell>
        </row>
        <row r="14">
          <cell r="B14" t="str">
            <v>AMABBS04</v>
          </cell>
          <cell r="C14" t="str">
            <v>BODY MIST PEROLA DO DESERTO</v>
          </cell>
          <cell r="E14">
            <v>250</v>
          </cell>
          <cell r="F14" t="str">
            <v>ml</v>
          </cell>
          <cell r="G14" t="str">
            <v>AMEERATI</v>
          </cell>
          <cell r="L14">
            <v>843.58780095852239</v>
          </cell>
          <cell r="Y14">
            <v>1.35</v>
          </cell>
        </row>
        <row r="15">
          <cell r="B15" t="str">
            <v>AMABBS05</v>
          </cell>
          <cell r="C15" t="str">
            <v>BODY MIST ROSA IMPERIAL</v>
          </cell>
          <cell r="E15">
            <v>250</v>
          </cell>
          <cell r="F15" t="str">
            <v>ml</v>
          </cell>
          <cell r="G15" t="str">
            <v>AMEERATI</v>
          </cell>
          <cell r="L15">
            <v>843.58780095852239</v>
          </cell>
          <cell r="Y15">
            <v>1.35</v>
          </cell>
        </row>
        <row r="16">
          <cell r="B16" t="str">
            <v>AMABBS06</v>
          </cell>
          <cell r="C16" t="str">
            <v>BODY MIST ENCANTO PERSA</v>
          </cell>
          <cell r="E16">
            <v>250</v>
          </cell>
          <cell r="F16" t="str">
            <v>ml</v>
          </cell>
          <cell r="G16" t="str">
            <v>AMEERATI</v>
          </cell>
          <cell r="L16">
            <v>843.58780095852239</v>
          </cell>
          <cell r="Y16">
            <v>1.35</v>
          </cell>
        </row>
        <row r="17">
          <cell r="B17" t="str">
            <v>AMABBS07</v>
          </cell>
          <cell r="C17" t="str">
            <v>BODY MIST MEL DE ESPECIARIAS</v>
          </cell>
          <cell r="E17">
            <v>250</v>
          </cell>
          <cell r="F17" t="str">
            <v>ml</v>
          </cell>
          <cell r="G17" t="str">
            <v>AMEERATI</v>
          </cell>
          <cell r="L17">
            <v>843.58780095852239</v>
          </cell>
          <cell r="Y17">
            <v>1.35</v>
          </cell>
        </row>
        <row r="18">
          <cell r="B18" t="str">
            <v>AMABBS08</v>
          </cell>
          <cell r="C18" t="str">
            <v>BODY MIST RARO ELIXIR</v>
          </cell>
          <cell r="E18">
            <v>250</v>
          </cell>
          <cell r="F18" t="str">
            <v>ml</v>
          </cell>
          <cell r="G18" t="str">
            <v>AMEERATI</v>
          </cell>
          <cell r="L18">
            <v>843.58780095852239</v>
          </cell>
          <cell r="Y18">
            <v>1.35</v>
          </cell>
        </row>
        <row r="19">
          <cell r="B19" t="str">
            <v>AMABHD01</v>
          </cell>
          <cell r="C19" t="str">
            <v>BODY CREAM TESOURO DO OASIS</v>
          </cell>
          <cell r="E19">
            <v>240</v>
          </cell>
          <cell r="F19" t="str">
            <v>ml</v>
          </cell>
          <cell r="G19" t="str">
            <v>AMEERATI</v>
          </cell>
          <cell r="L19">
            <v>613.39886035164977</v>
          </cell>
          <cell r="Y19">
            <v>1.48</v>
          </cell>
        </row>
        <row r="20">
          <cell r="B20" t="str">
            <v>AMABHD02</v>
          </cell>
          <cell r="C20" t="str">
            <v>BODY CREAM JARDINS DO ORIENTE</v>
          </cell>
          <cell r="E20">
            <v>240</v>
          </cell>
          <cell r="F20" t="str">
            <v>ml</v>
          </cell>
          <cell r="G20" t="str">
            <v>AMEERATI</v>
          </cell>
          <cell r="L20">
            <v>613.39886035164977</v>
          </cell>
          <cell r="Y20">
            <v>1.48</v>
          </cell>
        </row>
        <row r="21">
          <cell r="B21" t="str">
            <v>AMABHD03</v>
          </cell>
          <cell r="C21" t="str">
            <v>BODY CREAM FLOR DO DESERTO</v>
          </cell>
          <cell r="E21">
            <v>240</v>
          </cell>
          <cell r="F21" t="str">
            <v>ml</v>
          </cell>
          <cell r="G21" t="str">
            <v>AMEERATI</v>
          </cell>
          <cell r="L21">
            <v>613.39886035164977</v>
          </cell>
          <cell r="Y21">
            <v>1.48</v>
          </cell>
        </row>
        <row r="22">
          <cell r="B22" t="str">
            <v>AMABHD04</v>
          </cell>
          <cell r="C22" t="str">
            <v>BODY CREAM PEROLA DO DESERTO</v>
          </cell>
          <cell r="E22">
            <v>240</v>
          </cell>
          <cell r="F22" t="str">
            <v>ml</v>
          </cell>
          <cell r="G22" t="str">
            <v>AMEERATI</v>
          </cell>
          <cell r="L22">
            <v>613.39886035164977</v>
          </cell>
          <cell r="Y22">
            <v>1.48</v>
          </cell>
        </row>
        <row r="23">
          <cell r="B23" t="str">
            <v>AMABHD05</v>
          </cell>
          <cell r="C23" t="str">
            <v>BODY CREAM ROSA IMPERIAL</v>
          </cell>
          <cell r="E23">
            <v>240</v>
          </cell>
          <cell r="F23" t="str">
            <v>ml</v>
          </cell>
          <cell r="G23" t="str">
            <v>AMEERATI</v>
          </cell>
          <cell r="L23">
            <v>613.39886035164977</v>
          </cell>
          <cell r="Y23">
            <v>1.48</v>
          </cell>
        </row>
        <row r="24">
          <cell r="B24" t="str">
            <v>AMABHD06</v>
          </cell>
          <cell r="C24" t="str">
            <v>BODY CREAM ENCANTO PERSA</v>
          </cell>
          <cell r="E24">
            <v>240</v>
          </cell>
          <cell r="F24" t="str">
            <v>ml</v>
          </cell>
          <cell r="G24" t="str">
            <v>AMEERATI</v>
          </cell>
          <cell r="L24">
            <v>613.39886035164977</v>
          </cell>
          <cell r="Y24">
            <v>1.48</v>
          </cell>
        </row>
        <row r="25">
          <cell r="B25" t="str">
            <v>AMABHD07</v>
          </cell>
          <cell r="C25" t="str">
            <v>BODY CREAM MEL DE ESPECIARIAS</v>
          </cell>
          <cell r="E25">
            <v>240</v>
          </cell>
          <cell r="F25" t="str">
            <v>ml</v>
          </cell>
          <cell r="G25" t="str">
            <v>AMEERATI</v>
          </cell>
          <cell r="L25">
            <v>613.39886035164977</v>
          </cell>
          <cell r="Y25">
            <v>1.48</v>
          </cell>
        </row>
        <row r="26">
          <cell r="B26" t="str">
            <v>AMABHD08</v>
          </cell>
          <cell r="C26" t="str">
            <v>BODY CREAM RARO ELIXIR</v>
          </cell>
          <cell r="E26">
            <v>240</v>
          </cell>
          <cell r="F26" t="str">
            <v>ml</v>
          </cell>
          <cell r="G26" t="str">
            <v>AMEERATI</v>
          </cell>
          <cell r="L26">
            <v>613.39886035164977</v>
          </cell>
          <cell r="Y26">
            <v>1.48</v>
          </cell>
        </row>
        <row r="27">
          <cell r="B27" t="str">
            <v>AMCLBS01</v>
          </cell>
          <cell r="C27" t="str">
            <v>BODY MIST BELISSIMA ESSENZA</v>
          </cell>
          <cell r="E27">
            <v>250</v>
          </cell>
          <cell r="F27" t="str">
            <v>ml</v>
          </cell>
          <cell r="G27" t="str">
            <v>AMEERATI</v>
          </cell>
          <cell r="L27">
            <v>843.58780095852239</v>
          </cell>
          <cell r="Y27">
            <v>1.35</v>
          </cell>
        </row>
        <row r="28">
          <cell r="B28" t="str">
            <v>AMCLBS02</v>
          </cell>
          <cell r="C28" t="str">
            <v>BODY MIST CHARME FATAL</v>
          </cell>
          <cell r="E28">
            <v>250</v>
          </cell>
          <cell r="F28" t="str">
            <v>ml</v>
          </cell>
          <cell r="G28" t="str">
            <v>AMEERATI</v>
          </cell>
          <cell r="L28">
            <v>843.58780095852239</v>
          </cell>
          <cell r="Y28">
            <v>1.35</v>
          </cell>
        </row>
        <row r="29">
          <cell r="B29" t="str">
            <v>AMCLBS03</v>
          </cell>
          <cell r="C29" t="str">
            <v>BODY MIST DOCE BRISA</v>
          </cell>
          <cell r="E29">
            <v>250</v>
          </cell>
          <cell r="F29" t="str">
            <v>ml</v>
          </cell>
          <cell r="G29" t="str">
            <v>AMEERATI</v>
          </cell>
          <cell r="L29">
            <v>843.58780095852239</v>
          </cell>
          <cell r="Y29">
            <v>1.35</v>
          </cell>
        </row>
        <row r="30">
          <cell r="B30" t="str">
            <v>AMCLBS04</v>
          </cell>
          <cell r="C30" t="str">
            <v>BODY MIST MISTERIO INFINITO</v>
          </cell>
          <cell r="E30">
            <v>250</v>
          </cell>
          <cell r="F30" t="str">
            <v>ml</v>
          </cell>
          <cell r="G30" t="str">
            <v>AMEERATI</v>
          </cell>
          <cell r="L30">
            <v>843.58780095852239</v>
          </cell>
          <cell r="Y30">
            <v>1.35</v>
          </cell>
        </row>
        <row r="31">
          <cell r="B31" t="str">
            <v>AMCLBS05</v>
          </cell>
          <cell r="C31" t="str">
            <v>BODY MIST NEVOA ENCANTADA</v>
          </cell>
          <cell r="E31">
            <v>250</v>
          </cell>
          <cell r="F31" t="str">
            <v>ml</v>
          </cell>
          <cell r="G31" t="str">
            <v>AMEERATI</v>
          </cell>
          <cell r="L31">
            <v>843.58780095852239</v>
          </cell>
          <cell r="Y31">
            <v>1.35</v>
          </cell>
        </row>
        <row r="32">
          <cell r="B32" t="str">
            <v>AMCLBS06</v>
          </cell>
          <cell r="C32" t="str">
            <v>BODY MIST INTENSA PAIXAO</v>
          </cell>
          <cell r="E32">
            <v>250</v>
          </cell>
          <cell r="F32" t="str">
            <v>ml</v>
          </cell>
          <cell r="G32" t="str">
            <v>AMEERATI</v>
          </cell>
          <cell r="L32">
            <v>843.58780095852239</v>
          </cell>
          <cell r="Y32">
            <v>1.35</v>
          </cell>
        </row>
        <row r="33">
          <cell r="B33" t="str">
            <v>AMCLBS07</v>
          </cell>
          <cell r="C33" t="str">
            <v>BODY MIST FLOR DE CRISTAL</v>
          </cell>
          <cell r="E33">
            <v>250</v>
          </cell>
          <cell r="F33" t="str">
            <v>ml</v>
          </cell>
          <cell r="G33" t="str">
            <v>AMEERATI</v>
          </cell>
          <cell r="L33">
            <v>843.58780095852239</v>
          </cell>
          <cell r="Y33">
            <v>1.35</v>
          </cell>
        </row>
        <row r="34">
          <cell r="B34" t="str">
            <v>AMCLBS08</v>
          </cell>
          <cell r="C34" t="str">
            <v>BODY MIST ESTRELA RADIANTE</v>
          </cell>
          <cell r="E34">
            <v>250</v>
          </cell>
          <cell r="F34" t="str">
            <v>ml</v>
          </cell>
          <cell r="G34" t="str">
            <v>AMEERATI</v>
          </cell>
          <cell r="L34">
            <v>843.58780095852239</v>
          </cell>
          <cell r="Y34">
            <v>1.35</v>
          </cell>
        </row>
        <row r="35">
          <cell r="B35" t="str">
            <v>AMCLHD01</v>
          </cell>
          <cell r="C35" t="str">
            <v>BODY CREAM BELISSIMA ESSENZA</v>
          </cell>
          <cell r="E35">
            <v>240</v>
          </cell>
          <cell r="F35" t="str">
            <v>ml</v>
          </cell>
          <cell r="G35" t="str">
            <v>AMEERATI</v>
          </cell>
          <cell r="L35">
            <v>613.39886035164977</v>
          </cell>
          <cell r="Y35">
            <v>1.48</v>
          </cell>
        </row>
        <row r="36">
          <cell r="B36" t="str">
            <v>AMCLHD02</v>
          </cell>
          <cell r="C36" t="str">
            <v>BODY CREAM CHARME FATAL</v>
          </cell>
          <cell r="E36">
            <v>240</v>
          </cell>
          <cell r="F36" t="str">
            <v>ml</v>
          </cell>
          <cell r="G36" t="str">
            <v>AMEERATI</v>
          </cell>
          <cell r="L36">
            <v>613.39886035164977</v>
          </cell>
          <cell r="Y36">
            <v>1.48</v>
          </cell>
        </row>
        <row r="37">
          <cell r="B37" t="str">
            <v>AMCLHD03</v>
          </cell>
          <cell r="C37" t="str">
            <v>BODY CREAM DOCE BRISA</v>
          </cell>
          <cell r="E37">
            <v>240</v>
          </cell>
          <cell r="F37" t="str">
            <v>ml</v>
          </cell>
          <cell r="G37" t="str">
            <v>AMEERATI</v>
          </cell>
          <cell r="L37">
            <v>613.39886035164977</v>
          </cell>
          <cell r="Y37">
            <v>1.48</v>
          </cell>
        </row>
        <row r="38">
          <cell r="B38" t="str">
            <v>AMCLHD04</v>
          </cell>
          <cell r="C38" t="str">
            <v>BODY CREAM MISTERIO INFINITO</v>
          </cell>
          <cell r="E38">
            <v>240</v>
          </cell>
          <cell r="F38" t="str">
            <v>ml</v>
          </cell>
          <cell r="G38" t="str">
            <v>AMEERATI</v>
          </cell>
          <cell r="L38">
            <v>613.39886035164977</v>
          </cell>
          <cell r="Y38">
            <v>1.48</v>
          </cell>
        </row>
        <row r="39">
          <cell r="B39" t="str">
            <v>AMCLHD05</v>
          </cell>
          <cell r="C39" t="str">
            <v>BODY CREAM NEVOA ENCANTADA</v>
          </cell>
          <cell r="E39">
            <v>240</v>
          </cell>
          <cell r="F39" t="str">
            <v>ml</v>
          </cell>
          <cell r="G39" t="str">
            <v>AMEERATI</v>
          </cell>
          <cell r="L39">
            <v>613.39886035164977</v>
          </cell>
          <cell r="Y39">
            <v>1.48</v>
          </cell>
        </row>
        <row r="40">
          <cell r="B40" t="str">
            <v>AMCLHD06</v>
          </cell>
          <cell r="C40" t="str">
            <v>BODY CREAM  INTENSA PAIXAO</v>
          </cell>
          <cell r="E40">
            <v>240</v>
          </cell>
          <cell r="F40" t="str">
            <v>ml</v>
          </cell>
          <cell r="G40" t="str">
            <v>AMEERATI</v>
          </cell>
          <cell r="L40">
            <v>613.39886035164977</v>
          </cell>
          <cell r="Y40">
            <v>1.48</v>
          </cell>
        </row>
        <row r="41">
          <cell r="B41" t="str">
            <v>AMCLHD07</v>
          </cell>
          <cell r="C41" t="str">
            <v>BODY CREAM FLOR DE CRISTAL</v>
          </cell>
          <cell r="E41">
            <v>240</v>
          </cell>
          <cell r="F41" t="str">
            <v>ml</v>
          </cell>
          <cell r="G41" t="str">
            <v>AMEERATI</v>
          </cell>
          <cell r="L41">
            <v>613.39886035164977</v>
          </cell>
          <cell r="Y41">
            <v>1.48</v>
          </cell>
        </row>
        <row r="42">
          <cell r="B42" t="str">
            <v>AMCLHD08</v>
          </cell>
          <cell r="C42" t="str">
            <v>BODY CREAM ESTRELA RADIANTE</v>
          </cell>
          <cell r="E42">
            <v>240</v>
          </cell>
          <cell r="F42" t="str">
            <v>ml</v>
          </cell>
          <cell r="G42" t="str">
            <v>AMEERATI</v>
          </cell>
          <cell r="L42">
            <v>613.39886035164977</v>
          </cell>
          <cell r="Y42">
            <v>1.48</v>
          </cell>
        </row>
        <row r="43">
          <cell r="B43" t="str">
            <v>AMNCBS01</v>
          </cell>
          <cell r="C43" t="str">
            <v>BODY MIST BAUNILHA SELVAGEM</v>
          </cell>
          <cell r="E43">
            <v>250</v>
          </cell>
          <cell r="F43" t="str">
            <v>ml</v>
          </cell>
          <cell r="G43" t="str">
            <v>AMEERATI</v>
          </cell>
          <cell r="L43">
            <v>843.58780095852239</v>
          </cell>
          <cell r="Y43">
            <v>1.35</v>
          </cell>
        </row>
        <row r="44">
          <cell r="B44" t="str">
            <v>AMNCBS02</v>
          </cell>
          <cell r="C44" t="str">
            <v>BODY MIST VERDE SUPREMO</v>
          </cell>
          <cell r="E44">
            <v>250</v>
          </cell>
          <cell r="F44" t="str">
            <v>ml</v>
          </cell>
          <cell r="G44" t="str">
            <v>AMEERATI</v>
          </cell>
          <cell r="L44">
            <v>843.58780095852239</v>
          </cell>
          <cell r="Y44">
            <v>1.35</v>
          </cell>
        </row>
        <row r="45">
          <cell r="B45" t="str">
            <v>AMNCBS03</v>
          </cell>
          <cell r="C45" t="str">
            <v>BODY MIST SONHO DE PISTACHE</v>
          </cell>
          <cell r="E45">
            <v>250</v>
          </cell>
          <cell r="F45" t="str">
            <v>ml</v>
          </cell>
          <cell r="G45" t="str">
            <v>AMEERATI</v>
          </cell>
          <cell r="L45">
            <v>843.58780095852239</v>
          </cell>
          <cell r="Y45">
            <v>1.35</v>
          </cell>
        </row>
        <row r="46">
          <cell r="B46" t="str">
            <v>AMNCBS04</v>
          </cell>
          <cell r="C46" t="str">
            <v>BODY MIST DOCE ROSA</v>
          </cell>
          <cell r="E46">
            <v>250</v>
          </cell>
          <cell r="F46" t="str">
            <v>ml</v>
          </cell>
          <cell r="G46" t="str">
            <v>AMEERATI</v>
          </cell>
          <cell r="L46">
            <v>843.58780095852239</v>
          </cell>
          <cell r="Y46">
            <v>1.35</v>
          </cell>
        </row>
        <row r="47">
          <cell r="B47" t="str">
            <v>AMNCBS05</v>
          </cell>
          <cell r="C47" t="str">
            <v>BODY MIST FRESCOR LICHIA</v>
          </cell>
          <cell r="E47">
            <v>250</v>
          </cell>
          <cell r="F47" t="str">
            <v>ml</v>
          </cell>
          <cell r="G47" t="str">
            <v>AMEERATI</v>
          </cell>
          <cell r="L47">
            <v>843.58780095852239</v>
          </cell>
          <cell r="Y47">
            <v>1.35</v>
          </cell>
        </row>
        <row r="48">
          <cell r="B48" t="str">
            <v>AMNCBS06</v>
          </cell>
          <cell r="C48" t="str">
            <v>BODY MIST NECTAR DA PERA</v>
          </cell>
          <cell r="E48">
            <v>250</v>
          </cell>
          <cell r="F48" t="str">
            <v>ml</v>
          </cell>
          <cell r="G48" t="str">
            <v>AMEERATI</v>
          </cell>
          <cell r="L48">
            <v>843.58780095852239</v>
          </cell>
          <cell r="Y48">
            <v>1.35</v>
          </cell>
        </row>
        <row r="49">
          <cell r="B49" t="str">
            <v>AMNCBS07</v>
          </cell>
          <cell r="C49" t="str">
            <v>BODY MIST BOUQUET CARMIM</v>
          </cell>
          <cell r="E49">
            <v>250</v>
          </cell>
          <cell r="F49" t="str">
            <v>ml</v>
          </cell>
          <cell r="G49" t="str">
            <v>AMEERATI</v>
          </cell>
          <cell r="L49">
            <v>843.58780095852239</v>
          </cell>
          <cell r="Y49">
            <v>1.35</v>
          </cell>
        </row>
        <row r="50">
          <cell r="B50" t="str">
            <v>AMNCBS08</v>
          </cell>
          <cell r="C50" t="str">
            <v>BODY MIST SUBLIME CEREJA</v>
          </cell>
          <cell r="E50">
            <v>250</v>
          </cell>
          <cell r="F50" t="str">
            <v>ml</v>
          </cell>
          <cell r="G50" t="str">
            <v>AMEERATI</v>
          </cell>
          <cell r="L50">
            <v>843.58780095852239</v>
          </cell>
          <cell r="Y50">
            <v>1.35</v>
          </cell>
        </row>
        <row r="51">
          <cell r="B51" t="str">
            <v>AMNCHD01</v>
          </cell>
          <cell r="C51" t="str">
            <v>BODY CREAM BAUNILHA SELVAGEM</v>
          </cell>
          <cell r="E51">
            <v>240</v>
          </cell>
          <cell r="F51" t="str">
            <v>ml</v>
          </cell>
          <cell r="G51" t="str">
            <v>AMEERATI</v>
          </cell>
          <cell r="L51">
            <v>613.39886035164977</v>
          </cell>
          <cell r="Y51">
            <v>1.48</v>
          </cell>
        </row>
        <row r="52">
          <cell r="B52" t="str">
            <v>AMNCHD02</v>
          </cell>
          <cell r="C52" t="str">
            <v>BODY CREAM VERDE SUPREMO</v>
          </cell>
          <cell r="E52">
            <v>240</v>
          </cell>
          <cell r="F52" t="str">
            <v>ml</v>
          </cell>
          <cell r="G52" t="str">
            <v>AMEERATI</v>
          </cell>
          <cell r="L52">
            <v>613.39886035164977</v>
          </cell>
          <cell r="Y52">
            <v>1.48</v>
          </cell>
        </row>
        <row r="53">
          <cell r="B53" t="str">
            <v>AMNCHD03</v>
          </cell>
          <cell r="C53" t="str">
            <v>BODY CREAM SONHO DE PISTACHE</v>
          </cell>
          <cell r="E53">
            <v>240</v>
          </cell>
          <cell r="F53" t="str">
            <v>ml</v>
          </cell>
          <cell r="G53" t="str">
            <v>AMEERATI</v>
          </cell>
          <cell r="L53">
            <v>613.39886035164977</v>
          </cell>
          <cell r="Y53">
            <v>1.48</v>
          </cell>
        </row>
        <row r="54">
          <cell r="B54" t="str">
            <v>AMNCHD04</v>
          </cell>
          <cell r="C54" t="str">
            <v>BODY CREAM DOCE ROSA</v>
          </cell>
          <cell r="E54">
            <v>240</v>
          </cell>
          <cell r="F54" t="str">
            <v>ml</v>
          </cell>
          <cell r="G54" t="str">
            <v>AMEERATI</v>
          </cell>
          <cell r="L54">
            <v>613.39886035164977</v>
          </cell>
          <cell r="Y54">
            <v>1.48</v>
          </cell>
        </row>
        <row r="55">
          <cell r="B55" t="str">
            <v>AMNCHD05</v>
          </cell>
          <cell r="C55" t="str">
            <v>BODY CREAM FRESCOR LICHIA</v>
          </cell>
          <cell r="E55">
            <v>240</v>
          </cell>
          <cell r="F55" t="str">
            <v>ml</v>
          </cell>
          <cell r="G55" t="str">
            <v>AMEERATI</v>
          </cell>
          <cell r="L55">
            <v>613.39886035164977</v>
          </cell>
          <cell r="Y55">
            <v>1.48</v>
          </cell>
        </row>
        <row r="56">
          <cell r="B56" t="str">
            <v>AMNCHD06</v>
          </cell>
          <cell r="C56" t="str">
            <v>BODY CREAM NECTAR DA PERA</v>
          </cell>
          <cell r="E56">
            <v>240</v>
          </cell>
          <cell r="F56" t="str">
            <v>ml</v>
          </cell>
          <cell r="G56" t="str">
            <v>AMEERATI</v>
          </cell>
          <cell r="L56">
            <v>613.39886035164977</v>
          </cell>
          <cell r="Y56">
            <v>1.48</v>
          </cell>
        </row>
        <row r="57">
          <cell r="B57" t="str">
            <v>AMNCHD07</v>
          </cell>
          <cell r="C57" t="str">
            <v>BODY CREAM BOUQUET CARMIM</v>
          </cell>
          <cell r="E57">
            <v>240</v>
          </cell>
          <cell r="F57" t="str">
            <v>ml</v>
          </cell>
          <cell r="G57" t="str">
            <v>AMEERATI</v>
          </cell>
          <cell r="L57">
            <v>613.39886035164977</v>
          </cell>
          <cell r="Y57">
            <v>1.48</v>
          </cell>
        </row>
        <row r="58">
          <cell r="B58" t="str">
            <v>AMNCHD08</v>
          </cell>
          <cell r="C58" t="str">
            <v>BODY CREAM SUBLIME CEREJA</v>
          </cell>
          <cell r="E58">
            <v>240</v>
          </cell>
          <cell r="F58" t="str">
            <v>ml</v>
          </cell>
          <cell r="G58" t="str">
            <v>AMEERATI</v>
          </cell>
          <cell r="L58">
            <v>613.39886035164977</v>
          </cell>
          <cell r="Y58">
            <v>1.48</v>
          </cell>
        </row>
        <row r="59">
          <cell r="B59" t="str">
            <v>BBPF0004</v>
          </cell>
          <cell r="C59" t="str">
            <v>PERFUME CAPILAR ZAHRA</v>
          </cell>
          <cell r="E59">
            <v>60</v>
          </cell>
          <cell r="F59" t="str">
            <v>ml</v>
          </cell>
          <cell r="G59" t="str">
            <v>BRIA BEAUTY</v>
          </cell>
          <cell r="L59">
            <v>674.69639400444999</v>
          </cell>
          <cell r="Y59">
            <v>1.5699999999999998</v>
          </cell>
        </row>
        <row r="60">
          <cell r="B60" t="str">
            <v>BBSJBS01</v>
          </cell>
          <cell r="C60" t="str">
            <v>BODY SPLASH SOL TROPICAL 61 200ml</v>
          </cell>
          <cell r="E60">
            <v>200</v>
          </cell>
          <cell r="F60" t="str">
            <v>ml</v>
          </cell>
          <cell r="G60" t="str">
            <v>BRIA BEAUTY</v>
          </cell>
          <cell r="L60">
            <v>843.58780095852239</v>
          </cell>
          <cell r="Y60">
            <v>1.4699999999999998</v>
          </cell>
        </row>
        <row r="61">
          <cell r="B61" t="str">
            <v>BBSJBS01-2</v>
          </cell>
          <cell r="C61" t="str">
            <v>BODY SPLASH SOL TROPICAL 61 120ml</v>
          </cell>
          <cell r="E61">
            <v>120</v>
          </cell>
          <cell r="F61" t="str">
            <v>ml</v>
          </cell>
          <cell r="G61" t="str">
            <v>BRIA BEAUTY</v>
          </cell>
          <cell r="L61">
            <v>843.58780095852239</v>
          </cell>
          <cell r="Y61">
            <v>1.08</v>
          </cell>
        </row>
        <row r="62">
          <cell r="B62" t="str">
            <v>BBSJBS02</v>
          </cell>
          <cell r="C62" t="str">
            <v>BODY SPLASH SOL TROPICAL 86 200ml</v>
          </cell>
          <cell r="E62">
            <v>200</v>
          </cell>
          <cell r="F62" t="str">
            <v>ml</v>
          </cell>
          <cell r="G62" t="str">
            <v>BRIA BEAUTY</v>
          </cell>
          <cell r="L62">
            <v>843.58780095852239</v>
          </cell>
          <cell r="Y62">
            <v>1.4699999999999998</v>
          </cell>
        </row>
        <row r="63">
          <cell r="B63" t="str">
            <v>BBSJBS02-2</v>
          </cell>
          <cell r="C63" t="str">
            <v>BODY SPLASH SOL TROPICAL 86 120ml</v>
          </cell>
          <cell r="E63">
            <v>120</v>
          </cell>
          <cell r="F63" t="str">
            <v>ml</v>
          </cell>
          <cell r="G63" t="str">
            <v>BRIA BEAUTY</v>
          </cell>
          <cell r="L63">
            <v>843.58780095852239</v>
          </cell>
          <cell r="Y63">
            <v>1.08</v>
          </cell>
        </row>
        <row r="64">
          <cell r="B64" t="str">
            <v>BBSJBS03</v>
          </cell>
          <cell r="C64" t="str">
            <v>BODY SPLASH LUNAR 200ml</v>
          </cell>
          <cell r="E64">
            <v>200</v>
          </cell>
          <cell r="F64" t="str">
            <v>ml</v>
          </cell>
          <cell r="G64" t="str">
            <v>BRIA BEAUTY</v>
          </cell>
          <cell r="L64">
            <v>843.58780095852239</v>
          </cell>
          <cell r="Y64">
            <v>1.4699999999999998</v>
          </cell>
        </row>
        <row r="65">
          <cell r="B65" t="str">
            <v>BBSJBS03-2</v>
          </cell>
          <cell r="C65" t="str">
            <v>BODY SPLASH LUNAR 120ml</v>
          </cell>
          <cell r="E65">
            <v>120</v>
          </cell>
          <cell r="F65" t="str">
            <v>ml</v>
          </cell>
          <cell r="G65" t="str">
            <v>BRIA BEAUTY</v>
          </cell>
          <cell r="L65">
            <v>843.58780095852239</v>
          </cell>
          <cell r="Y65">
            <v>1.08</v>
          </cell>
        </row>
        <row r="66">
          <cell r="B66" t="str">
            <v>BBSJBS04-2</v>
          </cell>
          <cell r="C66" t="str">
            <v>BODY SPLASH SOL TROPICAL 58 120ml</v>
          </cell>
          <cell r="E66">
            <v>120</v>
          </cell>
          <cell r="F66" t="str">
            <v>ml</v>
          </cell>
          <cell r="G66" t="str">
            <v>BRIA BEAUTY</v>
          </cell>
          <cell r="L66">
            <v>843.58780095852239</v>
          </cell>
          <cell r="Y66">
            <v>1.08</v>
          </cell>
        </row>
        <row r="67">
          <cell r="B67" t="str">
            <v>BBSJBS05-2</v>
          </cell>
          <cell r="C67" t="str">
            <v>BODY SPLASH ZAHRA 120ml</v>
          </cell>
          <cell r="E67">
            <v>120</v>
          </cell>
          <cell r="F67" t="str">
            <v>ml</v>
          </cell>
          <cell r="G67" t="str">
            <v>BRIA BEAUTY</v>
          </cell>
          <cell r="L67">
            <v>843.58780095852239</v>
          </cell>
          <cell r="Y67">
            <v>1.08</v>
          </cell>
        </row>
        <row r="68">
          <cell r="B68" t="str">
            <v>BBSJPF01</v>
          </cell>
          <cell r="C68" t="str">
            <v>PERFUME CAPILAR SOL TROPICAL 61</v>
          </cell>
          <cell r="E68">
            <v>60</v>
          </cell>
          <cell r="F68" t="str">
            <v>ml</v>
          </cell>
          <cell r="G68" t="str">
            <v>BRIA BEAUTY</v>
          </cell>
          <cell r="L68">
            <v>674.69639400444999</v>
          </cell>
          <cell r="Y68">
            <v>1.5699999999999998</v>
          </cell>
        </row>
        <row r="69">
          <cell r="B69" t="str">
            <v>BBSJPF02</v>
          </cell>
          <cell r="C69" t="str">
            <v>PERFUME CAPILAR SOL TROPICAL 86</v>
          </cell>
          <cell r="E69">
            <v>60</v>
          </cell>
          <cell r="F69" t="str">
            <v>ml</v>
          </cell>
          <cell r="G69" t="str">
            <v>BRIA BEAUTY</v>
          </cell>
          <cell r="L69">
            <v>674.69639400444999</v>
          </cell>
          <cell r="Y69">
            <v>1.5699999999999998</v>
          </cell>
        </row>
        <row r="70">
          <cell r="B70" t="str">
            <v>BBSJPF03</v>
          </cell>
          <cell r="C70" t="str">
            <v>PERFUME CAPILAR LUNAR</v>
          </cell>
          <cell r="E70">
            <v>60</v>
          </cell>
          <cell r="F70" t="str">
            <v>ml</v>
          </cell>
          <cell r="G70" t="str">
            <v>BRIA BEAUTY</v>
          </cell>
          <cell r="L70">
            <v>674.69639400444999</v>
          </cell>
          <cell r="Y70">
            <v>1.5699999999999998</v>
          </cell>
        </row>
        <row r="71">
          <cell r="B71" t="str">
            <v>BFBBBS01</v>
          </cell>
          <cell r="C71" t="str">
            <v>BODY SPLASH BIO BALM EUPHORIA PINK</v>
          </cell>
          <cell r="E71">
            <v>200</v>
          </cell>
          <cell r="F71" t="str">
            <v>ml</v>
          </cell>
          <cell r="G71" t="str">
            <v>BIOFLORA</v>
          </cell>
          <cell r="L71">
            <v>843.58780095852239</v>
          </cell>
          <cell r="Y71">
            <v>1.7000000000000002</v>
          </cell>
        </row>
        <row r="72">
          <cell r="B72" t="str">
            <v>BFBBBS02</v>
          </cell>
          <cell r="C72" t="str">
            <v>BODY SPLASH BIO BALM INFINITY ROUGE</v>
          </cell>
          <cell r="E72">
            <v>200</v>
          </cell>
          <cell r="F72" t="str">
            <v>ml</v>
          </cell>
          <cell r="G72" t="str">
            <v>BIOFLORA</v>
          </cell>
          <cell r="L72">
            <v>843.58780095852239</v>
          </cell>
          <cell r="Y72">
            <v>1.7000000000000002</v>
          </cell>
        </row>
        <row r="73">
          <cell r="B73" t="str">
            <v>BFBBBS03</v>
          </cell>
          <cell r="C73" t="str">
            <v>BODY SPLASH BIO BALM ROSÉ ABSOLUT</v>
          </cell>
          <cell r="E73">
            <v>200</v>
          </cell>
          <cell r="F73" t="str">
            <v>ml</v>
          </cell>
          <cell r="G73" t="str">
            <v>BIOFLORA</v>
          </cell>
          <cell r="L73">
            <v>843.58780095852239</v>
          </cell>
          <cell r="Y73">
            <v>1.7000000000000002</v>
          </cell>
        </row>
        <row r="74">
          <cell r="B74" t="str">
            <v>BFBBBS04</v>
          </cell>
          <cell r="C74" t="str">
            <v>BODY SPLASH BIO BALM SKINLIGHT</v>
          </cell>
          <cell r="E74">
            <v>200</v>
          </cell>
          <cell r="F74" t="str">
            <v>ml</v>
          </cell>
          <cell r="G74" t="str">
            <v>BIOFLORA</v>
          </cell>
          <cell r="L74">
            <v>843.58780095852239</v>
          </cell>
          <cell r="Y74">
            <v>1.7000000000000002</v>
          </cell>
        </row>
        <row r="75">
          <cell r="B75" t="str">
            <v>BFBBBS05</v>
          </cell>
          <cell r="C75" t="str">
            <v>BODY SPLASH BIO BALM SUNRISE MUSE</v>
          </cell>
          <cell r="E75">
            <v>200</v>
          </cell>
          <cell r="F75" t="str">
            <v>ml</v>
          </cell>
          <cell r="G75" t="str">
            <v>BIOFLORA</v>
          </cell>
          <cell r="L75">
            <v>843.58780095852239</v>
          </cell>
          <cell r="Y75">
            <v>1.7000000000000002</v>
          </cell>
        </row>
        <row r="76">
          <cell r="B76" t="str">
            <v>BFBBBS06</v>
          </cell>
          <cell r="C76" t="str">
            <v>BODY SPLASH BIO BALM V DREAM</v>
          </cell>
          <cell r="E76">
            <v>200</v>
          </cell>
          <cell r="F76" t="str">
            <v>ml</v>
          </cell>
          <cell r="G76" t="str">
            <v>BIOFLORA</v>
          </cell>
          <cell r="L76">
            <v>843.58780095852239</v>
          </cell>
          <cell r="Y76">
            <v>1.7000000000000002</v>
          </cell>
        </row>
        <row r="77">
          <cell r="B77" t="str">
            <v>BMKDBR01</v>
          </cell>
          <cell r="C77" t="str">
            <v>BRUMA KIDS AMARELA</v>
          </cell>
          <cell r="E77">
            <v>30</v>
          </cell>
          <cell r="F77" t="str">
            <v>ml</v>
          </cell>
          <cell r="G77" t="str">
            <v>BE MAGIC</v>
          </cell>
          <cell r="L77">
            <v>699.29256292632215</v>
          </cell>
        </row>
        <row r="78">
          <cell r="B78" t="str">
            <v>BMKDBR02</v>
          </cell>
          <cell r="C78" t="str">
            <v>BRUMA KIDS ROSA</v>
          </cell>
          <cell r="E78">
            <v>30</v>
          </cell>
          <cell r="F78" t="str">
            <v>ml</v>
          </cell>
          <cell r="G78" t="str">
            <v>BE MAGIC</v>
          </cell>
          <cell r="L78">
            <v>699.29256292632215</v>
          </cell>
        </row>
        <row r="79">
          <cell r="B79" t="str">
            <v>BMKDBR03</v>
          </cell>
          <cell r="C79" t="str">
            <v>BRUMA KIDS ROXA</v>
          </cell>
          <cell r="E79">
            <v>30</v>
          </cell>
          <cell r="F79" t="str">
            <v>ml</v>
          </cell>
          <cell r="G79" t="str">
            <v>BE MAGIC</v>
          </cell>
          <cell r="L79">
            <v>699.29256292632215</v>
          </cell>
        </row>
        <row r="80">
          <cell r="B80" t="str">
            <v>BMKDBR04</v>
          </cell>
          <cell r="C80" t="str">
            <v>BRUMA KIDS VERMELHA</v>
          </cell>
          <cell r="E80">
            <v>30</v>
          </cell>
          <cell r="F80" t="str">
            <v>ml</v>
          </cell>
          <cell r="G80" t="str">
            <v>BE MAGIC</v>
          </cell>
          <cell r="L80">
            <v>699.29256292632215</v>
          </cell>
        </row>
        <row r="81">
          <cell r="B81" t="str">
            <v>BMKDHD01</v>
          </cell>
          <cell r="C81" t="str">
            <v>CREME HIDRATANTE AMARELO</v>
          </cell>
          <cell r="E81">
            <v>30</v>
          </cell>
          <cell r="F81" t="str">
            <v>ml</v>
          </cell>
          <cell r="G81" t="str">
            <v>BE MAGIC</v>
          </cell>
          <cell r="L81">
            <v>613.39886035164977</v>
          </cell>
        </row>
        <row r="82">
          <cell r="B82" t="str">
            <v>BMKDHD02</v>
          </cell>
          <cell r="C82" t="str">
            <v>CREME HIDRATANTE ROSA</v>
          </cell>
          <cell r="E82">
            <v>30</v>
          </cell>
          <cell r="F82" t="str">
            <v>ml</v>
          </cell>
          <cell r="G82" t="str">
            <v>BE MAGIC</v>
          </cell>
          <cell r="L82">
            <v>613.39886035164977</v>
          </cell>
        </row>
        <row r="83">
          <cell r="B83" t="str">
            <v>BMKDHD03</v>
          </cell>
          <cell r="C83" t="str">
            <v>CREME HIDRATANTE ROXO</v>
          </cell>
          <cell r="E83">
            <v>30</v>
          </cell>
          <cell r="F83" t="str">
            <v>ml</v>
          </cell>
          <cell r="G83" t="str">
            <v>BE MAGIC</v>
          </cell>
          <cell r="L83">
            <v>613.39886035164977</v>
          </cell>
        </row>
        <row r="84">
          <cell r="B84" t="str">
            <v>BMKDHD04</v>
          </cell>
          <cell r="C84" t="str">
            <v>CREME HIDRATANTE VERMELHO</v>
          </cell>
          <cell r="E84">
            <v>30</v>
          </cell>
          <cell r="F84" t="str">
            <v>ml</v>
          </cell>
          <cell r="G84" t="str">
            <v>BE MAGIC</v>
          </cell>
          <cell r="L84">
            <v>613.39886035164977</v>
          </cell>
        </row>
        <row r="85">
          <cell r="B85" t="str">
            <v>BMKDPF01</v>
          </cell>
          <cell r="C85" t="str">
            <v>COLÔNIA KIDS AMARELO</v>
          </cell>
          <cell r="E85">
            <v>40</v>
          </cell>
          <cell r="F85" t="str">
            <v>ml</v>
          </cell>
          <cell r="G85" t="str">
            <v>BE MAGIC</v>
          </cell>
          <cell r="L85">
            <v>901.21933622008146</v>
          </cell>
        </row>
        <row r="86">
          <cell r="B86" t="str">
            <v>BMKDPF02</v>
          </cell>
          <cell r="C86" t="str">
            <v>COLÔNIA KIDS ROSA</v>
          </cell>
          <cell r="E86">
            <v>40</v>
          </cell>
          <cell r="F86" t="str">
            <v>ml</v>
          </cell>
          <cell r="G86" t="str">
            <v>BE MAGIC</v>
          </cell>
          <cell r="L86">
            <v>901.21933622008146</v>
          </cell>
        </row>
        <row r="87">
          <cell r="B87" t="str">
            <v>BMKDPF03</v>
          </cell>
          <cell r="C87" t="str">
            <v>COLÔNIA KIDS ROXO</v>
          </cell>
          <cell r="E87">
            <v>40</v>
          </cell>
          <cell r="F87" t="str">
            <v>ml</v>
          </cell>
          <cell r="G87" t="str">
            <v>BE MAGIC</v>
          </cell>
          <cell r="L87">
            <v>901.21933622008146</v>
          </cell>
        </row>
        <row r="88">
          <cell r="B88" t="str">
            <v>BMKDPF04</v>
          </cell>
          <cell r="C88" t="str">
            <v>COLÔNIA KIDS VERMELHO</v>
          </cell>
          <cell r="E88">
            <v>40</v>
          </cell>
          <cell r="F88" t="str">
            <v>ml</v>
          </cell>
          <cell r="G88" t="str">
            <v>BE MAGIC</v>
          </cell>
          <cell r="L88">
            <v>901.21933622008146</v>
          </cell>
        </row>
        <row r="89">
          <cell r="B89" t="str">
            <v>CMBS0001</v>
          </cell>
          <cell r="C89" t="str">
            <v>BODY SPLASH CAMIE BEAUTY 120mL</v>
          </cell>
          <cell r="E89">
            <v>120</v>
          </cell>
          <cell r="F89" t="str">
            <v>ml</v>
          </cell>
          <cell r="G89" t="str">
            <v>CAMIE BEAUTY</v>
          </cell>
          <cell r="L89">
            <v>843.58780095852239</v>
          </cell>
        </row>
        <row r="90">
          <cell r="B90" t="str">
            <v>CMGL0001</v>
          </cell>
          <cell r="C90" t="str">
            <v>GLOSS LABIAL CAMIE BEAUTY 4mL</v>
          </cell>
          <cell r="E90">
            <v>4</v>
          </cell>
          <cell r="F90" t="str">
            <v>ml</v>
          </cell>
          <cell r="G90" t="str">
            <v>CAMIE BEAUTY</v>
          </cell>
          <cell r="L90">
            <v>115.98675496465188</v>
          </cell>
        </row>
        <row r="91">
          <cell r="B91" t="str">
            <v>CMOC0001</v>
          </cell>
          <cell r="C91" t="str">
            <v>OLEO CAPILAR CAMIE BEAUTY 60mL</v>
          </cell>
          <cell r="E91">
            <v>60</v>
          </cell>
          <cell r="F91" t="str">
            <v>ml</v>
          </cell>
          <cell r="G91" t="str">
            <v>CAMIE BEAUTY</v>
          </cell>
          <cell r="L91">
            <v>609.77777776200276</v>
          </cell>
        </row>
        <row r="92">
          <cell r="B92" t="str">
            <v>CRPMCR01</v>
          </cell>
          <cell r="C92" t="str">
            <v>POMADA CURADERM</v>
          </cell>
          <cell r="E92">
            <v>30</v>
          </cell>
          <cell r="F92" t="str">
            <v>ml</v>
          </cell>
          <cell r="G92" t="str">
            <v>CURADERM</v>
          </cell>
          <cell r="L92">
            <v>739.66666668101811</v>
          </cell>
        </row>
        <row r="93">
          <cell r="B93" t="str">
            <v>DPGLBS01</v>
          </cell>
          <cell r="C93" t="str">
            <v>BODY SPLASH GLOW PAIXÃO IRRESISTÍVEL</v>
          </cell>
          <cell r="E93">
            <v>120</v>
          </cell>
          <cell r="F93" t="str">
            <v>ml</v>
          </cell>
          <cell r="G93" t="str">
            <v>DAPOP</v>
          </cell>
          <cell r="L93">
            <v>888.79597492569974</v>
          </cell>
        </row>
        <row r="94">
          <cell r="B94" t="str">
            <v>DPGLBS02</v>
          </cell>
          <cell r="C94" t="str">
            <v>BODY SPLASH GLOW TAÇA DE CHAMPAGNE</v>
          </cell>
          <cell r="E94">
            <v>120</v>
          </cell>
          <cell r="F94" t="str">
            <v>ml</v>
          </cell>
          <cell r="G94" t="str">
            <v>DAPOP</v>
          </cell>
          <cell r="L94">
            <v>888.79597492569974</v>
          </cell>
        </row>
        <row r="95">
          <cell r="B95" t="str">
            <v>DPGLBS03</v>
          </cell>
          <cell r="C95" t="str">
            <v>BODY SPLASH GLOW NOITE DE GLAMOUR</v>
          </cell>
          <cell r="E95">
            <v>120</v>
          </cell>
          <cell r="F95" t="str">
            <v>ml</v>
          </cell>
          <cell r="G95" t="str">
            <v>DAPOP</v>
          </cell>
          <cell r="L95">
            <v>888.79597492569974</v>
          </cell>
        </row>
        <row r="96">
          <cell r="B96" t="str">
            <v>DPGLES01</v>
          </cell>
          <cell r="C96" t="str">
            <v>ESFOLIANTE GLOW PAIXÃO IRRESISTIVEL</v>
          </cell>
          <cell r="E96">
            <v>150</v>
          </cell>
          <cell r="F96" t="str">
            <v>g</v>
          </cell>
          <cell r="G96" t="str">
            <v>DAPOP</v>
          </cell>
          <cell r="L96">
            <v>721.11737989561891</v>
          </cell>
        </row>
        <row r="97">
          <cell r="B97" t="str">
            <v>DPGLES02</v>
          </cell>
          <cell r="C97" t="str">
            <v>ESFOLIANTE GLOW TAÇA DE CHAMPAGNE</v>
          </cell>
          <cell r="E97">
            <v>150</v>
          </cell>
          <cell r="F97" t="str">
            <v>g</v>
          </cell>
          <cell r="G97" t="str">
            <v>DAPOP</v>
          </cell>
          <cell r="L97">
            <v>721.11737989561891</v>
          </cell>
        </row>
        <row r="98">
          <cell r="B98" t="str">
            <v>DPGLES03</v>
          </cell>
          <cell r="C98" t="str">
            <v>ESFOLIANTE GLOW NOITE DE GLAMOUR</v>
          </cell>
          <cell r="E98">
            <v>150</v>
          </cell>
          <cell r="F98" t="str">
            <v>g</v>
          </cell>
          <cell r="G98" t="str">
            <v>DAPOP</v>
          </cell>
          <cell r="L98">
            <v>721.11737989561891</v>
          </cell>
        </row>
        <row r="99">
          <cell r="B99" t="str">
            <v>DPGLHD01</v>
          </cell>
          <cell r="C99" t="str">
            <v>HIDRATANTE GLOW PAIXÃO IRRESISTÍVEL</v>
          </cell>
          <cell r="E99">
            <v>120</v>
          </cell>
          <cell r="F99" t="str">
            <v>ml</v>
          </cell>
          <cell r="G99" t="str">
            <v>DAPOP</v>
          </cell>
          <cell r="L99">
            <v>613.39886035164977</v>
          </cell>
        </row>
        <row r="100">
          <cell r="B100" t="str">
            <v>DPGLHD02</v>
          </cell>
          <cell r="C100" t="str">
            <v>HIDRATANTE GLOW TAÇA DE CHAMPAGNE</v>
          </cell>
          <cell r="E100">
            <v>120</v>
          </cell>
          <cell r="F100" t="str">
            <v>ml</v>
          </cell>
          <cell r="G100" t="str">
            <v>DAPOP</v>
          </cell>
          <cell r="L100">
            <v>613.39886035164977</v>
          </cell>
        </row>
        <row r="101">
          <cell r="B101" t="str">
            <v>DPGLHD03</v>
          </cell>
          <cell r="C101" t="str">
            <v>HIDRATANTE GLOW NOITE DE GLAMOUR</v>
          </cell>
          <cell r="E101">
            <v>120</v>
          </cell>
          <cell r="F101" t="str">
            <v>ml</v>
          </cell>
          <cell r="G101" t="str">
            <v>DAPOP</v>
          </cell>
          <cell r="L101">
            <v>613.39886035164977</v>
          </cell>
        </row>
        <row r="102">
          <cell r="B102" t="str">
            <v>DPHNBS01</v>
          </cell>
          <cell r="C102" t="str">
            <v>BODY SPLASH DAPOP HONEY BLOOM</v>
          </cell>
          <cell r="E102">
            <v>120</v>
          </cell>
          <cell r="F102" t="str">
            <v>ml</v>
          </cell>
          <cell r="G102" t="str">
            <v>DAPOP</v>
          </cell>
          <cell r="L102">
            <v>843.58780095852239</v>
          </cell>
        </row>
        <row r="103">
          <cell r="B103" t="str">
            <v>DPHNBS02</v>
          </cell>
          <cell r="C103" t="str">
            <v>BODY SPLASH DAPOP HONEY GLOW</v>
          </cell>
          <cell r="E103">
            <v>120</v>
          </cell>
          <cell r="F103" t="str">
            <v>ml</v>
          </cell>
          <cell r="G103" t="str">
            <v>DAPOP</v>
          </cell>
          <cell r="L103">
            <v>888.79597492569974</v>
          </cell>
        </row>
        <row r="104">
          <cell r="B104" t="str">
            <v>DPHNPC01</v>
          </cell>
          <cell r="C104" t="str">
            <v>PERFUME CAPILAR HONEY</v>
          </cell>
          <cell r="E104">
            <v>60</v>
          </cell>
          <cell r="F104" t="str">
            <v>ml</v>
          </cell>
          <cell r="G104" t="str">
            <v>DAPOP</v>
          </cell>
          <cell r="L104">
            <v>674.69639400444999</v>
          </cell>
        </row>
        <row r="105">
          <cell r="B105" t="str">
            <v>DPHNSR01</v>
          </cell>
          <cell r="C105" t="str">
            <v>SÉRUM FACIAL HONEY</v>
          </cell>
          <cell r="E105">
            <v>60</v>
          </cell>
          <cell r="F105" t="str">
            <v>ml</v>
          </cell>
          <cell r="G105" t="str">
            <v>DAPOP</v>
          </cell>
          <cell r="L105">
            <v>0</v>
          </cell>
        </row>
        <row r="106">
          <cell r="B106" t="str">
            <v>DPMTBS01</v>
          </cell>
          <cell r="C106" t="str">
            <v>BODY SPLASH MATTE DOCE SEDUÇÃO</v>
          </cell>
          <cell r="E106">
            <v>120</v>
          </cell>
          <cell r="F106" t="str">
            <v>ml</v>
          </cell>
          <cell r="G106" t="str">
            <v>DAPOP</v>
          </cell>
          <cell r="L106">
            <v>843.58780095852239</v>
          </cell>
        </row>
        <row r="107">
          <cell r="B107" t="str">
            <v>DPMTBS02</v>
          </cell>
          <cell r="C107" t="str">
            <v>BODY SPLASH MATTE SORVETE DE BAUNILHA</v>
          </cell>
          <cell r="E107">
            <v>120</v>
          </cell>
          <cell r="F107" t="str">
            <v>ml</v>
          </cell>
          <cell r="G107" t="str">
            <v>DAPOP</v>
          </cell>
          <cell r="L107">
            <v>843.58780095852239</v>
          </cell>
        </row>
        <row r="108">
          <cell r="B108" t="str">
            <v>DPMTBS03</v>
          </cell>
          <cell r="C108" t="str">
            <v>BODY SPLASH MATTE OITAVA MARAVILHA</v>
          </cell>
          <cell r="E108">
            <v>120</v>
          </cell>
          <cell r="F108" t="str">
            <v>ml</v>
          </cell>
          <cell r="G108" t="str">
            <v>DAPOP</v>
          </cell>
          <cell r="L108">
            <v>843.58780095852239</v>
          </cell>
        </row>
        <row r="109">
          <cell r="B109" t="str">
            <v>DPMTES01</v>
          </cell>
          <cell r="C109" t="str">
            <v>ESFOLIANTE MATTE DOCE SEDUÇÃO</v>
          </cell>
          <cell r="E109">
            <v>150</v>
          </cell>
          <cell r="F109" t="str">
            <v>g</v>
          </cell>
          <cell r="G109" t="str">
            <v>DAPOP</v>
          </cell>
          <cell r="L109">
            <v>721.11737989561891</v>
          </cell>
        </row>
        <row r="110">
          <cell r="B110" t="str">
            <v>DPMTES02</v>
          </cell>
          <cell r="C110" t="str">
            <v>ESFOLIANTE MATTE SORVETE DE  BAUNILHA</v>
          </cell>
          <cell r="E110">
            <v>150</v>
          </cell>
          <cell r="F110" t="str">
            <v>g</v>
          </cell>
          <cell r="G110" t="str">
            <v>DAPOP</v>
          </cell>
          <cell r="L110">
            <v>721.11737989561891</v>
          </cell>
        </row>
        <row r="111">
          <cell r="B111" t="str">
            <v>DPMTES03</v>
          </cell>
          <cell r="C111" t="str">
            <v>ESFOLIANTE MATTE OITAVA MARAVILHA</v>
          </cell>
          <cell r="E111">
            <v>150</v>
          </cell>
          <cell r="F111" t="str">
            <v>g</v>
          </cell>
          <cell r="G111" t="str">
            <v>DAPOP</v>
          </cell>
          <cell r="L111">
            <v>721.11737989561891</v>
          </cell>
        </row>
        <row r="112">
          <cell r="B112" t="str">
            <v>DPMTHD01</v>
          </cell>
          <cell r="C112" t="str">
            <v>HIDRATANTE MATTE DOCE SEDUÇÃO</v>
          </cell>
          <cell r="E112">
            <v>120</v>
          </cell>
          <cell r="F112" t="str">
            <v>ml</v>
          </cell>
          <cell r="G112" t="str">
            <v>DAPOP</v>
          </cell>
          <cell r="L112">
            <v>613.39886035164977</v>
          </cell>
        </row>
        <row r="113">
          <cell r="B113" t="str">
            <v>DPMTHD02</v>
          </cell>
          <cell r="C113" t="str">
            <v>HIDRATANTE MATTE SORVETE DE BAUNILHA</v>
          </cell>
          <cell r="E113">
            <v>120</v>
          </cell>
          <cell r="F113" t="str">
            <v>ml</v>
          </cell>
          <cell r="G113" t="str">
            <v>DAPOP</v>
          </cell>
          <cell r="L113">
            <v>613.39886035164977</v>
          </cell>
        </row>
        <row r="114">
          <cell r="B114" t="str">
            <v>DPMTHD03</v>
          </cell>
          <cell r="C114" t="str">
            <v>HIDRATANTE MATTE OITAVA MARAVILHA</v>
          </cell>
          <cell r="E114">
            <v>120</v>
          </cell>
          <cell r="F114" t="str">
            <v>ml</v>
          </cell>
          <cell r="G114" t="str">
            <v>DAPOP</v>
          </cell>
          <cell r="L114">
            <v>613.39886035164977</v>
          </cell>
        </row>
        <row r="115">
          <cell r="B115" t="str">
            <v>DPSWHD01</v>
          </cell>
          <cell r="C115" t="str">
            <v>GEL CREME BEIJAVEL HIDRATANTE 2X1</v>
          </cell>
          <cell r="E115">
            <v>120</v>
          </cell>
          <cell r="F115" t="str">
            <v>ml</v>
          </cell>
          <cell r="G115" t="str">
            <v>DAPOP</v>
          </cell>
          <cell r="L115">
            <v>525.69944893312152</v>
          </cell>
        </row>
        <row r="116">
          <cell r="B116" t="str">
            <v>DPSWHD02</v>
          </cell>
          <cell r="C116" t="str">
            <v>GELÉIA CORPORAL GEL / CREME</v>
          </cell>
          <cell r="E116">
            <v>150</v>
          </cell>
          <cell r="F116" t="str">
            <v>g</v>
          </cell>
          <cell r="G116" t="str">
            <v>DAPOP</v>
          </cell>
          <cell r="L116">
            <v>525.69944893312152</v>
          </cell>
        </row>
        <row r="117">
          <cell r="B117" t="str">
            <v>DYPFPF01</v>
          </cell>
          <cell r="C117" t="str">
            <v>PERFUME DALINA</v>
          </cell>
          <cell r="E117">
            <v>57</v>
          </cell>
          <cell r="F117" t="str">
            <v>ml</v>
          </cell>
          <cell r="G117" t="str">
            <v>DYNASTY</v>
          </cell>
          <cell r="L117">
            <v>175.26407181919058</v>
          </cell>
        </row>
        <row r="118">
          <cell r="B118" t="str">
            <v>DYPFPF02</v>
          </cell>
          <cell r="C118" t="str">
            <v>PERFUME SELVER INTENSE</v>
          </cell>
          <cell r="E118">
            <v>57</v>
          </cell>
          <cell r="F118" t="str">
            <v>ml</v>
          </cell>
          <cell r="G118" t="str">
            <v>DYNASTY</v>
          </cell>
          <cell r="L118">
            <v>175.26407181919058</v>
          </cell>
        </row>
        <row r="119">
          <cell r="B119" t="str">
            <v>DYPFPF03</v>
          </cell>
          <cell r="C119" t="str">
            <v>PERFUME IRON</v>
          </cell>
          <cell r="E119">
            <v>50</v>
          </cell>
          <cell r="F119" t="str">
            <v>ml</v>
          </cell>
          <cell r="G119" t="str">
            <v>DYNASTY</v>
          </cell>
          <cell r="L119">
            <v>175.26407181919058</v>
          </cell>
        </row>
        <row r="120">
          <cell r="B120" t="str">
            <v>DYPFPF04</v>
          </cell>
          <cell r="C120" t="str">
            <v>PERFUME VALENTE</v>
          </cell>
          <cell r="E120">
            <v>57</v>
          </cell>
          <cell r="F120" t="str">
            <v>ml</v>
          </cell>
          <cell r="G120" t="str">
            <v>DYNASTY</v>
          </cell>
          <cell r="L120">
            <v>175.26407181919058</v>
          </cell>
        </row>
        <row r="121">
          <cell r="B121" t="str">
            <v>FBBS0001</v>
          </cell>
          <cell r="C121" t="str">
            <v>BODY SPLASH DOCE DE LEITE 120ML</v>
          </cell>
          <cell r="E121">
            <v>120</v>
          </cell>
          <cell r="F121" t="str">
            <v>ml</v>
          </cell>
          <cell r="G121" t="str">
            <v>FEBELLA BEAUTY</v>
          </cell>
          <cell r="L121">
            <v>843.58780095852239</v>
          </cell>
          <cell r="Y121">
            <v>1.2</v>
          </cell>
        </row>
        <row r="122">
          <cell r="B122" t="str">
            <v>FBBS0002</v>
          </cell>
          <cell r="C122" t="str">
            <v>BODY SPLASH SORVETE DE MORANGO 120ML</v>
          </cell>
          <cell r="E122">
            <v>120</v>
          </cell>
          <cell r="F122" t="str">
            <v>ml</v>
          </cell>
          <cell r="G122" t="str">
            <v>FEBELLA BEAUTY</v>
          </cell>
          <cell r="L122">
            <v>843.58780095852239</v>
          </cell>
          <cell r="Y122">
            <v>1.2</v>
          </cell>
        </row>
        <row r="123">
          <cell r="B123" t="str">
            <v>FBBS0003</v>
          </cell>
          <cell r="C123" t="str">
            <v>BODY SPLASH AMBER BLOOM 200ML</v>
          </cell>
          <cell r="E123">
            <v>200</v>
          </cell>
          <cell r="F123" t="str">
            <v>ml</v>
          </cell>
          <cell r="G123" t="str">
            <v>FEBELLA BEAUTY</v>
          </cell>
          <cell r="L123">
            <v>843.58780095852239</v>
          </cell>
          <cell r="Y123">
            <v>1.2</v>
          </cell>
        </row>
        <row r="124">
          <cell r="B124" t="str">
            <v>FBBS0004</v>
          </cell>
          <cell r="C124" t="str">
            <v>BODY SPLASH OUD NIGHT 200ML</v>
          </cell>
          <cell r="E124">
            <v>200</v>
          </cell>
          <cell r="F124" t="str">
            <v>ml</v>
          </cell>
          <cell r="G124" t="str">
            <v>FEBELLA BEAUTY</v>
          </cell>
          <cell r="L124">
            <v>843.58780095852239</v>
          </cell>
          <cell r="Y124">
            <v>1.2</v>
          </cell>
        </row>
        <row r="125">
          <cell r="B125" t="str">
            <v>FBBS0005</v>
          </cell>
          <cell r="C125" t="str">
            <v>BODY SPLASH ROSE MIRAGE 200ML</v>
          </cell>
          <cell r="E125">
            <v>200</v>
          </cell>
          <cell r="F125" t="str">
            <v>ml</v>
          </cell>
          <cell r="G125" t="str">
            <v>FEBELLA BEAUTY</v>
          </cell>
          <cell r="L125">
            <v>843.58780095852239</v>
          </cell>
          <cell r="Y125">
            <v>1.2</v>
          </cell>
        </row>
        <row r="126">
          <cell r="B126" t="str">
            <v>FBBS0006</v>
          </cell>
          <cell r="C126" t="str">
            <v>BODY SPLASH ROUGE OUT 200ML</v>
          </cell>
          <cell r="E126">
            <v>200</v>
          </cell>
          <cell r="F126" t="str">
            <v>ml</v>
          </cell>
          <cell r="G126" t="str">
            <v>FEBELLA BEAUTY</v>
          </cell>
          <cell r="L126">
            <v>843.58780095852239</v>
          </cell>
          <cell r="Y126">
            <v>1.2</v>
          </cell>
        </row>
        <row r="127">
          <cell r="B127" t="str">
            <v>FBHD0001</v>
          </cell>
          <cell r="C127" t="str">
            <v>HIDRATANTE DOCE DE LEITE 120ML</v>
          </cell>
          <cell r="E127">
            <v>120</v>
          </cell>
          <cell r="F127" t="str">
            <v>ml</v>
          </cell>
          <cell r="G127" t="str">
            <v>FEBELLA BEAUTY</v>
          </cell>
          <cell r="L127">
            <v>613.39886035164977</v>
          </cell>
          <cell r="Y127">
            <v>1.2</v>
          </cell>
        </row>
        <row r="128">
          <cell r="B128" t="str">
            <v>FBHD0002</v>
          </cell>
          <cell r="C128" t="str">
            <v>HIDRATANTE SORVETE DE MORANGO 120ML</v>
          </cell>
          <cell r="E128">
            <v>120</v>
          </cell>
          <cell r="F128" t="str">
            <v>ml</v>
          </cell>
          <cell r="G128" t="str">
            <v>FEBELLA BEAUTY</v>
          </cell>
          <cell r="L128">
            <v>613.39886035164977</v>
          </cell>
          <cell r="Y128">
            <v>1.2</v>
          </cell>
        </row>
        <row r="129">
          <cell r="B129" t="str">
            <v>FBMF0001</v>
          </cell>
          <cell r="C129" t="str">
            <v>MOUSSE FACIAL DOCE DE LEITE 150ML</v>
          </cell>
          <cell r="E129">
            <v>150</v>
          </cell>
          <cell r="F129" t="str">
            <v>ml</v>
          </cell>
          <cell r="G129" t="str">
            <v>FEBELLA BEAUTY</v>
          </cell>
          <cell r="L129">
            <v>0</v>
          </cell>
          <cell r="Y129">
            <v>1.2</v>
          </cell>
        </row>
        <row r="130">
          <cell r="B130" t="str">
            <v>FBMF0002</v>
          </cell>
          <cell r="C130" t="str">
            <v>MOUSSE FACIAL SORVETE DE MORANGO 150ML</v>
          </cell>
          <cell r="E130">
            <v>150</v>
          </cell>
          <cell r="F130" t="str">
            <v>ml</v>
          </cell>
          <cell r="G130" t="str">
            <v>FEBELLA BEAUTY</v>
          </cell>
          <cell r="L130">
            <v>0</v>
          </cell>
          <cell r="Y130">
            <v>1.2</v>
          </cell>
        </row>
        <row r="131">
          <cell r="B131" t="str">
            <v>FBOC0001</v>
          </cell>
          <cell r="C131" t="str">
            <v>OLEO CORPORAL DOCE DE LEITE 120ML</v>
          </cell>
          <cell r="E131">
            <v>120</v>
          </cell>
          <cell r="F131" t="str">
            <v>ml</v>
          </cell>
          <cell r="G131" t="str">
            <v>FEBELLA BEAUTY</v>
          </cell>
          <cell r="L131">
            <v>635.22144280095847</v>
          </cell>
          <cell r="Y131">
            <v>1.2</v>
          </cell>
        </row>
        <row r="132">
          <cell r="B132" t="str">
            <v>FBOC0002</v>
          </cell>
          <cell r="C132" t="str">
            <v>OLEO CORPORAL SORVETE DE MORANGO 120ML</v>
          </cell>
          <cell r="E132">
            <v>120</v>
          </cell>
          <cell r="F132" t="str">
            <v>ml</v>
          </cell>
          <cell r="G132" t="str">
            <v>FEBELLA BEAUTY</v>
          </cell>
          <cell r="L132">
            <v>635.22144280095847</v>
          </cell>
          <cell r="Y132">
            <v>1.2</v>
          </cell>
        </row>
        <row r="133">
          <cell r="B133" t="str">
            <v>FBPF0001</v>
          </cell>
          <cell r="C133" t="str">
            <v>PERFUME RAFINATTO 100ML</v>
          </cell>
          <cell r="E133">
            <v>100</v>
          </cell>
          <cell r="F133" t="str">
            <v>ml</v>
          </cell>
          <cell r="G133" t="str">
            <v>FILATO BENE</v>
          </cell>
          <cell r="L133">
            <v>175.26407181919058</v>
          </cell>
          <cell r="Y133">
            <v>6.71</v>
          </cell>
        </row>
        <row r="134">
          <cell r="B134" t="str">
            <v>FBPF0002</v>
          </cell>
          <cell r="C134" t="str">
            <v>PERFUME OSTINATO 100ML</v>
          </cell>
          <cell r="E134">
            <v>100</v>
          </cell>
          <cell r="F134" t="str">
            <v>ml</v>
          </cell>
          <cell r="G134" t="str">
            <v>FILATO BENE</v>
          </cell>
          <cell r="L134">
            <v>175.26407181919058</v>
          </cell>
          <cell r="Y134">
            <v>6.71</v>
          </cell>
        </row>
        <row r="135">
          <cell r="B135" t="str">
            <v>GLMKAM01</v>
          </cell>
          <cell r="C135" t="str">
            <v>ÁGUA MICELAR 3 EM 1</v>
          </cell>
          <cell r="E135">
            <v>325</v>
          </cell>
          <cell r="F135" t="str">
            <v>ml</v>
          </cell>
          <cell r="G135" t="str">
            <v>GLOW MAKE UP</v>
          </cell>
          <cell r="L135">
            <v>809.87848196512618</v>
          </cell>
        </row>
        <row r="136">
          <cell r="B136" t="str">
            <v>GLMKAM02</v>
          </cell>
          <cell r="C136" t="str">
            <v>ÁGUA MICELAR ÁCIDO HIAULURÔNICO</v>
          </cell>
          <cell r="E136">
            <v>325</v>
          </cell>
          <cell r="F136" t="str">
            <v>ml</v>
          </cell>
          <cell r="G136" t="str">
            <v>GLOW MAKE UP</v>
          </cell>
          <cell r="L136">
            <v>809.87848196512618</v>
          </cell>
        </row>
        <row r="137">
          <cell r="B137" t="str">
            <v>GLMKAM03</v>
          </cell>
          <cell r="C137" t="str">
            <v>ÁGUA MICELAR CARVÃO ATIVADO</v>
          </cell>
          <cell r="E137">
            <v>325</v>
          </cell>
          <cell r="F137" t="str">
            <v>ml</v>
          </cell>
          <cell r="G137" t="str">
            <v>GLOW MAKE UP</v>
          </cell>
          <cell r="L137">
            <v>809.87848196512618</v>
          </cell>
        </row>
        <row r="138">
          <cell r="B138" t="str">
            <v>GLMKAM04</v>
          </cell>
          <cell r="C138" t="str">
            <v>ÁGUA MICELAR COLÁGENO</v>
          </cell>
          <cell r="E138">
            <v>325</v>
          </cell>
          <cell r="F138" t="str">
            <v>ml</v>
          </cell>
          <cell r="G138" t="str">
            <v>GLOW MAKE UP</v>
          </cell>
          <cell r="L138">
            <v>809.87848196512618</v>
          </cell>
        </row>
        <row r="139">
          <cell r="B139" t="str">
            <v>GLMKAM05</v>
          </cell>
          <cell r="C139" t="str">
            <v>ÁGUA MICELAR ROSA MOSQUETA</v>
          </cell>
          <cell r="E139">
            <v>325</v>
          </cell>
          <cell r="F139" t="str">
            <v>ml</v>
          </cell>
          <cell r="G139" t="str">
            <v>GLOW MAKE UP</v>
          </cell>
          <cell r="L139">
            <v>809.87848196512618</v>
          </cell>
        </row>
        <row r="140">
          <cell r="B140" t="str">
            <v>GLMKAM06</v>
          </cell>
          <cell r="C140" t="str">
            <v>ÁGUA MICELAR BABA GLOW</v>
          </cell>
          <cell r="E140">
            <v>325</v>
          </cell>
          <cell r="F140" t="str">
            <v>ml</v>
          </cell>
          <cell r="G140" t="str">
            <v>GLOW MAKE UP</v>
          </cell>
          <cell r="L140">
            <v>809.87848196512618</v>
          </cell>
          <cell r="Y140">
            <v>0.85999999999999988</v>
          </cell>
        </row>
        <row r="141">
          <cell r="B141" t="str">
            <v>GLMKAM07</v>
          </cell>
          <cell r="C141" t="str">
            <v>ÁGUA MICELAR HONEY</v>
          </cell>
          <cell r="E141">
            <v>325</v>
          </cell>
          <cell r="F141" t="str">
            <v>ml</v>
          </cell>
          <cell r="G141" t="str">
            <v>GLOW MAKE UP</v>
          </cell>
          <cell r="L141">
            <v>809.87848196512618</v>
          </cell>
        </row>
        <row r="142">
          <cell r="B142" t="str">
            <v>GZLBBS01</v>
          </cell>
          <cell r="C142" t="str">
            <v>BODY SPLASH GOTA LOVE</v>
          </cell>
          <cell r="E142">
            <v>210</v>
          </cell>
          <cell r="F142" t="str">
            <v>ml</v>
          </cell>
          <cell r="G142" t="str">
            <v>GOTA ZEN</v>
          </cell>
          <cell r="L142">
            <v>843.58780095852239</v>
          </cell>
          <cell r="Y142">
            <v>2.0200000000000005</v>
          </cell>
        </row>
        <row r="143">
          <cell r="B143" t="str">
            <v>GZLBBS02</v>
          </cell>
          <cell r="C143" t="str">
            <v>BODY SPLASH ARABYS' AMBAR</v>
          </cell>
          <cell r="E143">
            <v>210</v>
          </cell>
          <cell r="F143" t="str">
            <v>ml</v>
          </cell>
          <cell r="G143" t="str">
            <v>GOTA ZEN</v>
          </cell>
          <cell r="L143">
            <v>843.58780095852239</v>
          </cell>
          <cell r="Y143">
            <v>2.0200000000000005</v>
          </cell>
        </row>
        <row r="144">
          <cell r="B144" t="str">
            <v>GZLBBS03</v>
          </cell>
          <cell r="C144" t="str">
            <v>BODY SPLASH GOTA BELLE</v>
          </cell>
          <cell r="E144">
            <v>210</v>
          </cell>
          <cell r="F144" t="str">
            <v>ml</v>
          </cell>
          <cell r="G144" t="str">
            <v>GOTA ZEN</v>
          </cell>
          <cell r="L144">
            <v>843.58780095852239</v>
          </cell>
          <cell r="Y144">
            <v>2.0200000000000005</v>
          </cell>
        </row>
        <row r="145">
          <cell r="B145" t="str">
            <v>GZLBBS04</v>
          </cell>
          <cell r="C145" t="str">
            <v>BODY SPLASH ARABYS' FEROZ</v>
          </cell>
          <cell r="E145">
            <v>210</v>
          </cell>
          <cell r="F145" t="str">
            <v>ml</v>
          </cell>
          <cell r="G145" t="str">
            <v>GOTA ZEN</v>
          </cell>
          <cell r="L145">
            <v>843.58780095852239</v>
          </cell>
          <cell r="Y145">
            <v>2.0200000000000005</v>
          </cell>
        </row>
        <row r="146">
          <cell r="B146" t="str">
            <v>GZLBBS05</v>
          </cell>
          <cell r="C146" t="str">
            <v>BODY SPLASH GLOW CHAMPAGNE</v>
          </cell>
          <cell r="E146">
            <v>210</v>
          </cell>
          <cell r="F146" t="str">
            <v>ml</v>
          </cell>
          <cell r="G146" t="str">
            <v>GOTA ZEN</v>
          </cell>
          <cell r="L146">
            <v>843.58780095852239</v>
          </cell>
          <cell r="Y146">
            <v>2.0200000000000005</v>
          </cell>
        </row>
        <row r="147">
          <cell r="B147" t="str">
            <v>GZLBBS06</v>
          </cell>
          <cell r="C147" t="str">
            <v>BODY SPLASH ESCAN DALOSA</v>
          </cell>
          <cell r="E147">
            <v>210</v>
          </cell>
          <cell r="F147" t="str">
            <v>ml</v>
          </cell>
          <cell r="G147" t="str">
            <v>GOTA ZEN</v>
          </cell>
          <cell r="L147">
            <v>843.58780095852239</v>
          </cell>
          <cell r="Y147">
            <v>2.0200000000000005</v>
          </cell>
        </row>
        <row r="148">
          <cell r="B148" t="str">
            <v>HBHD0001</v>
          </cell>
          <cell r="C148" t="str">
            <v>HIDRATANTE BISNAGA CELESTIA 200g</v>
          </cell>
          <cell r="E148">
            <v>200</v>
          </cell>
          <cell r="F148" t="str">
            <v>g</v>
          </cell>
          <cell r="G148" t="str">
            <v>HABIBI PERFUMES</v>
          </cell>
          <cell r="L148">
            <v>613.39886035164977</v>
          </cell>
          <cell r="Y148">
            <v>2</v>
          </cell>
        </row>
        <row r="149">
          <cell r="B149" t="str">
            <v>HBHD0002</v>
          </cell>
          <cell r="C149" t="str">
            <v>HIDRATANTE BISNAGA IMPERIUM 200g</v>
          </cell>
          <cell r="E149">
            <v>200</v>
          </cell>
          <cell r="F149" t="str">
            <v>g</v>
          </cell>
          <cell r="G149" t="str">
            <v>HABIBI PERFUMES</v>
          </cell>
          <cell r="L149">
            <v>613.39886035164977</v>
          </cell>
          <cell r="Y149">
            <v>2</v>
          </cell>
        </row>
        <row r="150">
          <cell r="B150" t="str">
            <v>HBHD0003</v>
          </cell>
          <cell r="C150" t="str">
            <v>HIDRATANTE BISNAGA ROSA SUBLIME 200g</v>
          </cell>
          <cell r="E150">
            <v>200</v>
          </cell>
          <cell r="F150" t="str">
            <v>g</v>
          </cell>
          <cell r="G150" t="str">
            <v>HABIBI PERFUMES</v>
          </cell>
          <cell r="L150">
            <v>613.39886035164977</v>
          </cell>
          <cell r="Y150">
            <v>2</v>
          </cell>
        </row>
        <row r="151">
          <cell r="B151" t="str">
            <v>HBHD0004</v>
          </cell>
          <cell r="C151" t="str">
            <v>HIDRATANTE BISNAGA ROSE AURORA 200g</v>
          </cell>
          <cell r="E151">
            <v>200</v>
          </cell>
          <cell r="F151" t="str">
            <v>g</v>
          </cell>
          <cell r="G151" t="str">
            <v>HABIBI PERFUMES</v>
          </cell>
          <cell r="L151">
            <v>613.39886035164977</v>
          </cell>
          <cell r="Y151">
            <v>2</v>
          </cell>
        </row>
        <row r="152">
          <cell r="B152" t="str">
            <v>HBHD0005</v>
          </cell>
          <cell r="C152" t="str">
            <v>HIDRATANTE BISNAGA LUX AMBER 200g</v>
          </cell>
          <cell r="E152">
            <v>200</v>
          </cell>
          <cell r="F152" t="str">
            <v>g</v>
          </cell>
          <cell r="G152" t="str">
            <v>HABIBI PERFUMES</v>
          </cell>
          <cell r="L152">
            <v>613.39886035164977</v>
          </cell>
          <cell r="Y152">
            <v>2</v>
          </cell>
        </row>
        <row r="153">
          <cell r="B153" t="str">
            <v>HBHD0006</v>
          </cell>
          <cell r="C153" t="str">
            <v>HIDRATANTE BISNAGA ANGELUS 200g</v>
          </cell>
          <cell r="E153">
            <v>200</v>
          </cell>
          <cell r="F153" t="str">
            <v>g</v>
          </cell>
          <cell r="G153" t="str">
            <v>HABIBI PERFUMES</v>
          </cell>
          <cell r="L153">
            <v>613.39886035164977</v>
          </cell>
          <cell r="Y153">
            <v>2</v>
          </cell>
        </row>
        <row r="154">
          <cell r="B154" t="str">
            <v>HBHD0007</v>
          </cell>
          <cell r="C154" t="str">
            <v>HIDRATANTE BISNAGA IMPERIUM BOURBON 200g</v>
          </cell>
          <cell r="E154">
            <v>200</v>
          </cell>
          <cell r="F154" t="str">
            <v>g</v>
          </cell>
          <cell r="G154" t="str">
            <v>HABIBI PERFUMES</v>
          </cell>
          <cell r="L154">
            <v>613.39886035164977</v>
          </cell>
          <cell r="Y154">
            <v>2</v>
          </cell>
        </row>
        <row r="155">
          <cell r="B155" t="str">
            <v>HBHD0008</v>
          </cell>
          <cell r="C155" t="str">
            <v>HIDRATANTE BISNAGA DELICADA 200g</v>
          </cell>
          <cell r="E155">
            <v>200</v>
          </cell>
          <cell r="F155" t="str">
            <v>g</v>
          </cell>
          <cell r="G155" t="str">
            <v>HABIBI PERFUMES</v>
          </cell>
          <cell r="L155">
            <v>613.39886035164977</v>
          </cell>
          <cell r="Y155">
            <v>2</v>
          </cell>
        </row>
        <row r="156">
          <cell r="B156" t="str">
            <v>HBPC0001</v>
          </cell>
          <cell r="C156" t="str">
            <v>PERFUME CAPILAR CELESTIA 57ml</v>
          </cell>
          <cell r="E156">
            <v>57</v>
          </cell>
          <cell r="F156" t="str">
            <v>ml</v>
          </cell>
          <cell r="G156" t="str">
            <v>HABIBI PERFUMES</v>
          </cell>
          <cell r="L156">
            <v>0</v>
          </cell>
          <cell r="Y156">
            <v>3</v>
          </cell>
        </row>
        <row r="157">
          <cell r="B157" t="str">
            <v>IBARBS01</v>
          </cell>
          <cell r="C157" t="str">
            <v>BODY SPLASH SAIND</v>
          </cell>
          <cell r="E157">
            <v>120</v>
          </cell>
          <cell r="F157" t="str">
            <v>ml</v>
          </cell>
          <cell r="G157" t="str">
            <v>ISA BEAUTY</v>
          </cell>
          <cell r="L157">
            <v>843.58780095852239</v>
          </cell>
        </row>
        <row r="158">
          <cell r="B158" t="str">
            <v>IBARBS02</v>
          </cell>
          <cell r="C158" t="str">
            <v>BODY SPLASH ALLAN</v>
          </cell>
          <cell r="E158">
            <v>120</v>
          </cell>
          <cell r="F158" t="str">
            <v>ml</v>
          </cell>
          <cell r="G158" t="str">
            <v>ISA BEAUTY</v>
          </cell>
          <cell r="L158">
            <v>843.58780095852239</v>
          </cell>
        </row>
        <row r="159">
          <cell r="B159" t="str">
            <v>IBARBS03</v>
          </cell>
          <cell r="C159" t="str">
            <v>BODY SPLASH JADE</v>
          </cell>
          <cell r="E159">
            <v>120</v>
          </cell>
          <cell r="F159" t="str">
            <v>ml</v>
          </cell>
          <cell r="G159" t="str">
            <v>ISA BEAUTY</v>
          </cell>
          <cell r="L159">
            <v>843.58780095852239</v>
          </cell>
        </row>
        <row r="160">
          <cell r="B160" t="str">
            <v>IBARBS04</v>
          </cell>
          <cell r="C160" t="str">
            <v>BODY SPLASH ÁRABE</v>
          </cell>
          <cell r="E160">
            <v>120</v>
          </cell>
          <cell r="F160" t="str">
            <v>ml</v>
          </cell>
          <cell r="G160" t="str">
            <v>ISA BEAUTY</v>
          </cell>
          <cell r="L160">
            <v>843.58780095852239</v>
          </cell>
        </row>
        <row r="161">
          <cell r="B161" t="str">
            <v>IBARBS05</v>
          </cell>
          <cell r="C161" t="str">
            <v>BODY SPLASH HABIB</v>
          </cell>
          <cell r="E161">
            <v>120</v>
          </cell>
          <cell r="F161" t="str">
            <v>ml</v>
          </cell>
          <cell r="G161" t="str">
            <v>ISA BEAUTY</v>
          </cell>
          <cell r="L161">
            <v>843.58780095852239</v>
          </cell>
        </row>
        <row r="162">
          <cell r="B162" t="str">
            <v>IBARBS06</v>
          </cell>
          <cell r="C162" t="str">
            <v>BODY SPLASH ABDALLAH</v>
          </cell>
          <cell r="E162">
            <v>120</v>
          </cell>
          <cell r="F162" t="str">
            <v>ml</v>
          </cell>
          <cell r="G162" t="str">
            <v>ISA BEAUTY</v>
          </cell>
          <cell r="L162">
            <v>843.58780095852239</v>
          </cell>
        </row>
        <row r="163">
          <cell r="B163" t="str">
            <v>IBARGB01</v>
          </cell>
          <cell r="C163" t="str">
            <v>GELEIA DE BANHO SAIND</v>
          </cell>
          <cell r="E163">
            <v>190</v>
          </cell>
          <cell r="F163" t="str">
            <v>ml</v>
          </cell>
          <cell r="G163" t="str">
            <v>ISA BEAUTY</v>
          </cell>
          <cell r="L163">
            <v>732.04943503841741</v>
          </cell>
        </row>
        <row r="164">
          <cell r="B164" t="str">
            <v>IBARGB02</v>
          </cell>
          <cell r="C164" t="str">
            <v>GELEIA DE BANHO ALLAN</v>
          </cell>
          <cell r="E164">
            <v>190</v>
          </cell>
          <cell r="F164" t="str">
            <v>ml</v>
          </cell>
          <cell r="G164" t="str">
            <v>ISA BEAUTY</v>
          </cell>
          <cell r="L164">
            <v>732.04943503841741</v>
          </cell>
        </row>
        <row r="165">
          <cell r="B165" t="str">
            <v>IBARGB03</v>
          </cell>
          <cell r="C165" t="str">
            <v>GELEIA DE BANHO JADE</v>
          </cell>
          <cell r="E165">
            <v>190</v>
          </cell>
          <cell r="F165" t="str">
            <v>ml</v>
          </cell>
          <cell r="G165" t="str">
            <v>ISA BEAUTY</v>
          </cell>
          <cell r="L165">
            <v>732.04943503841741</v>
          </cell>
        </row>
        <row r="166">
          <cell r="B166" t="str">
            <v>IBARGB04</v>
          </cell>
          <cell r="C166" t="str">
            <v>GELEIA DE BANHO ÁRABE</v>
          </cell>
          <cell r="E166">
            <v>190</v>
          </cell>
          <cell r="F166" t="str">
            <v>ml</v>
          </cell>
          <cell r="G166" t="str">
            <v>ISA BEAUTY</v>
          </cell>
          <cell r="L166">
            <v>732.04943503841741</v>
          </cell>
        </row>
        <row r="167">
          <cell r="B167" t="str">
            <v>IBARGB05</v>
          </cell>
          <cell r="C167" t="str">
            <v>GELEIA DE BANHO HABIB</v>
          </cell>
          <cell r="E167">
            <v>190</v>
          </cell>
          <cell r="F167" t="str">
            <v>ml</v>
          </cell>
          <cell r="G167" t="str">
            <v>ISA BEAUTY</v>
          </cell>
          <cell r="L167">
            <v>732.04943503841741</v>
          </cell>
        </row>
        <row r="168">
          <cell r="B168" t="str">
            <v>IBARGB06</v>
          </cell>
          <cell r="C168" t="str">
            <v>GELEIA DE BANHO ABDALLAH</v>
          </cell>
          <cell r="E168">
            <v>190</v>
          </cell>
          <cell r="F168" t="str">
            <v>ml</v>
          </cell>
          <cell r="G168" t="str">
            <v>ISA BEAUTY</v>
          </cell>
          <cell r="L168">
            <v>732.04943503841741</v>
          </cell>
        </row>
        <row r="169">
          <cell r="B169" t="str">
            <v>IBARGE01</v>
          </cell>
          <cell r="C169" t="str">
            <v>GEL ESFOLIANTE SAIND</v>
          </cell>
          <cell r="E169">
            <v>180</v>
          </cell>
          <cell r="F169" t="str">
            <v>ml</v>
          </cell>
          <cell r="G169" t="str">
            <v>ISA BEAUTY</v>
          </cell>
          <cell r="L169">
            <v>0</v>
          </cell>
        </row>
        <row r="170">
          <cell r="B170" t="str">
            <v>IBARGE02</v>
          </cell>
          <cell r="C170" t="str">
            <v>GEL ESFOLIANTE ALLAN</v>
          </cell>
          <cell r="E170">
            <v>180</v>
          </cell>
          <cell r="F170" t="str">
            <v>ml</v>
          </cell>
          <cell r="G170" t="str">
            <v>ISA BEAUTY</v>
          </cell>
          <cell r="L170">
            <v>0</v>
          </cell>
        </row>
        <row r="171">
          <cell r="B171" t="str">
            <v>IBARGE03</v>
          </cell>
          <cell r="C171" t="str">
            <v>GEL ESFOLIANTE JADE</v>
          </cell>
          <cell r="E171">
            <v>180</v>
          </cell>
          <cell r="F171" t="str">
            <v>ml</v>
          </cell>
          <cell r="G171" t="str">
            <v>ISA BEAUTY</v>
          </cell>
          <cell r="L171">
            <v>0</v>
          </cell>
        </row>
        <row r="172">
          <cell r="B172" t="str">
            <v>IBARGE04</v>
          </cell>
          <cell r="C172" t="str">
            <v>GEL ESFOLIANTE ÁRABE</v>
          </cell>
          <cell r="E172">
            <v>180</v>
          </cell>
          <cell r="F172" t="str">
            <v>ml</v>
          </cell>
          <cell r="G172" t="str">
            <v>ISA BEAUTY</v>
          </cell>
          <cell r="L172">
            <v>0</v>
          </cell>
        </row>
        <row r="173">
          <cell r="B173" t="str">
            <v>IBARGE05</v>
          </cell>
          <cell r="C173" t="str">
            <v>GEL ESFOLIANTE HABIB</v>
          </cell>
          <cell r="E173">
            <v>180</v>
          </cell>
          <cell r="F173" t="str">
            <v>ml</v>
          </cell>
          <cell r="G173" t="str">
            <v>ISA BEAUTY</v>
          </cell>
          <cell r="L173">
            <v>0</v>
          </cell>
        </row>
        <row r="174">
          <cell r="B174" t="str">
            <v>IBARGE06</v>
          </cell>
          <cell r="C174" t="str">
            <v>GEL ESFOLIANTE ABDALLAH</v>
          </cell>
          <cell r="E174">
            <v>180</v>
          </cell>
          <cell r="F174" t="str">
            <v>ml</v>
          </cell>
          <cell r="G174" t="str">
            <v>ISA BEAUTY</v>
          </cell>
          <cell r="L174">
            <v>0</v>
          </cell>
        </row>
        <row r="175">
          <cell r="B175" t="str">
            <v>IBARHD01</v>
          </cell>
          <cell r="C175" t="str">
            <v>LOÇÃO HIDRATANTE SAIND</v>
          </cell>
          <cell r="E175">
            <v>180</v>
          </cell>
          <cell r="F175" t="str">
            <v>ml</v>
          </cell>
          <cell r="G175" t="str">
            <v>ISA BEAUTY</v>
          </cell>
          <cell r="L175">
            <v>613.39886035164977</v>
          </cell>
        </row>
        <row r="176">
          <cell r="B176" t="str">
            <v>IBARHD02</v>
          </cell>
          <cell r="C176" t="str">
            <v>LOÇÃO HIDRATANTE ALLAN</v>
          </cell>
          <cell r="E176">
            <v>180</v>
          </cell>
          <cell r="F176" t="str">
            <v>ml</v>
          </cell>
          <cell r="G176" t="str">
            <v>ISA BEAUTY</v>
          </cell>
          <cell r="L176">
            <v>613.39886035164977</v>
          </cell>
        </row>
        <row r="177">
          <cell r="B177" t="str">
            <v>IBARHD03</v>
          </cell>
          <cell r="C177" t="str">
            <v>LOÇÃO HIDRATANTE JADE</v>
          </cell>
          <cell r="E177">
            <v>180</v>
          </cell>
          <cell r="F177" t="str">
            <v>ml</v>
          </cell>
          <cell r="G177" t="str">
            <v>ISA BEAUTY</v>
          </cell>
          <cell r="L177">
            <v>613.39886035164977</v>
          </cell>
        </row>
        <row r="178">
          <cell r="B178" t="str">
            <v>IBARHD04</v>
          </cell>
          <cell r="C178" t="str">
            <v>LOÇÃO HIDRATANTE ÁRABE</v>
          </cell>
          <cell r="E178">
            <v>180</v>
          </cell>
          <cell r="F178" t="str">
            <v>ml</v>
          </cell>
          <cell r="G178" t="str">
            <v>ISA BEAUTY</v>
          </cell>
          <cell r="L178">
            <v>613.39886035164977</v>
          </cell>
        </row>
        <row r="179">
          <cell r="B179" t="str">
            <v>IBARHD05</v>
          </cell>
          <cell r="C179" t="str">
            <v>LOÇÃO HIDRATANTE HABIB</v>
          </cell>
          <cell r="E179">
            <v>180</v>
          </cell>
          <cell r="F179" t="str">
            <v>ml</v>
          </cell>
          <cell r="G179" t="str">
            <v>ISA BEAUTY</v>
          </cell>
          <cell r="L179">
            <v>613.39886035164977</v>
          </cell>
        </row>
        <row r="180">
          <cell r="B180" t="str">
            <v>IBARHD06</v>
          </cell>
          <cell r="C180" t="str">
            <v>LOÇÃO HIDRATANTE ABDALLAH</v>
          </cell>
          <cell r="E180">
            <v>180</v>
          </cell>
          <cell r="F180" t="str">
            <v>ml</v>
          </cell>
          <cell r="G180" t="str">
            <v>ISA BEAUTY</v>
          </cell>
          <cell r="L180">
            <v>613.39886035164977</v>
          </cell>
        </row>
        <row r="181">
          <cell r="B181" t="str">
            <v>IBCHEC01</v>
          </cell>
          <cell r="C181" t="str">
            <v>ESCOVA DE CHUVEIRO CHEIRINHO DE MELÂNCIA</v>
          </cell>
          <cell r="E181">
            <v>100</v>
          </cell>
          <cell r="F181" t="str">
            <v>ml</v>
          </cell>
          <cell r="G181" t="str">
            <v>ISA BEAUTY</v>
          </cell>
          <cell r="L181">
            <v>1014.0280751673542</v>
          </cell>
        </row>
        <row r="182">
          <cell r="B182" t="str">
            <v>IBCHEC02</v>
          </cell>
          <cell r="C182" t="str">
            <v>ESCOVA DE CHUVEIRO CHEIRINHO DE MORANGO</v>
          </cell>
          <cell r="E182">
            <v>100</v>
          </cell>
          <cell r="F182" t="str">
            <v>ml</v>
          </cell>
          <cell r="G182" t="str">
            <v>ISA BEAUTY</v>
          </cell>
          <cell r="L182">
            <v>1014.0280751673542</v>
          </cell>
        </row>
        <row r="183">
          <cell r="B183" t="str">
            <v>IBCHEC03</v>
          </cell>
          <cell r="C183" t="str">
            <v>ESCOVA DE CHUVEIRO CHEIRINHO DE TUTTI-FRUTTI</v>
          </cell>
          <cell r="E183">
            <v>100</v>
          </cell>
          <cell r="F183" t="str">
            <v>ml</v>
          </cell>
          <cell r="G183" t="str">
            <v>ISA BEAUTY</v>
          </cell>
          <cell r="L183">
            <v>1014.0280751673542</v>
          </cell>
        </row>
        <row r="184">
          <cell r="B184" t="str">
            <v>IBCHGC01</v>
          </cell>
          <cell r="C184" t="str">
            <v>GELATINA CAPILAR CHEIRINHO DE MELÂNCIA</v>
          </cell>
          <cell r="E184">
            <v>500</v>
          </cell>
          <cell r="F184" t="str">
            <v>ml</v>
          </cell>
          <cell r="G184" t="str">
            <v>ISA BEAUTY</v>
          </cell>
          <cell r="L184">
            <v>519.13260484234854</v>
          </cell>
        </row>
        <row r="185">
          <cell r="B185" t="str">
            <v>IBCHGC02</v>
          </cell>
          <cell r="C185" t="str">
            <v>GELATINA CAPILAR CHEIRINHO DE PISTACHE</v>
          </cell>
          <cell r="E185">
            <v>500</v>
          </cell>
          <cell r="F185" t="str">
            <v>ml</v>
          </cell>
          <cell r="G185" t="str">
            <v>ISA BEAUTY</v>
          </cell>
          <cell r="L185">
            <v>519.13260484234854</v>
          </cell>
        </row>
        <row r="186">
          <cell r="B186" t="str">
            <v>IBCHGC03</v>
          </cell>
          <cell r="C186" t="str">
            <v>GELATINA CAPILAR CHEIRINHO DE TUTTI-FRUTTI</v>
          </cell>
          <cell r="E186">
            <v>500</v>
          </cell>
          <cell r="F186" t="str">
            <v>ml</v>
          </cell>
          <cell r="G186" t="str">
            <v>ISA BEAUTY</v>
          </cell>
          <cell r="L186">
            <v>519.13260484234854</v>
          </cell>
        </row>
        <row r="187">
          <cell r="B187" t="str">
            <v>KUBPBA01</v>
          </cell>
          <cell r="C187" t="str">
            <v>BASE PARA PERFUME FINA BASE 1l</v>
          </cell>
          <cell r="E187">
            <v>1000</v>
          </cell>
          <cell r="F187" t="str">
            <v>ml</v>
          </cell>
          <cell r="G187" t="str">
            <v>KURYOS</v>
          </cell>
          <cell r="L187">
            <v>235.57716351767166</v>
          </cell>
        </row>
        <row r="188">
          <cell r="B188" t="str">
            <v>KUBPBA01 - 2</v>
          </cell>
          <cell r="C188" t="str">
            <v>BASE PARA PERFUME FINA BASE 500ml</v>
          </cell>
          <cell r="E188">
            <v>500</v>
          </cell>
          <cell r="F188" t="str">
            <v>ml</v>
          </cell>
          <cell r="G188" t="str">
            <v>KURYOS</v>
          </cell>
          <cell r="L188">
            <v>235.57716351767166</v>
          </cell>
        </row>
        <row r="189">
          <cell r="B189" t="str">
            <v>KUBPBA02</v>
          </cell>
          <cell r="C189" t="str">
            <v>BASE PARA PERFUME FINA BASE PREMIUM 1l</v>
          </cell>
          <cell r="E189">
            <v>1000</v>
          </cell>
          <cell r="F189" t="str">
            <v>ml</v>
          </cell>
          <cell r="G189" t="str">
            <v>KURYOS</v>
          </cell>
          <cell r="L189">
            <v>235.57716351767166</v>
          </cell>
        </row>
        <row r="190">
          <cell r="B190" t="str">
            <v>KUBPBA02 - 2</v>
          </cell>
          <cell r="C190" t="str">
            <v>BASE PARA PERFUME FINA BASE PREMIUM 500ml</v>
          </cell>
          <cell r="E190">
            <v>500</v>
          </cell>
          <cell r="F190" t="str">
            <v>ml</v>
          </cell>
          <cell r="G190" t="str">
            <v>KURYOS</v>
          </cell>
          <cell r="L190">
            <v>235.57716351767166</v>
          </cell>
        </row>
        <row r="191">
          <cell r="B191" t="str">
            <v>LNHGCN01</v>
          </cell>
          <cell r="C191" t="str">
            <v>CONDICIONADOR HUBBA GUM BANANA</v>
          </cell>
          <cell r="E191">
            <v>300</v>
          </cell>
          <cell r="F191" t="str">
            <v>ml</v>
          </cell>
          <cell r="G191" t="str">
            <v>LUA &amp; NEVE</v>
          </cell>
          <cell r="L191">
            <v>566.55014016892869</v>
          </cell>
        </row>
        <row r="192">
          <cell r="B192" t="str">
            <v>LNHGCN02</v>
          </cell>
          <cell r="C192" t="str">
            <v>CONDICIONADOR HUBBA GUM TUTTI-FRUTTI</v>
          </cell>
          <cell r="E192">
            <v>300</v>
          </cell>
          <cell r="F192" t="str">
            <v>ml</v>
          </cell>
          <cell r="G192" t="str">
            <v>LUA &amp; NEVE</v>
          </cell>
          <cell r="L192">
            <v>566.55014016892869</v>
          </cell>
        </row>
        <row r="193">
          <cell r="B193" t="str">
            <v>LNHGCN03</v>
          </cell>
          <cell r="C193" t="str">
            <v>CONDICIONADOR HUBBA GUM UVA</v>
          </cell>
          <cell r="E193">
            <v>300</v>
          </cell>
          <cell r="F193" t="str">
            <v>ml</v>
          </cell>
          <cell r="G193" t="str">
            <v>LUA &amp; NEVE</v>
          </cell>
          <cell r="L193">
            <v>566.55014016892869</v>
          </cell>
        </row>
        <row r="194">
          <cell r="B194" t="str">
            <v>LNHGFN01</v>
          </cell>
          <cell r="C194" t="str">
            <v>FINALIZADOR HUBBA GUM BANANA</v>
          </cell>
          <cell r="E194">
            <v>250</v>
          </cell>
          <cell r="F194" t="str">
            <v>ml</v>
          </cell>
          <cell r="G194" t="str">
            <v>LUA &amp; NEVE</v>
          </cell>
          <cell r="L194">
            <v>571.39859273161176</v>
          </cell>
        </row>
        <row r="195">
          <cell r="B195" t="str">
            <v>LNHGFN02</v>
          </cell>
          <cell r="C195" t="str">
            <v>FINALIZADOR HUBBA GUM TUTTI-FRUTTI</v>
          </cell>
          <cell r="E195">
            <v>250</v>
          </cell>
          <cell r="F195" t="str">
            <v>ml</v>
          </cell>
          <cell r="G195" t="str">
            <v>LUA &amp; NEVE</v>
          </cell>
          <cell r="L195">
            <v>571.39859273161176</v>
          </cell>
        </row>
        <row r="196">
          <cell r="B196" t="str">
            <v>LNHGFN03</v>
          </cell>
          <cell r="C196" t="str">
            <v>FINALIZADOR HUBBA GUM UVA</v>
          </cell>
          <cell r="E196">
            <v>250</v>
          </cell>
          <cell r="F196" t="str">
            <v>ml</v>
          </cell>
          <cell r="G196" t="str">
            <v>LUA &amp; NEVE</v>
          </cell>
          <cell r="L196">
            <v>571.39859273161176</v>
          </cell>
        </row>
        <row r="197">
          <cell r="B197" t="str">
            <v>LNHGMS01</v>
          </cell>
          <cell r="C197" t="str">
            <v>MÁSCARA HUBBA GUM BANANA</v>
          </cell>
          <cell r="E197">
            <v>250</v>
          </cell>
          <cell r="F197" t="str">
            <v>g</v>
          </cell>
          <cell r="G197" t="str">
            <v>LUA &amp; NEVE</v>
          </cell>
          <cell r="L197">
            <v>860.16297133346836</v>
          </cell>
        </row>
        <row r="198">
          <cell r="B198" t="str">
            <v>LNHGMS02</v>
          </cell>
          <cell r="C198" t="str">
            <v>MÁSCARA HUBBA GUM TUTTI-FRUTTI</v>
          </cell>
          <cell r="E198">
            <v>250</v>
          </cell>
          <cell r="F198" t="str">
            <v>g</v>
          </cell>
          <cell r="G198" t="str">
            <v>LUA &amp; NEVE</v>
          </cell>
          <cell r="L198">
            <v>860.16297133346836</v>
          </cell>
        </row>
        <row r="199">
          <cell r="B199" t="str">
            <v>LNHGMS03</v>
          </cell>
          <cell r="C199" t="str">
            <v>MÁSCARA HUBBA GUM UVA</v>
          </cell>
          <cell r="E199">
            <v>250</v>
          </cell>
          <cell r="F199" t="str">
            <v>g</v>
          </cell>
          <cell r="G199" t="str">
            <v>LUA &amp; NEVE</v>
          </cell>
          <cell r="L199">
            <v>860.16297133346836</v>
          </cell>
        </row>
        <row r="200">
          <cell r="B200" t="str">
            <v>LNHGSH01</v>
          </cell>
          <cell r="C200" t="str">
            <v>SHAMPOO HUBBA GUM BANANA</v>
          </cell>
          <cell r="E200">
            <v>300</v>
          </cell>
          <cell r="F200" t="str">
            <v>ml</v>
          </cell>
          <cell r="G200" t="str">
            <v>LUA &amp; NEVE</v>
          </cell>
          <cell r="L200">
            <v>682.70218347916432</v>
          </cell>
        </row>
        <row r="201">
          <cell r="B201" t="str">
            <v>LNHGSH02</v>
          </cell>
          <cell r="C201" t="str">
            <v>SHAMPOO HUBBA GUM TUTTI-FRUTTI</v>
          </cell>
          <cell r="E201">
            <v>300</v>
          </cell>
          <cell r="F201" t="str">
            <v>ml</v>
          </cell>
          <cell r="G201" t="str">
            <v>LUA &amp; NEVE</v>
          </cell>
          <cell r="L201">
            <v>682.70218347916432</v>
          </cell>
        </row>
        <row r="202">
          <cell r="B202" t="str">
            <v>LNHGSH03</v>
          </cell>
          <cell r="C202" t="str">
            <v>SHAMPOO HUBBA GUM UVA</v>
          </cell>
          <cell r="E202">
            <v>300</v>
          </cell>
          <cell r="F202" t="str">
            <v>ml</v>
          </cell>
          <cell r="G202" t="str">
            <v>LUA &amp; NEVE</v>
          </cell>
          <cell r="L202">
            <v>682.70218347916432</v>
          </cell>
        </row>
        <row r="203">
          <cell r="B203" t="str">
            <v>LNINBS01</v>
          </cell>
          <cell r="C203" t="str">
            <v>BODY SPLASH AMBAR CRUSH</v>
          </cell>
          <cell r="E203">
            <v>200</v>
          </cell>
          <cell r="F203" t="str">
            <v>ml</v>
          </cell>
          <cell r="G203" t="str">
            <v>LUA &amp; NEVE</v>
          </cell>
          <cell r="L203">
            <v>843.58780095852239</v>
          </cell>
        </row>
        <row r="204">
          <cell r="B204" t="str">
            <v>LNINBS02</v>
          </cell>
          <cell r="C204" t="str">
            <v>BODY SPLASH AQUA VIBE</v>
          </cell>
          <cell r="E204">
            <v>200</v>
          </cell>
          <cell r="F204" t="str">
            <v>ml</v>
          </cell>
          <cell r="G204" t="str">
            <v>LUA &amp; NEVE</v>
          </cell>
          <cell r="L204">
            <v>843.58780095852239</v>
          </cell>
        </row>
        <row r="205">
          <cell r="B205" t="str">
            <v>LNINBS03</v>
          </cell>
          <cell r="C205" t="str">
            <v>BODY SPLASH INTENSE RED</v>
          </cell>
          <cell r="E205">
            <v>200</v>
          </cell>
          <cell r="F205" t="str">
            <v>ml</v>
          </cell>
          <cell r="G205" t="str">
            <v>LUA &amp; NEVE</v>
          </cell>
          <cell r="L205">
            <v>843.58780095852239</v>
          </cell>
        </row>
        <row r="206">
          <cell r="B206" t="str">
            <v>LNINBS04</v>
          </cell>
          <cell r="C206" t="str">
            <v>BODY SPLASH MYSTIC SPILL</v>
          </cell>
          <cell r="E206">
            <v>200</v>
          </cell>
          <cell r="F206" t="str">
            <v>ml</v>
          </cell>
          <cell r="G206" t="str">
            <v>LUA &amp; NEVE</v>
          </cell>
          <cell r="L206">
            <v>843.58780095852239</v>
          </cell>
        </row>
        <row r="207">
          <cell r="B207" t="str">
            <v>LNINBS05</v>
          </cell>
          <cell r="C207" t="str">
            <v>BODY SPLASH PINK SEDUCTION</v>
          </cell>
          <cell r="E207">
            <v>200</v>
          </cell>
          <cell r="F207" t="str">
            <v>ml</v>
          </cell>
          <cell r="G207" t="str">
            <v>LUA &amp; NEVE</v>
          </cell>
          <cell r="L207">
            <v>843.58780095852239</v>
          </cell>
        </row>
        <row r="208">
          <cell r="B208" t="str">
            <v>LNINBS06</v>
          </cell>
          <cell r="C208" t="str">
            <v>BODY SPLASH PURE VANILLA</v>
          </cell>
          <cell r="E208">
            <v>200</v>
          </cell>
          <cell r="F208" t="str">
            <v>ml</v>
          </cell>
          <cell r="G208" t="str">
            <v>LUA &amp; NEVE</v>
          </cell>
          <cell r="L208">
            <v>843.58780095852239</v>
          </cell>
        </row>
        <row r="209">
          <cell r="B209" t="str">
            <v>LNINBS07</v>
          </cell>
          <cell r="C209" t="str">
            <v>BODY SPLASH VELVET ROSE</v>
          </cell>
          <cell r="E209">
            <v>200</v>
          </cell>
          <cell r="F209" t="str">
            <v>ml</v>
          </cell>
          <cell r="G209" t="str">
            <v>LUA &amp; NEVE</v>
          </cell>
          <cell r="L209">
            <v>843.58780095852239</v>
          </cell>
        </row>
        <row r="210">
          <cell r="B210" t="str">
            <v>MAOEOL01</v>
          </cell>
          <cell r="C210" t="str">
            <v>ÓLEO CORPORAL AMENDÔAS</v>
          </cell>
          <cell r="E210">
            <v>150</v>
          </cell>
          <cell r="F210" t="str">
            <v>ml</v>
          </cell>
          <cell r="G210" t="str">
            <v>MAAKE</v>
          </cell>
          <cell r="L210">
            <v>635.22144280095847</v>
          </cell>
          <cell r="Y210">
            <v>1</v>
          </cell>
        </row>
        <row r="211">
          <cell r="B211" t="str">
            <v>MAOEOL02</v>
          </cell>
          <cell r="C211" t="str">
            <v>ÓLEO CORPORAL ALGODÃO</v>
          </cell>
          <cell r="E211">
            <v>150</v>
          </cell>
          <cell r="F211" t="str">
            <v>ml</v>
          </cell>
          <cell r="G211" t="str">
            <v>MAAKE</v>
          </cell>
          <cell r="L211">
            <v>635.22144280095847</v>
          </cell>
          <cell r="Y211">
            <v>1</v>
          </cell>
        </row>
        <row r="212">
          <cell r="B212" t="str">
            <v>MOPFFM01</v>
          </cell>
          <cell r="C212" t="str">
            <v>PERFUME MASCULINO 102 VIP BLACK</v>
          </cell>
          <cell r="E212">
            <v>50</v>
          </cell>
          <cell r="F212" t="str">
            <v>ml</v>
          </cell>
          <cell r="G212" t="str">
            <v>MOUTIER</v>
          </cell>
          <cell r="L212">
            <v>175.26407181919058</v>
          </cell>
        </row>
        <row r="213">
          <cell r="B213" t="str">
            <v>MOPFFM02</v>
          </cell>
          <cell r="C213" t="str">
            <v>PERFUME MASCULINO 103 BOSS BOTTLED</v>
          </cell>
          <cell r="E213">
            <v>50</v>
          </cell>
          <cell r="F213" t="str">
            <v>ml</v>
          </cell>
          <cell r="G213" t="str">
            <v>MOUTIER</v>
          </cell>
          <cell r="L213">
            <v>175.26407181919058</v>
          </cell>
        </row>
        <row r="214">
          <cell r="B214" t="str">
            <v>MOPFFM03</v>
          </cell>
          <cell r="C214" t="str">
            <v>PERFUME MASCULINO 104 FERRARI BLACK</v>
          </cell>
          <cell r="E214">
            <v>50</v>
          </cell>
          <cell r="F214" t="str">
            <v>ml</v>
          </cell>
          <cell r="G214" t="str">
            <v>MOUTIER</v>
          </cell>
          <cell r="L214">
            <v>175.26407181919058</v>
          </cell>
        </row>
        <row r="215">
          <cell r="B215" t="str">
            <v>MOPFFM04</v>
          </cell>
          <cell r="C215" t="str">
            <v>PERFUME MASCULINO 105 SAUVAGE</v>
          </cell>
          <cell r="E215">
            <v>50</v>
          </cell>
          <cell r="F215" t="str">
            <v>ml</v>
          </cell>
          <cell r="G215" t="str">
            <v>MOUTIER</v>
          </cell>
          <cell r="L215">
            <v>175.26407181919058</v>
          </cell>
        </row>
        <row r="216">
          <cell r="B216" t="str">
            <v>MOPFFM05</v>
          </cell>
          <cell r="C216" t="str">
            <v>PERFUME MASCULINO 110 ONE MILLION</v>
          </cell>
          <cell r="E216">
            <v>50</v>
          </cell>
          <cell r="F216" t="str">
            <v>ml</v>
          </cell>
          <cell r="G216" t="str">
            <v>MOUTIER</v>
          </cell>
          <cell r="L216">
            <v>175.26407181919058</v>
          </cell>
        </row>
        <row r="217">
          <cell r="B217" t="str">
            <v>MOPFFM06</v>
          </cell>
          <cell r="C217" t="str">
            <v>PERFUME MASCULINO 113 AZZARO WANTED</v>
          </cell>
          <cell r="E217">
            <v>50</v>
          </cell>
          <cell r="F217" t="str">
            <v>ml</v>
          </cell>
          <cell r="G217" t="str">
            <v>MOUTIER</v>
          </cell>
          <cell r="L217">
            <v>175.26407181919058</v>
          </cell>
        </row>
        <row r="218">
          <cell r="B218" t="str">
            <v>MOPFFM07</v>
          </cell>
          <cell r="C218" t="str">
            <v>PERFUME MASCULINO 115 BLEU DE CHANEL</v>
          </cell>
          <cell r="E218">
            <v>50</v>
          </cell>
          <cell r="F218" t="str">
            <v>ml</v>
          </cell>
          <cell r="G218" t="str">
            <v>MOUTIER</v>
          </cell>
          <cell r="L218">
            <v>175.26407181919058</v>
          </cell>
        </row>
        <row r="219">
          <cell r="B219" t="str">
            <v>MOPFFM08</v>
          </cell>
          <cell r="C219" t="str">
            <v>PERFUME MASCULINO 117 INVICTUS</v>
          </cell>
          <cell r="E219">
            <v>50</v>
          </cell>
          <cell r="F219" t="str">
            <v>ml</v>
          </cell>
          <cell r="G219" t="str">
            <v>MOUTIER</v>
          </cell>
          <cell r="L219">
            <v>175.26407181919058</v>
          </cell>
        </row>
        <row r="220">
          <cell r="B220" t="str">
            <v>MOPFFM09</v>
          </cell>
          <cell r="C220" t="str">
            <v>PERFUME MASCULINO 118 CH BAD BOY</v>
          </cell>
          <cell r="E220">
            <v>50</v>
          </cell>
          <cell r="F220" t="str">
            <v>ml</v>
          </cell>
          <cell r="G220" t="str">
            <v>MOUTIER</v>
          </cell>
          <cell r="L220">
            <v>175.26407181919058</v>
          </cell>
        </row>
        <row r="221">
          <cell r="B221" t="str">
            <v>MOPFFM10</v>
          </cell>
          <cell r="C221" t="str">
            <v>PERFUME MASCULINO 119 EROS VERSACE</v>
          </cell>
          <cell r="E221">
            <v>50</v>
          </cell>
          <cell r="F221" t="str">
            <v>ml</v>
          </cell>
          <cell r="G221" t="str">
            <v>MOUTIER</v>
          </cell>
          <cell r="L221">
            <v>175.26407181919058</v>
          </cell>
        </row>
        <row r="222">
          <cell r="B222" t="str">
            <v>MOPFFM11</v>
          </cell>
          <cell r="C222" t="str">
            <v>PERFUME MASCULINO 122 ANIMALE</v>
          </cell>
          <cell r="E222">
            <v>50</v>
          </cell>
          <cell r="F222" t="str">
            <v>ml</v>
          </cell>
          <cell r="G222" t="str">
            <v>MOUTIER</v>
          </cell>
          <cell r="L222">
            <v>175.26407181919058</v>
          </cell>
        </row>
        <row r="223">
          <cell r="B223" t="str">
            <v>MOPFFM12</v>
          </cell>
          <cell r="C223" t="str">
            <v>PERFUME MASCULINO 135 SCANDAL POUR HOMME</v>
          </cell>
          <cell r="E223">
            <v>50</v>
          </cell>
          <cell r="F223" t="str">
            <v>ml</v>
          </cell>
          <cell r="G223" t="str">
            <v>MOUTIER</v>
          </cell>
          <cell r="L223">
            <v>175.26407181919058</v>
          </cell>
        </row>
        <row r="224">
          <cell r="B224" t="str">
            <v>MOPFFM13</v>
          </cell>
          <cell r="C224" t="str">
            <v>PERFUME MASCULINO 100 SILVER SCENT</v>
          </cell>
          <cell r="E224">
            <v>50</v>
          </cell>
          <cell r="F224" t="str">
            <v>ml</v>
          </cell>
          <cell r="G224" t="str">
            <v>MOUTIER</v>
          </cell>
          <cell r="L224">
            <v>175.26407181919058</v>
          </cell>
        </row>
        <row r="225">
          <cell r="B225" t="str">
            <v>MOPFFM14</v>
          </cell>
          <cell r="C225" t="str">
            <v>PERFUME MASCULINO 101 AZZARRO</v>
          </cell>
          <cell r="E225">
            <v>50</v>
          </cell>
          <cell r="F225" t="str">
            <v>ml</v>
          </cell>
          <cell r="G225" t="str">
            <v>MOUTIER</v>
          </cell>
          <cell r="L225">
            <v>175.26407181919058</v>
          </cell>
        </row>
        <row r="226">
          <cell r="B226" t="str">
            <v>MOPFFM15</v>
          </cell>
          <cell r="C226" t="str">
            <v>PERFUME MASCULINO 106 POLO BLUE</v>
          </cell>
          <cell r="E226">
            <v>50</v>
          </cell>
          <cell r="F226" t="str">
            <v>ml</v>
          </cell>
          <cell r="G226" t="str">
            <v>MOUTIER</v>
          </cell>
          <cell r="L226">
            <v>175.26407181919058</v>
          </cell>
        </row>
        <row r="227">
          <cell r="B227" t="str">
            <v>MOPFFM16</v>
          </cell>
          <cell r="C227" t="str">
            <v>PERFUME MASCULINO 112 POLO</v>
          </cell>
          <cell r="E227">
            <v>50</v>
          </cell>
          <cell r="F227" t="str">
            <v>ml</v>
          </cell>
          <cell r="G227" t="str">
            <v>MOUTIER</v>
          </cell>
          <cell r="L227">
            <v>175.26407181919058</v>
          </cell>
        </row>
        <row r="228">
          <cell r="B228" t="str">
            <v>MOPFFM17</v>
          </cell>
          <cell r="C228" t="str">
            <v>PERFUME MASCULINO 114 212 FOR MEN</v>
          </cell>
          <cell r="E228">
            <v>50</v>
          </cell>
          <cell r="F228" t="str">
            <v>ml</v>
          </cell>
          <cell r="G228" t="str">
            <v>MOUTIER</v>
          </cell>
          <cell r="L228">
            <v>175.26407181919058</v>
          </cell>
        </row>
        <row r="229">
          <cell r="B229" t="str">
            <v>MOPFFM18</v>
          </cell>
          <cell r="C229" t="str">
            <v>PERFUME MASCULINO 120 ISSEY MIYAKE</v>
          </cell>
          <cell r="E229">
            <v>50</v>
          </cell>
          <cell r="F229" t="str">
            <v>ml</v>
          </cell>
          <cell r="G229" t="str">
            <v>MOUTIER</v>
          </cell>
          <cell r="L229">
            <v>175.26407181919058</v>
          </cell>
        </row>
        <row r="230">
          <cell r="B230" t="str">
            <v>MOPFFM19</v>
          </cell>
          <cell r="C230" t="str">
            <v>PERFUME MASCULINO 121 212 VIP MEN</v>
          </cell>
          <cell r="E230">
            <v>50</v>
          </cell>
          <cell r="F230" t="str">
            <v>ml</v>
          </cell>
          <cell r="G230" t="str">
            <v>MOUTIER</v>
          </cell>
          <cell r="L230">
            <v>175.26407181919058</v>
          </cell>
        </row>
        <row r="231">
          <cell r="B231" t="str">
            <v>MOPFFM20</v>
          </cell>
          <cell r="C231" t="str">
            <v>PERFUME MASCULINO 134 MARLY ALTHAIR</v>
          </cell>
          <cell r="E231">
            <v>50</v>
          </cell>
          <cell r="F231" t="str">
            <v>ml</v>
          </cell>
          <cell r="G231" t="str">
            <v>MOUTIER</v>
          </cell>
          <cell r="L231">
            <v>175.26407181919058</v>
          </cell>
        </row>
        <row r="232">
          <cell r="B232" t="str">
            <v>MOPFFW01</v>
          </cell>
          <cell r="C232" t="str">
            <v>PERFUME FEMININO 08 DIOR J'ADORE</v>
          </cell>
          <cell r="E232">
            <v>50</v>
          </cell>
          <cell r="F232" t="str">
            <v>ml</v>
          </cell>
          <cell r="G232" t="str">
            <v>MOUTIER</v>
          </cell>
          <cell r="L232">
            <v>175.26407181919058</v>
          </cell>
        </row>
        <row r="233">
          <cell r="B233" t="str">
            <v>SRM-SENR-0001</v>
          </cell>
          <cell r="C233" t="str">
            <v>SERUM FACIAL 30ML</v>
          </cell>
          <cell r="E233">
            <v>30</v>
          </cell>
          <cell r="F233" t="str">
            <v>ml</v>
          </cell>
          <cell r="G233" t="str">
            <v>SEUNOURA</v>
          </cell>
        </row>
        <row r="234">
          <cell r="C234" t="str">
            <v>FIRMADOR 200ML</v>
          </cell>
          <cell r="E234">
            <v>200</v>
          </cell>
          <cell r="F234" t="str">
            <v>ml</v>
          </cell>
          <cell r="G234" t="str">
            <v>SEUNOURA</v>
          </cell>
        </row>
        <row r="235">
          <cell r="C235" t="str">
            <v>ESPUMA DE LIMPEZA FACIAL 100ML</v>
          </cell>
          <cell r="E235">
            <v>100</v>
          </cell>
          <cell r="F235" t="str">
            <v>ml</v>
          </cell>
          <cell r="G235" t="str">
            <v>SEUNOURA</v>
          </cell>
        </row>
        <row r="236">
          <cell r="C236" t="str">
            <v>HIDRATANTE FACIAL 50G</v>
          </cell>
          <cell r="E236">
            <v>50</v>
          </cell>
          <cell r="F236" t="str">
            <v>g</v>
          </cell>
          <cell r="G236" t="str">
            <v>SEUNOURA</v>
          </cell>
        </row>
        <row r="237">
          <cell r="C237" t="str">
            <v>BODY SPLASH SOLAR GLOW MIST 150ML</v>
          </cell>
          <cell r="E237">
            <v>150</v>
          </cell>
          <cell r="F237" t="str">
            <v>ml</v>
          </cell>
          <cell r="G237" t="str">
            <v>SEUNOURA</v>
          </cell>
        </row>
        <row r="238">
          <cell r="C238" t="str">
            <v>AGUA DE BELEZA 100ML</v>
          </cell>
          <cell r="E238">
            <v>100</v>
          </cell>
          <cell r="F238" t="str">
            <v>ml</v>
          </cell>
          <cell r="G238" t="str">
            <v>SEUNOURA</v>
          </cell>
        </row>
        <row r="239">
          <cell r="B239" t="str">
            <v>MOPFFW02</v>
          </cell>
          <cell r="C239" t="str">
            <v>PERFUME FEMININO 09 SCANDAL</v>
          </cell>
          <cell r="E239">
            <v>50</v>
          </cell>
          <cell r="F239" t="str">
            <v>ml</v>
          </cell>
          <cell r="G239" t="str">
            <v>MOUTIER</v>
          </cell>
          <cell r="L239">
            <v>175.26407181919058</v>
          </cell>
        </row>
        <row r="240">
          <cell r="B240" t="str">
            <v>MOPFFW03</v>
          </cell>
          <cell r="C240" t="str">
            <v>PERFUME FEMININO 10 212 SEXY</v>
          </cell>
          <cell r="E240">
            <v>50</v>
          </cell>
          <cell r="F240" t="str">
            <v>ml</v>
          </cell>
          <cell r="G240" t="str">
            <v>MOUTIER</v>
          </cell>
          <cell r="L240">
            <v>175.26407181919058</v>
          </cell>
        </row>
        <row r="241">
          <cell r="B241" t="str">
            <v>MOPFFW04</v>
          </cell>
          <cell r="C241" t="str">
            <v>PERFUME FEMININO 11 OLYMPEA</v>
          </cell>
          <cell r="E241">
            <v>50</v>
          </cell>
          <cell r="F241" t="str">
            <v>ml</v>
          </cell>
          <cell r="G241" t="str">
            <v>MOUTIER</v>
          </cell>
          <cell r="L241">
            <v>175.26407181919058</v>
          </cell>
        </row>
        <row r="242">
          <cell r="B242" t="str">
            <v>MOPFFW05</v>
          </cell>
          <cell r="C242" t="str">
            <v>PERFUME FEMININO 12 LADY MILLION</v>
          </cell>
          <cell r="E242">
            <v>50</v>
          </cell>
          <cell r="F242" t="str">
            <v>ml</v>
          </cell>
          <cell r="G242" t="str">
            <v>MOUTIER</v>
          </cell>
          <cell r="L242">
            <v>175.26407181919058</v>
          </cell>
        </row>
        <row r="243">
          <cell r="B243" t="str">
            <v>MOPFFW06</v>
          </cell>
          <cell r="C243" t="str">
            <v>PERFUME FEMININO 16 COCO MADEMOISELLE</v>
          </cell>
          <cell r="E243">
            <v>50</v>
          </cell>
          <cell r="F243" t="str">
            <v>ml</v>
          </cell>
          <cell r="G243" t="str">
            <v>MOUTIER</v>
          </cell>
          <cell r="L243">
            <v>175.26407181919058</v>
          </cell>
        </row>
        <row r="244">
          <cell r="B244" t="str">
            <v>MOPFFW07</v>
          </cell>
          <cell r="C244" t="str">
            <v>PERFUME FEMININO 18 AMOR AMOR</v>
          </cell>
          <cell r="E244">
            <v>50</v>
          </cell>
          <cell r="F244" t="str">
            <v>ml</v>
          </cell>
          <cell r="G244" t="str">
            <v>MOUTIER</v>
          </cell>
          <cell r="L244">
            <v>175.26407181919058</v>
          </cell>
        </row>
        <row r="245">
          <cell r="B245" t="str">
            <v>MOPFFW08</v>
          </cell>
          <cell r="C245" t="str">
            <v>PERFUME FEMININO 31 L'INTERDIT ROUGE</v>
          </cell>
          <cell r="E245">
            <v>50</v>
          </cell>
          <cell r="F245" t="str">
            <v>ml</v>
          </cell>
          <cell r="G245" t="str">
            <v>MOUTIER</v>
          </cell>
          <cell r="L245">
            <v>175.26407181919058</v>
          </cell>
        </row>
        <row r="246">
          <cell r="B246" t="str">
            <v>MOPFFW09</v>
          </cell>
          <cell r="C246" t="str">
            <v>PERFUME FEMININO 02 LA VIE EST BELLE</v>
          </cell>
          <cell r="E246">
            <v>50</v>
          </cell>
          <cell r="F246" t="str">
            <v>ml</v>
          </cell>
          <cell r="G246" t="str">
            <v>MOUTIER</v>
          </cell>
          <cell r="L246">
            <v>175.26407181919058</v>
          </cell>
        </row>
        <row r="247">
          <cell r="B247" t="str">
            <v>MOPFFW10</v>
          </cell>
          <cell r="C247" t="str">
            <v>PERFUME FEMININO 03 GOOD GIRL</v>
          </cell>
          <cell r="E247">
            <v>50</v>
          </cell>
          <cell r="F247" t="str">
            <v>ml</v>
          </cell>
          <cell r="G247" t="str">
            <v>MOUTIER</v>
          </cell>
          <cell r="L247">
            <v>175.26407181919058</v>
          </cell>
        </row>
        <row r="248">
          <cell r="B248" t="str">
            <v>MOPFFW11</v>
          </cell>
          <cell r="C248" t="str">
            <v>PERFUME FEMININO 04 IDÔLE</v>
          </cell>
          <cell r="E248">
            <v>50</v>
          </cell>
          <cell r="F248" t="str">
            <v>ml</v>
          </cell>
          <cell r="G248" t="str">
            <v>MOUTIER</v>
          </cell>
          <cell r="L248">
            <v>175.26407181919058</v>
          </cell>
        </row>
        <row r="249">
          <cell r="B249" t="str">
            <v>MOPFFW12</v>
          </cell>
          <cell r="C249" t="str">
            <v>PERFUME FEMININO 05 ANGEL</v>
          </cell>
          <cell r="E249">
            <v>50</v>
          </cell>
          <cell r="F249" t="str">
            <v>ml</v>
          </cell>
          <cell r="G249" t="str">
            <v>MOUTIER</v>
          </cell>
          <cell r="L249">
            <v>175.26407181919058</v>
          </cell>
        </row>
        <row r="250">
          <cell r="B250" t="str">
            <v>MOPFFW13</v>
          </cell>
          <cell r="C250" t="str">
            <v>PERFUME FEMININO 13 212 VIP</v>
          </cell>
          <cell r="E250">
            <v>50</v>
          </cell>
          <cell r="F250" t="str">
            <v>ml</v>
          </cell>
          <cell r="G250" t="str">
            <v>MOUTIER</v>
          </cell>
          <cell r="L250">
            <v>175.26407181919058</v>
          </cell>
        </row>
        <row r="251">
          <cell r="B251" t="str">
            <v>MOPFFW14</v>
          </cell>
          <cell r="C251" t="str">
            <v>PERFUME FEMININO 14 CH 212</v>
          </cell>
          <cell r="E251">
            <v>50</v>
          </cell>
          <cell r="F251" t="str">
            <v>ml</v>
          </cell>
          <cell r="G251" t="str">
            <v>MOUTIER</v>
          </cell>
          <cell r="L251">
            <v>175.26407181919058</v>
          </cell>
        </row>
        <row r="252">
          <cell r="B252" t="str">
            <v>MOPFFW15</v>
          </cell>
          <cell r="C252" t="str">
            <v>PERFUME FEMININO 21 SO SCANDAL</v>
          </cell>
          <cell r="E252">
            <v>50</v>
          </cell>
          <cell r="F252" t="str">
            <v>ml</v>
          </cell>
          <cell r="G252" t="str">
            <v>MOUTIER</v>
          </cell>
          <cell r="L252">
            <v>175.26407181919058</v>
          </cell>
        </row>
        <row r="253">
          <cell r="B253" t="str">
            <v>MOPFFW16</v>
          </cell>
          <cell r="C253" t="str">
            <v>PERFUME FEMININO 25 MISS DIOR</v>
          </cell>
          <cell r="E253">
            <v>50</v>
          </cell>
          <cell r="F253" t="str">
            <v>ml</v>
          </cell>
          <cell r="G253" t="str">
            <v>MOUTIER</v>
          </cell>
          <cell r="L253">
            <v>175.26407181919058</v>
          </cell>
        </row>
        <row r="254">
          <cell r="B254" t="str">
            <v>MOPFFW17</v>
          </cell>
          <cell r="C254" t="str">
            <v>PERFUME FEMININO 27 MY WAY</v>
          </cell>
          <cell r="E254">
            <v>50</v>
          </cell>
          <cell r="F254" t="str">
            <v>ml</v>
          </cell>
          <cell r="G254" t="str">
            <v>MOUTIER</v>
          </cell>
          <cell r="L254">
            <v>175.26407181919058</v>
          </cell>
        </row>
        <row r="255">
          <cell r="B255" t="str">
            <v>MOPFFW18</v>
          </cell>
          <cell r="C255" t="str">
            <v>PERFUME FEMININO 28 212 VIP ROSÉ</v>
          </cell>
          <cell r="E255">
            <v>50</v>
          </cell>
          <cell r="F255" t="str">
            <v>ml</v>
          </cell>
          <cell r="G255" t="str">
            <v>MOUTIER</v>
          </cell>
          <cell r="L255">
            <v>175.26407181919058</v>
          </cell>
        </row>
        <row r="256">
          <cell r="B256" t="str">
            <v>MOPFFW19</v>
          </cell>
          <cell r="C256" t="str">
            <v>PERFUME FEMININO 30 FANTASY</v>
          </cell>
          <cell r="E256">
            <v>50</v>
          </cell>
          <cell r="F256" t="str">
            <v>ml</v>
          </cell>
          <cell r="G256" t="str">
            <v>MOUTIER</v>
          </cell>
          <cell r="L256">
            <v>175.26407181919058</v>
          </cell>
        </row>
        <row r="257">
          <cell r="B257" t="str">
            <v>MOPFFW20</v>
          </cell>
          <cell r="C257" t="str">
            <v>PERFUME FEMININO 32 LIGHT BLUE</v>
          </cell>
          <cell r="E257">
            <v>50</v>
          </cell>
          <cell r="F257" t="str">
            <v>ml</v>
          </cell>
          <cell r="G257" t="str">
            <v>MOUTIER</v>
          </cell>
          <cell r="L257">
            <v>175.26407181919058</v>
          </cell>
        </row>
        <row r="258">
          <cell r="B258" t="str">
            <v>MRARBS01</v>
          </cell>
          <cell r="C258" t="str">
            <v>BODY SPLASH AURORA IMPERIAL</v>
          </cell>
          <cell r="E258">
            <v>220</v>
          </cell>
          <cell r="F258" t="str">
            <v>ml</v>
          </cell>
          <cell r="G258" t="str">
            <v>MISS RÔSE</v>
          </cell>
          <cell r="L258">
            <v>843.58780095852239</v>
          </cell>
          <cell r="Y258">
            <v>0.51</v>
          </cell>
        </row>
        <row r="259">
          <cell r="B259" t="str">
            <v>MRARBS02</v>
          </cell>
          <cell r="C259" t="str">
            <v>BODY SPLASH DEUSA DO NILO</v>
          </cell>
          <cell r="E259">
            <v>220</v>
          </cell>
          <cell r="F259" t="str">
            <v>ml</v>
          </cell>
          <cell r="G259" t="str">
            <v>MISS RÔSE</v>
          </cell>
          <cell r="L259">
            <v>843.58780095852239</v>
          </cell>
          <cell r="Y259">
            <v>0.51</v>
          </cell>
        </row>
        <row r="260">
          <cell r="B260" t="str">
            <v>MRARBS03</v>
          </cell>
          <cell r="C260" t="str">
            <v>BODY SPLASH ECLIPSE DOURADO</v>
          </cell>
          <cell r="E260">
            <v>220</v>
          </cell>
          <cell r="F260" t="str">
            <v>ml</v>
          </cell>
          <cell r="G260" t="str">
            <v>MISS RÔSE</v>
          </cell>
          <cell r="L260">
            <v>843.58780095852239</v>
          </cell>
          <cell r="Y260">
            <v>0.51</v>
          </cell>
        </row>
        <row r="261">
          <cell r="B261" t="str">
            <v>MRARBS04</v>
          </cell>
          <cell r="C261" t="str">
            <v>BODY SPLASH NÉCTAR DAS TAMARAS</v>
          </cell>
          <cell r="E261">
            <v>220</v>
          </cell>
          <cell r="F261" t="str">
            <v>ml</v>
          </cell>
          <cell r="G261" t="str">
            <v>MISS RÔSE</v>
          </cell>
          <cell r="L261">
            <v>843.58780095852239</v>
          </cell>
          <cell r="Y261">
            <v>0.51</v>
          </cell>
        </row>
        <row r="262">
          <cell r="B262" t="str">
            <v>MRARBS05</v>
          </cell>
          <cell r="C262" t="str">
            <v>BODY SPLASH FORÇA DO LEAO</v>
          </cell>
          <cell r="E262">
            <v>220</v>
          </cell>
          <cell r="F262" t="str">
            <v>ml</v>
          </cell>
          <cell r="G262" t="str">
            <v>MISS RÔSE</v>
          </cell>
          <cell r="L262">
            <v>843.58780095852239</v>
          </cell>
          <cell r="Y262">
            <v>1.1000000000000001</v>
          </cell>
        </row>
        <row r="263">
          <cell r="B263" t="str">
            <v>MRARBS06</v>
          </cell>
          <cell r="C263" t="str">
            <v>BODY SPLASH CEU INFINITO 200ml</v>
          </cell>
          <cell r="E263">
            <v>215</v>
          </cell>
          <cell r="F263" t="str">
            <v>ml</v>
          </cell>
          <cell r="G263" t="str">
            <v>MISS RÔSE</v>
          </cell>
          <cell r="L263">
            <v>843.58780095852239</v>
          </cell>
          <cell r="Y263">
            <v>0.85</v>
          </cell>
        </row>
        <row r="264">
          <cell r="B264" t="str">
            <v>MRARBS07</v>
          </cell>
          <cell r="C264" t="str">
            <v>BODY SPLASH LEAO DO DESERTO BOURBON 200ml</v>
          </cell>
          <cell r="E264">
            <v>215</v>
          </cell>
          <cell r="F264" t="str">
            <v>ml</v>
          </cell>
          <cell r="G264" t="str">
            <v>MISS RÔSE</v>
          </cell>
          <cell r="L264">
            <v>843.58780095852239</v>
          </cell>
          <cell r="Y264">
            <v>0.85</v>
          </cell>
        </row>
        <row r="265">
          <cell r="B265" t="str">
            <v>MRARBS08</v>
          </cell>
          <cell r="C265" t="str">
            <v>BODY SPLASH CEU CELESTE 200ml</v>
          </cell>
          <cell r="E265">
            <v>215</v>
          </cell>
          <cell r="F265" t="str">
            <v>ml</v>
          </cell>
          <cell r="G265" t="str">
            <v>MISS RÔSE</v>
          </cell>
          <cell r="L265">
            <v>843.58780095852239</v>
          </cell>
          <cell r="Y265">
            <v>0.85</v>
          </cell>
        </row>
        <row r="266">
          <cell r="B266" t="str">
            <v>MRARBS09</v>
          </cell>
          <cell r="C266" t="str">
            <v>BODY SPLASH DESPERTAR DAS FLORES 200ml</v>
          </cell>
          <cell r="E266">
            <v>215</v>
          </cell>
          <cell r="F266" t="str">
            <v>ml</v>
          </cell>
          <cell r="G266" t="str">
            <v>MISS RÔSE</v>
          </cell>
          <cell r="L266">
            <v>843.58780095852239</v>
          </cell>
          <cell r="Y266">
            <v>0.85000000000000009</v>
          </cell>
        </row>
        <row r="267">
          <cell r="B267" t="str">
            <v>MRARBS10</v>
          </cell>
          <cell r="C267" t="str">
            <v>BODY SPLASH AMBAR REAL 200ml</v>
          </cell>
          <cell r="E267">
            <v>215</v>
          </cell>
          <cell r="F267" t="str">
            <v>ml</v>
          </cell>
          <cell r="G267" t="str">
            <v>MISS RÔSE</v>
          </cell>
          <cell r="L267">
            <v>843.58780095852239</v>
          </cell>
          <cell r="Y267">
            <v>0.85</v>
          </cell>
        </row>
        <row r="268">
          <cell r="B268" t="str">
            <v>MRARBS11</v>
          </cell>
          <cell r="C268" t="str">
            <v>BODY SPLASH ROSA RAINHA 200ml</v>
          </cell>
          <cell r="E268">
            <v>215</v>
          </cell>
          <cell r="F268" t="str">
            <v>ml</v>
          </cell>
          <cell r="G268" t="str">
            <v>MISS RÔSE</v>
          </cell>
          <cell r="L268">
            <v>843.58780095852239</v>
          </cell>
          <cell r="Y268">
            <v>0.85</v>
          </cell>
        </row>
        <row r="269">
          <cell r="B269" t="str">
            <v>MRARBS12</v>
          </cell>
          <cell r="C269" t="str">
            <v>BODY SPLASH FLOR D AURA 200ml</v>
          </cell>
          <cell r="E269">
            <v>215</v>
          </cell>
          <cell r="F269" t="str">
            <v>ml</v>
          </cell>
          <cell r="G269" t="str">
            <v>MISS RÔSE</v>
          </cell>
          <cell r="L269">
            <v>843.58780095852239</v>
          </cell>
          <cell r="Y269">
            <v>0.85</v>
          </cell>
        </row>
        <row r="270">
          <cell r="B270" t="str">
            <v>MRARES01</v>
          </cell>
          <cell r="C270" t="str">
            <v>ESFOLIANTE AURORA IMPERIAL</v>
          </cell>
          <cell r="E270">
            <v>250</v>
          </cell>
          <cell r="F270" t="str">
            <v>g</v>
          </cell>
          <cell r="G270" t="str">
            <v>MISS RÔSE</v>
          </cell>
          <cell r="L270">
            <v>721.11737989561891</v>
          </cell>
        </row>
        <row r="271">
          <cell r="B271" t="str">
            <v>MRARES02</v>
          </cell>
          <cell r="C271" t="str">
            <v>ESFOLIANTE DEUSA DO NILO</v>
          </cell>
          <cell r="E271">
            <v>250</v>
          </cell>
          <cell r="F271" t="str">
            <v>g</v>
          </cell>
          <cell r="G271" t="str">
            <v>MISS RÔSE</v>
          </cell>
          <cell r="L271">
            <v>721.11737989561891</v>
          </cell>
        </row>
        <row r="272">
          <cell r="B272" t="str">
            <v>MRARHD01</v>
          </cell>
          <cell r="C272" t="str">
            <v>CREME HIDRATANTE CORPORAL AURORA IMPERIAL</v>
          </cell>
          <cell r="E272">
            <v>200</v>
          </cell>
          <cell r="F272" t="str">
            <v>ml</v>
          </cell>
          <cell r="G272" t="str">
            <v>MISS RÔSE</v>
          </cell>
          <cell r="L272">
            <v>613.39886035164977</v>
          </cell>
        </row>
        <row r="273">
          <cell r="B273" t="str">
            <v>MRARHD02</v>
          </cell>
          <cell r="C273" t="str">
            <v>CREME HIDRATANTE CORPORAL DEUSA DO NILO</v>
          </cell>
          <cell r="E273">
            <v>200</v>
          </cell>
          <cell r="F273" t="str">
            <v>ml</v>
          </cell>
          <cell r="G273" t="str">
            <v>MISS RÔSE</v>
          </cell>
          <cell r="L273">
            <v>613.39886035164977</v>
          </cell>
        </row>
        <row r="274">
          <cell r="B274" t="str">
            <v>MRARHD03</v>
          </cell>
          <cell r="C274" t="str">
            <v>CREME HIDRATANTE CORPORAL ECLIPSE DOURADO</v>
          </cell>
          <cell r="E274">
            <v>200</v>
          </cell>
          <cell r="F274" t="str">
            <v>ml</v>
          </cell>
          <cell r="G274" t="str">
            <v>MISS RÔSE</v>
          </cell>
          <cell r="L274">
            <v>613.39886035164977</v>
          </cell>
        </row>
        <row r="275">
          <cell r="B275" t="str">
            <v>MRARHD04</v>
          </cell>
          <cell r="C275" t="str">
            <v>CREME HIDRATANTE CORPORAL NÉCTAR DAS TÂMARAS</v>
          </cell>
          <cell r="E275">
            <v>200</v>
          </cell>
          <cell r="F275" t="str">
            <v>ml</v>
          </cell>
          <cell r="G275" t="str">
            <v>MISS RÔSE</v>
          </cell>
          <cell r="L275">
            <v>613.39886035164977</v>
          </cell>
        </row>
        <row r="276">
          <cell r="B276" t="str">
            <v>MRBR0001</v>
          </cell>
          <cell r="C276" t="str">
            <v xml:space="preserve"> BRUMA MATTE FIX 120ml</v>
          </cell>
          <cell r="E276">
            <v>120</v>
          </cell>
          <cell r="F276" t="str">
            <v>ml</v>
          </cell>
          <cell r="G276" t="str">
            <v>MISS RÔSE</v>
          </cell>
          <cell r="L276">
            <v>699.29256292632215</v>
          </cell>
          <cell r="Y276">
            <v>0.55000000000000004</v>
          </cell>
        </row>
        <row r="277">
          <cell r="B277" t="str">
            <v>MRFX0001</v>
          </cell>
          <cell r="C277" t="str">
            <v>FIXADOR FIX MATTE 120ml</v>
          </cell>
          <cell r="E277">
            <v>120</v>
          </cell>
          <cell r="F277" t="str">
            <v>ml</v>
          </cell>
          <cell r="G277" t="str">
            <v>MISS RÔSE</v>
          </cell>
          <cell r="L277">
            <v>785.51665461857374</v>
          </cell>
          <cell r="Y277">
            <v>0.55000000000000004</v>
          </cell>
        </row>
        <row r="278">
          <cell r="B278" t="str">
            <v>PEDECR01</v>
          </cell>
          <cell r="C278" t="str">
            <v>DESODORANTE CREME CALM</v>
          </cell>
          <cell r="E278">
            <v>55</v>
          </cell>
          <cell r="F278" t="str">
            <v>g</v>
          </cell>
          <cell r="G278" t="str">
            <v>PURO EU</v>
          </cell>
          <cell r="L278">
            <v>0</v>
          </cell>
        </row>
        <row r="279">
          <cell r="B279" t="str">
            <v>PEDECR02</v>
          </cell>
          <cell r="C279" t="str">
            <v>DESODORANTE CREME FRESH</v>
          </cell>
          <cell r="E279">
            <v>55</v>
          </cell>
          <cell r="F279" t="str">
            <v>g</v>
          </cell>
          <cell r="G279" t="str">
            <v>PURO EU</v>
          </cell>
          <cell r="L279">
            <v>0</v>
          </cell>
        </row>
        <row r="280">
          <cell r="B280" t="str">
            <v>PEDECR03</v>
          </cell>
          <cell r="C280" t="str">
            <v>DESODORANTE CREME RELAX</v>
          </cell>
          <cell r="E280">
            <v>55</v>
          </cell>
          <cell r="F280" t="str">
            <v>g</v>
          </cell>
          <cell r="G280" t="str">
            <v>PURO EU</v>
          </cell>
          <cell r="L280">
            <v>0</v>
          </cell>
        </row>
        <row r="281">
          <cell r="B281" t="str">
            <v>PEDECR04</v>
          </cell>
          <cell r="C281" t="str">
            <v>DESODORANTE CREME SEM PERFUME</v>
          </cell>
          <cell r="E281">
            <v>55</v>
          </cell>
          <cell r="F281" t="str">
            <v>g</v>
          </cell>
          <cell r="G281" t="str">
            <v>PURO EU</v>
          </cell>
          <cell r="L281">
            <v>0</v>
          </cell>
        </row>
        <row r="282">
          <cell r="B282" t="str">
            <v>PEDECR05</v>
          </cell>
          <cell r="C282" t="str">
            <v>DESODORANTE CREME SENSITIVE</v>
          </cell>
          <cell r="E282">
            <v>55</v>
          </cell>
          <cell r="F282" t="str">
            <v>g</v>
          </cell>
          <cell r="G282" t="str">
            <v>PURO EU</v>
          </cell>
          <cell r="L282">
            <v>0</v>
          </cell>
        </row>
        <row r="283">
          <cell r="B283" t="str">
            <v>PEDERL01</v>
          </cell>
          <cell r="C283" t="str">
            <v>DESODORANTE ROLLON CALM</v>
          </cell>
          <cell r="E283">
            <v>55</v>
          </cell>
          <cell r="F283" t="str">
            <v>ml</v>
          </cell>
          <cell r="G283" t="str">
            <v>PURO EU</v>
          </cell>
          <cell r="L283">
            <v>802.46872213014433</v>
          </cell>
        </row>
        <row r="284">
          <cell r="B284" t="str">
            <v>PEDERL02</v>
          </cell>
          <cell r="C284" t="str">
            <v>DESODORANTE ROLLON FRESH</v>
          </cell>
          <cell r="E284">
            <v>55</v>
          </cell>
          <cell r="F284" t="str">
            <v>ml</v>
          </cell>
          <cell r="G284" t="str">
            <v>PURO EU</v>
          </cell>
          <cell r="L284">
            <v>802.46872213014433</v>
          </cell>
        </row>
        <row r="285">
          <cell r="B285" t="str">
            <v>PEDERL03</v>
          </cell>
          <cell r="C285" t="str">
            <v>DESODORANTE ROLLON RELAX</v>
          </cell>
          <cell r="E285">
            <v>55</v>
          </cell>
          <cell r="F285" t="str">
            <v>ml</v>
          </cell>
          <cell r="G285" t="str">
            <v>PURO EU</v>
          </cell>
          <cell r="L285">
            <v>802.46872213014433</v>
          </cell>
        </row>
        <row r="286">
          <cell r="B286" t="str">
            <v>PEDERL04</v>
          </cell>
          <cell r="C286" t="str">
            <v>DESODORANTE ROLLON SEM PERFUME</v>
          </cell>
          <cell r="E286">
            <v>55</v>
          </cell>
          <cell r="F286" t="str">
            <v>ml</v>
          </cell>
          <cell r="G286" t="str">
            <v>PURO EU</v>
          </cell>
          <cell r="L286">
            <v>802.46872213014433</v>
          </cell>
        </row>
        <row r="287">
          <cell r="B287" t="str">
            <v>PEDERL05</v>
          </cell>
          <cell r="C287" t="str">
            <v>DESODORANTE ROLLON SENSITIVE</v>
          </cell>
          <cell r="E287">
            <v>55</v>
          </cell>
          <cell r="F287" t="str">
            <v>ml</v>
          </cell>
          <cell r="G287" t="str">
            <v>PURO EU</v>
          </cell>
          <cell r="L287">
            <v>802.46872213014433</v>
          </cell>
        </row>
        <row r="288">
          <cell r="B288" t="str">
            <v>PRF-AFEE-0001</v>
          </cell>
          <cell r="C288" t="str">
            <v>PERFUME NUIT ROYALE INTENSE MAN 30ML</v>
          </cell>
          <cell r="E288">
            <v>30</v>
          </cell>
          <cell r="F288" t="str">
            <v>ml</v>
          </cell>
          <cell r="G288" t="str">
            <v>AFEER OF ARABIAN</v>
          </cell>
          <cell r="L288">
            <v>0</v>
          </cell>
        </row>
        <row r="289">
          <cell r="B289" t="str">
            <v>PRF-AFEE-0002</v>
          </cell>
          <cell r="C289" t="str">
            <v>PERFUME FAKHAR BLACK 30ML</v>
          </cell>
          <cell r="E289">
            <v>30</v>
          </cell>
          <cell r="F289" t="str">
            <v>ml</v>
          </cell>
          <cell r="G289" t="str">
            <v>AFEER OF ARABIAN</v>
          </cell>
          <cell r="L289">
            <v>0</v>
          </cell>
        </row>
        <row r="290">
          <cell r="B290" t="str">
            <v>PRF-AFEE-0003</v>
          </cell>
          <cell r="C290" t="str">
            <v>PERFUME ASAD AFEER 30ML</v>
          </cell>
          <cell r="E290">
            <v>30</v>
          </cell>
          <cell r="F290" t="str">
            <v>ml</v>
          </cell>
          <cell r="G290" t="str">
            <v>AFEER OF ARABIAN</v>
          </cell>
          <cell r="L290">
            <v>0</v>
          </cell>
        </row>
        <row r="291">
          <cell r="B291" t="str">
            <v>PRF-AFEE-0004</v>
          </cell>
          <cell r="C291" t="str">
            <v>PERFUME ASAD ELIXIR 30ML</v>
          </cell>
          <cell r="E291">
            <v>30</v>
          </cell>
          <cell r="F291" t="str">
            <v>ml</v>
          </cell>
          <cell r="G291" t="str">
            <v>AFEER OF ARABIAN</v>
          </cell>
          <cell r="L291">
            <v>0</v>
          </cell>
        </row>
        <row r="292">
          <cell r="B292" t="str">
            <v>PRF-AFEE-0005</v>
          </cell>
          <cell r="C292" t="str">
            <v>PERFUME N 1 VIP MAN BLACK 30ML</v>
          </cell>
          <cell r="E292">
            <v>30</v>
          </cell>
          <cell r="F292" t="str">
            <v>ml</v>
          </cell>
          <cell r="G292" t="str">
            <v>AFEER OF ARABIAN</v>
          </cell>
          <cell r="L292">
            <v>0</v>
          </cell>
        </row>
        <row r="293">
          <cell r="B293" t="str">
            <v>PRF-AFEE-0006</v>
          </cell>
          <cell r="C293" t="str">
            <v>PERFUME BAD ANGEL 30ML</v>
          </cell>
          <cell r="E293">
            <v>30</v>
          </cell>
          <cell r="F293" t="str">
            <v>ml</v>
          </cell>
          <cell r="G293" t="str">
            <v>AFEER OF ARABIAN</v>
          </cell>
          <cell r="L293">
            <v>0</v>
          </cell>
        </row>
        <row r="294">
          <cell r="B294" t="str">
            <v>PRF-AFEE-0007</v>
          </cell>
          <cell r="C294" t="str">
            <v>PERFUME BLEU AFEER 30ML</v>
          </cell>
          <cell r="E294">
            <v>30</v>
          </cell>
          <cell r="F294" t="str">
            <v>ml</v>
          </cell>
          <cell r="G294" t="str">
            <v>AFEER OF ARABIAN</v>
          </cell>
          <cell r="L294">
            <v>0</v>
          </cell>
        </row>
        <row r="295">
          <cell r="B295" t="str">
            <v>PRF-AFEE-0008</v>
          </cell>
          <cell r="C295" t="str">
            <v>PERFUME SHARIS 30ML</v>
          </cell>
          <cell r="E295">
            <v>30</v>
          </cell>
          <cell r="F295" t="str">
            <v>ml</v>
          </cell>
          <cell r="G295" t="str">
            <v>AFEER OF ARABIAN</v>
          </cell>
          <cell r="L295">
            <v>0</v>
          </cell>
        </row>
        <row r="296">
          <cell r="B296" t="str">
            <v>PRF-AFEE-0009</v>
          </cell>
          <cell r="C296" t="str">
            <v>PERFUME ALTAR AL WESAL 30ML</v>
          </cell>
          <cell r="E296">
            <v>30</v>
          </cell>
          <cell r="F296" t="str">
            <v>ml</v>
          </cell>
          <cell r="G296" t="str">
            <v>AFEER OF ARABIAN</v>
          </cell>
          <cell r="L296">
            <v>0</v>
          </cell>
        </row>
        <row r="297">
          <cell r="B297" t="str">
            <v>PRF-AFEE-0010</v>
          </cell>
          <cell r="C297" t="str">
            <v>PERFUME FAKHAR ROSE 30ML</v>
          </cell>
          <cell r="E297">
            <v>30</v>
          </cell>
          <cell r="F297" t="str">
            <v>ml</v>
          </cell>
          <cell r="G297" t="str">
            <v>AFEER OF ARABIAN</v>
          </cell>
          <cell r="L297">
            <v>0</v>
          </cell>
        </row>
        <row r="298">
          <cell r="B298" t="str">
            <v>PRF-AFEE-0011</v>
          </cell>
          <cell r="C298" t="str">
            <v>PERFUME YARA MOI 30ML</v>
          </cell>
          <cell r="E298">
            <v>30</v>
          </cell>
          <cell r="F298" t="str">
            <v>ml</v>
          </cell>
          <cell r="G298" t="str">
            <v>AFEER OF ARABIAN</v>
          </cell>
          <cell r="L298">
            <v>0</v>
          </cell>
        </row>
        <row r="299">
          <cell r="B299" t="str">
            <v>PRF-AFEE-0012</v>
          </cell>
          <cell r="C299" t="str">
            <v>PERFUME ANGEL 30ML</v>
          </cell>
          <cell r="E299">
            <v>30</v>
          </cell>
          <cell r="F299" t="str">
            <v>ml</v>
          </cell>
          <cell r="G299" t="str">
            <v>AFEER OF ARABIAN</v>
          </cell>
          <cell r="L299">
            <v>0</v>
          </cell>
        </row>
        <row r="300">
          <cell r="B300" t="str">
            <v>PRF-AFEE-0013</v>
          </cell>
          <cell r="C300" t="str">
            <v>PERFUME NIGHT BLUE 30ML</v>
          </cell>
          <cell r="E300">
            <v>30</v>
          </cell>
          <cell r="F300" t="str">
            <v>ml</v>
          </cell>
          <cell r="G300" t="str">
            <v>AFEER OF ARABIAN</v>
          </cell>
          <cell r="L300">
            <v>0</v>
          </cell>
        </row>
        <row r="301">
          <cell r="B301" t="str">
            <v>PRF-AFEE-0014</v>
          </cell>
          <cell r="C301" t="str">
            <v>PERFUME ZAFIYR 30ML</v>
          </cell>
          <cell r="E301">
            <v>30</v>
          </cell>
          <cell r="F301" t="str">
            <v>ml</v>
          </cell>
          <cell r="G301" t="str">
            <v>AFEER OF ARABIAN</v>
          </cell>
          <cell r="L301">
            <v>0</v>
          </cell>
        </row>
        <row r="302">
          <cell r="B302" t="str">
            <v>PRF-AFEE-0015</v>
          </cell>
          <cell r="C302" t="str">
            <v>PERFUME DELILAH 30ML</v>
          </cell>
          <cell r="E302">
            <v>30</v>
          </cell>
          <cell r="F302" t="str">
            <v>ml</v>
          </cell>
          <cell r="G302" t="str">
            <v>AFEER OF ARABIAN</v>
          </cell>
          <cell r="L302">
            <v>0</v>
          </cell>
        </row>
        <row r="303">
          <cell r="B303" t="str">
            <v>PRF-AFEE-0016</v>
          </cell>
          <cell r="C303" t="str">
            <v>PERFUME YARA 30ML</v>
          </cell>
          <cell r="E303">
            <v>30</v>
          </cell>
          <cell r="F303" t="str">
            <v>ml</v>
          </cell>
          <cell r="G303" t="str">
            <v>AFEER OF ARABIAN</v>
          </cell>
          <cell r="L303">
            <v>0</v>
          </cell>
        </row>
        <row r="304">
          <cell r="B304" t="str">
            <v>PRF-AFEE-0017</v>
          </cell>
          <cell r="C304" t="str">
            <v>PERFUME YARA ELIXIR 30ML</v>
          </cell>
          <cell r="E304">
            <v>30</v>
          </cell>
          <cell r="F304" t="str">
            <v>ml</v>
          </cell>
          <cell r="G304" t="str">
            <v>AFEER OF ARABIAN</v>
          </cell>
          <cell r="L304">
            <v>0</v>
          </cell>
        </row>
        <row r="305">
          <cell r="B305" t="str">
            <v>PRF-AFEE-0018</v>
          </cell>
          <cell r="C305" t="str">
            <v>PERFUME SABAH SUGAR 30ML</v>
          </cell>
          <cell r="E305">
            <v>30</v>
          </cell>
          <cell r="F305" t="str">
            <v>ml</v>
          </cell>
          <cell r="G305" t="str">
            <v>AFEER OF ARABIAN</v>
          </cell>
          <cell r="L305">
            <v>0</v>
          </cell>
        </row>
        <row r="306">
          <cell r="B306" t="str">
            <v>PRF-AFEE-0019</v>
          </cell>
          <cell r="C306" t="str">
            <v>PERFUME SABAH AL WARD 30ML</v>
          </cell>
          <cell r="E306">
            <v>30</v>
          </cell>
          <cell r="F306" t="str">
            <v>ml</v>
          </cell>
          <cell r="G306" t="str">
            <v>AFEER OF ARABIAN</v>
          </cell>
          <cell r="L306">
            <v>0</v>
          </cell>
        </row>
        <row r="307">
          <cell r="B307" t="str">
            <v>PRF-AFEE-0020</v>
          </cell>
          <cell r="C307" t="str">
            <v>PERFUME MISSDANCE 16 30ML</v>
          </cell>
          <cell r="E307">
            <v>30</v>
          </cell>
          <cell r="F307" t="str">
            <v>ml</v>
          </cell>
          <cell r="G307" t="str">
            <v>AFEER OF ARABIAN</v>
          </cell>
          <cell r="L307">
            <v>0</v>
          </cell>
        </row>
        <row r="308">
          <cell r="B308" t="str">
            <v>PRF-AFEE-0021</v>
          </cell>
          <cell r="C308" t="str">
            <v>PERFUME IZAAH 30ML</v>
          </cell>
          <cell r="E308">
            <v>30</v>
          </cell>
          <cell r="F308" t="str">
            <v>ml</v>
          </cell>
          <cell r="G308" t="str">
            <v>AFEER OF ARABIAN</v>
          </cell>
          <cell r="L308">
            <v>0</v>
          </cell>
        </row>
        <row r="309">
          <cell r="B309" t="str">
            <v>PRF-AFEE-0022</v>
          </cell>
          <cell r="C309" t="str">
            <v>PERFUME NUIT ROYALE WOMAN 30ML</v>
          </cell>
          <cell r="E309">
            <v>30</v>
          </cell>
          <cell r="F309" t="str">
            <v>ml</v>
          </cell>
          <cell r="G309" t="str">
            <v>AFEER OF ARABIAN</v>
          </cell>
          <cell r="L309">
            <v>0</v>
          </cell>
        </row>
        <row r="310">
          <cell r="B310" t="str">
            <v>PRF-AFEE-0023</v>
          </cell>
          <cell r="C310" t="str">
            <v>PERFUME N 1 VIP ROSE 30ML</v>
          </cell>
          <cell r="E310">
            <v>30</v>
          </cell>
          <cell r="F310" t="str">
            <v>ml</v>
          </cell>
          <cell r="G310" t="str">
            <v>AFEER OF ARABIAN</v>
          </cell>
          <cell r="L310">
            <v>0</v>
          </cell>
        </row>
        <row r="311">
          <cell r="B311" t="str">
            <v>PRF-AFEE-0024</v>
          </cell>
          <cell r="C311" t="str">
            <v>PERFUME AL NOBLE 30ML</v>
          </cell>
          <cell r="E311">
            <v>30</v>
          </cell>
          <cell r="F311" t="str">
            <v>ml</v>
          </cell>
          <cell r="G311" t="str">
            <v>AFEER OF ARABIAN</v>
          </cell>
          <cell r="L311">
            <v>0</v>
          </cell>
        </row>
        <row r="312">
          <cell r="B312" t="str">
            <v>PRF-AFEE-0025</v>
          </cell>
          <cell r="C312" t="str">
            <v>PERFUME ASAD BOURBON 30ML</v>
          </cell>
          <cell r="E312">
            <v>30</v>
          </cell>
          <cell r="F312" t="str">
            <v>ml</v>
          </cell>
          <cell r="G312" t="str">
            <v>AFEER OF ARABIAN</v>
          </cell>
          <cell r="L312">
            <v>0</v>
          </cell>
        </row>
        <row r="313">
          <cell r="B313" t="str">
            <v>PRF-AFEE-0026</v>
          </cell>
          <cell r="C313" t="str">
            <v>PERFUME ROYAL AMBER 30ML</v>
          </cell>
          <cell r="E313">
            <v>30</v>
          </cell>
          <cell r="F313" t="str">
            <v>ml</v>
          </cell>
          <cell r="G313" t="str">
            <v>AFEER OF ARABIAN</v>
          </cell>
          <cell r="L313">
            <v>0</v>
          </cell>
        </row>
        <row r="314">
          <cell r="B314" t="str">
            <v>PRF-AFEE-0027</v>
          </cell>
          <cell r="C314" t="str">
            <v>PERFUME MUSAMAM 30ML</v>
          </cell>
          <cell r="E314">
            <v>30</v>
          </cell>
          <cell r="F314" t="str">
            <v>ml</v>
          </cell>
          <cell r="G314" t="str">
            <v>AFEER OF ARABIAN</v>
          </cell>
          <cell r="L314">
            <v>0</v>
          </cell>
        </row>
        <row r="315">
          <cell r="B315" t="str">
            <v>PRF-AFEE-0028</v>
          </cell>
          <cell r="C315" t="str">
            <v>PERFUME ZANZIBAR 30ML</v>
          </cell>
          <cell r="E315">
            <v>30</v>
          </cell>
          <cell r="F315" t="str">
            <v>ml</v>
          </cell>
          <cell r="G315" t="str">
            <v>AFEER OF ARABIAN</v>
          </cell>
          <cell r="L315">
            <v>0</v>
          </cell>
        </row>
        <row r="316">
          <cell r="B316" t="str">
            <v>PRF-AFEE-0029</v>
          </cell>
          <cell r="C316" t="str">
            <v>PERFUME SIDORE 30ML</v>
          </cell>
          <cell r="E316">
            <v>30</v>
          </cell>
          <cell r="F316" t="str">
            <v>ml</v>
          </cell>
          <cell r="G316" t="str">
            <v>AFEER OF ARABIAN</v>
          </cell>
          <cell r="L316">
            <v>0</v>
          </cell>
        </row>
        <row r="317">
          <cell r="B317" t="str">
            <v>PRF-AFEE-0030</v>
          </cell>
          <cell r="C317" t="str">
            <v>PERFUME T-GOLD 30ML</v>
          </cell>
          <cell r="E317">
            <v>30</v>
          </cell>
          <cell r="F317" t="str">
            <v>ml</v>
          </cell>
          <cell r="G317" t="str">
            <v>AFEER OF ARABIAN</v>
          </cell>
          <cell r="L317">
            <v>0</v>
          </cell>
        </row>
        <row r="318">
          <cell r="B318" t="str">
            <v>PRF-AFEE-0031</v>
          </cell>
          <cell r="C318" t="str">
            <v>PERFUME ABELHINHA 30ML</v>
          </cell>
          <cell r="E318">
            <v>30</v>
          </cell>
          <cell r="F318" t="str">
            <v>ml</v>
          </cell>
          <cell r="G318" t="str">
            <v>AFEER OF ARABIAN</v>
          </cell>
          <cell r="L318">
            <v>0</v>
          </cell>
        </row>
        <row r="319">
          <cell r="B319" t="str">
            <v>PRF-AFEE-0032</v>
          </cell>
          <cell r="C319" t="str">
            <v>PERFUME TAWUS 30ML</v>
          </cell>
          <cell r="E319">
            <v>30</v>
          </cell>
          <cell r="F319" t="str">
            <v>ml</v>
          </cell>
          <cell r="G319" t="str">
            <v>AFEER OF ARABIAN</v>
          </cell>
          <cell r="L319">
            <v>0</v>
          </cell>
        </row>
        <row r="320">
          <cell r="B320" t="str">
            <v>PRF-AFEE-0033</v>
          </cell>
          <cell r="C320" t="str">
            <v>PERFUME LEA 30ML</v>
          </cell>
          <cell r="E320">
            <v>30</v>
          </cell>
          <cell r="F320" t="str">
            <v>ml</v>
          </cell>
          <cell r="G320" t="str">
            <v>AFEER OF ARABIAN</v>
          </cell>
          <cell r="L320">
            <v>0</v>
          </cell>
        </row>
        <row r="321">
          <cell r="B321" t="str">
            <v>PRF-AFEE-0034</v>
          </cell>
          <cell r="C321" t="str">
            <v>PERFUME DALAL 30ML</v>
          </cell>
          <cell r="E321">
            <v>30</v>
          </cell>
          <cell r="F321" t="str">
            <v>ml</v>
          </cell>
          <cell r="G321" t="str">
            <v>AFEER OF ARABIAN</v>
          </cell>
          <cell r="L321">
            <v>0</v>
          </cell>
        </row>
        <row r="322">
          <cell r="B322" t="str">
            <v>PRF-AFEE-0035</v>
          </cell>
          <cell r="C322" t="str">
            <v>PERFUME SUPREMACY 30ML</v>
          </cell>
          <cell r="E322">
            <v>30</v>
          </cell>
          <cell r="F322" t="str">
            <v>ml</v>
          </cell>
          <cell r="G322" t="str">
            <v>AFEER OF ARABIAN</v>
          </cell>
          <cell r="L322">
            <v>0</v>
          </cell>
        </row>
        <row r="323">
          <cell r="B323" t="str">
            <v>PRF-MENE-0001</v>
          </cell>
          <cell r="C323" t="str">
            <v>PERFUME WHITE DRESS 100ML</v>
          </cell>
          <cell r="E323">
            <v>100</v>
          </cell>
          <cell r="F323" t="str">
            <v>ml</v>
          </cell>
          <cell r="G323" t="str">
            <v>MENELA</v>
          </cell>
          <cell r="L323">
            <v>175.26407181919058</v>
          </cell>
        </row>
        <row r="324">
          <cell r="B324" t="str">
            <v>PRF-ROSA-0001</v>
          </cell>
          <cell r="C324" t="str">
            <v>PERFUME FEMININO GOOD GIRL 50ML</v>
          </cell>
          <cell r="E324">
            <v>50</v>
          </cell>
          <cell r="F324" t="str">
            <v>ml</v>
          </cell>
          <cell r="G324" t="str">
            <v>ROSA RAINHA</v>
          </cell>
          <cell r="L324">
            <v>175.26407181919058</v>
          </cell>
        </row>
        <row r="325">
          <cell r="B325" t="str">
            <v>PRF-ROSA-0002</v>
          </cell>
          <cell r="C325" t="str">
            <v>PERFUME MASCULINO ONE MILLION 50ML</v>
          </cell>
          <cell r="E325">
            <v>50</v>
          </cell>
          <cell r="F325" t="str">
            <v>ml</v>
          </cell>
          <cell r="G325" t="str">
            <v>ROSA RAINHA</v>
          </cell>
          <cell r="L325">
            <v>175.26407181919058</v>
          </cell>
        </row>
        <row r="326">
          <cell r="B326" t="str">
            <v>PRF-ROSA-0003</v>
          </cell>
          <cell r="C326" t="str">
            <v>PERFUME MASCULINO 212 VIP BLACK 50ML</v>
          </cell>
          <cell r="E326">
            <v>50</v>
          </cell>
          <cell r="F326" t="str">
            <v>ml</v>
          </cell>
          <cell r="G326" t="str">
            <v>ROSA RAINHA</v>
          </cell>
          <cell r="L326">
            <v>175.26407181919058</v>
          </cell>
        </row>
        <row r="327">
          <cell r="B327" t="str">
            <v>PRF-ROSA-0004</v>
          </cell>
          <cell r="C327" t="str">
            <v>PERFUME FEMININO FANTASY 50ML</v>
          </cell>
          <cell r="E327">
            <v>50</v>
          </cell>
          <cell r="F327" t="str">
            <v>ml</v>
          </cell>
          <cell r="G327" t="str">
            <v>ROSA RAINHA</v>
          </cell>
          <cell r="L327">
            <v>175.26407181919058</v>
          </cell>
        </row>
        <row r="328">
          <cell r="B328" t="str">
            <v>PRF-ROSA-0005</v>
          </cell>
          <cell r="C328" t="str">
            <v>PERFUME FEMININO SCANDAL 50ML</v>
          </cell>
          <cell r="E328">
            <v>50</v>
          </cell>
          <cell r="F328" t="str">
            <v>ml</v>
          </cell>
          <cell r="G328" t="str">
            <v>ROSA RAINHA</v>
          </cell>
          <cell r="L328">
            <v>175.26407181919058</v>
          </cell>
        </row>
        <row r="329">
          <cell r="B329" t="str">
            <v>PRF-VELL-0001</v>
          </cell>
          <cell r="C329" t="str">
            <v>PERFUME SALVOH 15 ML</v>
          </cell>
          <cell r="E329">
            <v>15</v>
          </cell>
          <cell r="F329" t="str">
            <v>ml</v>
          </cell>
          <cell r="G329" t="str">
            <v>VELLARIS ESSENCE</v>
          </cell>
          <cell r="L329">
            <v>175.26407181919058</v>
          </cell>
        </row>
        <row r="330">
          <cell r="B330" t="str">
            <v>PRF-VELL-0002</v>
          </cell>
          <cell r="C330" t="str">
            <v>PERFUME YARAH 15 ML</v>
          </cell>
          <cell r="E330">
            <v>15</v>
          </cell>
          <cell r="F330" t="str">
            <v>ml</v>
          </cell>
          <cell r="G330" t="str">
            <v>VELLARIS ESSENCE</v>
          </cell>
          <cell r="L330">
            <v>175.26407181919058</v>
          </cell>
        </row>
        <row r="331">
          <cell r="B331" t="str">
            <v>PRF-VELL-0003</v>
          </cell>
          <cell r="C331" t="str">
            <v>PERFUME SABAAH 15 ML</v>
          </cell>
          <cell r="E331">
            <v>15</v>
          </cell>
          <cell r="F331" t="str">
            <v>ml</v>
          </cell>
          <cell r="G331" t="str">
            <v>VELLARIS ESSENCE</v>
          </cell>
          <cell r="L331">
            <v>175.26407181919058</v>
          </cell>
        </row>
        <row r="332">
          <cell r="B332" t="str">
            <v>PRF-VELL-0004</v>
          </cell>
          <cell r="C332" t="str">
            <v>PERFUME FAAKAR ROSEÉ 15 ML</v>
          </cell>
          <cell r="E332">
            <v>15</v>
          </cell>
          <cell r="F332" t="str">
            <v>ml</v>
          </cell>
          <cell r="G332" t="str">
            <v>VELLARIS ESSENCE</v>
          </cell>
          <cell r="L332">
            <v>175.26407181919058</v>
          </cell>
        </row>
        <row r="333">
          <cell r="B333" t="str">
            <v>PRF-VELL-0005</v>
          </cell>
          <cell r="C333" t="str">
            <v>PERFUME ATEERH 15 ML</v>
          </cell>
          <cell r="E333">
            <v>15</v>
          </cell>
          <cell r="F333" t="str">
            <v>ml</v>
          </cell>
          <cell r="G333" t="str">
            <v>VELLARIS ESSENCE</v>
          </cell>
          <cell r="L333">
            <v>175.26407181919058</v>
          </cell>
        </row>
        <row r="334">
          <cell r="B334" t="str">
            <v>PRF-VELL-0006</v>
          </cell>
          <cell r="C334" t="str">
            <v>PERFUME CLUB NUITÈ 15 ML</v>
          </cell>
          <cell r="E334">
            <v>15</v>
          </cell>
          <cell r="F334" t="str">
            <v>ml</v>
          </cell>
          <cell r="G334" t="str">
            <v>VELLARIS ESSENCE</v>
          </cell>
          <cell r="L334">
            <v>175.26407181919058</v>
          </cell>
        </row>
        <row r="335">
          <cell r="B335" t="str">
            <v>PRF-VELL-0007</v>
          </cell>
          <cell r="C335" t="str">
            <v>PERFUME L'ÉCLAIRE 15 ML</v>
          </cell>
          <cell r="E335">
            <v>15</v>
          </cell>
          <cell r="F335" t="str">
            <v>ml</v>
          </cell>
          <cell r="G335" t="str">
            <v>VELLARIS ESSENCE</v>
          </cell>
          <cell r="L335">
            <v>175.26407181919058</v>
          </cell>
        </row>
        <row r="336">
          <cell r="B336" t="str">
            <v>PRF-VELL-0008</v>
          </cell>
          <cell r="C336" t="str">
            <v>PERFUME MUZZAMAN 15 ML</v>
          </cell>
          <cell r="E336">
            <v>15</v>
          </cell>
          <cell r="F336" t="str">
            <v>ml</v>
          </cell>
          <cell r="G336" t="str">
            <v>VELLARIS ESSENCE</v>
          </cell>
          <cell r="L336">
            <v>175.26407181919058</v>
          </cell>
        </row>
        <row r="337">
          <cell r="B337" t="str">
            <v>PRF-VELL-0009</v>
          </cell>
          <cell r="C337" t="str">
            <v>PERFUME AZUUR FANTASIS 15 ML</v>
          </cell>
          <cell r="E337">
            <v>15</v>
          </cell>
          <cell r="F337" t="str">
            <v>ml</v>
          </cell>
          <cell r="G337" t="str">
            <v>VELLARIS ESSENCE</v>
          </cell>
          <cell r="L337">
            <v>175.26407181919058</v>
          </cell>
        </row>
        <row r="338">
          <cell r="B338" t="str">
            <v>PRF-VELL-0010</v>
          </cell>
          <cell r="C338" t="str">
            <v>PERFUME ASAAD 15 ML</v>
          </cell>
          <cell r="E338">
            <v>15</v>
          </cell>
          <cell r="F338" t="str">
            <v>ml</v>
          </cell>
          <cell r="G338" t="str">
            <v>VELLARIS ESSENCE</v>
          </cell>
          <cell r="L338">
            <v>175.26407181919058</v>
          </cell>
        </row>
        <row r="339">
          <cell r="B339" t="str">
            <v>RETRAB01</v>
          </cell>
          <cell r="C339" t="str">
            <v>RE.PERFUMES 15ML - TROCA DE CAIXINHA E INKJET</v>
          </cell>
          <cell r="E339">
            <v>15</v>
          </cell>
          <cell r="F339" t="str">
            <v>ml</v>
          </cell>
          <cell r="G339" t="str">
            <v>LUCROSS</v>
          </cell>
          <cell r="L339">
            <v>175.26407181919058</v>
          </cell>
        </row>
        <row r="340">
          <cell r="B340" t="str">
            <v>RETRAB02</v>
          </cell>
          <cell r="C340" t="str">
            <v>RE.ESFOLIANTE ARABE ECLIPSE E AURORA</v>
          </cell>
          <cell r="E340">
            <v>200</v>
          </cell>
          <cell r="F340" t="str">
            <v>g</v>
          </cell>
          <cell r="G340" t="str">
            <v>MISS RÔSE</v>
          </cell>
          <cell r="L340">
            <v>721.11737989561891</v>
          </cell>
        </row>
        <row r="341">
          <cell r="B341" t="str">
            <v>RETRAB03</v>
          </cell>
          <cell r="C341" t="str">
            <v>RE.BODY SPLASH B.BALM</v>
          </cell>
          <cell r="E341">
            <v>250</v>
          </cell>
          <cell r="F341" t="str">
            <v>ml</v>
          </cell>
          <cell r="G341" t="str">
            <v>BIOFLORA</v>
          </cell>
          <cell r="L341">
            <v>843.58780095852239</v>
          </cell>
        </row>
        <row r="342">
          <cell r="B342" t="str">
            <v>RETRAB04</v>
          </cell>
          <cell r="C342" t="str">
            <v>RE.SHAMPOO PASSO 1</v>
          </cell>
          <cell r="E342">
            <v>1000</v>
          </cell>
          <cell r="F342" t="str">
            <v>ml</v>
          </cell>
          <cell r="G342" t="str">
            <v>KURYOS</v>
          </cell>
          <cell r="L342">
            <v>682.70218347916432</v>
          </cell>
        </row>
        <row r="343">
          <cell r="B343" t="str">
            <v>RETRAB05</v>
          </cell>
          <cell r="C343" t="str">
            <v>RE.PROGRESSIVA PASSO 2</v>
          </cell>
          <cell r="E343">
            <v>1000</v>
          </cell>
          <cell r="F343" t="str">
            <v>ml</v>
          </cell>
          <cell r="G343" t="str">
            <v>KURYOS</v>
          </cell>
          <cell r="L343">
            <v>25.000000000363798</v>
          </cell>
        </row>
        <row r="344">
          <cell r="B344" t="str">
            <v>RETRAB06</v>
          </cell>
          <cell r="C344" t="str">
            <v>RE.BODY SPLASH DAPOP HONEY GLOW</v>
          </cell>
          <cell r="E344">
            <v>120</v>
          </cell>
          <cell r="F344" t="str">
            <v>ml</v>
          </cell>
          <cell r="G344" t="str">
            <v>DAPOP</v>
          </cell>
          <cell r="L344">
            <v>888.79597492569974</v>
          </cell>
        </row>
        <row r="345">
          <cell r="B345" t="str">
            <v>RETRAB07</v>
          </cell>
          <cell r="C345" t="str">
            <v>RE.BODY SPLASH LEAO DO DESERTO BOURBON 200ml</v>
          </cell>
          <cell r="E345">
            <v>215</v>
          </cell>
          <cell r="F345" t="str">
            <v>ml</v>
          </cell>
          <cell r="G345" t="str">
            <v>MISS RÔSE</v>
          </cell>
          <cell r="L345">
            <v>843.58780095852239</v>
          </cell>
          <cell r="Y345">
            <v>0.85</v>
          </cell>
        </row>
        <row r="346">
          <cell r="B346" t="str">
            <v>SAGLBS01</v>
          </cell>
          <cell r="C346" t="str">
            <v>BODY SPLASH BAUNILHA COM COCO BRONZE GLOW</v>
          </cell>
          <cell r="E346">
            <v>100</v>
          </cell>
          <cell r="F346" t="str">
            <v>ml</v>
          </cell>
          <cell r="G346" t="str">
            <v>SAFIRA</v>
          </cell>
          <cell r="L346">
            <v>888.79597492569974</v>
          </cell>
        </row>
        <row r="347">
          <cell r="B347" t="str">
            <v>SAGLBS02</v>
          </cell>
          <cell r="C347" t="str">
            <v>BODY SPLASH DAMASCO COM COCO BRONZE GLOW</v>
          </cell>
          <cell r="E347">
            <v>100</v>
          </cell>
          <cell r="F347" t="str">
            <v>ml</v>
          </cell>
          <cell r="G347" t="str">
            <v>SAFIRA</v>
          </cell>
          <cell r="L347">
            <v>888.79597492569974</v>
          </cell>
        </row>
        <row r="348">
          <cell r="B348" t="str">
            <v>SAGLBS03</v>
          </cell>
          <cell r="C348" t="str">
            <v>BODY SPLASH MANGA GOLD SHINE GLOW</v>
          </cell>
          <cell r="E348">
            <v>100</v>
          </cell>
          <cell r="F348" t="str">
            <v>ml</v>
          </cell>
          <cell r="G348" t="str">
            <v>SAFIRA</v>
          </cell>
          <cell r="L348">
            <v>888.79597492569974</v>
          </cell>
        </row>
        <row r="349">
          <cell r="B349" t="str">
            <v>SAMTBS01</v>
          </cell>
          <cell r="C349" t="str">
            <v>BODY SPLASH MATTE BAUNILHA TROPICAL</v>
          </cell>
          <cell r="E349">
            <v>100</v>
          </cell>
          <cell r="F349" t="str">
            <v>ml</v>
          </cell>
          <cell r="G349" t="str">
            <v>SAFIRA</v>
          </cell>
          <cell r="L349">
            <v>843.58780095852239</v>
          </cell>
        </row>
        <row r="350">
          <cell r="B350" t="str">
            <v>SAMTBS02</v>
          </cell>
          <cell r="C350" t="str">
            <v>BODY SPLASH MATTE PÊSSEGO</v>
          </cell>
          <cell r="E350">
            <v>100</v>
          </cell>
          <cell r="F350" t="str">
            <v>ml</v>
          </cell>
          <cell r="G350" t="str">
            <v>SAFIRA</v>
          </cell>
          <cell r="L350">
            <v>843.58780095852239</v>
          </cell>
        </row>
        <row r="351">
          <cell r="B351" t="str">
            <v>SAMTBS03</v>
          </cell>
          <cell r="C351" t="str">
            <v>BODY SPLASH MATTE PITAYA</v>
          </cell>
          <cell r="E351">
            <v>100</v>
          </cell>
          <cell r="F351" t="str">
            <v>ml</v>
          </cell>
          <cell r="G351" t="str">
            <v>SAFIRA</v>
          </cell>
          <cell r="L351">
            <v>843.58780095852239</v>
          </cell>
        </row>
        <row r="352">
          <cell r="B352" t="str">
            <v>SASCDM01</v>
          </cell>
          <cell r="C352" t="str">
            <v>SABONETE DEMAQUILANTE PITAYA</v>
          </cell>
          <cell r="E352">
            <v>100</v>
          </cell>
          <cell r="F352" t="str">
            <v>ml</v>
          </cell>
          <cell r="G352" t="str">
            <v>SAFIRA</v>
          </cell>
          <cell r="L352">
            <v>732.04943503841741</v>
          </cell>
        </row>
        <row r="353">
          <cell r="B353" t="str">
            <v>SASCDM02</v>
          </cell>
          <cell r="C353" t="str">
            <v>SABONETE DEMAQUILANTE VITAMINA C</v>
          </cell>
          <cell r="E353">
            <v>100</v>
          </cell>
          <cell r="F353" t="str">
            <v>ml</v>
          </cell>
          <cell r="G353" t="str">
            <v>SAFIRA</v>
          </cell>
          <cell r="L353">
            <v>732.04943503841741</v>
          </cell>
        </row>
        <row r="354">
          <cell r="B354" t="str">
            <v>SASCES01</v>
          </cell>
          <cell r="C354" t="str">
            <v>ESFOLIANTE FACIAL PITAYA</v>
          </cell>
          <cell r="E354">
            <v>100</v>
          </cell>
          <cell r="F354" t="str">
            <v>ml</v>
          </cell>
          <cell r="G354" t="str">
            <v>SAFIRA</v>
          </cell>
          <cell r="L354">
            <v>721.11737989561891</v>
          </cell>
        </row>
        <row r="355">
          <cell r="B355" t="str">
            <v>SASCES02</v>
          </cell>
          <cell r="C355" t="str">
            <v>ESFOLIANTE FACIAL VITAMINA C</v>
          </cell>
          <cell r="E355">
            <v>100</v>
          </cell>
          <cell r="F355" t="str">
            <v>ml</v>
          </cell>
          <cell r="G355" t="str">
            <v>SAFIRA</v>
          </cell>
          <cell r="L355">
            <v>721.11737989561891</v>
          </cell>
        </row>
        <row r="356">
          <cell r="B356" t="str">
            <v>SASCGF01</v>
          </cell>
          <cell r="C356" t="str">
            <v>GEL FACIAL ANTI OLEOSIDADE PITAYA</v>
          </cell>
          <cell r="E356">
            <v>100</v>
          </cell>
          <cell r="F356" t="str">
            <v>ml</v>
          </cell>
          <cell r="G356" t="str">
            <v>SAFIRA</v>
          </cell>
          <cell r="L356">
            <v>519.13260484234854</v>
          </cell>
        </row>
        <row r="357">
          <cell r="B357" t="str">
            <v>SASCGF02</v>
          </cell>
          <cell r="C357" t="str">
            <v>GEL FACIAL ANTI OLEOSIDADE VITAMINA C</v>
          </cell>
          <cell r="E357">
            <v>100</v>
          </cell>
          <cell r="F357" t="str">
            <v>ml</v>
          </cell>
          <cell r="G357" t="str">
            <v>SAFIRA</v>
          </cell>
          <cell r="L357">
            <v>519.13260484234854</v>
          </cell>
        </row>
        <row r="358">
          <cell r="B358" t="str">
            <v>WKBM0001</v>
          </cell>
          <cell r="C358" t="str">
            <v>BRUMA MATTE #ENTREGOUTUDOO 120ml</v>
          </cell>
          <cell r="E358">
            <v>120</v>
          </cell>
          <cell r="F358" t="str">
            <v>ml</v>
          </cell>
          <cell r="G358" t="str">
            <v>WIKE MAKE</v>
          </cell>
          <cell r="L358">
            <v>699.29256292632215</v>
          </cell>
          <cell r="Y358">
            <v>0.55000000000000004</v>
          </cell>
        </row>
        <row r="359">
          <cell r="B359" t="str">
            <v>WKBS0001</v>
          </cell>
          <cell r="C359" t="str">
            <v>BODY SPLASH DESERTO DOURADO 120ml</v>
          </cell>
          <cell r="E359">
            <v>120</v>
          </cell>
          <cell r="F359" t="str">
            <v>ml</v>
          </cell>
          <cell r="G359" t="str">
            <v>WIKE MAKE</v>
          </cell>
          <cell r="L359">
            <v>843.58780095852239</v>
          </cell>
          <cell r="Y359">
            <v>0.55000000000000004</v>
          </cell>
        </row>
        <row r="360">
          <cell r="B360" t="str">
            <v>WKBS0002</v>
          </cell>
          <cell r="C360" t="str">
            <v>BODY SPLASH JARDIM DO ORIENTE 120ml</v>
          </cell>
          <cell r="E360">
            <v>120</v>
          </cell>
          <cell r="F360" t="str">
            <v>ml</v>
          </cell>
          <cell r="G360" t="str">
            <v>WIKE MAKE</v>
          </cell>
          <cell r="L360">
            <v>843.58780095852239</v>
          </cell>
          <cell r="Y360">
            <v>0.55000000000000004</v>
          </cell>
        </row>
        <row r="361">
          <cell r="B361" t="str">
            <v>WKBS0003</v>
          </cell>
          <cell r="C361" t="str">
            <v>BODY SPLASH NOITE DE AMBAR 120ml</v>
          </cell>
          <cell r="E361">
            <v>120</v>
          </cell>
          <cell r="F361" t="str">
            <v>ml</v>
          </cell>
          <cell r="G361" t="str">
            <v>WIKE MAKE</v>
          </cell>
          <cell r="L361">
            <v>843.58780095852239</v>
          </cell>
          <cell r="Y361">
            <v>0.55000000000000004</v>
          </cell>
        </row>
        <row r="362">
          <cell r="B362" t="str">
            <v>WKBS0004</v>
          </cell>
          <cell r="C362" t="str">
            <v>BODY SPLASH LINDA VIDA 120ml</v>
          </cell>
          <cell r="E362">
            <v>120</v>
          </cell>
          <cell r="F362" t="str">
            <v>ml</v>
          </cell>
          <cell r="G362" t="str">
            <v>WIKE MAKE</v>
          </cell>
          <cell r="L362">
            <v>843.58780095852239</v>
          </cell>
          <cell r="Y362">
            <v>0.55000000000000004</v>
          </cell>
        </row>
        <row r="363">
          <cell r="B363" t="str">
            <v>WKBS0005</v>
          </cell>
          <cell r="C363" t="str">
            <v>BODY SPLASH CLAIRE 120ml</v>
          </cell>
          <cell r="E363">
            <v>120</v>
          </cell>
          <cell r="F363" t="str">
            <v>ml</v>
          </cell>
          <cell r="G363" t="str">
            <v>WIKE MAKE</v>
          </cell>
          <cell r="L363">
            <v>843.58780095852239</v>
          </cell>
          <cell r="Y363">
            <v>0.55000000000000004</v>
          </cell>
        </row>
        <row r="364">
          <cell r="B364" t="str">
            <v>WKBS0006</v>
          </cell>
          <cell r="C364" t="str">
            <v>BODY SPLASH IDOLA 120ml</v>
          </cell>
          <cell r="E364">
            <v>120</v>
          </cell>
          <cell r="F364" t="str">
            <v>ml</v>
          </cell>
          <cell r="G364" t="str">
            <v>WIKE MAKE</v>
          </cell>
          <cell r="L364">
            <v>843.58780095852239</v>
          </cell>
          <cell r="Y364">
            <v>0.55000000000000004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y-tXxwIStUOuTRlCGEMWNtPrtsVQ9HBOtnFl2noHyRcEjoDIjaTsRKqihKs8SpeJ" itemId="017DPLXKMJH4NW5GR2BFGZY65RTMGIAPCX">
      <xxl21:absoluteUrl r:id="rId2"/>
    </xxl21:alternateUrls>
    <sheetNames>
      <sheetName val="Controle de Produção"/>
      <sheetName val="Sheet1"/>
      <sheetName val="Graficos"/>
      <sheetName val="Máquinas"/>
      <sheetName val="Controle Semanal"/>
      <sheetName val="Official Forecasts"/>
      <sheetName val="Segundo Cenário"/>
      <sheetName val="Previsão (2)"/>
      <sheetName val="Chart2"/>
      <sheetName val="Previsão Envase"/>
      <sheetName val="possibilidade de programação"/>
      <sheetName val="Passado"/>
      <sheetName val="Sheet2"/>
      <sheetName val="Sheet4"/>
      <sheetName val="Sheet3"/>
      <sheetName val="Análises"/>
    </sheetNames>
    <sheetDataSet>
      <sheetData sheetId="0">
        <row r="2">
          <cell r="B2" t="str">
            <v>Data de Início</v>
          </cell>
          <cell r="C2" t="str">
            <v>Data de Término</v>
          </cell>
          <cell r="G2" t="str">
            <v>ID do Pedido</v>
          </cell>
          <cell r="K2" t="str">
            <v>Unidades</v>
          </cell>
          <cell r="L2" t="str">
            <v>SKU</v>
          </cell>
          <cell r="P2" t="str">
            <v>Cliente</v>
          </cell>
        </row>
        <row r="3">
          <cell r="B3">
            <v>45673.291666666664</v>
          </cell>
          <cell r="C3">
            <v>45673.40625</v>
          </cell>
          <cell r="K3">
            <v>1584</v>
          </cell>
          <cell r="L3" t="str">
            <v>MRARES01</v>
          </cell>
          <cell r="P3" t="str">
            <v>MISS RÔSE</v>
          </cell>
        </row>
        <row r="4">
          <cell r="B4">
            <v>45673.40625</v>
          </cell>
          <cell r="C4">
            <v>45673.494444444441</v>
          </cell>
          <cell r="K4">
            <v>1584</v>
          </cell>
          <cell r="L4" t="str">
            <v>MRARES01</v>
          </cell>
          <cell r="P4" t="str">
            <v>MISS RÔSE</v>
          </cell>
        </row>
        <row r="5">
          <cell r="B5">
            <v>45677.614583333336</v>
          </cell>
          <cell r="C5">
            <v>45677.670138888891</v>
          </cell>
          <cell r="K5">
            <v>1512</v>
          </cell>
          <cell r="L5" t="str">
            <v>MRARES01</v>
          </cell>
          <cell r="P5" t="str">
            <v>MISS RÔSE</v>
          </cell>
        </row>
        <row r="6">
          <cell r="B6">
            <v>45677.673611111109</v>
          </cell>
          <cell r="C6">
            <v>45678.335416666669</v>
          </cell>
          <cell r="K6">
            <v>1584</v>
          </cell>
          <cell r="L6" t="str">
            <v>MRARES01</v>
          </cell>
          <cell r="P6" t="str">
            <v>MISS RÔSE</v>
          </cell>
        </row>
        <row r="7">
          <cell r="B7">
            <v>45678.335416666669</v>
          </cell>
          <cell r="C7">
            <v>45678.385416666664</v>
          </cell>
          <cell r="K7">
            <v>1440</v>
          </cell>
          <cell r="L7" t="str">
            <v>MRARES01</v>
          </cell>
          <cell r="P7" t="str">
            <v>MISS RÔSE</v>
          </cell>
        </row>
        <row r="8">
          <cell r="B8">
            <v>45678.385416666664</v>
          </cell>
          <cell r="C8">
            <v>45678.448611111111</v>
          </cell>
          <cell r="K8">
            <v>1368</v>
          </cell>
          <cell r="L8" t="str">
            <v>MRARES01</v>
          </cell>
          <cell r="P8" t="str">
            <v>MISS RÔSE</v>
          </cell>
        </row>
        <row r="9">
          <cell r="B9">
            <v>45678.448611111111</v>
          </cell>
          <cell r="C9">
            <v>45678.490972222222</v>
          </cell>
          <cell r="K9">
            <v>1368</v>
          </cell>
          <cell r="L9" t="str">
            <v>MRARES01</v>
          </cell>
          <cell r="P9" t="str">
            <v>MISS RÔSE</v>
          </cell>
        </row>
        <row r="10">
          <cell r="B10">
            <v>45678.541666666664</v>
          </cell>
          <cell r="C10">
            <v>45678.631944444445</v>
          </cell>
          <cell r="K10">
            <v>1368</v>
          </cell>
          <cell r="L10" t="str">
            <v>MRARES01</v>
          </cell>
          <cell r="P10" t="str">
            <v>MISS RÔSE</v>
          </cell>
        </row>
        <row r="11">
          <cell r="B11">
            <v>45678.663888888892</v>
          </cell>
          <cell r="C11">
            <v>45678.697222222225</v>
          </cell>
          <cell r="K11">
            <v>144</v>
          </cell>
          <cell r="L11" t="str">
            <v>MRARES01</v>
          </cell>
          <cell r="P11" t="str">
            <v>MISS RÔSE</v>
          </cell>
        </row>
        <row r="12">
          <cell r="B12">
            <v>45680.375</v>
          </cell>
          <cell r="C12">
            <v>45680.442361111112</v>
          </cell>
          <cell r="K12">
            <v>1224</v>
          </cell>
          <cell r="L12" t="str">
            <v>MRARES02</v>
          </cell>
          <cell r="P12" t="str">
            <v>MISS RÔSE</v>
          </cell>
        </row>
        <row r="13">
          <cell r="B13">
            <v>45680.444444444445</v>
          </cell>
          <cell r="C13">
            <v>45680.625</v>
          </cell>
          <cell r="K13">
            <v>864</v>
          </cell>
          <cell r="L13" t="str">
            <v>MRARES02</v>
          </cell>
          <cell r="P13" t="str">
            <v>MISS RÔSE</v>
          </cell>
        </row>
        <row r="14">
          <cell r="B14">
            <v>45681.486111111109</v>
          </cell>
          <cell r="C14">
            <v>45681.513888888891</v>
          </cell>
          <cell r="K14">
            <v>30</v>
          </cell>
          <cell r="L14" t="str">
            <v>-</v>
          </cell>
          <cell r="P14" t="str">
            <v>-</v>
          </cell>
        </row>
        <row r="15">
          <cell r="B15">
            <v>45687.292361111111</v>
          </cell>
          <cell r="C15">
            <v>45687.625</v>
          </cell>
          <cell r="K15">
            <v>9936</v>
          </cell>
          <cell r="L15" t="str">
            <v>-</v>
          </cell>
          <cell r="P15" t="str">
            <v>-</v>
          </cell>
        </row>
        <row r="16">
          <cell r="B16">
            <v>45688.291666666664</v>
          </cell>
          <cell r="C16">
            <v>45688.611805555556</v>
          </cell>
          <cell r="K16">
            <v>10008</v>
          </cell>
          <cell r="L16" t="str">
            <v>-</v>
          </cell>
          <cell r="P16" t="str">
            <v>-</v>
          </cell>
        </row>
        <row r="17">
          <cell r="B17">
            <v>45721.429861111108</v>
          </cell>
          <cell r="C17">
            <v>45721.475694444445</v>
          </cell>
          <cell r="K17">
            <v>1013</v>
          </cell>
          <cell r="L17" t="str">
            <v>BMKDPF04</v>
          </cell>
          <cell r="P17" t="str">
            <v>BE MAGIC</v>
          </cell>
        </row>
        <row r="18">
          <cell r="B18">
            <v>45721.476388888892</v>
          </cell>
          <cell r="C18">
            <v>45721.574305555558</v>
          </cell>
          <cell r="K18">
            <v>1014</v>
          </cell>
          <cell r="L18" t="str">
            <v>BMKDPF01</v>
          </cell>
          <cell r="P18" t="str">
            <v>BE MAGIC</v>
          </cell>
        </row>
        <row r="19">
          <cell r="B19">
            <v>45721.574305555558</v>
          </cell>
          <cell r="C19">
            <v>45721.613194444442</v>
          </cell>
          <cell r="K19">
            <v>1013</v>
          </cell>
          <cell r="L19" t="str">
            <v>BMKDPF02</v>
          </cell>
          <cell r="P19" t="str">
            <v>BE MAGIC</v>
          </cell>
        </row>
        <row r="20">
          <cell r="B20">
            <v>45721.615972222222</v>
          </cell>
          <cell r="C20">
            <v>45721.665972222225</v>
          </cell>
          <cell r="K20">
            <v>1017</v>
          </cell>
          <cell r="L20" t="str">
            <v>BMKDPF03</v>
          </cell>
          <cell r="P20" t="str">
            <v>BE MAGIC</v>
          </cell>
        </row>
        <row r="21">
          <cell r="B21">
            <v>45721.625</v>
          </cell>
          <cell r="C21">
            <v>45721.6875</v>
          </cell>
          <cell r="K21">
            <v>1013</v>
          </cell>
          <cell r="L21" t="str">
            <v>BMKDHD04</v>
          </cell>
          <cell r="P21" t="str">
            <v>BE MAGIC</v>
          </cell>
        </row>
        <row r="22">
          <cell r="B22">
            <v>45721.693055555559</v>
          </cell>
          <cell r="C22">
            <v>45722.354166666664</v>
          </cell>
          <cell r="K22">
            <v>1014</v>
          </cell>
          <cell r="L22" t="str">
            <v>BMKDHD02</v>
          </cell>
          <cell r="P22" t="str">
            <v>BE MAGIC</v>
          </cell>
        </row>
        <row r="23">
          <cell r="B23">
            <v>45722.416666666664</v>
          </cell>
          <cell r="C23">
            <v>45722.479166666664</v>
          </cell>
          <cell r="K23">
            <v>1002</v>
          </cell>
          <cell r="L23" t="str">
            <v>-</v>
          </cell>
          <cell r="P23" t="str">
            <v>-</v>
          </cell>
        </row>
        <row r="24">
          <cell r="B24">
            <v>45722.4375</v>
          </cell>
          <cell r="C24">
            <v>45722.46597222222</v>
          </cell>
          <cell r="K24">
            <v>1000</v>
          </cell>
          <cell r="L24" t="str">
            <v>-</v>
          </cell>
          <cell r="P24" t="str">
            <v>-</v>
          </cell>
        </row>
        <row r="25">
          <cell r="B25">
            <v>45722.541666666664</v>
          </cell>
          <cell r="C25">
            <v>45723.333333333336</v>
          </cell>
          <cell r="K25">
            <v>1000</v>
          </cell>
          <cell r="L25" t="str">
            <v>-</v>
          </cell>
          <cell r="P25" t="str">
            <v>-</v>
          </cell>
        </row>
        <row r="26">
          <cell r="B26">
            <v>45723.333333333336</v>
          </cell>
          <cell r="C26">
            <v>45723.375</v>
          </cell>
          <cell r="K26">
            <v>1000</v>
          </cell>
          <cell r="L26" t="str">
            <v>-</v>
          </cell>
          <cell r="P26" t="str">
            <v>-</v>
          </cell>
        </row>
        <row r="27">
          <cell r="B27">
            <v>45723.354166666664</v>
          </cell>
          <cell r="C27">
            <v>45723.385416666664</v>
          </cell>
          <cell r="K27">
            <v>1002</v>
          </cell>
          <cell r="L27" t="str">
            <v>BMKDBR04</v>
          </cell>
          <cell r="P27" t="str">
            <v>BE MAGIC</v>
          </cell>
        </row>
        <row r="28">
          <cell r="B28">
            <v>45723.399305555555</v>
          </cell>
          <cell r="C28">
            <v>45723.479166666664</v>
          </cell>
          <cell r="K28">
            <v>985</v>
          </cell>
          <cell r="L28" t="str">
            <v>BMKDBR03</v>
          </cell>
          <cell r="P28" t="str">
            <v>BE MAGIC</v>
          </cell>
        </row>
        <row r="29">
          <cell r="B29">
            <v>45723.479166666664</v>
          </cell>
          <cell r="C29">
            <v>45723.583333333336</v>
          </cell>
          <cell r="K29">
            <v>990</v>
          </cell>
          <cell r="L29" t="str">
            <v>BMKDBR02</v>
          </cell>
          <cell r="P29" t="str">
            <v>BE MAGIC</v>
          </cell>
        </row>
        <row r="30">
          <cell r="B30">
            <v>45723.583333333336</v>
          </cell>
          <cell r="C30">
            <v>45723</v>
          </cell>
          <cell r="K30">
            <v>1000</v>
          </cell>
          <cell r="L30" t="str">
            <v>BMKDBR01</v>
          </cell>
          <cell r="P30" t="str">
            <v>BE MAGIC</v>
          </cell>
        </row>
        <row r="31">
          <cell r="B31">
            <v>45723.604166666664</v>
          </cell>
          <cell r="C31">
            <v>45726.397916666669</v>
          </cell>
          <cell r="K31">
            <v>2544</v>
          </cell>
          <cell r="L31" t="str">
            <v>MRARBS05</v>
          </cell>
          <cell r="P31" t="str">
            <v>MISS RÔSE</v>
          </cell>
        </row>
        <row r="32">
          <cell r="B32">
            <v>45726.416666666664</v>
          </cell>
          <cell r="C32">
            <v>45726.625</v>
          </cell>
          <cell r="K32">
            <v>4000</v>
          </cell>
          <cell r="L32" t="str">
            <v>SAMTBS01</v>
          </cell>
          <cell r="P32" t="str">
            <v>SAFIRA</v>
          </cell>
        </row>
        <row r="33">
          <cell r="B33">
            <v>45726.625</v>
          </cell>
          <cell r="C33">
            <v>45727.479166666664</v>
          </cell>
          <cell r="K33">
            <v>4000</v>
          </cell>
          <cell r="L33" t="str">
            <v>SAMTBS03</v>
          </cell>
          <cell r="P33" t="str">
            <v>SAFIRA</v>
          </cell>
        </row>
        <row r="34">
          <cell r="B34">
            <v>45727.479166666664</v>
          </cell>
          <cell r="K34">
            <v>4000</v>
          </cell>
          <cell r="L34" t="str">
            <v>SAMTBS02</v>
          </cell>
          <cell r="P34" t="str">
            <v>SAFIRA</v>
          </cell>
        </row>
        <row r="35">
          <cell r="B35">
            <v>45728.416666666664</v>
          </cell>
          <cell r="C35">
            <v>45729.420138888891</v>
          </cell>
          <cell r="K35">
            <v>4000</v>
          </cell>
          <cell r="L35" t="str">
            <v>SAGLBS01</v>
          </cell>
          <cell r="P35" t="str">
            <v>SAFIRA</v>
          </cell>
        </row>
        <row r="36">
          <cell r="B36">
            <v>45729.454861111109</v>
          </cell>
          <cell r="K36">
            <v>4000</v>
          </cell>
          <cell r="L36" t="str">
            <v>SAGLBS02</v>
          </cell>
          <cell r="P36" t="str">
            <v>SAFIRA</v>
          </cell>
        </row>
        <row r="37">
          <cell r="B37">
            <v>45730.354166666664</v>
          </cell>
          <cell r="C37">
            <v>45730</v>
          </cell>
          <cell r="K37">
            <v>4068</v>
          </cell>
          <cell r="L37" t="str">
            <v>SAGLBS03</v>
          </cell>
          <cell r="P37" t="str">
            <v>SAFIRA</v>
          </cell>
        </row>
        <row r="38">
          <cell r="B38">
            <v>45733.395833333336</v>
          </cell>
          <cell r="C38">
            <v>45733.541666666664</v>
          </cell>
          <cell r="K38">
            <v>2544</v>
          </cell>
          <cell r="L38" t="str">
            <v>MRARBS05</v>
          </cell>
          <cell r="P38" t="str">
            <v>MISS RÔSE</v>
          </cell>
        </row>
        <row r="39">
          <cell r="B39">
            <v>45733.545138888891</v>
          </cell>
          <cell r="C39">
            <v>45733.654861111114</v>
          </cell>
          <cell r="K39">
            <v>2544</v>
          </cell>
          <cell r="L39" t="str">
            <v>MRARBS05</v>
          </cell>
          <cell r="P39" t="str">
            <v>MISS RÔSE</v>
          </cell>
        </row>
        <row r="40">
          <cell r="B40">
            <v>45733.654861111114</v>
          </cell>
          <cell r="C40">
            <v>45733</v>
          </cell>
          <cell r="K40">
            <v>2544</v>
          </cell>
          <cell r="L40" t="str">
            <v>MRARBS05</v>
          </cell>
          <cell r="P40" t="str">
            <v>MISS RÔSE</v>
          </cell>
        </row>
        <row r="41">
          <cell r="B41">
            <v>45734.625</v>
          </cell>
          <cell r="C41">
            <v>45735.333333333336</v>
          </cell>
          <cell r="K41">
            <v>2544</v>
          </cell>
          <cell r="L41" t="str">
            <v>MRARBS05</v>
          </cell>
          <cell r="P41" t="str">
            <v>MISS RÔSE</v>
          </cell>
        </row>
        <row r="42">
          <cell r="B42">
            <v>45735.568055555559</v>
          </cell>
          <cell r="C42">
            <v>45735.652777777781</v>
          </cell>
          <cell r="K42">
            <v>2544</v>
          </cell>
          <cell r="L42" t="str">
            <v>MRARBS01</v>
          </cell>
          <cell r="P42" t="str">
            <v>MISS RÔSE</v>
          </cell>
        </row>
        <row r="43">
          <cell r="B43">
            <v>45735.652777777781</v>
          </cell>
          <cell r="C43">
            <v>45736.344444444447</v>
          </cell>
          <cell r="K43">
            <v>2544</v>
          </cell>
          <cell r="L43" t="str">
            <v>MRARBS01</v>
          </cell>
          <cell r="P43" t="str">
            <v>MISS RÔSE</v>
          </cell>
        </row>
        <row r="44">
          <cell r="B44">
            <v>45736.344444444447</v>
          </cell>
          <cell r="C44">
            <v>45736.416666666664</v>
          </cell>
          <cell r="K44">
            <v>2544</v>
          </cell>
          <cell r="L44" t="str">
            <v>MRARBS01</v>
          </cell>
          <cell r="P44" t="str">
            <v>MISS RÔSE</v>
          </cell>
        </row>
        <row r="45">
          <cell r="B45">
            <v>45736.416666666664</v>
          </cell>
          <cell r="C45">
            <v>45736.583333333336</v>
          </cell>
          <cell r="K45">
            <v>2544</v>
          </cell>
          <cell r="L45" t="str">
            <v>MRARBS01</v>
          </cell>
          <cell r="P45" t="str">
            <v>MISS RÔSE</v>
          </cell>
        </row>
        <row r="46">
          <cell r="B46">
            <v>45736.583333333336</v>
          </cell>
          <cell r="C46">
            <v>45737.327777777777</v>
          </cell>
          <cell r="K46">
            <v>2544</v>
          </cell>
          <cell r="L46" t="str">
            <v>MRARBS01</v>
          </cell>
          <cell r="P46" t="str">
            <v>MISS RÔSE</v>
          </cell>
        </row>
        <row r="47">
          <cell r="B47">
            <v>45737.327777777777</v>
          </cell>
          <cell r="C47">
            <v>45737.413888888892</v>
          </cell>
          <cell r="K47">
            <v>2544</v>
          </cell>
          <cell r="L47" t="str">
            <v>MRARBS01</v>
          </cell>
          <cell r="P47" t="str">
            <v>MISS RÔSE</v>
          </cell>
        </row>
        <row r="48">
          <cell r="B48">
            <v>45737.413888888892</v>
          </cell>
          <cell r="C48">
            <v>45737.546527777777</v>
          </cell>
          <cell r="K48">
            <v>2544</v>
          </cell>
          <cell r="L48" t="str">
            <v>MRARBS01</v>
          </cell>
          <cell r="P48" t="str">
            <v>MISS RÔSE</v>
          </cell>
        </row>
        <row r="49">
          <cell r="B49">
            <v>45737.546527777777</v>
          </cell>
          <cell r="C49">
            <v>45737.640277777777</v>
          </cell>
          <cell r="K49">
            <v>2544</v>
          </cell>
          <cell r="L49" t="str">
            <v>MRARBS01</v>
          </cell>
          <cell r="P49" t="str">
            <v>MISS RÔSE</v>
          </cell>
        </row>
        <row r="50">
          <cell r="B50">
            <v>45737.640277777777</v>
          </cell>
          <cell r="C50">
            <v>45740.384027777778</v>
          </cell>
          <cell r="K50">
            <v>2544</v>
          </cell>
          <cell r="L50" t="str">
            <v>MRARBS01</v>
          </cell>
          <cell r="P50" t="str">
            <v>MISS RÔSE</v>
          </cell>
        </row>
        <row r="51">
          <cell r="B51">
            <v>45740.384027777778</v>
          </cell>
          <cell r="C51">
            <v>45740.46875</v>
          </cell>
          <cell r="K51">
            <v>2544</v>
          </cell>
          <cell r="L51" t="str">
            <v>MRARBS01</v>
          </cell>
          <cell r="P51" t="str">
            <v>MISS RÔSE</v>
          </cell>
        </row>
        <row r="52">
          <cell r="B52">
            <v>45740.46875</v>
          </cell>
          <cell r="C52">
            <v>45740</v>
          </cell>
          <cell r="K52">
            <v>2544</v>
          </cell>
          <cell r="L52" t="str">
            <v>MRARBS01</v>
          </cell>
          <cell r="P52" t="str">
            <v>MISS RÔSE</v>
          </cell>
        </row>
        <row r="53">
          <cell r="B53">
            <v>45740.618055555555</v>
          </cell>
          <cell r="C53">
            <v>45740.638888888891</v>
          </cell>
          <cell r="K53">
            <v>1920</v>
          </cell>
          <cell r="L53" t="str">
            <v>MRARBS01</v>
          </cell>
          <cell r="P53" t="str">
            <v>MISS RÔSE</v>
          </cell>
        </row>
        <row r="54">
          <cell r="B54">
            <v>45754.375</v>
          </cell>
          <cell r="C54">
            <v>45754.456944444442</v>
          </cell>
          <cell r="K54">
            <v>2544</v>
          </cell>
          <cell r="L54" t="str">
            <v>MRARBS02</v>
          </cell>
          <cell r="P54" t="str">
            <v>MISS RÔSE</v>
          </cell>
        </row>
        <row r="55">
          <cell r="B55">
            <v>45754.456944444442</v>
          </cell>
          <cell r="C55">
            <v>45754.602083333331</v>
          </cell>
          <cell r="K55">
            <v>2544</v>
          </cell>
          <cell r="L55" t="str">
            <v>MRARBS02</v>
          </cell>
          <cell r="P55" t="str">
            <v>MISS RÔSE</v>
          </cell>
        </row>
        <row r="56">
          <cell r="B56">
            <v>45754.602083333331</v>
          </cell>
          <cell r="C56">
            <v>45754.708333333336</v>
          </cell>
          <cell r="K56">
            <v>2544</v>
          </cell>
          <cell r="L56" t="str">
            <v>MRARBS02</v>
          </cell>
          <cell r="P56" t="str">
            <v>MISS RÔSE</v>
          </cell>
        </row>
        <row r="57">
          <cell r="B57">
            <v>45755.3125</v>
          </cell>
          <cell r="C57">
            <v>45755.375</v>
          </cell>
          <cell r="K57">
            <v>2544</v>
          </cell>
          <cell r="L57" t="str">
            <v>MRARBS02</v>
          </cell>
          <cell r="P57" t="str">
            <v>MISS RÔSE</v>
          </cell>
        </row>
        <row r="58">
          <cell r="B58">
            <v>45755.375</v>
          </cell>
          <cell r="C58">
            <v>45755.458333333336</v>
          </cell>
          <cell r="K58">
            <v>2545</v>
          </cell>
          <cell r="L58" t="str">
            <v>MRARBS02</v>
          </cell>
          <cell r="P58" t="str">
            <v>MISS RÔSE</v>
          </cell>
        </row>
        <row r="59">
          <cell r="B59">
            <v>45755.458333333336</v>
          </cell>
          <cell r="C59">
            <v>45755.577777777777</v>
          </cell>
          <cell r="K59">
            <v>2544</v>
          </cell>
          <cell r="L59" t="str">
            <v>MRARBS02</v>
          </cell>
          <cell r="P59" t="str">
            <v>MISS RÔSE</v>
          </cell>
        </row>
        <row r="60">
          <cell r="B60">
            <v>45755.578472222223</v>
          </cell>
          <cell r="C60">
            <v>45755.666666666664</v>
          </cell>
          <cell r="K60">
            <v>2544</v>
          </cell>
          <cell r="L60" t="str">
            <v>MRARBS02</v>
          </cell>
          <cell r="P60" t="str">
            <v>MISS RÔSE</v>
          </cell>
        </row>
        <row r="61">
          <cell r="B61">
            <v>45755.666666666664</v>
          </cell>
          <cell r="C61">
            <v>45756.364583333336</v>
          </cell>
          <cell r="K61">
            <v>2592</v>
          </cell>
          <cell r="L61" t="str">
            <v>MRARBS02</v>
          </cell>
          <cell r="P61" t="str">
            <v>MISS RÔSE</v>
          </cell>
        </row>
        <row r="62">
          <cell r="B62">
            <v>45756.364583333336</v>
          </cell>
          <cell r="C62">
            <v>45756.448611111111</v>
          </cell>
          <cell r="K62">
            <v>2544</v>
          </cell>
          <cell r="L62" t="str">
            <v>MRARBS02</v>
          </cell>
          <cell r="P62" t="str">
            <v>MISS RÔSE</v>
          </cell>
        </row>
        <row r="63">
          <cell r="B63">
            <v>45756.448611111111</v>
          </cell>
          <cell r="C63">
            <v>45756.587500000001</v>
          </cell>
          <cell r="K63">
            <v>2544</v>
          </cell>
          <cell r="L63" t="str">
            <v>MRARBS02</v>
          </cell>
          <cell r="P63" t="str">
            <v>MISS RÔSE</v>
          </cell>
        </row>
        <row r="64">
          <cell r="B64">
            <v>45756.588194444441</v>
          </cell>
          <cell r="C64">
            <v>45756.695833333331</v>
          </cell>
          <cell r="K64">
            <v>2544</v>
          </cell>
          <cell r="L64" t="str">
            <v>MRARBS02</v>
          </cell>
          <cell r="P64" t="str">
            <v>MISS RÔSE</v>
          </cell>
        </row>
        <row r="65">
          <cell r="B65">
            <v>45756.695833333331</v>
          </cell>
          <cell r="C65">
            <v>45757.394444444442</v>
          </cell>
          <cell r="K65">
            <v>2544</v>
          </cell>
          <cell r="L65" t="str">
            <v>MRARBS02</v>
          </cell>
          <cell r="P65" t="str">
            <v>MISS RÔSE</v>
          </cell>
        </row>
        <row r="66">
          <cell r="B66">
            <v>45757.394444444442</v>
          </cell>
          <cell r="C66">
            <v>45757.54791666667</v>
          </cell>
          <cell r="K66">
            <v>2544</v>
          </cell>
          <cell r="L66" t="str">
            <v>MRARBS02</v>
          </cell>
          <cell r="P66" t="str">
            <v>MISS RÔSE</v>
          </cell>
        </row>
        <row r="67">
          <cell r="B67">
            <v>45757.54791666667</v>
          </cell>
          <cell r="C67">
            <v>45757.666666666664</v>
          </cell>
          <cell r="K67">
            <v>2544</v>
          </cell>
          <cell r="L67" t="str">
            <v>MRARBS02</v>
          </cell>
          <cell r="P67" t="str">
            <v>MISS RÔSE</v>
          </cell>
        </row>
        <row r="68">
          <cell r="B68">
            <v>45757.666666666664</v>
          </cell>
          <cell r="C68">
            <v>45758.354166666664</v>
          </cell>
          <cell r="K68">
            <v>2160</v>
          </cell>
          <cell r="L68" t="str">
            <v>MRARBS02</v>
          </cell>
          <cell r="P68" t="str">
            <v>MISS RÔSE</v>
          </cell>
        </row>
        <row r="69">
          <cell r="B69">
            <v>45758.354166666664</v>
          </cell>
          <cell r="C69">
            <v>45758.448611111111</v>
          </cell>
          <cell r="K69">
            <v>2544</v>
          </cell>
          <cell r="L69" t="str">
            <v>MRARBS01</v>
          </cell>
          <cell r="P69" t="str">
            <v>MISS RÔSE</v>
          </cell>
        </row>
        <row r="70">
          <cell r="B70">
            <v>45762.416666666664</v>
          </cell>
          <cell r="C70">
            <v>45770.583333333336</v>
          </cell>
          <cell r="K70">
            <v>12600</v>
          </cell>
          <cell r="L70" t="str">
            <v>DPSWHD01</v>
          </cell>
          <cell r="P70" t="str">
            <v>DAPOP</v>
          </cell>
        </row>
        <row r="71">
          <cell r="B71">
            <v>45763.680555555555</v>
          </cell>
          <cell r="C71">
            <v>45764.472222222219</v>
          </cell>
          <cell r="K71">
            <v>3600</v>
          </cell>
          <cell r="L71" t="str">
            <v>-</v>
          </cell>
          <cell r="P71" t="str">
            <v>-</v>
          </cell>
        </row>
        <row r="72">
          <cell r="B72">
            <v>45764.472222222219</v>
          </cell>
          <cell r="C72">
            <v>45764</v>
          </cell>
          <cell r="K72">
            <v>3960</v>
          </cell>
          <cell r="L72" t="str">
            <v>-</v>
          </cell>
          <cell r="P72" t="str">
            <v>-</v>
          </cell>
        </row>
        <row r="73">
          <cell r="B73">
            <v>45770.420138888891</v>
          </cell>
          <cell r="C73">
            <v>45775.463888888888</v>
          </cell>
          <cell r="K73">
            <v>5460</v>
          </cell>
          <cell r="L73" t="str">
            <v>DPSWHD01</v>
          </cell>
          <cell r="P73" t="str">
            <v>DAPOP</v>
          </cell>
        </row>
        <row r="74">
          <cell r="B74">
            <v>45770.583333333336</v>
          </cell>
          <cell r="C74">
            <v>45771.416666666664</v>
          </cell>
          <cell r="K74">
            <v>5880</v>
          </cell>
          <cell r="L74" t="str">
            <v>DPSWHD01</v>
          </cell>
          <cell r="P74" t="str">
            <v>DAPOP</v>
          </cell>
        </row>
        <row r="75">
          <cell r="B75">
            <v>45775.463888888888</v>
          </cell>
          <cell r="C75">
            <v>45776.659722222219</v>
          </cell>
          <cell r="K75">
            <v>5700</v>
          </cell>
          <cell r="L75" t="str">
            <v>DPSWHD01</v>
          </cell>
          <cell r="P75" t="str">
            <v>DAPOP</v>
          </cell>
        </row>
        <row r="76">
          <cell r="B76">
            <v>45776.458333333336</v>
          </cell>
          <cell r="C76">
            <v>45776.645833333336</v>
          </cell>
          <cell r="K76">
            <v>2013</v>
          </cell>
          <cell r="L76" t="str">
            <v>KUBPBA02</v>
          </cell>
          <cell r="P76" t="str">
            <v>KURYOS</v>
          </cell>
        </row>
        <row r="77">
          <cell r="B77">
            <v>45776.645833333336</v>
          </cell>
          <cell r="C77">
            <v>45777.375</v>
          </cell>
          <cell r="K77">
            <v>1045</v>
          </cell>
          <cell r="L77" t="str">
            <v>KUBPBA02</v>
          </cell>
          <cell r="P77" t="str">
            <v>KURYOS</v>
          </cell>
        </row>
        <row r="78">
          <cell r="B78">
            <v>45776.659722222219</v>
          </cell>
          <cell r="C78">
            <v>45777.450694444444</v>
          </cell>
          <cell r="K78">
            <v>5760</v>
          </cell>
          <cell r="L78" t="str">
            <v>DPSWHD01</v>
          </cell>
          <cell r="P78" t="str">
            <v>DAPOP</v>
          </cell>
        </row>
        <row r="79">
          <cell r="B79">
            <v>45778.444444444445</v>
          </cell>
          <cell r="C79">
            <v>45782.583333333336</v>
          </cell>
          <cell r="K79">
            <v>5700</v>
          </cell>
          <cell r="L79" t="str">
            <v>DPSWHD01</v>
          </cell>
          <cell r="P79" t="str">
            <v>DAPOP</v>
          </cell>
        </row>
        <row r="80">
          <cell r="B80">
            <v>45782.583333333336</v>
          </cell>
          <cell r="C80">
            <v>45784.4375</v>
          </cell>
          <cell r="K80">
            <v>5790</v>
          </cell>
          <cell r="L80" t="str">
            <v>DPSWHD01</v>
          </cell>
          <cell r="P80" t="str">
            <v>DAPOP</v>
          </cell>
        </row>
        <row r="81">
          <cell r="B81">
            <v>45784.59375</v>
          </cell>
          <cell r="C81">
            <v>45785.479166666664</v>
          </cell>
          <cell r="K81">
            <v>6082</v>
          </cell>
          <cell r="L81" t="str">
            <v>SASCGF01</v>
          </cell>
          <cell r="P81" t="str">
            <v>SAFIRA</v>
          </cell>
        </row>
        <row r="82">
          <cell r="B82">
            <v>45785.479166666664</v>
          </cell>
          <cell r="C82">
            <v>45786.423611111109</v>
          </cell>
          <cell r="K82">
            <v>5484</v>
          </cell>
          <cell r="L82" t="str">
            <v>SASCGF02</v>
          </cell>
          <cell r="P82" t="str">
            <v>SAFIRA</v>
          </cell>
        </row>
        <row r="83">
          <cell r="B83">
            <v>45786.416666666664</v>
          </cell>
          <cell r="C83">
            <v>45789.443749999999</v>
          </cell>
          <cell r="K83">
            <v>6011</v>
          </cell>
          <cell r="L83" t="str">
            <v>SASCES01</v>
          </cell>
          <cell r="P83" t="str">
            <v>SAFIRA</v>
          </cell>
        </row>
        <row r="84">
          <cell r="B84">
            <v>45789.472916666666</v>
          </cell>
          <cell r="C84">
            <v>45790.428472222222</v>
          </cell>
          <cell r="K84">
            <v>5880</v>
          </cell>
          <cell r="L84" t="str">
            <v>SASCDM01</v>
          </cell>
          <cell r="P84" t="str">
            <v>SAFIRA</v>
          </cell>
        </row>
        <row r="85">
          <cell r="B85">
            <v>45790.428472222222</v>
          </cell>
          <cell r="K85">
            <v>5999</v>
          </cell>
          <cell r="L85" t="str">
            <v>SASCDM02</v>
          </cell>
          <cell r="P85" t="str">
            <v>SAFIRA</v>
          </cell>
        </row>
        <row r="86">
          <cell r="B86">
            <v>45791.291666666664</v>
          </cell>
          <cell r="C86">
            <v>45791.295138888891</v>
          </cell>
          <cell r="K86">
            <v>27</v>
          </cell>
          <cell r="L86" t="str">
            <v>-</v>
          </cell>
          <cell r="P86" t="str">
            <v>-</v>
          </cell>
        </row>
        <row r="87">
          <cell r="B87">
            <v>45791.291666666664</v>
          </cell>
          <cell r="C87">
            <v>45791.295138888891</v>
          </cell>
          <cell r="K87">
            <v>57</v>
          </cell>
          <cell r="L87" t="str">
            <v>-</v>
          </cell>
          <cell r="P87" t="str">
            <v>-</v>
          </cell>
        </row>
        <row r="88">
          <cell r="B88">
            <v>45791.333333333336</v>
          </cell>
          <cell r="C88">
            <v>45791.690972222219</v>
          </cell>
          <cell r="K88">
            <v>6000</v>
          </cell>
          <cell r="L88" t="str">
            <v>SASCES02</v>
          </cell>
          <cell r="P88" t="str">
            <v>SAFIRA</v>
          </cell>
        </row>
        <row r="89">
          <cell r="B89">
            <v>45792.427083333336</v>
          </cell>
          <cell r="C89">
            <v>45792.60833333333</v>
          </cell>
          <cell r="K89">
            <v>2544</v>
          </cell>
          <cell r="L89" t="str">
            <v>MRARBS01</v>
          </cell>
          <cell r="P89" t="str">
            <v>MISS RÔSE</v>
          </cell>
        </row>
        <row r="90">
          <cell r="B90">
            <v>45792.609027777777</v>
          </cell>
          <cell r="C90">
            <v>45793.375</v>
          </cell>
          <cell r="K90">
            <v>2592</v>
          </cell>
          <cell r="L90" t="str">
            <v>MRARBS01</v>
          </cell>
          <cell r="P90" t="str">
            <v>MISS RÔSE</v>
          </cell>
        </row>
        <row r="91">
          <cell r="B91">
            <v>45793.375</v>
          </cell>
          <cell r="C91">
            <v>45793.5</v>
          </cell>
          <cell r="K91">
            <v>2592</v>
          </cell>
          <cell r="L91" t="str">
            <v>MRARBS01</v>
          </cell>
          <cell r="P91" t="str">
            <v>MISS RÔSE</v>
          </cell>
        </row>
        <row r="92">
          <cell r="B92">
            <v>45796.291666666664</v>
          </cell>
          <cell r="C92">
            <v>45796.416666666664</v>
          </cell>
          <cell r="K92">
            <v>2544</v>
          </cell>
          <cell r="L92" t="str">
            <v>MRARBS05</v>
          </cell>
          <cell r="P92" t="str">
            <v>MISS RÔSE</v>
          </cell>
        </row>
        <row r="93">
          <cell r="B93">
            <v>45796.295138888891</v>
          </cell>
          <cell r="C93">
            <v>45796.411111111112</v>
          </cell>
          <cell r="K93">
            <v>2544</v>
          </cell>
          <cell r="L93" t="str">
            <v>MRARBS01</v>
          </cell>
          <cell r="P93" t="str">
            <v>MISS RÔSE</v>
          </cell>
        </row>
        <row r="94">
          <cell r="B94">
            <v>45796.411111111112</v>
          </cell>
          <cell r="C94">
            <v>45796.552083333336</v>
          </cell>
          <cell r="K94">
            <v>2544</v>
          </cell>
          <cell r="L94" t="str">
            <v>MRARBS01</v>
          </cell>
          <cell r="P94" t="str">
            <v>MISS RÔSE</v>
          </cell>
        </row>
        <row r="95">
          <cell r="B95">
            <v>45796.416666666664</v>
          </cell>
          <cell r="C95">
            <v>45796.541666666664</v>
          </cell>
          <cell r="K95">
            <v>1357</v>
          </cell>
          <cell r="L95" t="str">
            <v>MRARBS05</v>
          </cell>
          <cell r="P95" t="str">
            <v>MISS RÔSE</v>
          </cell>
        </row>
        <row r="96">
          <cell r="B96">
            <v>45796.552083333336</v>
          </cell>
          <cell r="C96">
            <v>45797.375</v>
          </cell>
          <cell r="K96">
            <v>3840</v>
          </cell>
          <cell r="L96" t="str">
            <v>MRARBS01</v>
          </cell>
          <cell r="P96" t="str">
            <v>MISS RÔSE</v>
          </cell>
        </row>
        <row r="97">
          <cell r="B97">
            <v>45797.375</v>
          </cell>
          <cell r="C97">
            <v>45797.4375</v>
          </cell>
          <cell r="K97">
            <v>2544</v>
          </cell>
          <cell r="L97" t="str">
            <v>MRARBS03</v>
          </cell>
          <cell r="P97" t="str">
            <v>MISS RÔSE</v>
          </cell>
        </row>
        <row r="98">
          <cell r="B98">
            <v>45797.4375</v>
          </cell>
          <cell r="C98">
            <v>45797.618750000001</v>
          </cell>
          <cell r="K98">
            <v>2544</v>
          </cell>
          <cell r="L98" t="str">
            <v>MRARBS03</v>
          </cell>
          <cell r="P98" t="str">
            <v>MISS RÔSE</v>
          </cell>
        </row>
        <row r="99">
          <cell r="B99">
            <v>45797.618750000001</v>
          </cell>
          <cell r="C99">
            <v>45798.330555555556</v>
          </cell>
          <cell r="K99">
            <v>2544</v>
          </cell>
          <cell r="L99" t="str">
            <v>MRARBS03</v>
          </cell>
          <cell r="P99" t="str">
            <v>MISS RÔSE</v>
          </cell>
        </row>
        <row r="100">
          <cell r="B100">
            <v>45798.330555555556</v>
          </cell>
          <cell r="C100">
            <v>45798.427083333336</v>
          </cell>
          <cell r="K100">
            <v>2976</v>
          </cell>
          <cell r="L100" t="str">
            <v>MRARBS03</v>
          </cell>
          <cell r="P100" t="str">
            <v>MISS RÔSE</v>
          </cell>
        </row>
        <row r="101">
          <cell r="B101">
            <v>45798.427083333336</v>
          </cell>
          <cell r="C101">
            <v>45798.666666666664</v>
          </cell>
          <cell r="K101">
            <v>2304</v>
          </cell>
          <cell r="L101" t="str">
            <v>MRARBS05</v>
          </cell>
          <cell r="P101" t="str">
            <v>MISS RÔSE</v>
          </cell>
        </row>
        <row r="102">
          <cell r="B102">
            <v>45798.666666666664</v>
          </cell>
          <cell r="C102">
            <v>45799.401388888888</v>
          </cell>
          <cell r="K102">
            <v>2736</v>
          </cell>
          <cell r="L102" t="str">
            <v>MRARBS05</v>
          </cell>
          <cell r="P102" t="str">
            <v>MISS RÔSE</v>
          </cell>
        </row>
        <row r="103">
          <cell r="B103">
            <v>45799.401388888888</v>
          </cell>
          <cell r="C103">
            <v>45799.563888888886</v>
          </cell>
          <cell r="K103">
            <v>2544</v>
          </cell>
          <cell r="L103" t="str">
            <v>MRARBS05</v>
          </cell>
          <cell r="P103" t="str">
            <v>MISS RÔSE</v>
          </cell>
        </row>
        <row r="104">
          <cell r="B104">
            <v>45799.563888888886</v>
          </cell>
          <cell r="C104">
            <v>45799.666666666664</v>
          </cell>
          <cell r="K104">
            <v>2544</v>
          </cell>
          <cell r="L104" t="str">
            <v>MRARBS05</v>
          </cell>
          <cell r="P104" t="str">
            <v>MISS RÔSE</v>
          </cell>
        </row>
        <row r="105">
          <cell r="B105">
            <v>45799.666666666664</v>
          </cell>
          <cell r="C105">
            <v>45800.386111111111</v>
          </cell>
          <cell r="K105">
            <v>2544</v>
          </cell>
          <cell r="L105" t="str">
            <v>MRARBS05</v>
          </cell>
          <cell r="P105" t="str">
            <v>MISS RÔSE</v>
          </cell>
        </row>
        <row r="106">
          <cell r="B106">
            <v>45800.386111111111</v>
          </cell>
          <cell r="C106">
            <v>45804.583333333336</v>
          </cell>
          <cell r="K106">
            <v>2544</v>
          </cell>
          <cell r="L106" t="str">
            <v>MRARBS05</v>
          </cell>
          <cell r="P106" t="str">
            <v>MISS RÔSE</v>
          </cell>
        </row>
        <row r="107">
          <cell r="B107">
            <v>45805.291666666664</v>
          </cell>
          <cell r="C107">
            <v>45805.416666666664</v>
          </cell>
          <cell r="K107">
            <v>2400</v>
          </cell>
          <cell r="L107" t="str">
            <v>MRARBS05</v>
          </cell>
          <cell r="P107" t="str">
            <v>MISS RÔSE</v>
          </cell>
        </row>
        <row r="108">
          <cell r="B108">
            <v>45805.625</v>
          </cell>
          <cell r="C108">
            <v>45806.333333333336</v>
          </cell>
          <cell r="K108">
            <v>1764</v>
          </cell>
          <cell r="L108" t="str">
            <v>LNHGSH01</v>
          </cell>
          <cell r="P108" t="str">
            <v>LUA &amp; NEVE</v>
          </cell>
        </row>
        <row r="109">
          <cell r="B109">
            <v>45806.34097222222</v>
          </cell>
          <cell r="C109">
            <v>45806.400694444441</v>
          </cell>
          <cell r="K109">
            <v>1008</v>
          </cell>
          <cell r="L109" t="str">
            <v>LNHGSH01</v>
          </cell>
          <cell r="P109" t="str">
            <v>LUA &amp; NEVE</v>
          </cell>
        </row>
        <row r="110">
          <cell r="B110">
            <v>45806.385416666664</v>
          </cell>
          <cell r="C110">
            <v>45806.499305555553</v>
          </cell>
          <cell r="K110">
            <v>1885</v>
          </cell>
          <cell r="L110" t="str">
            <v>LNHGSH01</v>
          </cell>
          <cell r="P110" t="str">
            <v>LUA &amp; NEVE</v>
          </cell>
        </row>
        <row r="111">
          <cell r="B111">
            <v>45806.572916666664</v>
          </cell>
          <cell r="C111">
            <v>45807.3125</v>
          </cell>
          <cell r="K111">
            <v>1332</v>
          </cell>
          <cell r="L111" t="str">
            <v>LNHGCN02</v>
          </cell>
          <cell r="P111" t="str">
            <v>LUA &amp; NEVE</v>
          </cell>
        </row>
        <row r="112">
          <cell r="B112">
            <v>45807.3125</v>
          </cell>
          <cell r="C112">
            <v>45807.420138888891</v>
          </cell>
          <cell r="K112">
            <v>1332</v>
          </cell>
          <cell r="L112" t="str">
            <v>LNHGCN02</v>
          </cell>
          <cell r="P112" t="str">
            <v>LUA &amp; NEVE</v>
          </cell>
        </row>
        <row r="113">
          <cell r="B113">
            <v>45807.420138888891</v>
          </cell>
          <cell r="C113">
            <v>45807.708333333336</v>
          </cell>
          <cell r="K113">
            <v>1728</v>
          </cell>
          <cell r="L113" t="str">
            <v>LNHGCN02</v>
          </cell>
          <cell r="P113" t="str">
            <v>LUA &amp; NEVE</v>
          </cell>
        </row>
        <row r="114">
          <cell r="B114">
            <v>45810.310416666667</v>
          </cell>
          <cell r="C114">
            <v>45810.400694444441</v>
          </cell>
          <cell r="K114">
            <v>1500</v>
          </cell>
          <cell r="L114" t="str">
            <v>LNHGCN01</v>
          </cell>
          <cell r="P114" t="str">
            <v>LUA &amp; NEVE</v>
          </cell>
        </row>
        <row r="115">
          <cell r="B115">
            <v>45810.401388888888</v>
          </cell>
          <cell r="C115">
            <v>45810.493055555555</v>
          </cell>
          <cell r="K115">
            <v>1500</v>
          </cell>
          <cell r="L115" t="str">
            <v>LNHGCN01</v>
          </cell>
          <cell r="P115" t="str">
            <v>LUA &amp; NEVE</v>
          </cell>
        </row>
        <row r="116">
          <cell r="B116">
            <v>45810.493055555555</v>
          </cell>
          <cell r="C116">
            <v>45810.659722222219</v>
          </cell>
          <cell r="K116">
            <v>1584</v>
          </cell>
          <cell r="L116" t="str">
            <v>LNHGCN01</v>
          </cell>
          <cell r="P116" t="str">
            <v>LUA &amp; NEVE</v>
          </cell>
        </row>
        <row r="117">
          <cell r="B117">
            <v>45810.659722222219</v>
          </cell>
          <cell r="C117">
            <v>45811.333333333336</v>
          </cell>
          <cell r="K117">
            <v>1080</v>
          </cell>
          <cell r="L117" t="str">
            <v>LNHGSH02</v>
          </cell>
          <cell r="P117" t="str">
            <v>LUA &amp; NEVE</v>
          </cell>
        </row>
        <row r="118">
          <cell r="B118">
            <v>45811.333333333336</v>
          </cell>
          <cell r="C118">
            <v>45811.440972222219</v>
          </cell>
          <cell r="K118">
            <v>1872</v>
          </cell>
          <cell r="L118" t="str">
            <v>LNHGSH02</v>
          </cell>
          <cell r="P118" t="str">
            <v>LUA &amp; NEVE</v>
          </cell>
        </row>
        <row r="119">
          <cell r="B119">
            <v>45811.440972222219</v>
          </cell>
          <cell r="C119">
            <v>45811.586805555555</v>
          </cell>
          <cell r="K119">
            <v>1764</v>
          </cell>
          <cell r="L119" t="str">
            <v>LNHGSH02</v>
          </cell>
          <cell r="P119" t="str">
            <v>LUA &amp; NEVE</v>
          </cell>
        </row>
        <row r="120">
          <cell r="B120">
            <v>45811.586805555555</v>
          </cell>
          <cell r="C120">
            <v>45811.695138888892</v>
          </cell>
          <cell r="K120">
            <v>1728</v>
          </cell>
          <cell r="L120" t="str">
            <v>LNHGSH02</v>
          </cell>
          <cell r="P120" t="str">
            <v>LUA &amp; NEVE</v>
          </cell>
        </row>
        <row r="121">
          <cell r="B121">
            <v>45811.695138888892</v>
          </cell>
          <cell r="C121">
            <v>45812.482638888891</v>
          </cell>
          <cell r="K121">
            <v>1728</v>
          </cell>
          <cell r="L121" t="str">
            <v>LNHGSH02</v>
          </cell>
          <cell r="P121" t="str">
            <v>LUA &amp; NEVE</v>
          </cell>
        </row>
        <row r="122">
          <cell r="B122">
            <v>45812.482638888891</v>
          </cell>
          <cell r="C122">
            <v>45812.5625</v>
          </cell>
          <cell r="K122">
            <v>1116</v>
          </cell>
          <cell r="L122" t="str">
            <v>LNHGSH02</v>
          </cell>
          <cell r="P122" t="str">
            <v>LUA &amp; NEVE</v>
          </cell>
        </row>
        <row r="123">
          <cell r="B123">
            <v>45812.5625</v>
          </cell>
          <cell r="C123">
            <v>45812.630555555559</v>
          </cell>
          <cell r="K123">
            <v>1512</v>
          </cell>
          <cell r="L123" t="str">
            <v>LNHGCN03</v>
          </cell>
          <cell r="P123" t="str">
            <v>LUA &amp; NEVE</v>
          </cell>
        </row>
        <row r="124">
          <cell r="B124">
            <v>45812.630555555559</v>
          </cell>
          <cell r="C124">
            <v>45813.333333333336</v>
          </cell>
          <cell r="K124">
            <v>1512</v>
          </cell>
          <cell r="L124" t="str">
            <v>LNHGCN03</v>
          </cell>
          <cell r="P124" t="str">
            <v>LUA &amp; NEVE</v>
          </cell>
        </row>
        <row r="125">
          <cell r="B125">
            <v>45813.3125</v>
          </cell>
          <cell r="C125">
            <v>45813.427083333336</v>
          </cell>
          <cell r="K125">
            <v>1512</v>
          </cell>
          <cell r="L125" t="str">
            <v>LNHGFN03</v>
          </cell>
          <cell r="P125" t="str">
            <v>LUA &amp; NEVE</v>
          </cell>
        </row>
        <row r="126">
          <cell r="B126">
            <v>45813.333333333336</v>
          </cell>
          <cell r="C126">
            <v>45813.4375</v>
          </cell>
          <cell r="K126">
            <v>1452</v>
          </cell>
          <cell r="L126" t="str">
            <v>LNHGCN03</v>
          </cell>
          <cell r="P126" t="str">
            <v>LUA &amp; NEVE</v>
          </cell>
        </row>
        <row r="127">
          <cell r="B127">
            <v>45813.427083333336</v>
          </cell>
          <cell r="C127">
            <v>45813.59375</v>
          </cell>
          <cell r="K127">
            <v>1512</v>
          </cell>
          <cell r="L127" t="str">
            <v>LNHGFN03</v>
          </cell>
          <cell r="P127" t="str">
            <v>LUA &amp; NEVE</v>
          </cell>
        </row>
        <row r="128">
          <cell r="B128">
            <v>45813.4375</v>
          </cell>
          <cell r="C128">
            <v>45813.635416666664</v>
          </cell>
          <cell r="K128">
            <v>1512</v>
          </cell>
          <cell r="L128" t="str">
            <v>LNHGFN01</v>
          </cell>
          <cell r="P128" t="str">
            <v>LUA &amp; NEVE</v>
          </cell>
        </row>
        <row r="129">
          <cell r="B129">
            <v>45813.59375</v>
          </cell>
          <cell r="C129" t="str">
            <v>-</v>
          </cell>
          <cell r="K129">
            <v>1728</v>
          </cell>
          <cell r="L129" t="str">
            <v>LNHGFN03</v>
          </cell>
          <cell r="P129" t="str">
            <v>LUA &amp; NEVE</v>
          </cell>
        </row>
        <row r="130">
          <cell r="B130">
            <v>45813.635416666664</v>
          </cell>
          <cell r="C130">
            <v>45814.337500000001</v>
          </cell>
          <cell r="K130">
            <v>1512</v>
          </cell>
          <cell r="L130" t="str">
            <v>LNHGFN01</v>
          </cell>
          <cell r="P130" t="str">
            <v>LUA &amp; NEVE</v>
          </cell>
        </row>
        <row r="131">
          <cell r="B131">
            <v>45814</v>
          </cell>
          <cell r="C131">
            <v>45814</v>
          </cell>
          <cell r="K131">
            <v>1512</v>
          </cell>
          <cell r="L131" t="str">
            <v>LNHGFN02</v>
          </cell>
          <cell r="P131" t="str">
            <v>LUA &amp; NEVE</v>
          </cell>
        </row>
        <row r="132">
          <cell r="B132">
            <v>45814.337500000001</v>
          </cell>
          <cell r="C132" t="str">
            <v>-</v>
          </cell>
          <cell r="K132">
            <v>1332</v>
          </cell>
          <cell r="L132" t="str">
            <v>LNHGFN01</v>
          </cell>
          <cell r="P132" t="str">
            <v>LUA &amp; NEVE</v>
          </cell>
        </row>
        <row r="133">
          <cell r="B133">
            <v>45814.354166666664</v>
          </cell>
          <cell r="C133">
            <v>45814.381944444445</v>
          </cell>
          <cell r="K133">
            <v>1012</v>
          </cell>
          <cell r="L133" t="str">
            <v>BMKDHD01</v>
          </cell>
          <cell r="P133" t="str">
            <v>BE MAGIC</v>
          </cell>
        </row>
        <row r="134">
          <cell r="B134">
            <v>45814.381944444445</v>
          </cell>
          <cell r="C134">
            <v>45814.416666666664</v>
          </cell>
          <cell r="K134">
            <v>1020</v>
          </cell>
          <cell r="L134" t="str">
            <v>BMKDHD03</v>
          </cell>
          <cell r="P134" t="str">
            <v>BE MAGIC</v>
          </cell>
        </row>
        <row r="135">
          <cell r="B135">
            <v>45814.548611111109</v>
          </cell>
          <cell r="C135">
            <v>45814.618055555555</v>
          </cell>
          <cell r="K135">
            <v>1512</v>
          </cell>
          <cell r="L135" t="str">
            <v>LNHGFN02</v>
          </cell>
          <cell r="P135" t="str">
            <v>LUA &amp; NEVE</v>
          </cell>
        </row>
        <row r="136">
          <cell r="B136">
            <v>45814.631944444445</v>
          </cell>
          <cell r="C136">
            <v>45817.375</v>
          </cell>
          <cell r="K136">
            <v>1512</v>
          </cell>
          <cell r="L136" t="str">
            <v>LNHGFN02</v>
          </cell>
          <cell r="P136" t="str">
            <v>LUA &amp; NEVE</v>
          </cell>
        </row>
        <row r="137">
          <cell r="B137">
            <v>45814.645833333336</v>
          </cell>
          <cell r="C137">
            <v>45817.340277777781</v>
          </cell>
          <cell r="K137">
            <v>1440</v>
          </cell>
          <cell r="L137" t="str">
            <v>LNHGMS01</v>
          </cell>
          <cell r="P137" t="str">
            <v>LUA &amp; NEVE</v>
          </cell>
        </row>
        <row r="138">
          <cell r="B138">
            <v>45817.34375</v>
          </cell>
          <cell r="C138">
            <v>45817.420138888891</v>
          </cell>
          <cell r="K138">
            <v>1512</v>
          </cell>
          <cell r="L138" t="str">
            <v>LNHGMS01</v>
          </cell>
          <cell r="P138" t="str">
            <v>LUA &amp; NEVE</v>
          </cell>
        </row>
        <row r="139">
          <cell r="B139">
            <v>45817.420138888891</v>
          </cell>
          <cell r="C139">
            <v>45817.5625</v>
          </cell>
          <cell r="K139">
            <v>1434</v>
          </cell>
          <cell r="L139" t="str">
            <v>LNHGMS01</v>
          </cell>
          <cell r="P139" t="str">
            <v>LUA &amp; NEVE</v>
          </cell>
        </row>
        <row r="140">
          <cell r="B140">
            <v>45817.479166666664</v>
          </cell>
          <cell r="C140">
            <v>45817.588888888888</v>
          </cell>
          <cell r="K140">
            <v>1512</v>
          </cell>
          <cell r="L140" t="str">
            <v>LNHGMS02</v>
          </cell>
          <cell r="P140" t="str">
            <v>LUA &amp; NEVE</v>
          </cell>
        </row>
        <row r="141">
          <cell r="B141">
            <v>45817.588888888888</v>
          </cell>
          <cell r="C141">
            <v>45817.671527777777</v>
          </cell>
          <cell r="K141">
            <v>1512</v>
          </cell>
          <cell r="L141" t="str">
            <v>LNHGMS02</v>
          </cell>
          <cell r="P141" t="str">
            <v>LUA &amp; NEVE</v>
          </cell>
        </row>
        <row r="142">
          <cell r="B142">
            <v>45817.611111111109</v>
          </cell>
          <cell r="C142">
            <v>45817.645833333336</v>
          </cell>
          <cell r="K142">
            <v>1512</v>
          </cell>
          <cell r="L142" t="str">
            <v>LNHGMS03</v>
          </cell>
          <cell r="P142" t="str">
            <v>LUA &amp; NEVE</v>
          </cell>
        </row>
        <row r="143">
          <cell r="B143">
            <v>45817.645833333336</v>
          </cell>
          <cell r="C143">
            <v>45818.354166666664</v>
          </cell>
          <cell r="K143">
            <v>1512</v>
          </cell>
          <cell r="L143" t="str">
            <v>LNHGMS03</v>
          </cell>
          <cell r="P143" t="str">
            <v>LUA &amp; NEVE</v>
          </cell>
        </row>
        <row r="144">
          <cell r="B144">
            <v>45817.671527777777</v>
          </cell>
          <cell r="C144">
            <v>45818.354166666664</v>
          </cell>
          <cell r="K144">
            <v>1476</v>
          </cell>
          <cell r="L144" t="str">
            <v>LNHGMS02</v>
          </cell>
          <cell r="P144" t="str">
            <v>LUA &amp; NEVE</v>
          </cell>
        </row>
        <row r="145">
          <cell r="B145">
            <v>45818.354166666664</v>
          </cell>
          <cell r="C145">
            <v>45818.425694444442</v>
          </cell>
          <cell r="K145">
            <v>1431</v>
          </cell>
          <cell r="L145" t="str">
            <v>LNHGMS03</v>
          </cell>
          <cell r="P145" t="str">
            <v>LUA &amp; NEVE</v>
          </cell>
        </row>
        <row r="146">
          <cell r="B146">
            <v>45818.46875</v>
          </cell>
          <cell r="C146">
            <v>45818.625</v>
          </cell>
          <cell r="G146" t="str">
            <v>Miss Rôse - Hidratante</v>
          </cell>
          <cell r="K146">
            <v>1632</v>
          </cell>
          <cell r="L146" t="str">
            <v>MRARHD01</v>
          </cell>
          <cell r="P146" t="str">
            <v>MISS RÔSE</v>
          </cell>
        </row>
        <row r="147">
          <cell r="B147">
            <v>45818.541666666664</v>
          </cell>
          <cell r="C147">
            <v>45818.625</v>
          </cell>
          <cell r="G147" t="str">
            <v>Miss Rôse - Hidratante</v>
          </cell>
          <cell r="K147">
            <v>2016</v>
          </cell>
          <cell r="L147" t="str">
            <v>MRARHD01</v>
          </cell>
          <cell r="P147" t="str">
            <v>MISS RÔSE</v>
          </cell>
        </row>
        <row r="148">
          <cell r="B148">
            <v>45818.625</v>
          </cell>
          <cell r="C148">
            <v>45819.4375</v>
          </cell>
          <cell r="G148" t="str">
            <v>Miss Rôse - Hidratante</v>
          </cell>
          <cell r="K148">
            <v>1512</v>
          </cell>
          <cell r="L148" t="str">
            <v>MRARHD01</v>
          </cell>
          <cell r="P148" t="str">
            <v>MISS RÔSE</v>
          </cell>
        </row>
        <row r="149">
          <cell r="B149">
            <v>45818.697222222225</v>
          </cell>
          <cell r="C149">
            <v>45819.401388888888</v>
          </cell>
          <cell r="G149" t="str">
            <v>Miss Rôse - Hidratante</v>
          </cell>
          <cell r="K149">
            <v>2016</v>
          </cell>
          <cell r="L149" t="str">
            <v>MRARHD01</v>
          </cell>
          <cell r="P149" t="str">
            <v>MISS RÔSE</v>
          </cell>
        </row>
        <row r="150">
          <cell r="B150">
            <v>45819.4375</v>
          </cell>
          <cell r="C150">
            <v>45819.645833333336</v>
          </cell>
          <cell r="G150" t="str">
            <v>Miss Rôse - Hidratante</v>
          </cell>
          <cell r="K150">
            <v>2064</v>
          </cell>
          <cell r="L150" t="str">
            <v>MRARHD01</v>
          </cell>
          <cell r="P150" t="str">
            <v>MISS RÔSE</v>
          </cell>
        </row>
        <row r="151">
          <cell r="B151">
            <v>45819.597916666666</v>
          </cell>
          <cell r="C151">
            <v>45820.313888888886</v>
          </cell>
          <cell r="G151" t="str">
            <v>Miss Rôse - Hidratante</v>
          </cell>
          <cell r="K151">
            <v>2016</v>
          </cell>
          <cell r="L151" t="str">
            <v>MRARHD02</v>
          </cell>
          <cell r="P151" t="str">
            <v>MISS RÔSE</v>
          </cell>
        </row>
        <row r="152">
          <cell r="B152">
            <v>45820</v>
          </cell>
          <cell r="C152">
            <v>45820</v>
          </cell>
          <cell r="K152">
            <v>1082</v>
          </cell>
          <cell r="L152" t="str">
            <v>KUBPBA01</v>
          </cell>
          <cell r="P152" t="str">
            <v>KURYOS</v>
          </cell>
        </row>
        <row r="153">
          <cell r="B153">
            <v>45820.313888888886</v>
          </cell>
          <cell r="C153">
            <v>45820.541666666664</v>
          </cell>
          <cell r="G153" t="str">
            <v>Miss Rôse - Hidratante</v>
          </cell>
          <cell r="K153">
            <v>2016</v>
          </cell>
          <cell r="L153" t="str">
            <v>MRARHD02</v>
          </cell>
          <cell r="P153" t="str">
            <v>MISS RÔSE</v>
          </cell>
        </row>
        <row r="154">
          <cell r="B154">
            <v>45820.458333333336</v>
          </cell>
          <cell r="C154">
            <v>45820.701388888891</v>
          </cell>
          <cell r="K154">
            <v>1071</v>
          </cell>
          <cell r="L154" t="str">
            <v>KUBPBA02</v>
          </cell>
          <cell r="P154" t="str">
            <v>KURYOS</v>
          </cell>
        </row>
        <row r="155">
          <cell r="B155">
            <v>45820.541666666664</v>
          </cell>
          <cell r="C155">
            <v>45820.59375</v>
          </cell>
          <cell r="G155" t="str">
            <v>Miss Rôse - Hidratante</v>
          </cell>
          <cell r="K155">
            <v>2016</v>
          </cell>
          <cell r="L155" t="str">
            <v>MRARHD02</v>
          </cell>
          <cell r="P155" t="str">
            <v>MISS RÔSE</v>
          </cell>
        </row>
        <row r="156">
          <cell r="B156">
            <v>45820.625</v>
          </cell>
          <cell r="C156">
            <v>45821.40902777778</v>
          </cell>
          <cell r="G156" t="str">
            <v>Miss Rôse - Hidratante</v>
          </cell>
          <cell r="K156">
            <v>2016</v>
          </cell>
          <cell r="L156" t="str">
            <v>MRARHD02</v>
          </cell>
          <cell r="P156" t="str">
            <v>MISS RÔSE</v>
          </cell>
        </row>
        <row r="157">
          <cell r="B157">
            <v>45820.645833333336</v>
          </cell>
          <cell r="C157">
            <v>45820.694444444445</v>
          </cell>
          <cell r="G157" t="str">
            <v>Miss Rôse - Hidratante</v>
          </cell>
          <cell r="K157">
            <v>1728</v>
          </cell>
          <cell r="L157" t="str">
            <v>MRARHD02</v>
          </cell>
          <cell r="P157" t="str">
            <v>MISS RÔSE</v>
          </cell>
        </row>
        <row r="158">
          <cell r="B158">
            <v>45821</v>
          </cell>
          <cell r="C158">
            <v>45821</v>
          </cell>
          <cell r="G158" t="str">
            <v>Perfumes Moutier</v>
          </cell>
          <cell r="K158">
            <v>600</v>
          </cell>
          <cell r="L158" t="str">
            <v>MOPFFM13</v>
          </cell>
          <cell r="P158" t="str">
            <v>MOUTIER</v>
          </cell>
        </row>
        <row r="159">
          <cell r="B159">
            <v>45821.416666666664</v>
          </cell>
          <cell r="C159">
            <v>45821.625</v>
          </cell>
          <cell r="K159">
            <v>1008</v>
          </cell>
          <cell r="L159" t="str">
            <v>KUBPBA02</v>
          </cell>
          <cell r="P159" t="str">
            <v>KURYOS</v>
          </cell>
        </row>
        <row r="160">
          <cell r="B160">
            <v>45821.541666666664</v>
          </cell>
          <cell r="C160">
            <v>45821.625</v>
          </cell>
          <cell r="G160" t="str">
            <v>Miss Rôse - Hidratante</v>
          </cell>
          <cell r="K160">
            <v>816</v>
          </cell>
          <cell r="L160" t="str">
            <v>MRARHD02</v>
          </cell>
          <cell r="P160" t="str">
            <v>MISS RÔSE</v>
          </cell>
        </row>
        <row r="161">
          <cell r="B161">
            <v>45824</v>
          </cell>
          <cell r="C161">
            <v>45824</v>
          </cell>
          <cell r="G161" t="str">
            <v>Perfumes Moutier</v>
          </cell>
          <cell r="K161">
            <v>942</v>
          </cell>
          <cell r="L161" t="str">
            <v>MOPFFM13</v>
          </cell>
          <cell r="P161" t="str">
            <v>MOUTIER</v>
          </cell>
        </row>
        <row r="162">
          <cell r="B162">
            <v>45824.375</v>
          </cell>
          <cell r="C162">
            <v>45824.46875</v>
          </cell>
          <cell r="G162" t="str">
            <v>Miss Rôse - Body Splash 1.0</v>
          </cell>
          <cell r="K162">
            <v>2496</v>
          </cell>
          <cell r="L162" t="str">
            <v>MRARBS01</v>
          </cell>
          <cell r="P162" t="str">
            <v>MISS RÔSE</v>
          </cell>
        </row>
        <row r="163">
          <cell r="B163">
            <v>45824.46875</v>
          </cell>
          <cell r="C163">
            <v>45824.602083333331</v>
          </cell>
          <cell r="G163" t="str">
            <v>Miss Rôse - Body Splash 1.0</v>
          </cell>
          <cell r="K163">
            <v>1056</v>
          </cell>
          <cell r="L163" t="str">
            <v>MRARBS01</v>
          </cell>
          <cell r="P163" t="str">
            <v>MISS RÔSE</v>
          </cell>
        </row>
        <row r="164">
          <cell r="B164">
            <v>45824.6</v>
          </cell>
          <cell r="C164">
            <v>45825.388888888891</v>
          </cell>
          <cell r="G164" t="str">
            <v>Miss Rôse - Body Splash 1.0</v>
          </cell>
          <cell r="K164">
            <v>2544</v>
          </cell>
          <cell r="L164" t="str">
            <v>MRARBS03</v>
          </cell>
          <cell r="P164" t="str">
            <v>MISS RÔSE</v>
          </cell>
        </row>
        <row r="165">
          <cell r="B165">
            <v>45825</v>
          </cell>
          <cell r="C165">
            <v>45825</v>
          </cell>
          <cell r="G165" t="str">
            <v>Perfumes Moutier</v>
          </cell>
          <cell r="K165">
            <v>300</v>
          </cell>
          <cell r="L165" t="str">
            <v>MOPFFW09</v>
          </cell>
          <cell r="P165" t="str">
            <v>MOUTIER</v>
          </cell>
        </row>
        <row r="166">
          <cell r="B166">
            <v>45825</v>
          </cell>
          <cell r="C166">
            <v>45825</v>
          </cell>
          <cell r="G166" t="str">
            <v>Perfumes Moutier</v>
          </cell>
          <cell r="K166">
            <v>300</v>
          </cell>
          <cell r="L166" t="str">
            <v>MOPFFW10</v>
          </cell>
          <cell r="P166" t="str">
            <v>MOUTIER</v>
          </cell>
        </row>
        <row r="167">
          <cell r="B167">
            <v>45825</v>
          </cell>
          <cell r="C167">
            <v>45825</v>
          </cell>
          <cell r="G167" t="str">
            <v>Perfumes Moutier</v>
          </cell>
          <cell r="K167">
            <v>60</v>
          </cell>
          <cell r="L167" t="str">
            <v>MOPFFW01</v>
          </cell>
          <cell r="P167" t="str">
            <v>MOUTIER</v>
          </cell>
        </row>
        <row r="168">
          <cell r="B168">
            <v>45825.388888888891</v>
          </cell>
          <cell r="C168">
            <v>45825.5625</v>
          </cell>
          <cell r="G168" t="str">
            <v>Miss Rôse - Body Splash 1.0</v>
          </cell>
          <cell r="K168">
            <v>2544</v>
          </cell>
          <cell r="L168" t="str">
            <v>MRARBS03</v>
          </cell>
          <cell r="P168" t="str">
            <v>MISS RÔSE</v>
          </cell>
        </row>
        <row r="169">
          <cell r="B169">
            <v>45825.5625</v>
          </cell>
          <cell r="C169">
            <v>45826.3125</v>
          </cell>
          <cell r="G169" t="str">
            <v>Miss Rôse - Body Splash 1.0</v>
          </cell>
          <cell r="K169">
            <v>2544</v>
          </cell>
          <cell r="L169" t="str">
            <v>MRARBS03</v>
          </cell>
          <cell r="P169" t="str">
            <v>MISS RÔSE</v>
          </cell>
        </row>
        <row r="170">
          <cell r="B170">
            <v>45826</v>
          </cell>
          <cell r="C170">
            <v>45826</v>
          </cell>
          <cell r="G170" t="str">
            <v>Perfumes Moutier</v>
          </cell>
          <cell r="K170">
            <v>202</v>
          </cell>
          <cell r="L170" t="str">
            <v>MOPFFW10</v>
          </cell>
          <cell r="P170" t="str">
            <v>MOUTIER</v>
          </cell>
        </row>
        <row r="171">
          <cell r="B171">
            <v>45826</v>
          </cell>
          <cell r="C171">
            <v>45826</v>
          </cell>
          <cell r="G171" t="str">
            <v>Perfumes Moutier</v>
          </cell>
          <cell r="K171">
            <v>447</v>
          </cell>
          <cell r="L171" t="str">
            <v>MOPFFW01</v>
          </cell>
          <cell r="P171" t="str">
            <v>MOUTIER</v>
          </cell>
        </row>
        <row r="172">
          <cell r="B172">
            <v>45826</v>
          </cell>
          <cell r="C172">
            <v>45826</v>
          </cell>
          <cell r="G172" t="str">
            <v>Perfumes Moutier</v>
          </cell>
          <cell r="K172">
            <v>180</v>
          </cell>
          <cell r="L172" t="str">
            <v>MOPFFM03</v>
          </cell>
          <cell r="P172" t="str">
            <v>MOUTIER</v>
          </cell>
        </row>
        <row r="173">
          <cell r="B173">
            <v>45826</v>
          </cell>
          <cell r="C173">
            <v>45826</v>
          </cell>
          <cell r="G173" t="str">
            <v>Perfumes Moutier</v>
          </cell>
          <cell r="K173">
            <v>180</v>
          </cell>
          <cell r="L173" t="str">
            <v>MOPFFM04</v>
          </cell>
          <cell r="P173" t="str">
            <v>MOUTIER</v>
          </cell>
        </row>
        <row r="174">
          <cell r="B174">
            <v>45826</v>
          </cell>
          <cell r="C174">
            <v>45826</v>
          </cell>
          <cell r="G174" t="str">
            <v>Perfumes Moutier</v>
          </cell>
          <cell r="K174">
            <v>180</v>
          </cell>
          <cell r="L174" t="str">
            <v>MOPFFM01</v>
          </cell>
          <cell r="P174" t="str">
            <v>MOUTIER</v>
          </cell>
        </row>
        <row r="175">
          <cell r="B175">
            <v>45826.354166666664</v>
          </cell>
          <cell r="C175">
            <v>45826.552083333336</v>
          </cell>
          <cell r="G175" t="str">
            <v>Miss Rôse - Body Splash 1.0</v>
          </cell>
          <cell r="K175">
            <v>3456</v>
          </cell>
          <cell r="L175" t="str">
            <v>MRARBS03</v>
          </cell>
          <cell r="P175" t="str">
            <v>MISS RÔSE</v>
          </cell>
        </row>
        <row r="176">
          <cell r="B176">
            <v>45826.552083333336</v>
          </cell>
          <cell r="C176">
            <v>45826.698611111111</v>
          </cell>
          <cell r="G176" t="str">
            <v>Miss Rôse - Body Splash 1.0</v>
          </cell>
          <cell r="K176">
            <v>2544</v>
          </cell>
          <cell r="L176" t="str">
            <v>MRARBS02</v>
          </cell>
          <cell r="P176" t="str">
            <v>MISS RÔSE</v>
          </cell>
        </row>
        <row r="177">
          <cell r="B177">
            <v>45826.698611111111</v>
          </cell>
          <cell r="C177">
            <v>45827.402777777781</v>
          </cell>
          <cell r="G177" t="str">
            <v>Miss Rôse - Body Splash 1.0</v>
          </cell>
          <cell r="K177">
            <v>2544</v>
          </cell>
          <cell r="L177" t="str">
            <v>MRARBS02</v>
          </cell>
          <cell r="P177" t="str">
            <v>MISS RÔSE</v>
          </cell>
        </row>
        <row r="178">
          <cell r="B178">
            <v>45827</v>
          </cell>
          <cell r="C178">
            <v>45827</v>
          </cell>
          <cell r="G178" t="str">
            <v>Perfumes Moutier</v>
          </cell>
          <cell r="K178">
            <v>324</v>
          </cell>
          <cell r="L178" t="str">
            <v>MOPFFM01</v>
          </cell>
          <cell r="P178" t="str">
            <v>MOUTIER</v>
          </cell>
        </row>
        <row r="179">
          <cell r="B179">
            <v>45827</v>
          </cell>
          <cell r="C179">
            <v>45827</v>
          </cell>
          <cell r="G179" t="str">
            <v>Perfumes Moutier</v>
          </cell>
          <cell r="K179">
            <v>206</v>
          </cell>
          <cell r="L179" t="str">
            <v>MOPFFW09</v>
          </cell>
          <cell r="P179" t="str">
            <v>MOUTIER</v>
          </cell>
        </row>
        <row r="180">
          <cell r="B180">
            <v>45827</v>
          </cell>
          <cell r="C180">
            <v>45827</v>
          </cell>
          <cell r="G180" t="str">
            <v>Perfumes Moutier</v>
          </cell>
          <cell r="K180">
            <v>378</v>
          </cell>
          <cell r="L180" t="str">
            <v>MOPFFW05</v>
          </cell>
          <cell r="P180" t="str">
            <v>MOUTIER</v>
          </cell>
        </row>
        <row r="181">
          <cell r="B181">
            <v>45827</v>
          </cell>
          <cell r="C181">
            <v>45827</v>
          </cell>
          <cell r="G181" t="str">
            <v>Perfumes Moutier</v>
          </cell>
          <cell r="K181">
            <v>335</v>
          </cell>
          <cell r="L181" t="str">
            <v>MOPFFM04</v>
          </cell>
          <cell r="P181" t="str">
            <v>MOUTIER</v>
          </cell>
        </row>
        <row r="182">
          <cell r="B182">
            <v>45827.402777777781</v>
          </cell>
          <cell r="C182">
            <v>45827.561111111114</v>
          </cell>
          <cell r="G182" t="str">
            <v>Miss Rôse - Body Splash 1.0</v>
          </cell>
          <cell r="K182">
            <v>2544</v>
          </cell>
          <cell r="L182" t="str">
            <v>MRARBS02</v>
          </cell>
          <cell r="P182" t="str">
            <v>MISS RÔSE</v>
          </cell>
        </row>
        <row r="183">
          <cell r="B183">
            <v>45827.561111111114</v>
          </cell>
          <cell r="C183">
            <v>45831.347222222219</v>
          </cell>
          <cell r="G183" t="str">
            <v>Miss Rôse - Body Splash 1.0</v>
          </cell>
          <cell r="K183">
            <v>2928</v>
          </cell>
          <cell r="L183" t="str">
            <v>MRARBS02</v>
          </cell>
          <cell r="P183" t="str">
            <v>MISS RÔSE</v>
          </cell>
        </row>
        <row r="184">
          <cell r="B184">
            <v>45831</v>
          </cell>
          <cell r="C184">
            <v>45831</v>
          </cell>
          <cell r="G184" t="str">
            <v>Perfumes Moutier</v>
          </cell>
          <cell r="K184">
            <v>336</v>
          </cell>
          <cell r="L184" t="str">
            <v>MOPFFM03</v>
          </cell>
          <cell r="P184" t="str">
            <v>MOUTIER</v>
          </cell>
        </row>
        <row r="185">
          <cell r="B185">
            <v>45831</v>
          </cell>
          <cell r="C185">
            <v>45831</v>
          </cell>
          <cell r="G185" t="str">
            <v>Perfumes Moutier</v>
          </cell>
          <cell r="K185">
            <v>506</v>
          </cell>
          <cell r="L185" t="str">
            <v>MOPFFW04</v>
          </cell>
          <cell r="P185" t="str">
            <v>MOUTIER</v>
          </cell>
        </row>
        <row r="186">
          <cell r="B186">
            <v>45831</v>
          </cell>
          <cell r="C186">
            <v>45831</v>
          </cell>
          <cell r="G186" t="str">
            <v>Perfumes Moutier</v>
          </cell>
          <cell r="K186">
            <v>125</v>
          </cell>
          <cell r="L186" t="str">
            <v>MOPFFW05</v>
          </cell>
          <cell r="P186" t="str">
            <v>MOUTIER</v>
          </cell>
        </row>
        <row r="187">
          <cell r="B187">
            <v>45831.352083333331</v>
          </cell>
          <cell r="C187">
            <v>45831.465277777781</v>
          </cell>
          <cell r="G187" t="str">
            <v>Miss Rôse - Body Splash 1.0</v>
          </cell>
          <cell r="K187">
            <v>2544</v>
          </cell>
          <cell r="L187" t="str">
            <v>MRARBS04</v>
          </cell>
          <cell r="P187" t="str">
            <v>MISS RÔSE</v>
          </cell>
        </row>
        <row r="188">
          <cell r="B188">
            <v>45831.465277777781</v>
          </cell>
          <cell r="C188">
            <v>45831.619444444441</v>
          </cell>
          <cell r="G188" t="str">
            <v>Miss Rôse - Body Splash 1.0</v>
          </cell>
          <cell r="K188">
            <v>2784</v>
          </cell>
          <cell r="L188" t="str">
            <v>MRARBS04</v>
          </cell>
          <cell r="P188" t="str">
            <v>MISS RÔSE</v>
          </cell>
        </row>
        <row r="189">
          <cell r="B189">
            <v>45831.619444444441</v>
          </cell>
          <cell r="C189">
            <v>45832.365277777775</v>
          </cell>
          <cell r="G189" t="str">
            <v>Miss Rôse - Body Splash 1.0</v>
          </cell>
          <cell r="K189">
            <v>2544</v>
          </cell>
          <cell r="L189" t="str">
            <v>MRARBS01</v>
          </cell>
          <cell r="P189" t="str">
            <v>MISS RÔSE</v>
          </cell>
        </row>
        <row r="190">
          <cell r="B190">
            <v>45832</v>
          </cell>
          <cell r="C190">
            <v>45832</v>
          </cell>
          <cell r="G190" t="str">
            <v>Perfumes Moutier</v>
          </cell>
          <cell r="K190">
            <v>506</v>
          </cell>
          <cell r="L190" t="str">
            <v>MOPFFW03</v>
          </cell>
          <cell r="P190" t="str">
            <v>MOUTIER</v>
          </cell>
        </row>
        <row r="191">
          <cell r="B191">
            <v>45832</v>
          </cell>
          <cell r="C191">
            <v>45832</v>
          </cell>
          <cell r="G191" t="str">
            <v>Perfumes Moutier</v>
          </cell>
          <cell r="K191">
            <v>240</v>
          </cell>
          <cell r="L191" t="str">
            <v>MOPFFW02</v>
          </cell>
          <cell r="P191" t="str">
            <v>MOUTIER</v>
          </cell>
        </row>
        <row r="192">
          <cell r="B192">
            <v>45832.365277777775</v>
          </cell>
          <cell r="C192">
            <v>45832.46875</v>
          </cell>
          <cell r="G192" t="str">
            <v>Miss Rôse - Body Splash 1.0</v>
          </cell>
          <cell r="K192">
            <v>2592</v>
          </cell>
          <cell r="L192" t="str">
            <v>MRARBS01</v>
          </cell>
          <cell r="P192" t="str">
            <v>MISS RÔSE</v>
          </cell>
        </row>
        <row r="193">
          <cell r="B193">
            <v>45832.46875</v>
          </cell>
          <cell r="C193">
            <v>45832.625</v>
          </cell>
          <cell r="G193" t="str">
            <v>Miss Rôse - Body Splash 1.0</v>
          </cell>
          <cell r="K193">
            <v>2592</v>
          </cell>
          <cell r="L193" t="str">
            <v>MRARBS01</v>
          </cell>
          <cell r="P193" t="str">
            <v>MISS RÔSE</v>
          </cell>
        </row>
        <row r="194">
          <cell r="B194">
            <v>45832.625</v>
          </cell>
          <cell r="C194">
            <v>45833.388888888891</v>
          </cell>
          <cell r="G194" t="str">
            <v>Miss Rôse - Body Splash 1.0</v>
          </cell>
          <cell r="K194">
            <v>2640</v>
          </cell>
          <cell r="L194" t="str">
            <v>MRARBS01</v>
          </cell>
          <cell r="P194" t="str">
            <v>MISS RÔSE</v>
          </cell>
        </row>
        <row r="195">
          <cell r="B195">
            <v>45833</v>
          </cell>
          <cell r="C195">
            <v>45833</v>
          </cell>
          <cell r="G195" t="str">
            <v>Perfumes Moutier</v>
          </cell>
          <cell r="K195">
            <v>420</v>
          </cell>
          <cell r="L195" t="str">
            <v>MOPFFW06</v>
          </cell>
          <cell r="P195" t="str">
            <v>MOUTIER</v>
          </cell>
        </row>
        <row r="196">
          <cell r="B196">
            <v>45833</v>
          </cell>
          <cell r="C196">
            <v>45833</v>
          </cell>
          <cell r="G196" t="str">
            <v>Perfumes Moutier</v>
          </cell>
          <cell r="K196">
            <v>274</v>
          </cell>
          <cell r="L196" t="str">
            <v>MOPFFW02</v>
          </cell>
          <cell r="P196" t="str">
            <v>MOUTIER</v>
          </cell>
        </row>
        <row r="197">
          <cell r="B197">
            <v>45833.388888888891</v>
          </cell>
          <cell r="C197">
            <v>45833.625</v>
          </cell>
          <cell r="G197" t="str">
            <v>Miss Rôse - Body Splash 1.0</v>
          </cell>
          <cell r="K197">
            <v>2592</v>
          </cell>
          <cell r="L197" t="str">
            <v>MRARBS01</v>
          </cell>
          <cell r="P197" t="str">
            <v>MISS RÔSE</v>
          </cell>
        </row>
        <row r="198">
          <cell r="B198">
            <v>45833.625</v>
          </cell>
          <cell r="C198">
            <v>45834.368055555555</v>
          </cell>
          <cell r="G198" t="str">
            <v>Miss Rôse - Body Splash 1.0</v>
          </cell>
          <cell r="K198">
            <v>2592</v>
          </cell>
          <cell r="L198" t="str">
            <v>MRARBS01</v>
          </cell>
          <cell r="P198" t="str">
            <v>MISS RÔSE</v>
          </cell>
        </row>
        <row r="199">
          <cell r="B199">
            <v>45834</v>
          </cell>
          <cell r="C199">
            <v>45834</v>
          </cell>
          <cell r="G199" t="str">
            <v>Perfumes Moutier</v>
          </cell>
          <cell r="K199">
            <v>84</v>
          </cell>
          <cell r="L199" t="str">
            <v>MOPFFW06</v>
          </cell>
          <cell r="P199" t="str">
            <v>MOUTIER</v>
          </cell>
        </row>
        <row r="200">
          <cell r="B200">
            <v>45834</v>
          </cell>
          <cell r="C200">
            <v>45834</v>
          </cell>
          <cell r="G200" t="str">
            <v>Perfumes Moutier</v>
          </cell>
          <cell r="K200">
            <v>497</v>
          </cell>
          <cell r="L200" t="str">
            <v>MOPFFW07</v>
          </cell>
          <cell r="P200" t="str">
            <v>MOUTIER</v>
          </cell>
        </row>
        <row r="201">
          <cell r="B201">
            <v>45834</v>
          </cell>
          <cell r="C201">
            <v>45834</v>
          </cell>
          <cell r="G201" t="str">
            <v>Perfumes Moutier</v>
          </cell>
          <cell r="K201">
            <v>507</v>
          </cell>
          <cell r="L201" t="str">
            <v>MOPFFW08</v>
          </cell>
          <cell r="P201" t="str">
            <v>MOUTIER</v>
          </cell>
        </row>
        <row r="202">
          <cell r="B202">
            <v>45834.368055555555</v>
          </cell>
          <cell r="C202">
            <v>45835.366666666669</v>
          </cell>
          <cell r="G202" t="str">
            <v>Miss Rôse - Body Splash 1.0</v>
          </cell>
          <cell r="K202">
            <v>2592</v>
          </cell>
          <cell r="L202" t="str">
            <v>MRARBS01</v>
          </cell>
          <cell r="P202" t="str">
            <v>MISS RÔSE</v>
          </cell>
        </row>
        <row r="203">
          <cell r="B203">
            <v>45835</v>
          </cell>
          <cell r="C203">
            <v>45835</v>
          </cell>
          <cell r="G203" t="str">
            <v>Perfumes Moutier</v>
          </cell>
          <cell r="K203">
            <v>512</v>
          </cell>
          <cell r="L203" t="str">
            <v>MOPFFM02</v>
          </cell>
          <cell r="P203" t="str">
            <v>MOUTIER</v>
          </cell>
        </row>
        <row r="204">
          <cell r="B204">
            <v>45835</v>
          </cell>
          <cell r="C204">
            <v>45835</v>
          </cell>
          <cell r="G204" t="str">
            <v>Perfumes Moutier</v>
          </cell>
          <cell r="K204">
            <v>516</v>
          </cell>
          <cell r="L204" t="str">
            <v>MOPFFM05</v>
          </cell>
          <cell r="P204" t="str">
            <v>MOUTIER</v>
          </cell>
        </row>
        <row r="205">
          <cell r="B205">
            <v>45835</v>
          </cell>
          <cell r="C205">
            <v>45835</v>
          </cell>
          <cell r="G205" t="str">
            <v>Perfumes Moutier</v>
          </cell>
          <cell r="K205">
            <v>500</v>
          </cell>
          <cell r="L205" t="str">
            <v>MOPFFM06</v>
          </cell>
          <cell r="P205" t="str">
            <v>MOUTIER</v>
          </cell>
        </row>
        <row r="206">
          <cell r="B206">
            <v>45838</v>
          </cell>
          <cell r="C206">
            <v>45838</v>
          </cell>
          <cell r="G206" t="str">
            <v>Perfumes Moutier</v>
          </cell>
          <cell r="K206">
            <v>516</v>
          </cell>
          <cell r="L206" t="str">
            <v>MOPFFM09</v>
          </cell>
          <cell r="P206" t="str">
            <v>MOUTIER</v>
          </cell>
        </row>
        <row r="207">
          <cell r="B207">
            <v>45838</v>
          </cell>
          <cell r="C207">
            <v>45838</v>
          </cell>
          <cell r="G207" t="str">
            <v>Perfumes Moutier</v>
          </cell>
          <cell r="K207">
            <v>508</v>
          </cell>
          <cell r="L207" t="str">
            <v>MOPFFM07</v>
          </cell>
          <cell r="P207" t="str">
            <v>MOUTIER</v>
          </cell>
        </row>
        <row r="208">
          <cell r="B208">
            <v>45838</v>
          </cell>
          <cell r="C208">
            <v>45838</v>
          </cell>
          <cell r="G208" t="str">
            <v>Perfumes Moutier</v>
          </cell>
          <cell r="K208">
            <v>519</v>
          </cell>
          <cell r="L208" t="str">
            <v>MOPFFM08</v>
          </cell>
          <cell r="P208" t="str">
            <v>MOUTIER</v>
          </cell>
        </row>
        <row r="209">
          <cell r="B209">
            <v>45838</v>
          </cell>
          <cell r="C209">
            <v>45838</v>
          </cell>
          <cell r="G209" t="str">
            <v>Perfumes Moutier</v>
          </cell>
          <cell r="K209">
            <v>120</v>
          </cell>
          <cell r="L209" t="str">
            <v>MOPFFM10</v>
          </cell>
          <cell r="P209" t="str">
            <v>MOUTIER</v>
          </cell>
        </row>
        <row r="210">
          <cell r="B210">
            <v>45838.407638888886</v>
          </cell>
          <cell r="C210">
            <v>45838.645833333336</v>
          </cell>
          <cell r="G210" t="str">
            <v>DAPOP - Pedido 360 mil</v>
          </cell>
          <cell r="K210">
            <v>4440</v>
          </cell>
          <cell r="L210" t="str">
            <v>DPMTBS02</v>
          </cell>
          <cell r="P210" t="str">
            <v>DAPOP</v>
          </cell>
        </row>
        <row r="211">
          <cell r="B211">
            <v>45838.647916666669</v>
          </cell>
          <cell r="C211">
            <v>45839.479166666664</v>
          </cell>
          <cell r="G211" t="str">
            <v>DAPOP - Pedido 360 mil</v>
          </cell>
          <cell r="K211">
            <v>4620</v>
          </cell>
          <cell r="L211" t="str">
            <v>DPMTBS02</v>
          </cell>
          <cell r="P211" t="str">
            <v>DAPOP</v>
          </cell>
        </row>
        <row r="212">
          <cell r="B212">
            <v>45839</v>
          </cell>
          <cell r="C212">
            <v>45839</v>
          </cell>
          <cell r="G212" t="str">
            <v>Perfumes Moutier</v>
          </cell>
          <cell r="K212">
            <v>390</v>
          </cell>
          <cell r="L212" t="str">
            <v>MOPFFM10</v>
          </cell>
          <cell r="P212" t="str">
            <v>MOUTIER</v>
          </cell>
        </row>
        <row r="213">
          <cell r="B213">
            <v>45839</v>
          </cell>
          <cell r="C213">
            <v>45839</v>
          </cell>
          <cell r="G213" t="str">
            <v>Perfumes Moutier</v>
          </cell>
          <cell r="K213">
            <v>524</v>
          </cell>
          <cell r="L213" t="str">
            <v>MOPFFM11</v>
          </cell>
          <cell r="P213" t="str">
            <v>MOUTIER</v>
          </cell>
        </row>
        <row r="214">
          <cell r="B214">
            <v>45839</v>
          </cell>
          <cell r="C214">
            <v>45839</v>
          </cell>
          <cell r="G214" t="str">
            <v>Perfumes Moutier</v>
          </cell>
          <cell r="K214">
            <v>516</v>
          </cell>
          <cell r="L214" t="str">
            <v>MOPFFM12</v>
          </cell>
          <cell r="P214" t="str">
            <v>MOUTIER</v>
          </cell>
        </row>
        <row r="215">
          <cell r="B215">
            <v>45839.482638888891</v>
          </cell>
          <cell r="C215">
            <v>45839.694444444445</v>
          </cell>
          <cell r="G215" t="str">
            <v>DAPOP - Pedido 360 mil</v>
          </cell>
          <cell r="K215">
            <v>4620</v>
          </cell>
          <cell r="L215" t="str">
            <v>DPMTBS02</v>
          </cell>
          <cell r="P215" t="str">
            <v>DAPOP</v>
          </cell>
        </row>
        <row r="216">
          <cell r="B216">
            <v>45839.694444444445</v>
          </cell>
          <cell r="C216">
            <v>45840.541666666664</v>
          </cell>
          <cell r="G216" t="str">
            <v>DAPOP - Pedido 360 mil</v>
          </cell>
          <cell r="K216">
            <v>4560</v>
          </cell>
          <cell r="L216" t="str">
            <v>DPMTBS02</v>
          </cell>
          <cell r="P216" t="str">
            <v>DAPOP</v>
          </cell>
        </row>
        <row r="217">
          <cell r="B217">
            <v>45840.541666666664</v>
          </cell>
          <cell r="C217">
            <v>45840.625</v>
          </cell>
          <cell r="G217" t="str">
            <v>DAPOP - Pedido 360 mil</v>
          </cell>
          <cell r="K217">
            <v>1980</v>
          </cell>
          <cell r="L217" t="str">
            <v>DPMTBS02</v>
          </cell>
          <cell r="P217" t="str">
            <v>DAPOP</v>
          </cell>
        </row>
        <row r="218">
          <cell r="B218">
            <v>45840.625</v>
          </cell>
          <cell r="C218">
            <v>45841.401388888888</v>
          </cell>
          <cell r="G218" t="str">
            <v>DAPOP - Pedido 360 mil</v>
          </cell>
          <cell r="K218">
            <v>4620</v>
          </cell>
          <cell r="L218" t="str">
            <v>DPMTBS03</v>
          </cell>
          <cell r="P218" t="str">
            <v>DAPOP</v>
          </cell>
        </row>
        <row r="219">
          <cell r="B219">
            <v>45841.401388888888</v>
          </cell>
          <cell r="C219">
            <v>45841.614583333336</v>
          </cell>
          <cell r="G219" t="str">
            <v>DAPOP - Pedido 360 mil</v>
          </cell>
          <cell r="K219">
            <v>4620</v>
          </cell>
          <cell r="L219" t="str">
            <v>DPMTBS03</v>
          </cell>
          <cell r="P219" t="str">
            <v>DAPOP</v>
          </cell>
        </row>
        <row r="220">
          <cell r="B220">
            <v>45841.614583333336</v>
          </cell>
          <cell r="C220">
            <v>45842.388888888891</v>
          </cell>
          <cell r="G220" t="str">
            <v>DAPOP - Pedido 360 mil</v>
          </cell>
          <cell r="K220">
            <v>4620</v>
          </cell>
          <cell r="L220" t="str">
            <v>DPMTBS03</v>
          </cell>
          <cell r="P220" t="str">
            <v>DAPOP</v>
          </cell>
        </row>
        <row r="221">
          <cell r="B221">
            <v>45842.388888888891</v>
          </cell>
          <cell r="C221">
            <v>45842.602083333331</v>
          </cell>
          <cell r="G221" t="str">
            <v>DAPOP - Pedido 360 mil</v>
          </cell>
          <cell r="K221">
            <v>4620</v>
          </cell>
          <cell r="L221" t="str">
            <v>DPMTBS03</v>
          </cell>
          <cell r="P221" t="str">
            <v>DAPOP</v>
          </cell>
        </row>
        <row r="222">
          <cell r="B222">
            <v>45842.602083333331</v>
          </cell>
          <cell r="C222">
            <v>45842.659722222219</v>
          </cell>
          <cell r="G222" t="str">
            <v>DAPOP - Pedido 360 mil</v>
          </cell>
          <cell r="K222">
            <v>1500</v>
          </cell>
          <cell r="L222" t="str">
            <v>DPMTBS03</v>
          </cell>
          <cell r="P222" t="str">
            <v>DAPOP</v>
          </cell>
        </row>
        <row r="223">
          <cell r="B223">
            <v>45845.366666666669</v>
          </cell>
          <cell r="C223">
            <v>45845.479166666664</v>
          </cell>
          <cell r="G223" t="str">
            <v>Miss Rôse - Body Splash 1.0</v>
          </cell>
          <cell r="K223">
            <v>2592</v>
          </cell>
          <cell r="L223" t="str">
            <v>MRARBS01</v>
          </cell>
          <cell r="P223" t="str">
            <v>MISS RÔSE</v>
          </cell>
        </row>
        <row r="224">
          <cell r="B224">
            <v>45845.583333333336</v>
          </cell>
          <cell r="C224">
            <v>45845.625</v>
          </cell>
          <cell r="G224" t="str">
            <v>Miss Rôse - Body Splash 1.0</v>
          </cell>
          <cell r="K224">
            <v>720</v>
          </cell>
          <cell r="L224" t="str">
            <v>MRARBS01</v>
          </cell>
          <cell r="P224" t="str">
            <v>MISS RÔSE</v>
          </cell>
        </row>
        <row r="225">
          <cell r="B225">
            <v>45845.583333333336</v>
          </cell>
          <cell r="C225">
            <v>45845.708333333336</v>
          </cell>
          <cell r="G225" t="str">
            <v>DAPOP - Pedido 360 mil</v>
          </cell>
          <cell r="K225">
            <v>3080</v>
          </cell>
          <cell r="L225" t="str">
            <v>DPMTBS01</v>
          </cell>
          <cell r="P225" t="str">
            <v>DAPOP</v>
          </cell>
        </row>
        <row r="226">
          <cell r="B226">
            <v>45846.291666666664</v>
          </cell>
          <cell r="C226">
            <v>45846.354166666664</v>
          </cell>
          <cell r="G226" t="str">
            <v>DAPOP - Pedido 360 mil</v>
          </cell>
          <cell r="K226">
            <v>1540</v>
          </cell>
          <cell r="L226" t="str">
            <v>DPMTBS01</v>
          </cell>
          <cell r="P226" t="str">
            <v>DAPOP</v>
          </cell>
        </row>
        <row r="227">
          <cell r="B227">
            <v>45846.323611111111</v>
          </cell>
          <cell r="C227">
            <v>45846.458333333336</v>
          </cell>
          <cell r="G227" t="str">
            <v>Perfumes Moutier</v>
          </cell>
          <cell r="K227">
            <v>508</v>
          </cell>
          <cell r="L227" t="str">
            <v>MOPFFW09</v>
          </cell>
          <cell r="P227" t="str">
            <v>MOUTIER</v>
          </cell>
        </row>
        <row r="228">
          <cell r="B228">
            <v>45846.354166666664</v>
          </cell>
          <cell r="C228">
            <v>45846.493055555555</v>
          </cell>
          <cell r="G228" t="str">
            <v>DAPOP - Pedido 360 mil</v>
          </cell>
          <cell r="K228">
            <v>4620</v>
          </cell>
          <cell r="L228" t="str">
            <v>DPMTBS01</v>
          </cell>
          <cell r="P228" t="str">
            <v>DAPOP</v>
          </cell>
        </row>
        <row r="229">
          <cell r="B229">
            <v>45846.541666666664</v>
          </cell>
          <cell r="C229">
            <v>45846.698611111111</v>
          </cell>
          <cell r="G229" t="str">
            <v>DAPOP - Pedido 360 mil</v>
          </cell>
          <cell r="K229">
            <v>4620</v>
          </cell>
          <cell r="L229" t="str">
            <v>DPMTBS01</v>
          </cell>
          <cell r="P229" t="str">
            <v>DAPOP</v>
          </cell>
        </row>
        <row r="230">
          <cell r="B230">
            <v>45846.698611111111</v>
          </cell>
          <cell r="C230">
            <v>45846.708333333336</v>
          </cell>
          <cell r="G230" t="str">
            <v>DAPOP - Pedido 360 mil</v>
          </cell>
          <cell r="K230">
            <v>254.64566934836037</v>
          </cell>
          <cell r="L230" t="str">
            <v>DPMTBS01</v>
          </cell>
          <cell r="P230" t="str">
            <v>DAPOP</v>
          </cell>
        </row>
        <row r="231">
          <cell r="B231">
            <v>45847.291666666664</v>
          </cell>
          <cell r="C231">
            <v>45847.458333333336</v>
          </cell>
          <cell r="G231" t="str">
            <v>DAPOP - Pedido 360 mil</v>
          </cell>
          <cell r="K231">
            <v>4365.3543306516394</v>
          </cell>
          <cell r="L231" t="str">
            <v>DPMTBS01</v>
          </cell>
          <cell r="P231" t="str">
            <v>DAPOP</v>
          </cell>
        </row>
        <row r="232">
          <cell r="B232">
            <v>45847.458333333336</v>
          </cell>
          <cell r="C232">
            <v>45847.583333333336</v>
          </cell>
          <cell r="G232" t="str">
            <v>DAPOP - Pedido 360 mil</v>
          </cell>
          <cell r="K232">
            <v>1560</v>
          </cell>
          <cell r="L232" t="str">
            <v>DPMTBS01</v>
          </cell>
          <cell r="P232" t="str">
            <v>DAPOP</v>
          </cell>
        </row>
        <row r="233">
          <cell r="B233">
            <v>45848.375</v>
          </cell>
          <cell r="C233">
            <v>45848.458333333336</v>
          </cell>
          <cell r="G233" t="str">
            <v>03_06</v>
          </cell>
          <cell r="K233">
            <v>100</v>
          </cell>
          <cell r="L233" t="str">
            <v>KUBPBA02</v>
          </cell>
          <cell r="P233" t="str">
            <v>KURYOS</v>
          </cell>
        </row>
        <row r="234">
          <cell r="B234">
            <v>45848.541666666664</v>
          </cell>
          <cell r="C234">
            <v>45848.625</v>
          </cell>
          <cell r="G234" t="str">
            <v>03_06</v>
          </cell>
          <cell r="K234">
            <v>400</v>
          </cell>
          <cell r="L234" t="str">
            <v>KUBPBA01 - 2</v>
          </cell>
          <cell r="P234" t="str">
            <v>KURYOS</v>
          </cell>
        </row>
        <row r="235">
          <cell r="B235">
            <v>45848.5625</v>
          </cell>
          <cell r="C235">
            <v>45848.666666666664</v>
          </cell>
          <cell r="G235" t="str">
            <v>DAPOP - Pedido 360 mil</v>
          </cell>
          <cell r="K235">
            <v>2423.0769230224791</v>
          </cell>
          <cell r="L235" t="str">
            <v>DPGLBS01</v>
          </cell>
          <cell r="P235" t="str">
            <v>DAPOP</v>
          </cell>
        </row>
        <row r="236">
          <cell r="B236">
            <v>45852.291666666664</v>
          </cell>
          <cell r="C236">
            <v>45852.386111111111</v>
          </cell>
          <cell r="G236" t="str">
            <v>DAPOP - Pedido 360 mil</v>
          </cell>
          <cell r="K236">
            <v>2196.9230769775209</v>
          </cell>
          <cell r="L236" t="str">
            <v>DPGLBS01</v>
          </cell>
          <cell r="P236" t="str">
            <v>DAPOP</v>
          </cell>
        </row>
        <row r="237">
          <cell r="B237">
            <v>45852.387499999997</v>
          </cell>
          <cell r="C237">
            <v>45852.631944444445</v>
          </cell>
          <cell r="G237" t="str">
            <v>DAPOP - Pedido 360 mil</v>
          </cell>
          <cell r="K237">
            <v>4620</v>
          </cell>
          <cell r="L237" t="str">
            <v>DPGLBS01</v>
          </cell>
          <cell r="P237" t="str">
            <v>DAPOP</v>
          </cell>
        </row>
        <row r="238">
          <cell r="B238">
            <v>45852.631944444445</v>
          </cell>
          <cell r="C238">
            <v>45852.708333333336</v>
          </cell>
          <cell r="G238" t="str">
            <v>DAPOP - Pedido 360 mil</v>
          </cell>
          <cell r="K238">
            <v>2032.7999999767655</v>
          </cell>
          <cell r="L238" t="str">
            <v>DPGLBS01</v>
          </cell>
          <cell r="P238" t="str">
            <v>DAPOP</v>
          </cell>
        </row>
        <row r="239">
          <cell r="B239">
            <v>45853.291666666664</v>
          </cell>
          <cell r="C239">
            <v>45853.388888888891</v>
          </cell>
          <cell r="G239" t="str">
            <v>DAPOP - Pedido 360 mil</v>
          </cell>
          <cell r="K239">
            <v>2587.2000000232347</v>
          </cell>
          <cell r="L239" t="str">
            <v>DPGLBS01</v>
          </cell>
          <cell r="P239" t="str">
            <v>DAPOP</v>
          </cell>
        </row>
        <row r="240">
          <cell r="B240">
            <v>45853.388888888891</v>
          </cell>
          <cell r="C240">
            <v>45853.625</v>
          </cell>
          <cell r="G240" t="str">
            <v>DAPOP - Pedido 360 mil</v>
          </cell>
          <cell r="K240">
            <v>4620</v>
          </cell>
          <cell r="L240" t="str">
            <v>DPGLBS01</v>
          </cell>
          <cell r="P240" t="str">
            <v>DAPOP</v>
          </cell>
        </row>
        <row r="241">
          <cell r="B241">
            <v>45853.625</v>
          </cell>
          <cell r="C241">
            <v>45853.708333333336</v>
          </cell>
          <cell r="G241" t="str">
            <v>DAPOP - Pedido 360 mil</v>
          </cell>
          <cell r="K241">
            <v>1560</v>
          </cell>
          <cell r="L241" t="str">
            <v>DPGLBS01</v>
          </cell>
          <cell r="P241" t="str">
            <v>DAPOP</v>
          </cell>
        </row>
        <row r="242">
          <cell r="B242">
            <v>45854.310416666667</v>
          </cell>
          <cell r="C242">
            <v>45854.458333333336</v>
          </cell>
          <cell r="G242" t="str">
            <v>DAPOP - Pedido 360 mil</v>
          </cell>
          <cell r="K242">
            <v>4620</v>
          </cell>
          <cell r="L242" t="str">
            <v>DPGLBS02</v>
          </cell>
          <cell r="P242" t="str">
            <v>DAPOP</v>
          </cell>
        </row>
        <row r="243">
          <cell r="B243">
            <v>45854.458333333336</v>
          </cell>
          <cell r="C243">
            <v>45855.673611111109</v>
          </cell>
          <cell r="G243" t="str">
            <v>DAPOP - Pedido 360 mil</v>
          </cell>
          <cell r="K243">
            <v>4620</v>
          </cell>
          <cell r="L243" t="str">
            <v>DPGLBS02</v>
          </cell>
          <cell r="P243" t="str">
            <v>DAPOP</v>
          </cell>
        </row>
        <row r="244">
          <cell r="B244">
            <v>45854.673611111109</v>
          </cell>
          <cell r="C244">
            <v>45854.708333333336</v>
          </cell>
          <cell r="G244" t="str">
            <v>DAPOP - Pedido 360 mil</v>
          </cell>
          <cell r="K244">
            <v>888.46153853314433</v>
          </cell>
          <cell r="L244" t="str">
            <v>DPGLBS02</v>
          </cell>
          <cell r="P244" t="str">
            <v>DAPOP</v>
          </cell>
        </row>
        <row r="245">
          <cell r="B245">
            <v>45855.291666666664</v>
          </cell>
          <cell r="C245">
            <v>45855.4375</v>
          </cell>
          <cell r="G245" t="str">
            <v>DAPOP - Pedido 360 mil</v>
          </cell>
          <cell r="K245">
            <v>3731.538461466856</v>
          </cell>
          <cell r="L245" t="str">
            <v>DPGLBS02</v>
          </cell>
          <cell r="P245" t="str">
            <v>DAPOP</v>
          </cell>
        </row>
        <row r="246">
          <cell r="B246">
            <v>45855.4375</v>
          </cell>
          <cell r="C246">
            <v>45855.541666666664</v>
          </cell>
          <cell r="G246" t="str">
            <v>DAPOP - Pedido 360 mil</v>
          </cell>
          <cell r="K246">
            <v>4620</v>
          </cell>
          <cell r="L246" t="str">
            <v>DPGLBS02</v>
          </cell>
          <cell r="P246" t="str">
            <v>DAPOP</v>
          </cell>
        </row>
        <row r="247">
          <cell r="B247">
            <v>45855.541666666664</v>
          </cell>
          <cell r="C247">
            <v>45855.6875</v>
          </cell>
          <cell r="G247" t="str">
            <v>DAPOP - Pedido 360 mil</v>
          </cell>
          <cell r="K247">
            <v>1560</v>
          </cell>
          <cell r="L247" t="str">
            <v>DPGLBS02</v>
          </cell>
          <cell r="P247" t="str">
            <v>DAPOP</v>
          </cell>
        </row>
        <row r="248">
          <cell r="B248">
            <v>45856.338888888888</v>
          </cell>
          <cell r="C248">
            <v>45856.458333333336</v>
          </cell>
          <cell r="G248" t="str">
            <v>GOTA ZEN - Body Slash</v>
          </cell>
          <cell r="K248">
            <v>2027</v>
          </cell>
          <cell r="L248" t="str">
            <v>GZLBBS03</v>
          </cell>
          <cell r="P248" t="str">
            <v>GOTA ZEN</v>
          </cell>
        </row>
        <row r="249">
          <cell r="B249">
            <v>45856.458333333336</v>
          </cell>
          <cell r="C249">
            <v>45856.597222222219</v>
          </cell>
          <cell r="G249" t="str">
            <v>GOTA ZEN - Body Slash</v>
          </cell>
          <cell r="K249">
            <v>2044</v>
          </cell>
          <cell r="L249" t="str">
            <v>GZLBBS01</v>
          </cell>
          <cell r="P249" t="str">
            <v>GOTA ZEN</v>
          </cell>
        </row>
        <row r="250">
          <cell r="B250">
            <v>45856.597222222219</v>
          </cell>
          <cell r="C250">
            <v>45856.666666666664</v>
          </cell>
          <cell r="G250" t="str">
            <v>GOTA ZEN - Body Slash</v>
          </cell>
          <cell r="K250">
            <v>1104</v>
          </cell>
          <cell r="L250" t="str">
            <v>GZLBBS02</v>
          </cell>
          <cell r="P250" t="str">
            <v>GOTA ZEN</v>
          </cell>
        </row>
        <row r="251">
          <cell r="B251">
            <v>45859.291666666664</v>
          </cell>
          <cell r="C251">
            <v>45859.34375</v>
          </cell>
          <cell r="G251" t="str">
            <v>GOTA ZEN - Body Slash</v>
          </cell>
          <cell r="K251">
            <v>923</v>
          </cell>
          <cell r="L251" t="str">
            <v>GZLBBS02</v>
          </cell>
          <cell r="P251" t="str">
            <v>GOTA ZEN</v>
          </cell>
        </row>
        <row r="252">
          <cell r="B252">
            <v>45859.34375</v>
          </cell>
          <cell r="C252">
            <v>45859.430555555555</v>
          </cell>
          <cell r="G252" t="str">
            <v>GOTA ZEN - Body Slash</v>
          </cell>
          <cell r="K252">
            <v>2027</v>
          </cell>
          <cell r="L252" t="str">
            <v>GZLBBS04</v>
          </cell>
          <cell r="P252" t="str">
            <v>GOTA ZEN</v>
          </cell>
        </row>
        <row r="253">
          <cell r="B253">
            <v>45859.430555555555</v>
          </cell>
          <cell r="C253">
            <v>45859.569444444445</v>
          </cell>
          <cell r="G253" t="str">
            <v>GOTA ZEN - Body Slash</v>
          </cell>
          <cell r="K253">
            <v>2027</v>
          </cell>
          <cell r="L253" t="str">
            <v>GZLBBS05</v>
          </cell>
          <cell r="P253" t="str">
            <v>GOTA ZEN</v>
          </cell>
        </row>
        <row r="254">
          <cell r="B254">
            <v>45859.569444444445</v>
          </cell>
          <cell r="C254">
            <v>45859.645833333336</v>
          </cell>
          <cell r="G254" t="str">
            <v>GOTA ZEN - Body Slash</v>
          </cell>
          <cell r="K254">
            <v>2027</v>
          </cell>
          <cell r="L254" t="str">
            <v>GZLBBS06</v>
          </cell>
          <cell r="P254" t="str">
            <v>GOTA ZEN</v>
          </cell>
        </row>
        <row r="255">
          <cell r="B255">
            <v>45859.645833333336</v>
          </cell>
          <cell r="C255">
            <v>45859.708333333336</v>
          </cell>
          <cell r="G255" t="str">
            <v>DAPOP - Pedido 360 mil</v>
          </cell>
          <cell r="K255">
            <v>1540</v>
          </cell>
          <cell r="L255" t="str">
            <v>DPGLBS03</v>
          </cell>
          <cell r="P255" t="str">
            <v>DAPOP</v>
          </cell>
        </row>
        <row r="256">
          <cell r="B256">
            <v>45860.291666666664</v>
          </cell>
          <cell r="C256">
            <v>45860.416666666664</v>
          </cell>
          <cell r="G256" t="str">
            <v>DAPOP - Pedido 360 mil</v>
          </cell>
          <cell r="K256">
            <v>3080</v>
          </cell>
          <cell r="L256" t="str">
            <v>DPGLBS03</v>
          </cell>
          <cell r="P256" t="str">
            <v>DAPOP</v>
          </cell>
        </row>
        <row r="257">
          <cell r="B257">
            <v>45860.333333333336</v>
          </cell>
          <cell r="C257">
            <v>45860.479166666664</v>
          </cell>
          <cell r="G257" t="str">
            <v>02_06</v>
          </cell>
          <cell r="K257">
            <v>2544</v>
          </cell>
          <cell r="L257" t="str">
            <v>MRARBS05</v>
          </cell>
          <cell r="P257" t="str">
            <v>MISS RÔSE</v>
          </cell>
        </row>
        <row r="258">
          <cell r="B258">
            <v>45860.416666666664</v>
          </cell>
          <cell r="C258">
            <v>45860.708333333336</v>
          </cell>
          <cell r="G258" t="str">
            <v>DAPOP - Pedido 360 mil</v>
          </cell>
          <cell r="K258">
            <v>4286.5979380680183</v>
          </cell>
          <cell r="L258" t="str">
            <v>DPGLBS03</v>
          </cell>
          <cell r="P258" t="str">
            <v>DAPOP</v>
          </cell>
        </row>
        <row r="259">
          <cell r="B259">
            <v>45860.479166666664</v>
          </cell>
          <cell r="C259">
            <v>45860.708333333336</v>
          </cell>
          <cell r="G259" t="str">
            <v>02_06</v>
          </cell>
          <cell r="K259">
            <v>2281.9933554366198</v>
          </cell>
          <cell r="L259" t="str">
            <v>MRARBS05</v>
          </cell>
          <cell r="P259" t="str">
            <v>MISS RÔSE</v>
          </cell>
        </row>
        <row r="260">
          <cell r="B260">
            <v>45861.291666666664</v>
          </cell>
          <cell r="C260">
            <v>45861.311111111114</v>
          </cell>
          <cell r="G260" t="str">
            <v>DAPOP - Pedido 360 mil</v>
          </cell>
          <cell r="K260">
            <v>333.40206193198156</v>
          </cell>
          <cell r="L260" t="str">
            <v>DPGLBS03</v>
          </cell>
          <cell r="P260" t="str">
            <v>DAPOP</v>
          </cell>
        </row>
        <row r="261">
          <cell r="B261">
            <v>45861.291666666664</v>
          </cell>
          <cell r="C261">
            <v>45861.313194444447</v>
          </cell>
          <cell r="G261" t="str">
            <v>02_06</v>
          </cell>
          <cell r="K261">
            <v>262.006644563382</v>
          </cell>
          <cell r="L261" t="str">
            <v>MRARBS05</v>
          </cell>
          <cell r="P261" t="str">
            <v>MISS RÔSE</v>
          </cell>
        </row>
        <row r="262">
          <cell r="B262">
            <v>45861.311111111114</v>
          </cell>
          <cell r="C262">
            <v>45861.5625</v>
          </cell>
          <cell r="G262" t="str">
            <v>DAPOP - Pedido 360 mil</v>
          </cell>
          <cell r="K262">
            <v>4620</v>
          </cell>
          <cell r="L262" t="str">
            <v>DPGLBS03</v>
          </cell>
          <cell r="P262" t="str">
            <v>DAPOP</v>
          </cell>
        </row>
        <row r="263">
          <cell r="B263">
            <v>45861.313194444447</v>
          </cell>
          <cell r="C263">
            <v>45861.482638888891</v>
          </cell>
          <cell r="G263" t="str">
            <v>02_06</v>
          </cell>
          <cell r="K263">
            <v>2544</v>
          </cell>
          <cell r="L263" t="str">
            <v>MRARBS05</v>
          </cell>
          <cell r="P263" t="str">
            <v>MISS RÔSE</v>
          </cell>
        </row>
        <row r="264">
          <cell r="B264">
            <v>45861.482638888891</v>
          </cell>
          <cell r="C264">
            <v>45861.690972222219</v>
          </cell>
          <cell r="G264" t="str">
            <v>02_06</v>
          </cell>
          <cell r="K264">
            <v>2544</v>
          </cell>
          <cell r="L264" t="str">
            <v>MRARBS05</v>
          </cell>
          <cell r="P264" t="str">
            <v>MISS RÔSE</v>
          </cell>
        </row>
        <row r="265">
          <cell r="B265">
            <v>45861.5625</v>
          </cell>
          <cell r="C265">
            <v>45861.708333333336</v>
          </cell>
          <cell r="G265" t="str">
            <v>DAPOP - Pedido 360 mil</v>
          </cell>
          <cell r="K265">
            <v>1617.0000000174798</v>
          </cell>
          <cell r="L265" t="str">
            <v>DPGLBS03</v>
          </cell>
          <cell r="P265" t="str">
            <v>DAPOP</v>
          </cell>
        </row>
        <row r="266">
          <cell r="B266">
            <v>45862.291666666664</v>
          </cell>
          <cell r="C266">
            <v>45862.604166666664</v>
          </cell>
          <cell r="G266" t="str">
            <v>DAPOP - Pedido 360 mil</v>
          </cell>
          <cell r="K266">
            <v>3002.99999998252</v>
          </cell>
          <cell r="L266" t="str">
            <v>DPGLBS03</v>
          </cell>
          <cell r="P266" t="str">
            <v>DAPOP</v>
          </cell>
        </row>
        <row r="267">
          <cell r="B267">
            <v>45862.302083333336</v>
          </cell>
          <cell r="C267">
            <v>45862.409722222219</v>
          </cell>
          <cell r="G267" t="str">
            <v>02_06</v>
          </cell>
          <cell r="K267">
            <v>2544</v>
          </cell>
          <cell r="L267" t="str">
            <v>MRARBS05</v>
          </cell>
          <cell r="P267" t="str">
            <v>MISS RÔSE</v>
          </cell>
        </row>
        <row r="268">
          <cell r="B268">
            <v>45862.409722222219</v>
          </cell>
          <cell r="C268">
            <v>45862.583333333336</v>
          </cell>
          <cell r="G268" t="str">
            <v>02_06</v>
          </cell>
          <cell r="K268">
            <v>2544</v>
          </cell>
          <cell r="L268" t="str">
            <v>MRARBS05</v>
          </cell>
          <cell r="P268" t="str">
            <v>MISS RÔSE</v>
          </cell>
        </row>
        <row r="269">
          <cell r="B269">
            <v>45862.583333333336</v>
          </cell>
          <cell r="C269">
            <v>45862.708333333336</v>
          </cell>
          <cell r="G269" t="str">
            <v>02_06</v>
          </cell>
          <cell r="K269">
            <v>2656</v>
          </cell>
          <cell r="L269" t="str">
            <v>MRARBS05</v>
          </cell>
          <cell r="P269" t="str">
            <v>MISS RÔSE</v>
          </cell>
        </row>
        <row r="270">
          <cell r="B270">
            <v>45862.604166666664</v>
          </cell>
          <cell r="C270">
            <v>45862.638888888891</v>
          </cell>
          <cell r="G270" t="str">
            <v>DAPOP - Pedido 360 mil</v>
          </cell>
          <cell r="K270">
            <v>1260</v>
          </cell>
          <cell r="L270" t="str">
            <v>DPGLBS03</v>
          </cell>
          <cell r="P270" t="str">
            <v>DAPOP</v>
          </cell>
        </row>
        <row r="271">
          <cell r="B271">
            <v>45862.645833333336</v>
          </cell>
          <cell r="C271">
            <v>45862.708333333336</v>
          </cell>
          <cell r="G271" t="str">
            <v>01_06</v>
          </cell>
          <cell r="K271">
            <v>448.94117646751397</v>
          </cell>
          <cell r="L271" t="str">
            <v>MRARBS01</v>
          </cell>
          <cell r="P271" t="str">
            <v>MISS RÔSE</v>
          </cell>
        </row>
        <row r="272">
          <cell r="B272">
            <v>45863.291666666664</v>
          </cell>
          <cell r="C272">
            <v>45863.625</v>
          </cell>
          <cell r="G272" t="str">
            <v>01_06</v>
          </cell>
          <cell r="K272">
            <v>2095.0588235324863</v>
          </cell>
          <cell r="L272" t="str">
            <v>MRARBS01</v>
          </cell>
          <cell r="P272" t="str">
            <v>MISS RÔSE</v>
          </cell>
        </row>
        <row r="273">
          <cell r="B273">
            <v>45863.34375</v>
          </cell>
          <cell r="C273">
            <v>45863.430555555555</v>
          </cell>
          <cell r="G273" t="str">
            <v>GLOW - Água Micelar</v>
          </cell>
          <cell r="K273">
            <v>1824</v>
          </cell>
          <cell r="L273" t="str">
            <v>GLMKAM02</v>
          </cell>
          <cell r="P273" t="str">
            <v>GLOW MAKE UP</v>
          </cell>
        </row>
        <row r="274">
          <cell r="B274">
            <v>45863.430555555555</v>
          </cell>
          <cell r="C274">
            <v>45863.493055555555</v>
          </cell>
          <cell r="G274" t="str">
            <v>GLOW - Água Micelar</v>
          </cell>
          <cell r="K274">
            <v>1680</v>
          </cell>
          <cell r="L274" t="str">
            <v>GLMKAM02</v>
          </cell>
          <cell r="P274" t="str">
            <v>GLOW MAKE UP</v>
          </cell>
        </row>
        <row r="275">
          <cell r="B275">
            <v>45863.493055555555</v>
          </cell>
          <cell r="C275">
            <v>45863.645833333336</v>
          </cell>
          <cell r="G275" t="str">
            <v>GLOW - Água Micelar</v>
          </cell>
          <cell r="K275">
            <v>1606</v>
          </cell>
          <cell r="L275" t="str">
            <v>GLMKAM02</v>
          </cell>
          <cell r="P275" t="str">
            <v>GLOW MAKE UP</v>
          </cell>
        </row>
        <row r="276">
          <cell r="B276">
            <v>45866.305555555555</v>
          </cell>
          <cell r="C276">
            <v>45866.479166666664</v>
          </cell>
          <cell r="G276" t="str">
            <v>01_06</v>
          </cell>
          <cell r="K276">
            <v>2544</v>
          </cell>
          <cell r="L276" t="str">
            <v>MRARBS01</v>
          </cell>
          <cell r="P276" t="str">
            <v>MISS RÔSE</v>
          </cell>
        </row>
        <row r="277">
          <cell r="B277">
            <v>45866.402777777781</v>
          </cell>
          <cell r="C277">
            <v>45866.5625</v>
          </cell>
          <cell r="G277" t="str">
            <v>GLOW - Água Micelar</v>
          </cell>
          <cell r="K277">
            <v>1680</v>
          </cell>
          <cell r="L277" t="str">
            <v>GLMKAM01</v>
          </cell>
          <cell r="P277" t="str">
            <v>GLOW MAKE UP</v>
          </cell>
        </row>
        <row r="278">
          <cell r="B278">
            <v>45866.479166666664</v>
          </cell>
          <cell r="C278">
            <v>45866.694444444445</v>
          </cell>
          <cell r="G278" t="str">
            <v>01_06</v>
          </cell>
          <cell r="K278">
            <v>2544</v>
          </cell>
          <cell r="L278" t="str">
            <v>MRARBS01</v>
          </cell>
          <cell r="P278" t="str">
            <v>MISS RÔSE</v>
          </cell>
        </row>
        <row r="279">
          <cell r="B279">
            <v>45866.5625</v>
          </cell>
          <cell r="C279">
            <v>45866.703472222223</v>
          </cell>
          <cell r="G279" t="str">
            <v>GLOW - Água Micelar</v>
          </cell>
          <cell r="K279">
            <v>1056</v>
          </cell>
          <cell r="L279" t="str">
            <v>GLMKAM01</v>
          </cell>
          <cell r="P279" t="str">
            <v>GLOW MAKE UP</v>
          </cell>
        </row>
        <row r="280">
          <cell r="B280">
            <v>45866.625</v>
          </cell>
          <cell r="C280">
            <v>45866.708333333336</v>
          </cell>
          <cell r="G280" t="str">
            <v>GLOW - Água Micelar</v>
          </cell>
          <cell r="K280">
            <v>1259.9999999724969</v>
          </cell>
          <cell r="L280" t="str">
            <v>GLMKAM03</v>
          </cell>
          <cell r="P280" t="str">
            <v>GLOW MAKE UP</v>
          </cell>
        </row>
        <row r="281">
          <cell r="B281">
            <v>45866.645833333336</v>
          </cell>
          <cell r="C281">
            <v>45866.708333333336</v>
          </cell>
          <cell r="G281" t="str">
            <v>GLOW - Água Micelar</v>
          </cell>
          <cell r="K281">
            <v>604.79999998028575</v>
          </cell>
          <cell r="L281" t="str">
            <v>GLMKAM01</v>
          </cell>
          <cell r="P281" t="str">
            <v>GLOW MAKE UP</v>
          </cell>
        </row>
        <row r="282">
          <cell r="B282">
            <v>45866.694444444445</v>
          </cell>
          <cell r="C282">
            <v>45866.708333333336</v>
          </cell>
          <cell r="G282" t="str">
            <v>01_06</v>
          </cell>
          <cell r="K282">
            <v>205.99190285061007</v>
          </cell>
          <cell r="L282" t="str">
            <v>MRARBS01</v>
          </cell>
          <cell r="P282" t="str">
            <v>MISS RÔSE</v>
          </cell>
        </row>
        <row r="283">
          <cell r="B283">
            <v>45867.291666666664</v>
          </cell>
          <cell r="C283">
            <v>45867.402777777781</v>
          </cell>
          <cell r="G283" t="str">
            <v>GLOW - Água Micelar</v>
          </cell>
          <cell r="K283">
            <v>1075.2000000197143</v>
          </cell>
          <cell r="L283" t="str">
            <v>GLMKAM01</v>
          </cell>
          <cell r="P283" t="str">
            <v>GLOW MAKE UP</v>
          </cell>
        </row>
        <row r="284">
          <cell r="B284">
            <v>45867.291666666664</v>
          </cell>
          <cell r="C284">
            <v>45867.319444444445</v>
          </cell>
          <cell r="G284" t="str">
            <v>GLOW - Água Micelar</v>
          </cell>
          <cell r="K284">
            <v>420.00000002750312</v>
          </cell>
          <cell r="L284" t="str">
            <v>GLMKAM03</v>
          </cell>
          <cell r="P284" t="str">
            <v>GLOW MAKE UP</v>
          </cell>
        </row>
        <row r="285">
          <cell r="B285">
            <v>45867.291666666664</v>
          </cell>
          <cell r="C285">
            <v>45867.449305555558</v>
          </cell>
          <cell r="G285" t="str">
            <v>01_06</v>
          </cell>
          <cell r="K285">
            <v>2338.0080971493899</v>
          </cell>
          <cell r="L285" t="str">
            <v>MRARBS01</v>
          </cell>
          <cell r="P285" t="str">
            <v>MISS RÔSE</v>
          </cell>
        </row>
        <row r="286">
          <cell r="B286">
            <v>45867.319444444445</v>
          </cell>
          <cell r="C286">
            <v>45867.419444444444</v>
          </cell>
          <cell r="G286" t="str">
            <v>GLOW - Água Micelar</v>
          </cell>
          <cell r="K286">
            <v>1680</v>
          </cell>
          <cell r="L286" t="str">
            <v>GLMKAM03</v>
          </cell>
          <cell r="P286" t="str">
            <v>GLOW MAKE UP</v>
          </cell>
        </row>
        <row r="287">
          <cell r="B287">
            <v>45867.419444444444</v>
          </cell>
          <cell r="C287">
            <v>45867.576388888891</v>
          </cell>
          <cell r="G287" t="str">
            <v>GLOW - Água Micelar</v>
          </cell>
          <cell r="K287">
            <v>1617</v>
          </cell>
          <cell r="L287" t="str">
            <v>GLMKAM03</v>
          </cell>
          <cell r="P287" t="str">
            <v>GLOW MAKE UP</v>
          </cell>
        </row>
        <row r="288">
          <cell r="B288">
            <v>45867.449305555558</v>
          </cell>
          <cell r="C288">
            <v>45867.645833333336</v>
          </cell>
          <cell r="G288" t="str">
            <v>01_06</v>
          </cell>
          <cell r="K288">
            <v>2544</v>
          </cell>
          <cell r="L288" t="str">
            <v>MRARBS01</v>
          </cell>
          <cell r="P288" t="str">
            <v>MISS RÔSE</v>
          </cell>
        </row>
        <row r="289">
          <cell r="B289">
            <v>45867.576388888891</v>
          </cell>
          <cell r="C289">
            <v>45867.677083333336</v>
          </cell>
          <cell r="G289" t="str">
            <v>GLOW - Água Micelar</v>
          </cell>
          <cell r="K289">
            <v>1680</v>
          </cell>
          <cell r="L289" t="str">
            <v>GLMKAM04</v>
          </cell>
          <cell r="P289" t="str">
            <v>GLOW MAKE UP</v>
          </cell>
        </row>
        <row r="290">
          <cell r="B290">
            <v>45867.645833333336</v>
          </cell>
          <cell r="C290">
            <v>45867.708333333336</v>
          </cell>
          <cell r="G290" t="str">
            <v>01_06</v>
          </cell>
          <cell r="K290">
            <v>953.99999997223495</v>
          </cell>
          <cell r="L290" t="str">
            <v>MRARBS01</v>
          </cell>
          <cell r="P290" t="str">
            <v>MISS RÔSE</v>
          </cell>
        </row>
        <row r="291">
          <cell r="B291">
            <v>45867.677083333336</v>
          </cell>
          <cell r="C291">
            <v>45867.708333333336</v>
          </cell>
          <cell r="G291" t="str">
            <v>GLOW - Água Micelar</v>
          </cell>
          <cell r="K291">
            <v>420</v>
          </cell>
          <cell r="L291" t="str">
            <v>GLMKAM04</v>
          </cell>
          <cell r="P291" t="str">
            <v>GLOW MAKE UP</v>
          </cell>
        </row>
        <row r="292">
          <cell r="B292">
            <v>45868.291666666664</v>
          </cell>
          <cell r="C292">
            <v>45868.395833333336</v>
          </cell>
          <cell r="G292" t="str">
            <v>01_06</v>
          </cell>
          <cell r="K292">
            <v>1590.0000000277651</v>
          </cell>
          <cell r="L292" t="str">
            <v>MRARBS01</v>
          </cell>
          <cell r="P292" t="str">
            <v>MISS RÔSE</v>
          </cell>
        </row>
        <row r="293">
          <cell r="B293">
            <v>45868.291666666664</v>
          </cell>
          <cell r="C293">
            <v>45868.385416666664</v>
          </cell>
          <cell r="G293" t="str">
            <v>GLOW - Água Micelar</v>
          </cell>
          <cell r="K293">
            <v>1260</v>
          </cell>
          <cell r="L293" t="str">
            <v>GLMKAM04</v>
          </cell>
          <cell r="P293" t="str">
            <v>GLOW MAKE UP</v>
          </cell>
        </row>
        <row r="294">
          <cell r="B294">
            <v>45868.385416666664</v>
          </cell>
          <cell r="C294">
            <v>45868.4375</v>
          </cell>
          <cell r="G294" t="str">
            <v>GLOW - Água Micelar</v>
          </cell>
          <cell r="K294">
            <v>1291</v>
          </cell>
          <cell r="L294" t="str">
            <v>GLMKAM04</v>
          </cell>
          <cell r="P294" t="str">
            <v>GLOW MAKE UP</v>
          </cell>
        </row>
        <row r="295">
          <cell r="B295">
            <v>45868.395833333336</v>
          </cell>
          <cell r="C295">
            <v>45868.604166666664</v>
          </cell>
          <cell r="G295" t="str">
            <v>01_06</v>
          </cell>
          <cell r="K295">
            <v>2544</v>
          </cell>
          <cell r="L295" t="str">
            <v>MRARBS01</v>
          </cell>
          <cell r="P295" t="str">
            <v>MISS RÔSE</v>
          </cell>
        </row>
        <row r="296">
          <cell r="B296">
            <v>45868.4375</v>
          </cell>
          <cell r="C296">
            <v>45868.583333333336</v>
          </cell>
          <cell r="G296" t="str">
            <v>GLOW - Água Micelar</v>
          </cell>
          <cell r="K296">
            <v>1680</v>
          </cell>
          <cell r="L296" t="str">
            <v>GLMKAM05</v>
          </cell>
          <cell r="P296" t="str">
            <v>GLOW MAKE UP</v>
          </cell>
        </row>
        <row r="297">
          <cell r="B297">
            <v>45868.583333333336</v>
          </cell>
          <cell r="C297">
            <v>45868.661805555559</v>
          </cell>
          <cell r="G297" t="str">
            <v>GLOW - Água Micelar</v>
          </cell>
          <cell r="K297">
            <v>1680</v>
          </cell>
          <cell r="L297" t="str">
            <v>GLMKAM05</v>
          </cell>
          <cell r="P297" t="str">
            <v>GLOW MAKE UP</v>
          </cell>
        </row>
        <row r="298">
          <cell r="B298">
            <v>45868.604166666664</v>
          </cell>
          <cell r="C298">
            <v>45868.70416666667</v>
          </cell>
          <cell r="G298" t="str">
            <v>01_06</v>
          </cell>
          <cell r="K298">
            <v>2544</v>
          </cell>
          <cell r="L298" t="str">
            <v>MRARBS01</v>
          </cell>
          <cell r="P298" t="str">
            <v>MISS RÔSE</v>
          </cell>
        </row>
        <row r="299">
          <cell r="B299">
            <v>45868.661805555559</v>
          </cell>
          <cell r="C299">
            <v>45868.708333333336</v>
          </cell>
          <cell r="G299" t="str">
            <v>GLOW - Água Micelar</v>
          </cell>
          <cell r="K299">
            <v>722.91719744214845</v>
          </cell>
          <cell r="L299" t="str">
            <v>GLMKAM05</v>
          </cell>
          <cell r="P299" t="str">
            <v>GLOW MAKE UP</v>
          </cell>
        </row>
        <row r="300">
          <cell r="B300">
            <v>45869.291666666664</v>
          </cell>
          <cell r="C300">
            <v>45869.354166666664</v>
          </cell>
          <cell r="G300" t="str">
            <v>GLOW - Água Micelar</v>
          </cell>
          <cell r="K300">
            <v>971.08280255785144</v>
          </cell>
          <cell r="L300" t="str">
            <v>GLMKAM05</v>
          </cell>
          <cell r="P300" t="str">
            <v>GLOW MAKE UP</v>
          </cell>
        </row>
        <row r="301">
          <cell r="B301">
            <v>45869.354166666664</v>
          </cell>
          <cell r="C301">
            <v>45869.59375</v>
          </cell>
          <cell r="G301" t="str">
            <v>GLOW - Água Micelar</v>
          </cell>
          <cell r="K301">
            <v>1680</v>
          </cell>
          <cell r="L301" t="str">
            <v>GLMKAM06</v>
          </cell>
          <cell r="P301" t="str">
            <v>GLOW MAKE UP</v>
          </cell>
        </row>
        <row r="302">
          <cell r="B302">
            <v>45869.354166666664</v>
          </cell>
          <cell r="C302">
            <v>45869.553472222222</v>
          </cell>
          <cell r="G302" t="str">
            <v>01_07</v>
          </cell>
          <cell r="K302">
            <v>2544</v>
          </cell>
          <cell r="L302" t="str">
            <v>MRARBS04</v>
          </cell>
          <cell r="P302" t="str">
            <v>MISS RÔSE</v>
          </cell>
        </row>
        <row r="303">
          <cell r="B303">
            <v>45869.354166666664</v>
          </cell>
          <cell r="C303">
            <v>45869.59375</v>
          </cell>
          <cell r="G303" t="str">
            <v>GLOW - Água Micelar</v>
          </cell>
          <cell r="K303">
            <v>1680</v>
          </cell>
          <cell r="L303" t="str">
            <v>GLMKAM06</v>
          </cell>
          <cell r="P303" t="str">
            <v>GLOW MAKE UP</v>
          </cell>
        </row>
        <row r="304">
          <cell r="B304">
            <v>45869.553472222222</v>
          </cell>
          <cell r="C304">
            <v>45870.302083333336</v>
          </cell>
          <cell r="G304" t="str">
            <v>01_07</v>
          </cell>
          <cell r="K304">
            <v>2544</v>
          </cell>
          <cell r="L304" t="str">
            <v>MRARBS04</v>
          </cell>
          <cell r="P304" t="str">
            <v>MISS RÔSE</v>
          </cell>
        </row>
        <row r="305">
          <cell r="B305">
            <v>45869.59375</v>
          </cell>
          <cell r="C305">
            <v>45869.6875</v>
          </cell>
          <cell r="G305" t="str">
            <v>GLOW - Água Micelar</v>
          </cell>
          <cell r="K305">
            <v>1680</v>
          </cell>
          <cell r="L305" t="str">
            <v>GLMKAM06</v>
          </cell>
          <cell r="P305" t="str">
            <v>GLOW MAKE UP</v>
          </cell>
        </row>
        <row r="306">
          <cell r="B306">
            <v>45870.302083333336</v>
          </cell>
          <cell r="C306">
            <v>45870.430555555555</v>
          </cell>
          <cell r="G306" t="str">
            <v>01_07</v>
          </cell>
          <cell r="K306">
            <v>2544</v>
          </cell>
          <cell r="L306" t="str">
            <v>MRARBS04</v>
          </cell>
          <cell r="P306" t="str">
            <v>MISS RÔSE</v>
          </cell>
        </row>
        <row r="307">
          <cell r="B307">
            <v>45870.430555555555</v>
          </cell>
          <cell r="C307">
            <v>45870.618055555555</v>
          </cell>
          <cell r="G307" t="str">
            <v>01_07</v>
          </cell>
          <cell r="K307">
            <v>2592</v>
          </cell>
          <cell r="L307" t="str">
            <v>MRARBS04</v>
          </cell>
          <cell r="P307" t="str">
            <v>MISS RÔSE</v>
          </cell>
        </row>
        <row r="308">
          <cell r="B308">
            <v>45870.4375</v>
          </cell>
          <cell r="C308">
            <v>45870.652777777781</v>
          </cell>
          <cell r="G308" t="str">
            <v>01_07</v>
          </cell>
          <cell r="K308">
            <v>2544</v>
          </cell>
          <cell r="L308" t="str">
            <v>MRARBS03</v>
          </cell>
          <cell r="P308" t="str">
            <v>MISS RÔSE</v>
          </cell>
        </row>
        <row r="309">
          <cell r="B309">
            <v>45870.652777777781</v>
          </cell>
          <cell r="C309">
            <v>45873.666666666664</v>
          </cell>
          <cell r="G309" t="str">
            <v>01_07</v>
          </cell>
          <cell r="K309">
            <v>2544</v>
          </cell>
          <cell r="L309" t="str">
            <v>MRARBS03</v>
          </cell>
          <cell r="P309" t="str">
            <v>MISS RÔSE</v>
          </cell>
        </row>
        <row r="310">
          <cell r="B310">
            <v>45873.302083333336</v>
          </cell>
          <cell r="C310">
            <v>45873.625</v>
          </cell>
          <cell r="G310" t="str">
            <v>DAPOP - Pedido 360 mil</v>
          </cell>
          <cell r="K310">
            <v>4020</v>
          </cell>
          <cell r="L310" t="str">
            <v>DPMTHD03</v>
          </cell>
          <cell r="P310" t="str">
            <v>DAPOP</v>
          </cell>
        </row>
        <row r="311">
          <cell r="B311">
            <v>45873.659722222219</v>
          </cell>
          <cell r="C311">
            <v>45874.5625</v>
          </cell>
          <cell r="G311" t="str">
            <v>DAPOP - Pedido 360 mil</v>
          </cell>
          <cell r="K311">
            <v>4020</v>
          </cell>
          <cell r="L311" t="str">
            <v>DPMTHD03</v>
          </cell>
          <cell r="P311" t="str">
            <v>DAPOP</v>
          </cell>
        </row>
        <row r="312">
          <cell r="B312">
            <v>45873.666666666664</v>
          </cell>
          <cell r="C312">
            <v>45874.402777777781</v>
          </cell>
          <cell r="G312" t="str">
            <v>01_07</v>
          </cell>
          <cell r="K312">
            <v>2544</v>
          </cell>
          <cell r="L312" t="str">
            <v>MRARBS03</v>
          </cell>
          <cell r="P312" t="str">
            <v>MISS RÔSE</v>
          </cell>
        </row>
        <row r="313">
          <cell r="B313">
            <v>45874.402777777781</v>
          </cell>
          <cell r="C313">
            <v>45874.5625</v>
          </cell>
          <cell r="G313" t="str">
            <v>01_07</v>
          </cell>
          <cell r="K313">
            <v>2544</v>
          </cell>
          <cell r="L313" t="str">
            <v>MRARBS03</v>
          </cell>
          <cell r="P313" t="str">
            <v>MISS RÔSE</v>
          </cell>
        </row>
        <row r="314">
          <cell r="B314">
            <v>45874.5625</v>
          </cell>
          <cell r="C314">
            <v>45875.444444444445</v>
          </cell>
          <cell r="G314" t="str">
            <v>DAPOP - Pedido 360 mil</v>
          </cell>
          <cell r="K314">
            <v>4020</v>
          </cell>
          <cell r="L314" t="str">
            <v>DPMTHD03</v>
          </cell>
          <cell r="P314" t="str">
            <v>DAPOP</v>
          </cell>
        </row>
        <row r="315">
          <cell r="B315">
            <v>45874.590277777781</v>
          </cell>
          <cell r="C315">
            <v>45874.708333333336</v>
          </cell>
          <cell r="G315" t="str">
            <v>01_07</v>
          </cell>
          <cell r="K315">
            <v>1801.9999999352149</v>
          </cell>
          <cell r="L315" t="str">
            <v>MRARBS02</v>
          </cell>
          <cell r="P315" t="str">
            <v>MISS RÔSE</v>
          </cell>
        </row>
        <row r="316">
          <cell r="B316">
            <v>45875.291666666664</v>
          </cell>
          <cell r="C316">
            <v>45875.340277777781</v>
          </cell>
          <cell r="G316" t="str">
            <v>01_07</v>
          </cell>
          <cell r="K316">
            <v>742.00000006478513</v>
          </cell>
          <cell r="L316" t="str">
            <v>MRARBS02</v>
          </cell>
          <cell r="P316" t="str">
            <v>MISS RÔSE</v>
          </cell>
        </row>
        <row r="317">
          <cell r="B317">
            <v>45875.340277777781</v>
          </cell>
          <cell r="C317">
            <v>45875.478472222225</v>
          </cell>
          <cell r="G317" t="str">
            <v>01_07</v>
          </cell>
          <cell r="K317">
            <v>2544</v>
          </cell>
          <cell r="L317" t="str">
            <v>MRARBS02</v>
          </cell>
          <cell r="P317" t="str">
            <v>MISS RÔSE</v>
          </cell>
        </row>
        <row r="318">
          <cell r="B318">
            <v>45875.444444444445</v>
          </cell>
          <cell r="C318">
            <v>45875.690972222219</v>
          </cell>
          <cell r="G318" t="str">
            <v>DAPOP - Pedido 360 mil</v>
          </cell>
          <cell r="K318">
            <v>4020</v>
          </cell>
          <cell r="L318" t="str">
            <v>DPMTHD03</v>
          </cell>
          <cell r="P318" t="str">
            <v>DAPOP</v>
          </cell>
        </row>
        <row r="319">
          <cell r="B319">
            <v>45875.478472222225</v>
          </cell>
          <cell r="C319">
            <v>45875.645833333336</v>
          </cell>
          <cell r="G319" t="str">
            <v>01_07</v>
          </cell>
          <cell r="K319">
            <v>2544</v>
          </cell>
          <cell r="L319" t="str">
            <v>MRARBS02</v>
          </cell>
          <cell r="P319" t="str">
            <v>MISS RÔSE</v>
          </cell>
        </row>
        <row r="320">
          <cell r="B320">
            <v>45875.690972222219</v>
          </cell>
          <cell r="C320">
            <v>45876.497916666667</v>
          </cell>
          <cell r="G320" t="str">
            <v>DAPOP - Pedido 360 mil</v>
          </cell>
          <cell r="K320">
            <v>4020</v>
          </cell>
          <cell r="L320" t="str">
            <v>DPMTHD03</v>
          </cell>
          <cell r="P320" t="str">
            <v>DAPOP</v>
          </cell>
        </row>
        <row r="321">
          <cell r="B321">
            <v>45876.3125</v>
          </cell>
          <cell r="C321">
            <v>45876.395833333336</v>
          </cell>
          <cell r="G321" t="str">
            <v>04_07</v>
          </cell>
          <cell r="K321">
            <v>546</v>
          </cell>
          <cell r="L321" t="str">
            <v>KUBPBA02</v>
          </cell>
          <cell r="P321" t="str">
            <v>KURYOS</v>
          </cell>
        </row>
        <row r="322">
          <cell r="B322">
            <v>45876.395833333336</v>
          </cell>
          <cell r="C322">
            <v>45876.499305555553</v>
          </cell>
          <cell r="G322" t="str">
            <v>04_07</v>
          </cell>
          <cell r="K322">
            <v>555</v>
          </cell>
          <cell r="L322" t="str">
            <v>KUBPBA02</v>
          </cell>
          <cell r="P322" t="str">
            <v>KURYOS</v>
          </cell>
        </row>
        <row r="323">
          <cell r="B323">
            <v>45876.548611111109</v>
          </cell>
          <cell r="C323">
            <v>45876.708333333336</v>
          </cell>
          <cell r="G323" t="str">
            <v>DAPOP - Pedido 360 mil</v>
          </cell>
          <cell r="K323">
            <v>3188.2758620088666</v>
          </cell>
          <cell r="L323" t="str">
            <v>DPMTHD02</v>
          </cell>
          <cell r="P323" t="str">
            <v>DAPOP</v>
          </cell>
        </row>
        <row r="324">
          <cell r="B324">
            <v>45876.548611111109</v>
          </cell>
          <cell r="C324">
            <v>45876.638888888891</v>
          </cell>
          <cell r="G324" t="str">
            <v>04_07</v>
          </cell>
          <cell r="K324">
            <v>555</v>
          </cell>
          <cell r="L324" t="str">
            <v>KUBPBA01 - 2</v>
          </cell>
          <cell r="P324" t="str">
            <v>KURYOS</v>
          </cell>
        </row>
        <row r="325">
          <cell r="B325">
            <v>45876.638888888891</v>
          </cell>
          <cell r="C325">
            <v>45876.708333333336</v>
          </cell>
          <cell r="G325" t="str">
            <v>04_07</v>
          </cell>
          <cell r="K325">
            <v>414.17910446012434</v>
          </cell>
          <cell r="L325" t="str">
            <v>KUBPBA01 - 2</v>
          </cell>
          <cell r="P325" t="str">
            <v>KURYOS</v>
          </cell>
        </row>
        <row r="326">
          <cell r="B326">
            <v>45877.291666666664</v>
          </cell>
          <cell r="C326">
            <v>45877.333333333336</v>
          </cell>
          <cell r="G326" t="str">
            <v>DAPOP - Pedido 360 mil</v>
          </cell>
          <cell r="K326">
            <v>831.72413799113303</v>
          </cell>
          <cell r="L326" t="str">
            <v>DPMTHD02</v>
          </cell>
          <cell r="P326" t="str">
            <v>DAPOP</v>
          </cell>
        </row>
        <row r="327">
          <cell r="B327">
            <v>45877.291666666664</v>
          </cell>
          <cell r="C327">
            <v>45877.31527777778</v>
          </cell>
          <cell r="G327" t="str">
            <v>04_07</v>
          </cell>
          <cell r="K327">
            <v>140.82089553987564</v>
          </cell>
          <cell r="L327" t="str">
            <v>KUBPBA01 - 2</v>
          </cell>
          <cell r="P327" t="str">
            <v>KURYOS</v>
          </cell>
        </row>
        <row r="328">
          <cell r="B328">
            <v>45877.318055555559</v>
          </cell>
          <cell r="C328">
            <v>45877.409722222219</v>
          </cell>
          <cell r="G328" t="str">
            <v>04_07</v>
          </cell>
          <cell r="K328">
            <v>555</v>
          </cell>
          <cell r="L328" t="str">
            <v>KUBPBA01 - 2</v>
          </cell>
          <cell r="P328" t="str">
            <v>KURYOS</v>
          </cell>
        </row>
        <row r="329">
          <cell r="B329">
            <v>45877.369444444441</v>
          </cell>
          <cell r="C329">
            <v>45877.645833333336</v>
          </cell>
          <cell r="G329" t="str">
            <v>DAPOP - Pedido 360 mil</v>
          </cell>
          <cell r="K329">
            <v>4020</v>
          </cell>
          <cell r="L329" t="str">
            <v>DPMTHD02</v>
          </cell>
          <cell r="P329" t="str">
            <v>DAPOP</v>
          </cell>
        </row>
        <row r="330">
          <cell r="B330">
            <v>45877.409722222219</v>
          </cell>
          <cell r="C330">
            <v>45877.479166666664</v>
          </cell>
          <cell r="G330" t="str">
            <v>04_07</v>
          </cell>
          <cell r="K330">
            <v>555</v>
          </cell>
          <cell r="L330" t="str">
            <v>KUBPBA01 - 2</v>
          </cell>
          <cell r="P330" t="str">
            <v>KURYOS</v>
          </cell>
        </row>
        <row r="331">
          <cell r="B331">
            <v>45877.484027777777</v>
          </cell>
          <cell r="C331">
            <v>45877.583333333336</v>
          </cell>
          <cell r="G331" t="str">
            <v>04_07</v>
          </cell>
          <cell r="K331">
            <v>275</v>
          </cell>
          <cell r="L331" t="str">
            <v>KUBPBA01 - 2</v>
          </cell>
          <cell r="P331" t="str">
            <v>KURYOS</v>
          </cell>
        </row>
        <row r="332">
          <cell r="B332">
            <v>45880.298611111109</v>
          </cell>
          <cell r="C332">
            <v>45880.5625</v>
          </cell>
          <cell r="G332" t="str">
            <v>DAPOP - Pedido 360 mil</v>
          </cell>
          <cell r="K332">
            <v>4020</v>
          </cell>
          <cell r="L332" t="str">
            <v>DPMTHD02</v>
          </cell>
          <cell r="P332" t="str">
            <v>DAPOP</v>
          </cell>
        </row>
        <row r="333">
          <cell r="B333">
            <v>45880.368055555555</v>
          </cell>
          <cell r="C333">
            <v>45880.5625</v>
          </cell>
          <cell r="G333" t="str">
            <v>01_07</v>
          </cell>
          <cell r="K333">
            <v>2544</v>
          </cell>
          <cell r="L333" t="str">
            <v>MRARBS02</v>
          </cell>
          <cell r="P333" t="str">
            <v>MISS RÔSE</v>
          </cell>
        </row>
        <row r="334">
          <cell r="B334">
            <v>45880.5625</v>
          </cell>
          <cell r="C334">
            <v>45880.708333333336</v>
          </cell>
          <cell r="G334" t="str">
            <v>DAPOP - Pedido 360 mil</v>
          </cell>
          <cell r="K334">
            <v>1835.2173912884239</v>
          </cell>
          <cell r="L334" t="str">
            <v>DPMTHD02</v>
          </cell>
          <cell r="P334" t="str">
            <v>DAPOP</v>
          </cell>
        </row>
        <row r="335">
          <cell r="B335">
            <v>45880.566666666666</v>
          </cell>
          <cell r="C335">
            <v>45880.708333333336</v>
          </cell>
          <cell r="G335" t="str">
            <v>01_07</v>
          </cell>
          <cell r="K335">
            <v>1965.8181817768786</v>
          </cell>
          <cell r="L335" t="str">
            <v>MRARBS02</v>
          </cell>
          <cell r="P335" t="str">
            <v>MISS RÔSE</v>
          </cell>
        </row>
        <row r="336">
          <cell r="B336">
            <v>45881.291666666664</v>
          </cell>
          <cell r="C336">
            <v>45881.465277777781</v>
          </cell>
          <cell r="G336" t="str">
            <v>DAPOP - Pedido 360 mil</v>
          </cell>
          <cell r="K336">
            <v>2184.7826087115764</v>
          </cell>
          <cell r="L336" t="str">
            <v>DPMTHD02</v>
          </cell>
          <cell r="P336" t="str">
            <v>DAPOP</v>
          </cell>
        </row>
        <row r="337">
          <cell r="B337">
            <v>45881.291666666664</v>
          </cell>
          <cell r="C337">
            <v>45881.333333333336</v>
          </cell>
          <cell r="G337" t="str">
            <v>01_07</v>
          </cell>
          <cell r="K337">
            <v>578.18181822312158</v>
          </cell>
          <cell r="L337" t="str">
            <v>MRARBS02</v>
          </cell>
          <cell r="P337" t="str">
            <v>MISS RÔSE</v>
          </cell>
        </row>
        <row r="338">
          <cell r="B338">
            <v>45881.333333333336</v>
          </cell>
          <cell r="C338">
            <v>45881.459722222222</v>
          </cell>
          <cell r="G338" t="str">
            <v>01_07</v>
          </cell>
          <cell r="K338">
            <v>1536</v>
          </cell>
          <cell r="L338" t="str">
            <v>MRARBS02</v>
          </cell>
          <cell r="P338" t="str">
            <v>MISS RÔSE</v>
          </cell>
        </row>
        <row r="339">
          <cell r="B339">
            <v>45881.465277777781</v>
          </cell>
          <cell r="C339">
            <v>45881.666666666664</v>
          </cell>
          <cell r="G339" t="str">
            <v>DAPOP - Pedido 360 mil</v>
          </cell>
          <cell r="K339">
            <v>4020</v>
          </cell>
          <cell r="L339" t="str">
            <v>DPMTHD02</v>
          </cell>
          <cell r="P339" t="str">
            <v>DAPOP</v>
          </cell>
        </row>
        <row r="340">
          <cell r="B340">
            <v>45881.548611111109</v>
          </cell>
          <cell r="C340">
            <v>45881.666666666664</v>
          </cell>
          <cell r="G340" t="str">
            <v>01_07</v>
          </cell>
          <cell r="K340">
            <v>2544</v>
          </cell>
          <cell r="L340" t="str">
            <v>MRARBS01</v>
          </cell>
          <cell r="P340" t="str">
            <v>MISS RÔSE</v>
          </cell>
        </row>
        <row r="341">
          <cell r="B341">
            <v>45881.663194444445</v>
          </cell>
          <cell r="C341">
            <v>45881.708333333336</v>
          </cell>
          <cell r="G341" t="str">
            <v>DAPOP - Pedido 360 mil</v>
          </cell>
          <cell r="K341">
            <v>466.60714286609675</v>
          </cell>
          <cell r="L341" t="str">
            <v>DPMTHD01</v>
          </cell>
          <cell r="P341" t="str">
            <v>DAPOP</v>
          </cell>
        </row>
        <row r="342">
          <cell r="B342">
            <v>45881.666666666664</v>
          </cell>
          <cell r="C342">
            <v>45881.708333333336</v>
          </cell>
          <cell r="G342" t="str">
            <v>01_07</v>
          </cell>
          <cell r="K342">
            <v>820.80000004299916</v>
          </cell>
          <cell r="L342" t="str">
            <v>MRARBS01</v>
          </cell>
          <cell r="P342" t="str">
            <v>MISS RÔSE</v>
          </cell>
        </row>
        <row r="343">
          <cell r="B343">
            <v>45882.291666666664</v>
          </cell>
          <cell r="C343">
            <v>45882.388888888891</v>
          </cell>
          <cell r="G343" t="str">
            <v>01_07</v>
          </cell>
          <cell r="K343">
            <v>1915.199999957001</v>
          </cell>
          <cell r="L343" t="str">
            <v>MRARBS01</v>
          </cell>
          <cell r="P343" t="str">
            <v>MISS RÔSE</v>
          </cell>
        </row>
        <row r="344">
          <cell r="B344">
            <v>45882.388888888891</v>
          </cell>
          <cell r="C344">
            <v>45882.5625</v>
          </cell>
          <cell r="G344" t="str">
            <v>01_08</v>
          </cell>
          <cell r="K344">
            <v>2544</v>
          </cell>
          <cell r="L344" t="str">
            <v>BFBBBS01</v>
          </cell>
          <cell r="P344" t="str">
            <v>BIOFLORA</v>
          </cell>
        </row>
        <row r="345">
          <cell r="B345">
            <v>45882.5625</v>
          </cell>
          <cell r="C345">
            <v>45882.694444444445</v>
          </cell>
          <cell r="G345" t="str">
            <v>01_08</v>
          </cell>
          <cell r="K345">
            <v>2544</v>
          </cell>
          <cell r="L345" t="str">
            <v>BFBBBS01</v>
          </cell>
          <cell r="P345" t="str">
            <v>BIOFLORA</v>
          </cell>
        </row>
        <row r="346">
          <cell r="B346">
            <v>45882.694444444445</v>
          </cell>
          <cell r="C346">
            <v>45882.708333333336</v>
          </cell>
          <cell r="G346" t="str">
            <v>01_08</v>
          </cell>
          <cell r="K346">
            <v>188.44444445906967</v>
          </cell>
          <cell r="L346" t="str">
            <v>BFBBBS01</v>
          </cell>
          <cell r="P346" t="str">
            <v>BIOFLORA</v>
          </cell>
        </row>
        <row r="347">
          <cell r="B347">
            <v>45883.291666666664</v>
          </cell>
          <cell r="C347">
            <v>45883.465277777781</v>
          </cell>
          <cell r="G347" t="str">
            <v>01_08</v>
          </cell>
          <cell r="K347">
            <v>2355.5555555409305</v>
          </cell>
          <cell r="L347" t="str">
            <v>BFBBBS01</v>
          </cell>
          <cell r="P347" t="str">
            <v>BIOFLORA</v>
          </cell>
        </row>
        <row r="348">
          <cell r="B348">
            <v>45883.450694444444</v>
          </cell>
          <cell r="C348">
            <v>45883.625</v>
          </cell>
          <cell r="G348" t="str">
            <v>01_08</v>
          </cell>
          <cell r="K348">
            <v>2544</v>
          </cell>
          <cell r="L348" t="str">
            <v>BFBBBS02</v>
          </cell>
          <cell r="P348" t="str">
            <v>BIOFLORA</v>
          </cell>
        </row>
        <row r="349">
          <cell r="B349">
            <v>45883.625</v>
          </cell>
          <cell r="C349">
            <v>45883.708333333336</v>
          </cell>
          <cell r="G349" t="str">
            <v>01_08</v>
          </cell>
          <cell r="K349">
            <v>1557.5510203720839</v>
          </cell>
          <cell r="L349" t="str">
            <v>BFBBBS02</v>
          </cell>
          <cell r="P349" t="str">
            <v>BIOFLORA</v>
          </cell>
        </row>
        <row r="350">
          <cell r="B350">
            <v>45884.291666666664</v>
          </cell>
          <cell r="C350">
            <v>45884.344444444447</v>
          </cell>
          <cell r="G350" t="str">
            <v>01_08</v>
          </cell>
          <cell r="K350">
            <v>986.44897962791629</v>
          </cell>
          <cell r="L350" t="str">
            <v>BFBBBS02</v>
          </cell>
          <cell r="P350" t="str">
            <v>BIOFLORA</v>
          </cell>
        </row>
        <row r="351">
          <cell r="B351">
            <v>45884.344444444447</v>
          </cell>
          <cell r="C351">
            <v>45884.458333333336</v>
          </cell>
          <cell r="G351" t="str">
            <v>01_08</v>
          </cell>
          <cell r="K351">
            <v>2544</v>
          </cell>
          <cell r="L351" t="str">
            <v>BFBBBS02</v>
          </cell>
          <cell r="P351" t="str">
            <v>BIOFLORA</v>
          </cell>
        </row>
        <row r="352">
          <cell r="B352">
            <v>45884.479166666664</v>
          </cell>
          <cell r="C352">
            <v>45884.611111111109</v>
          </cell>
          <cell r="G352" t="str">
            <v>01_08</v>
          </cell>
          <cell r="K352">
            <v>2544</v>
          </cell>
          <cell r="L352" t="str">
            <v>BFBBBS04</v>
          </cell>
          <cell r="P352" t="str">
            <v>BIOFLORA</v>
          </cell>
        </row>
        <row r="353">
          <cell r="B353">
            <v>45884.611111111109</v>
          </cell>
          <cell r="C353">
            <v>45884.666666666664</v>
          </cell>
          <cell r="G353" t="str">
            <v>01_08</v>
          </cell>
          <cell r="K353">
            <v>1272</v>
          </cell>
          <cell r="L353" t="str">
            <v>BFBBBS04</v>
          </cell>
          <cell r="P353" t="str">
            <v>BIOFLORA</v>
          </cell>
        </row>
        <row r="354">
          <cell r="B354">
            <v>45887.291666666664</v>
          </cell>
          <cell r="C354">
            <v>45887.677083333336</v>
          </cell>
          <cell r="G354" t="str">
            <v>DAPOP - Pedido 360 mil</v>
          </cell>
          <cell r="K354">
            <v>3553.3928571339034</v>
          </cell>
          <cell r="L354" t="str">
            <v>DPMTHD01</v>
          </cell>
          <cell r="P354" t="str">
            <v>DAPOP</v>
          </cell>
        </row>
        <row r="355">
          <cell r="B355">
            <v>45887.291666666664</v>
          </cell>
          <cell r="C355">
            <v>45887.347222222219</v>
          </cell>
          <cell r="G355" t="str">
            <v>01_08</v>
          </cell>
          <cell r="K355">
            <v>1272</v>
          </cell>
          <cell r="L355" t="str">
            <v>BFBBBS04</v>
          </cell>
          <cell r="P355" t="str">
            <v>BIOFLORA</v>
          </cell>
        </row>
        <row r="356">
          <cell r="B356">
            <v>45887.347222222219</v>
          </cell>
          <cell r="C356">
            <v>45887.449305555558</v>
          </cell>
          <cell r="G356" t="str">
            <v>01_08</v>
          </cell>
          <cell r="K356">
            <v>2544</v>
          </cell>
          <cell r="L356" t="str">
            <v>BFBBBS04</v>
          </cell>
          <cell r="P356" t="str">
            <v>BIOFLORA</v>
          </cell>
        </row>
        <row r="357">
          <cell r="B357">
            <v>45887.449305555558</v>
          </cell>
          <cell r="C357">
            <v>45887.612500000003</v>
          </cell>
          <cell r="G357" t="str">
            <v>01_08</v>
          </cell>
          <cell r="K357">
            <v>2544</v>
          </cell>
          <cell r="L357" t="str">
            <v>BFBBBS05</v>
          </cell>
          <cell r="P357" t="str">
            <v>BIOFLORA</v>
          </cell>
        </row>
        <row r="358">
          <cell r="B358">
            <v>45887.612500000003</v>
          </cell>
          <cell r="C358">
            <v>45887.708333333336</v>
          </cell>
          <cell r="G358" t="str">
            <v>01_08</v>
          </cell>
          <cell r="K358">
            <v>1610.4220183542325</v>
          </cell>
          <cell r="L358" t="str">
            <v>BFBBBS05</v>
          </cell>
          <cell r="P358" t="str">
            <v>BIOFLORA</v>
          </cell>
        </row>
        <row r="359">
          <cell r="B359">
            <v>45887.677083333336</v>
          </cell>
          <cell r="C359">
            <v>45887.708333333336</v>
          </cell>
          <cell r="G359" t="str">
            <v>DAPOP - Pedido 360 mil</v>
          </cell>
          <cell r="K359">
            <v>556.6153846133908</v>
          </cell>
          <cell r="L359" t="str">
            <v>DPMTHD01</v>
          </cell>
          <cell r="P359" t="str">
            <v>DAPOP</v>
          </cell>
        </row>
        <row r="360">
          <cell r="B360">
            <v>45888.291666666664</v>
          </cell>
          <cell r="C360">
            <v>45888.486111111109</v>
          </cell>
          <cell r="G360" t="str">
            <v>DAPOP - Pedido 360 mil</v>
          </cell>
          <cell r="K360">
            <v>3463.3846153866093</v>
          </cell>
          <cell r="L360" t="str">
            <v>DPMTHD01</v>
          </cell>
          <cell r="P360" t="str">
            <v>DAPOP</v>
          </cell>
        </row>
        <row r="361">
          <cell r="B361">
            <v>45888.291666666664</v>
          </cell>
          <cell r="C361">
            <v>45888.347222222219</v>
          </cell>
          <cell r="G361" t="str">
            <v>01_08</v>
          </cell>
          <cell r="K361">
            <v>933.57798164576741</v>
          </cell>
          <cell r="L361" t="str">
            <v>BFBBBS05</v>
          </cell>
          <cell r="P361" t="str">
            <v>BIOFLORA</v>
          </cell>
        </row>
        <row r="362">
          <cell r="B362">
            <v>45888.347222222219</v>
          </cell>
          <cell r="C362">
            <v>45888.444444444445</v>
          </cell>
          <cell r="G362" t="str">
            <v>01_08</v>
          </cell>
          <cell r="K362">
            <v>2544</v>
          </cell>
          <cell r="L362" t="str">
            <v>BFBBBS05</v>
          </cell>
          <cell r="P362" t="str">
            <v>BIOFLORA</v>
          </cell>
        </row>
        <row r="363">
          <cell r="B363">
            <v>45888.444444444445</v>
          </cell>
          <cell r="C363">
            <v>45888.558333333334</v>
          </cell>
          <cell r="G363" t="str">
            <v>01_08</v>
          </cell>
          <cell r="K363">
            <v>2544</v>
          </cell>
          <cell r="L363" t="str">
            <v>BFBBBS06</v>
          </cell>
          <cell r="P363" t="str">
            <v>BIOFLORA</v>
          </cell>
        </row>
        <row r="364">
          <cell r="B364">
            <v>45888.486111111109</v>
          </cell>
          <cell r="C364">
            <v>45888.708333333336</v>
          </cell>
          <cell r="G364" t="str">
            <v>DAPOP - Pedido 360 mil</v>
          </cell>
          <cell r="K364">
            <v>2488.5714285443678</v>
          </cell>
          <cell r="L364" t="str">
            <v>DPMTHD01</v>
          </cell>
          <cell r="P364" t="str">
            <v>DAPOP</v>
          </cell>
        </row>
        <row r="365">
          <cell r="B365">
            <v>45888.558333333334</v>
          </cell>
          <cell r="C365">
            <v>45888.676388888889</v>
          </cell>
          <cell r="G365" t="str">
            <v>01_08</v>
          </cell>
          <cell r="K365">
            <v>2544</v>
          </cell>
          <cell r="L365" t="str">
            <v>BFBBBS06</v>
          </cell>
          <cell r="P365" t="str">
            <v>BIOFLORA</v>
          </cell>
        </row>
        <row r="366">
          <cell r="B366">
            <v>45888.676388888889</v>
          </cell>
          <cell r="C366">
            <v>45888.708333333336</v>
          </cell>
          <cell r="G366" t="str">
            <v>01_08</v>
          </cell>
          <cell r="K366">
            <v>2089.7142856972864</v>
          </cell>
          <cell r="L366" t="str">
            <v>BFBBBS06</v>
          </cell>
          <cell r="P366" t="str">
            <v>BIOFLORA</v>
          </cell>
        </row>
        <row r="367">
          <cell r="B367">
            <v>45889.291666666664</v>
          </cell>
          <cell r="C367">
            <v>45889.402777777781</v>
          </cell>
          <cell r="G367" t="str">
            <v>DAPOP - Pedido 360 mil</v>
          </cell>
          <cell r="K367">
            <v>1531.428571455632</v>
          </cell>
          <cell r="L367" t="str">
            <v>DPMTHD01</v>
          </cell>
          <cell r="P367" t="str">
            <v>DAPOP</v>
          </cell>
        </row>
        <row r="368">
          <cell r="B368">
            <v>45889.291666666664</v>
          </cell>
          <cell r="C368">
            <v>45889.298611111109</v>
          </cell>
          <cell r="G368" t="str">
            <v>01_08</v>
          </cell>
          <cell r="K368">
            <v>454.28571430271325</v>
          </cell>
          <cell r="L368" t="str">
            <v>BFBBBS06</v>
          </cell>
          <cell r="P368" t="str">
            <v>BIOFLORA</v>
          </cell>
        </row>
        <row r="369">
          <cell r="B369">
            <v>45889.298611111109</v>
          </cell>
          <cell r="C369">
            <v>45889.402777777781</v>
          </cell>
          <cell r="G369" t="str">
            <v>01_08</v>
          </cell>
          <cell r="K369">
            <v>2544</v>
          </cell>
          <cell r="L369" t="str">
            <v>BFBBBS03</v>
          </cell>
          <cell r="P369" t="str">
            <v>BIOFLORA</v>
          </cell>
        </row>
        <row r="370">
          <cell r="B370">
            <v>45889.398611111108</v>
          </cell>
          <cell r="C370">
            <v>45889.694444444445</v>
          </cell>
          <cell r="G370" t="str">
            <v>DAPOP - Pedido 360 mil</v>
          </cell>
          <cell r="K370">
            <v>4020</v>
          </cell>
          <cell r="L370" t="str">
            <v>DPMTHD01</v>
          </cell>
          <cell r="P370" t="str">
            <v>DAPOP</v>
          </cell>
        </row>
        <row r="371">
          <cell r="B371">
            <v>45889.402777777781</v>
          </cell>
          <cell r="C371">
            <v>45889.507638888892</v>
          </cell>
          <cell r="G371" t="str">
            <v>01_08</v>
          </cell>
          <cell r="K371">
            <v>2544</v>
          </cell>
          <cell r="L371" t="str">
            <v>BFBBBS03</v>
          </cell>
          <cell r="P371" t="str">
            <v>BIOFLORA</v>
          </cell>
        </row>
        <row r="372">
          <cell r="B372">
            <v>45889.506944444445</v>
          </cell>
          <cell r="C372">
            <v>45889.632638888892</v>
          </cell>
          <cell r="G372" t="str">
            <v>01_08</v>
          </cell>
          <cell r="K372">
            <v>2616</v>
          </cell>
          <cell r="L372" t="str">
            <v>BFBBBS03</v>
          </cell>
          <cell r="P372" t="str">
            <v>BIOFLORA</v>
          </cell>
        </row>
        <row r="373">
          <cell r="B373">
            <v>45889.563888888886</v>
          </cell>
          <cell r="C373">
            <v>45889.635416666664</v>
          </cell>
          <cell r="G373" t="str">
            <v>01_06</v>
          </cell>
          <cell r="K373">
            <v>2544</v>
          </cell>
          <cell r="L373" t="str">
            <v>MRARBS01</v>
          </cell>
          <cell r="P373" t="str">
            <v>MISS RÔSE</v>
          </cell>
        </row>
        <row r="374">
          <cell r="B374">
            <v>45889.635416666664</v>
          </cell>
          <cell r="C374">
            <v>45890.333333333336</v>
          </cell>
          <cell r="G374" t="str">
            <v>01_06</v>
          </cell>
          <cell r="K374">
            <v>2544</v>
          </cell>
          <cell r="L374" t="str">
            <v>MRARBS01</v>
          </cell>
          <cell r="P374" t="str">
            <v>MISS RÔSE</v>
          </cell>
        </row>
        <row r="375">
          <cell r="B375">
            <v>45889.694444444445</v>
          </cell>
          <cell r="C375">
            <v>45889.708333333336</v>
          </cell>
          <cell r="G375" t="str">
            <v>DAPOP - Pedido 360 mil</v>
          </cell>
          <cell r="K375">
            <v>211.57894738786658</v>
          </cell>
          <cell r="L375" t="str">
            <v>DPMTHD01</v>
          </cell>
          <cell r="P375" t="str">
            <v>DAPOP</v>
          </cell>
        </row>
        <row r="376">
          <cell r="B376">
            <v>45890.291666666664</v>
          </cell>
          <cell r="C376">
            <v>45890.583333333336</v>
          </cell>
          <cell r="G376" t="str">
            <v>DAPOP - Pedido 360 mil</v>
          </cell>
          <cell r="K376">
            <v>3808.4210526121301</v>
          </cell>
          <cell r="L376" t="str">
            <v>DPMTHD01</v>
          </cell>
          <cell r="P376" t="str">
            <v>DAPOP</v>
          </cell>
        </row>
        <row r="377">
          <cell r="B377">
            <v>45890.333333333336</v>
          </cell>
          <cell r="C377">
            <v>45890.420138888891</v>
          </cell>
          <cell r="G377" t="str">
            <v>01_06</v>
          </cell>
          <cell r="K377">
            <v>2544</v>
          </cell>
          <cell r="L377" t="str">
            <v>MRARBS01</v>
          </cell>
          <cell r="P377" t="str">
            <v>MISS RÔSE</v>
          </cell>
        </row>
        <row r="378">
          <cell r="B378">
            <v>45890.420138888891</v>
          </cell>
          <cell r="C378">
            <v>45890.5625</v>
          </cell>
          <cell r="G378" t="str">
            <v>01_06</v>
          </cell>
          <cell r="K378">
            <v>2544</v>
          </cell>
          <cell r="L378" t="str">
            <v>MRARBS01</v>
          </cell>
          <cell r="P378" t="str">
            <v>MISS RÔSE</v>
          </cell>
        </row>
        <row r="379">
          <cell r="B379">
            <v>45890.5625</v>
          </cell>
          <cell r="C379">
            <v>45891.404861111114</v>
          </cell>
          <cell r="G379" t="str">
            <v>01_06</v>
          </cell>
          <cell r="K379">
            <v>2544</v>
          </cell>
          <cell r="L379" t="str">
            <v>MRARBS01</v>
          </cell>
          <cell r="P379" t="str">
            <v>MISS RÔSE</v>
          </cell>
        </row>
        <row r="380">
          <cell r="B380">
            <v>45890.631944444445</v>
          </cell>
          <cell r="C380">
            <v>45891.5</v>
          </cell>
          <cell r="G380" t="str">
            <v>DAPOP - Pedido 360 mil</v>
          </cell>
          <cell r="K380">
            <v>5040</v>
          </cell>
          <cell r="L380" t="str">
            <v>DPGLHD03</v>
          </cell>
          <cell r="P380" t="str">
            <v>DAPOP</v>
          </cell>
        </row>
        <row r="381">
          <cell r="B381">
            <v>45891.402777777781</v>
          </cell>
          <cell r="C381">
            <v>45891.555555555555</v>
          </cell>
          <cell r="G381" t="str">
            <v>01_06</v>
          </cell>
          <cell r="K381">
            <v>2544</v>
          </cell>
          <cell r="L381" t="str">
            <v>MRARBS01</v>
          </cell>
          <cell r="P381" t="str">
            <v>MISS RÔSE</v>
          </cell>
        </row>
        <row r="382">
          <cell r="B382">
            <v>45891.5</v>
          </cell>
          <cell r="C382">
            <v>45892.625</v>
          </cell>
          <cell r="G382" t="str">
            <v>DAPOP - Pedido 360 mil</v>
          </cell>
          <cell r="K382">
            <v>5040</v>
          </cell>
          <cell r="L382" t="str">
            <v>DPGLHD03</v>
          </cell>
          <cell r="P382" t="str">
            <v>DAPOP</v>
          </cell>
        </row>
        <row r="383">
          <cell r="B383">
            <v>45891.555555555555</v>
          </cell>
          <cell r="C383">
            <v>45894.299305555556</v>
          </cell>
          <cell r="G383" t="str">
            <v>01_06</v>
          </cell>
          <cell r="K383">
            <v>2592</v>
          </cell>
          <cell r="L383" t="str">
            <v>MRARBS01</v>
          </cell>
          <cell r="P383" t="str">
            <v>MISS RÔSE</v>
          </cell>
        </row>
        <row r="384">
          <cell r="B384">
            <v>45893.398611111108</v>
          </cell>
          <cell r="C384">
            <v>45901.375</v>
          </cell>
          <cell r="G384" t="str">
            <v>03_07</v>
          </cell>
          <cell r="K384">
            <v>1000</v>
          </cell>
          <cell r="L384" t="str">
            <v>IBCHGC03</v>
          </cell>
          <cell r="P384" t="str">
            <v>ISA BEAUTY</v>
          </cell>
        </row>
        <row r="385">
          <cell r="B385">
            <v>45894.299305555556</v>
          </cell>
          <cell r="C385">
            <v>45894.423611111109</v>
          </cell>
          <cell r="G385" t="str">
            <v>01_06</v>
          </cell>
          <cell r="K385">
            <v>2688</v>
          </cell>
          <cell r="L385" t="str">
            <v>MRARBS01</v>
          </cell>
          <cell r="P385" t="str">
            <v>MISS RÔSE</v>
          </cell>
        </row>
        <row r="386">
          <cell r="B386">
            <v>45894.511805555558</v>
          </cell>
          <cell r="C386">
            <v>45894.597222222219</v>
          </cell>
          <cell r="G386" t="str">
            <v>01_06</v>
          </cell>
          <cell r="K386">
            <v>2544</v>
          </cell>
          <cell r="L386" t="str">
            <v>MRARBS03</v>
          </cell>
          <cell r="P386" t="str">
            <v>MISS RÔSE</v>
          </cell>
        </row>
        <row r="387">
          <cell r="B387">
            <v>45894.597222222219</v>
          </cell>
          <cell r="C387">
            <v>45894.6875</v>
          </cell>
          <cell r="G387" t="str">
            <v>01_06</v>
          </cell>
          <cell r="K387">
            <v>2544</v>
          </cell>
          <cell r="L387" t="str">
            <v>MRARBS03</v>
          </cell>
          <cell r="P387" t="str">
            <v>MISS RÔSE</v>
          </cell>
        </row>
        <row r="388">
          <cell r="B388">
            <v>45894.625</v>
          </cell>
          <cell r="C388">
            <v>45895.572222222225</v>
          </cell>
          <cell r="G388" t="str">
            <v>DAPOP - Pedido 360 mil</v>
          </cell>
          <cell r="K388">
            <v>5040</v>
          </cell>
          <cell r="L388" t="str">
            <v>DPGLHD03</v>
          </cell>
          <cell r="P388" t="str">
            <v>DAPOP</v>
          </cell>
        </row>
        <row r="389">
          <cell r="B389">
            <v>45894.6875</v>
          </cell>
          <cell r="C389">
            <v>45895.375</v>
          </cell>
          <cell r="G389" t="str">
            <v>01_06</v>
          </cell>
          <cell r="K389">
            <v>2544</v>
          </cell>
          <cell r="L389" t="str">
            <v>MRARBS03</v>
          </cell>
          <cell r="P389" t="str">
            <v>MISS RÔSE</v>
          </cell>
        </row>
        <row r="390">
          <cell r="B390">
            <v>45895.375</v>
          </cell>
          <cell r="C390">
            <v>45895.698611111111</v>
          </cell>
          <cell r="G390" t="str">
            <v>01_06</v>
          </cell>
          <cell r="K390">
            <v>2544</v>
          </cell>
          <cell r="L390" t="str">
            <v>MRARBS03</v>
          </cell>
          <cell r="P390" t="str">
            <v>MISS RÔSE</v>
          </cell>
        </row>
        <row r="391">
          <cell r="B391">
            <v>45895.572222222225</v>
          </cell>
          <cell r="C391">
            <v>45896.493055555555</v>
          </cell>
          <cell r="G391" t="str">
            <v>DAPOP - Pedido 360 mil</v>
          </cell>
          <cell r="K391">
            <v>5040</v>
          </cell>
          <cell r="L391" t="str">
            <v>DPGLHD03</v>
          </cell>
          <cell r="P391" t="str">
            <v>DAPOP</v>
          </cell>
        </row>
        <row r="392">
          <cell r="B392">
            <v>45895.698611111111</v>
          </cell>
          <cell r="C392">
            <v>45896.340277777781</v>
          </cell>
          <cell r="G392" t="str">
            <v>01_06</v>
          </cell>
          <cell r="K392">
            <v>2544</v>
          </cell>
          <cell r="L392" t="str">
            <v>MRARBS03</v>
          </cell>
          <cell r="P392" t="str">
            <v>MISS RÔSE</v>
          </cell>
        </row>
        <row r="393">
          <cell r="B393">
            <v>45896.340277777781</v>
          </cell>
          <cell r="C393">
            <v>45896.493055555555</v>
          </cell>
          <cell r="G393" t="str">
            <v>01_06</v>
          </cell>
          <cell r="K393">
            <v>2688</v>
          </cell>
          <cell r="L393" t="str">
            <v>MRARBS03</v>
          </cell>
          <cell r="P393" t="str">
            <v>MISS RÔSE</v>
          </cell>
        </row>
        <row r="394">
          <cell r="B394">
            <v>45896.463888888888</v>
          </cell>
          <cell r="C394">
            <v>45896.604166666664</v>
          </cell>
          <cell r="G394" t="str">
            <v>GLOW - Água Micelar</v>
          </cell>
          <cell r="K394">
            <v>1680</v>
          </cell>
          <cell r="L394" t="str">
            <v>GLMKAM02</v>
          </cell>
          <cell r="P394" t="str">
            <v>GLOW MAKE UP</v>
          </cell>
        </row>
        <row r="395">
          <cell r="B395">
            <v>45896.493055555555</v>
          </cell>
          <cell r="C395">
            <v>45897.319444444445</v>
          </cell>
          <cell r="G395" t="str">
            <v>DAPOP - Pedido 360 mil</v>
          </cell>
          <cell r="K395">
            <v>4174</v>
          </cell>
          <cell r="L395" t="str">
            <v>DPGLHD01</v>
          </cell>
          <cell r="P395" t="str">
            <v>DAPOP</v>
          </cell>
        </row>
        <row r="396">
          <cell r="B396">
            <v>45896.604166666664</v>
          </cell>
          <cell r="C396">
            <v>45896.693055555559</v>
          </cell>
          <cell r="G396" t="str">
            <v>GLOW - Água Micelar</v>
          </cell>
          <cell r="K396">
            <v>1680</v>
          </cell>
          <cell r="L396" t="str">
            <v>GLMKAM02</v>
          </cell>
          <cell r="P396" t="str">
            <v>GLOW MAKE UP</v>
          </cell>
        </row>
        <row r="397">
          <cell r="B397">
            <v>45896.693749999999</v>
          </cell>
          <cell r="C397">
            <v>45897.361111111109</v>
          </cell>
          <cell r="G397" t="str">
            <v>GLOW - Água Micelar</v>
          </cell>
          <cell r="K397">
            <v>1680</v>
          </cell>
          <cell r="L397" t="str">
            <v>GLMKAM02</v>
          </cell>
          <cell r="P397" t="str">
            <v>GLOW MAKE UP</v>
          </cell>
        </row>
        <row r="398">
          <cell r="B398">
            <v>45897.319444444445</v>
          </cell>
          <cell r="C398">
            <v>45897.552083333336</v>
          </cell>
          <cell r="G398" t="str">
            <v>DAPOP - Pedido 360 mil</v>
          </cell>
          <cell r="K398">
            <v>4020</v>
          </cell>
          <cell r="L398" t="str">
            <v>DPGLHD02</v>
          </cell>
          <cell r="P398" t="str">
            <v>DAPOP</v>
          </cell>
        </row>
        <row r="399">
          <cell r="B399">
            <v>45897.361111111109</v>
          </cell>
          <cell r="C399">
            <v>45897.465277777781</v>
          </cell>
          <cell r="G399" t="str">
            <v>GLOW - Água Micelar</v>
          </cell>
          <cell r="K399">
            <v>1680</v>
          </cell>
          <cell r="L399" t="str">
            <v>GLMKAM01</v>
          </cell>
          <cell r="P399" t="str">
            <v>GLOW MAKE UP</v>
          </cell>
        </row>
        <row r="400">
          <cell r="B400">
            <v>45897.465277777781</v>
          </cell>
          <cell r="C400">
            <v>45897.631944444445</v>
          </cell>
          <cell r="G400" t="str">
            <v>GLOW - Água Micelar</v>
          </cell>
          <cell r="K400">
            <v>1680</v>
          </cell>
          <cell r="L400" t="str">
            <v>GLMKAM01</v>
          </cell>
          <cell r="P400" t="str">
            <v>GLOW MAKE UP</v>
          </cell>
        </row>
        <row r="401">
          <cell r="B401">
            <v>45897.545138888891</v>
          </cell>
          <cell r="C401">
            <v>45897.670138888891</v>
          </cell>
          <cell r="G401" t="str">
            <v>GLOW - Água Micelar</v>
          </cell>
          <cell r="K401">
            <v>1680</v>
          </cell>
          <cell r="L401" t="str">
            <v>GLMKAM01</v>
          </cell>
          <cell r="P401" t="str">
            <v>GLOW MAKE UP</v>
          </cell>
        </row>
        <row r="402">
          <cell r="B402">
            <v>45897.597222222219</v>
          </cell>
          <cell r="C402">
            <v>45897.708333333336</v>
          </cell>
          <cell r="G402" t="str">
            <v>03_07</v>
          </cell>
          <cell r="K402">
            <v>1000</v>
          </cell>
          <cell r="L402" t="str">
            <v>IBCHGC02</v>
          </cell>
          <cell r="P402" t="str">
            <v>ISA BEAUTY</v>
          </cell>
        </row>
        <row r="403">
          <cell r="B403">
            <v>45897.715277777781</v>
          </cell>
          <cell r="C403">
            <v>45897.798611111109</v>
          </cell>
          <cell r="G403" t="str">
            <v>GLOW - Água Micelar</v>
          </cell>
          <cell r="K403">
            <v>1680</v>
          </cell>
          <cell r="L403" t="str">
            <v>GLMKAM06</v>
          </cell>
          <cell r="P403" t="str">
            <v>GLOW MAKE UP</v>
          </cell>
        </row>
        <row r="404">
          <cell r="B404">
            <v>45897.798611111109</v>
          </cell>
          <cell r="C404">
            <v>45897.909722222219</v>
          </cell>
          <cell r="G404" t="str">
            <v>GLOW - Água Micelar</v>
          </cell>
          <cell r="K404">
            <v>1152</v>
          </cell>
          <cell r="L404" t="str">
            <v>GLMKAM06</v>
          </cell>
          <cell r="P404" t="str">
            <v>GLOW MAKE UP</v>
          </cell>
        </row>
        <row r="405">
          <cell r="B405">
            <v>45897.833333333336</v>
          </cell>
          <cell r="C405">
            <v>45898.270833333336</v>
          </cell>
          <cell r="G405" t="str">
            <v>GLOW - Água Micelar</v>
          </cell>
          <cell r="K405">
            <v>1680</v>
          </cell>
          <cell r="L405" t="str">
            <v>GLMKAM01</v>
          </cell>
          <cell r="P405" t="str">
            <v>GLOW MAKE UP</v>
          </cell>
        </row>
        <row r="406">
          <cell r="B406">
            <v>45898.270833333336</v>
          </cell>
          <cell r="C406">
            <v>45898.333333333336</v>
          </cell>
          <cell r="G406" t="str">
            <v>03_07</v>
          </cell>
          <cell r="K406">
            <v>1000</v>
          </cell>
          <cell r="L406" t="str">
            <v>IBCHGC02</v>
          </cell>
          <cell r="P406" t="str">
            <v>ISA BEAUTY</v>
          </cell>
        </row>
        <row r="407">
          <cell r="B407">
            <v>45898.270833333336</v>
          </cell>
          <cell r="C407">
            <v>45898.354166666664</v>
          </cell>
          <cell r="G407" t="str">
            <v>GLOW - Água Micelar</v>
          </cell>
          <cell r="K407">
            <v>1680</v>
          </cell>
          <cell r="L407" t="str">
            <v>GLMKAM01</v>
          </cell>
          <cell r="P407" t="str">
            <v>GLOW MAKE UP</v>
          </cell>
        </row>
        <row r="408">
          <cell r="B408">
            <v>45898.340277777781</v>
          </cell>
          <cell r="C408">
            <v>45898.416666666664</v>
          </cell>
          <cell r="G408" t="str">
            <v>03_07</v>
          </cell>
          <cell r="K408">
            <v>1000</v>
          </cell>
          <cell r="L408" t="str">
            <v>IBCHGC02</v>
          </cell>
          <cell r="P408" t="str">
            <v>ISA BEAUTY</v>
          </cell>
        </row>
        <row r="409">
          <cell r="B409">
            <v>45898.354166666664</v>
          </cell>
          <cell r="C409">
            <v>45898.4375</v>
          </cell>
          <cell r="G409" t="str">
            <v>GLOW - Água Micelar</v>
          </cell>
          <cell r="K409">
            <v>1680</v>
          </cell>
          <cell r="L409" t="str">
            <v>GLMKAM01</v>
          </cell>
          <cell r="P409" t="str">
            <v>GLOW MAKE UP</v>
          </cell>
        </row>
        <row r="410">
          <cell r="B410">
            <v>45898.398611111108</v>
          </cell>
          <cell r="C410">
            <v>45901.375</v>
          </cell>
          <cell r="G410" t="str">
            <v>03_07</v>
          </cell>
          <cell r="K410">
            <v>1000</v>
          </cell>
          <cell r="L410" t="str">
            <v>IBCHGC02</v>
          </cell>
          <cell r="P410" t="str">
            <v>ISA BEAUTY</v>
          </cell>
        </row>
        <row r="411">
          <cell r="B411">
            <v>45898.416666666664</v>
          </cell>
          <cell r="C411">
            <v>45898.5</v>
          </cell>
          <cell r="G411" t="str">
            <v>03_07</v>
          </cell>
          <cell r="K411">
            <v>1000</v>
          </cell>
          <cell r="L411" t="str">
            <v>IBCHGC02</v>
          </cell>
          <cell r="P411" t="str">
            <v>ISA BEAUTY</v>
          </cell>
        </row>
        <row r="412">
          <cell r="B412">
            <v>45898.444444444445</v>
          </cell>
          <cell r="C412">
            <v>45898.527777777781</v>
          </cell>
          <cell r="G412" t="str">
            <v>GLOW - Água Micelar</v>
          </cell>
          <cell r="K412">
            <v>1680</v>
          </cell>
          <cell r="L412" t="str">
            <v>GLMKAM01</v>
          </cell>
          <cell r="P412" t="str">
            <v>GLOW MAKE UP</v>
          </cell>
        </row>
        <row r="413">
          <cell r="B413">
            <v>45898.506944444445</v>
          </cell>
          <cell r="C413">
            <v>45898.625</v>
          </cell>
          <cell r="G413" t="str">
            <v>GLOW - Água Micelar</v>
          </cell>
          <cell r="K413">
            <v>1680</v>
          </cell>
          <cell r="L413" t="str">
            <v>GLMKAM01</v>
          </cell>
          <cell r="P413" t="str">
            <v>GLOW MAKE UP</v>
          </cell>
        </row>
        <row r="414">
          <cell r="B414">
            <v>45898.541666666664</v>
          </cell>
          <cell r="C414">
            <v>45898.680555555555</v>
          </cell>
          <cell r="G414" t="str">
            <v>03_07</v>
          </cell>
          <cell r="K414">
            <v>1000</v>
          </cell>
          <cell r="L414" t="str">
            <v>IBCHGC02</v>
          </cell>
          <cell r="P414" t="str">
            <v>ISA BEAUTY</v>
          </cell>
        </row>
        <row r="415">
          <cell r="B415">
            <v>45898.611111111109</v>
          </cell>
          <cell r="C415">
            <v>45898.693749999999</v>
          </cell>
          <cell r="G415" t="str">
            <v>GLOW - Água Micelar</v>
          </cell>
          <cell r="K415">
            <v>1680</v>
          </cell>
          <cell r="L415" t="str">
            <v>GLMKAM02</v>
          </cell>
          <cell r="P415" t="str">
            <v>GLOW MAKE UP</v>
          </cell>
        </row>
        <row r="416">
          <cell r="B416">
            <v>45898.680555555555</v>
          </cell>
          <cell r="C416">
            <v>45898.815972222219</v>
          </cell>
          <cell r="G416" t="str">
            <v>03_07</v>
          </cell>
          <cell r="K416">
            <v>1000</v>
          </cell>
          <cell r="L416" t="str">
            <v>IBCHGC02</v>
          </cell>
          <cell r="P416" t="str">
            <v>ISA BEAUTY</v>
          </cell>
        </row>
        <row r="417">
          <cell r="B417">
            <v>45898.693749999999</v>
          </cell>
          <cell r="C417">
            <v>45898.755555555559</v>
          </cell>
          <cell r="G417" t="str">
            <v>GLOW - Água Micelar</v>
          </cell>
          <cell r="K417">
            <v>1680</v>
          </cell>
          <cell r="L417" t="str">
            <v>GLMKAM02</v>
          </cell>
          <cell r="P417" t="str">
            <v>GLOW MAKE UP</v>
          </cell>
        </row>
        <row r="418">
          <cell r="B418">
            <v>45898.753472222219</v>
          </cell>
          <cell r="C418">
            <v>45898.820138888892</v>
          </cell>
          <cell r="G418" t="str">
            <v>GLOW - Água Micelar</v>
          </cell>
          <cell r="K418">
            <v>1680</v>
          </cell>
          <cell r="L418" t="str">
            <v>GLMKAM02</v>
          </cell>
          <cell r="P418" t="str">
            <v>GLOW MAKE UP</v>
          </cell>
        </row>
        <row r="419">
          <cell r="B419">
            <v>45898.815972222219</v>
          </cell>
          <cell r="C419">
            <v>45898.899305555555</v>
          </cell>
          <cell r="G419" t="str">
            <v>03_07</v>
          </cell>
          <cell r="K419">
            <v>1000</v>
          </cell>
          <cell r="L419" t="str">
            <v>IBCHGC02</v>
          </cell>
          <cell r="P419" t="str">
            <v>ISA BEAUTY</v>
          </cell>
        </row>
        <row r="420">
          <cell r="B420">
            <v>45898.820138888892</v>
          </cell>
          <cell r="C420">
            <v>45898.885416666664</v>
          </cell>
          <cell r="G420" t="str">
            <v>GLOW - Água Micelar</v>
          </cell>
          <cell r="K420">
            <v>1680</v>
          </cell>
          <cell r="L420" t="str">
            <v>GLMKAM02</v>
          </cell>
          <cell r="P420" t="str">
            <v>GLOW MAKE UP</v>
          </cell>
        </row>
        <row r="421">
          <cell r="B421">
            <v>45898.885416666664</v>
          </cell>
          <cell r="C421">
            <v>45901.375</v>
          </cell>
          <cell r="G421" t="str">
            <v>GLOW - Água Micelar</v>
          </cell>
          <cell r="K421">
            <v>1488</v>
          </cell>
          <cell r="L421" t="str">
            <v>GLMKAM02</v>
          </cell>
          <cell r="P421" t="str">
            <v>GLOW MAKE UP</v>
          </cell>
        </row>
        <row r="422">
          <cell r="B422">
            <v>45901.333333333336</v>
          </cell>
          <cell r="C422">
            <v>45901.46875</v>
          </cell>
          <cell r="G422" t="str">
            <v>03_07</v>
          </cell>
          <cell r="K422">
            <v>1000</v>
          </cell>
          <cell r="L422" t="str">
            <v>IBCHGC02</v>
          </cell>
          <cell r="P422" t="str">
            <v>ISA BEAUTY</v>
          </cell>
        </row>
        <row r="423">
          <cell r="B423">
            <v>45901.333333333336</v>
          </cell>
          <cell r="C423">
            <v>45901.46875</v>
          </cell>
          <cell r="G423" t="str">
            <v>03_07</v>
          </cell>
          <cell r="K423">
            <v>1000</v>
          </cell>
          <cell r="L423" t="str">
            <v>IBCHGC03</v>
          </cell>
          <cell r="P423" t="str">
            <v>ISA BEAUTY</v>
          </cell>
        </row>
        <row r="424">
          <cell r="B424">
            <v>45901.333333333336</v>
          </cell>
          <cell r="C424">
            <v>45901.427083333336</v>
          </cell>
          <cell r="G424" t="str">
            <v>03_07</v>
          </cell>
          <cell r="K424">
            <v>901</v>
          </cell>
          <cell r="L424" t="str">
            <v>IBCHGC02</v>
          </cell>
          <cell r="P424" t="str">
            <v>ISA BEAUTY</v>
          </cell>
        </row>
        <row r="425">
          <cell r="B425">
            <v>45901.347916666666</v>
          </cell>
          <cell r="C425">
            <v>45901.527777777781</v>
          </cell>
          <cell r="G425" t="str">
            <v>03_07</v>
          </cell>
          <cell r="K425">
            <v>1000</v>
          </cell>
          <cell r="L425" t="str">
            <v>IBCHGC01</v>
          </cell>
          <cell r="P425" t="str">
            <v>ISA BEAUTY</v>
          </cell>
        </row>
        <row r="426">
          <cell r="B426">
            <v>45901.427083333336</v>
          </cell>
          <cell r="C426">
            <v>45901.545138888891</v>
          </cell>
          <cell r="G426" t="str">
            <v>GLOW - Água Micelar</v>
          </cell>
          <cell r="K426">
            <v>1680</v>
          </cell>
          <cell r="L426" t="str">
            <v>GLMKAM03</v>
          </cell>
          <cell r="P426" t="str">
            <v>GLOW MAKE UP</v>
          </cell>
        </row>
        <row r="427">
          <cell r="B427">
            <v>45901.5</v>
          </cell>
          <cell r="C427">
            <v>45901.5625</v>
          </cell>
          <cell r="G427" t="str">
            <v>GLOW - Água Micelar</v>
          </cell>
          <cell r="K427">
            <v>1680</v>
          </cell>
          <cell r="L427" t="str">
            <v>GLMKAM03</v>
          </cell>
          <cell r="P427" t="str">
            <v>GLOW MAKE UP</v>
          </cell>
        </row>
        <row r="428">
          <cell r="B428">
            <v>45901.527777777781</v>
          </cell>
          <cell r="C428">
            <v>45901.604166666664</v>
          </cell>
          <cell r="G428" t="str">
            <v>03_07</v>
          </cell>
          <cell r="K428">
            <v>949</v>
          </cell>
          <cell r="L428" t="str">
            <v>IBCHGC01</v>
          </cell>
          <cell r="P428" t="str">
            <v>ISA BEAUTY</v>
          </cell>
        </row>
        <row r="429">
          <cell r="B429">
            <v>45901.547222222223</v>
          </cell>
          <cell r="C429">
            <v>45901.618055555555</v>
          </cell>
          <cell r="G429" t="str">
            <v>03_07</v>
          </cell>
          <cell r="K429">
            <v>1000</v>
          </cell>
          <cell r="L429" t="str">
            <v>IBCHGC01</v>
          </cell>
          <cell r="P429" t="str">
            <v>ISA BEAUTY</v>
          </cell>
        </row>
        <row r="430">
          <cell r="B430">
            <v>45901.618055555555</v>
          </cell>
          <cell r="C430">
            <v>45901.680555555555</v>
          </cell>
          <cell r="G430" t="str">
            <v>03_07</v>
          </cell>
          <cell r="K430">
            <v>1000</v>
          </cell>
          <cell r="L430" t="str">
            <v>IBCHGC01</v>
          </cell>
          <cell r="P430" t="str">
            <v>ISA BEAUTY</v>
          </cell>
        </row>
        <row r="431">
          <cell r="B431">
            <v>45901.645833333336</v>
          </cell>
          <cell r="C431">
            <v>45901.708333333336</v>
          </cell>
          <cell r="G431" t="str">
            <v>GLOW - Água Micelar</v>
          </cell>
          <cell r="K431">
            <v>1680</v>
          </cell>
          <cell r="L431" t="str">
            <v>GLMKAM03</v>
          </cell>
          <cell r="P431" t="str">
            <v>GLOW MAKE UP</v>
          </cell>
        </row>
        <row r="432">
          <cell r="B432">
            <v>45901.680555555555</v>
          </cell>
          <cell r="C432">
            <v>45901.75</v>
          </cell>
          <cell r="G432" t="str">
            <v>03_07</v>
          </cell>
          <cell r="K432">
            <v>1000</v>
          </cell>
          <cell r="L432" t="str">
            <v>IBCHGC01</v>
          </cell>
          <cell r="P432" t="str">
            <v>ISA BEAUTY</v>
          </cell>
        </row>
        <row r="433">
          <cell r="B433">
            <v>45901.708333333336</v>
          </cell>
          <cell r="C433">
            <v>45901.817361111112</v>
          </cell>
          <cell r="G433" t="str">
            <v>GLOW - Água Micelar</v>
          </cell>
          <cell r="K433">
            <v>1680</v>
          </cell>
          <cell r="L433" t="str">
            <v>GLMKAM03</v>
          </cell>
          <cell r="P433" t="str">
            <v>GLOW MAKE UP</v>
          </cell>
        </row>
        <row r="434">
          <cell r="B434">
            <v>45901.75</v>
          </cell>
          <cell r="C434">
            <v>45901.916666666664</v>
          </cell>
          <cell r="G434" t="str">
            <v>03_07</v>
          </cell>
          <cell r="K434">
            <v>1000</v>
          </cell>
          <cell r="L434" t="str">
            <v>IBCHGC01</v>
          </cell>
          <cell r="P434" t="str">
            <v>ISA BEAUTY</v>
          </cell>
        </row>
        <row r="435">
          <cell r="B435">
            <v>45901.817361111112</v>
          </cell>
          <cell r="C435">
            <v>45901.884027777778</v>
          </cell>
          <cell r="G435" t="str">
            <v>GLOW - Água Micelar</v>
          </cell>
          <cell r="K435">
            <v>1680</v>
          </cell>
          <cell r="L435" t="str">
            <v>GLMKAM03</v>
          </cell>
          <cell r="P435" t="str">
            <v>GLOW MAKE UP</v>
          </cell>
        </row>
        <row r="436">
          <cell r="B436">
            <v>45901.884027777778</v>
          </cell>
          <cell r="C436">
            <v>45901.916666666664</v>
          </cell>
          <cell r="G436" t="str">
            <v>GLOW - Água Micelar</v>
          </cell>
          <cell r="K436">
            <v>1680</v>
          </cell>
          <cell r="L436" t="str">
            <v>GLMKAM03</v>
          </cell>
          <cell r="P436" t="str">
            <v>GLOW MAKE UP</v>
          </cell>
        </row>
        <row r="437">
          <cell r="B437">
            <v>45902.263888888891</v>
          </cell>
          <cell r="C437">
            <v>45902.326388888891</v>
          </cell>
          <cell r="G437" t="str">
            <v>03_07</v>
          </cell>
          <cell r="K437">
            <v>1000</v>
          </cell>
          <cell r="L437" t="str">
            <v>IBCHGC01</v>
          </cell>
          <cell r="P437" t="str">
            <v>ISA BEAUTY</v>
          </cell>
        </row>
        <row r="438">
          <cell r="B438">
            <v>45902.319444444445</v>
          </cell>
          <cell r="C438">
            <v>45902.347222222219</v>
          </cell>
          <cell r="G438" t="str">
            <v>GLOW - Água Micelar</v>
          </cell>
          <cell r="K438">
            <v>1680</v>
          </cell>
          <cell r="L438" t="str">
            <v>GLMKAM03</v>
          </cell>
          <cell r="P438" t="str">
            <v>GLOW MAKE UP</v>
          </cell>
        </row>
        <row r="439">
          <cell r="B439">
            <v>45902.333333333336</v>
          </cell>
          <cell r="C439">
            <v>45902.395833333336</v>
          </cell>
          <cell r="G439" t="str">
            <v>03_07</v>
          </cell>
          <cell r="K439">
            <v>1000</v>
          </cell>
          <cell r="L439" t="str">
            <v>IBCHGC01</v>
          </cell>
          <cell r="P439" t="str">
            <v>ISA BEAUTY</v>
          </cell>
        </row>
        <row r="440">
          <cell r="B440">
            <v>45902.395833333336</v>
          </cell>
          <cell r="C440">
            <v>45902.472222222219</v>
          </cell>
          <cell r="G440" t="str">
            <v>03_07</v>
          </cell>
          <cell r="K440">
            <v>1000</v>
          </cell>
          <cell r="L440" t="str">
            <v>IBCHGC01</v>
          </cell>
          <cell r="P440" t="str">
            <v>ISA BEAUTY</v>
          </cell>
        </row>
        <row r="441">
          <cell r="B441">
            <v>45902.409722222219</v>
          </cell>
          <cell r="C441">
            <v>45902.493055555555</v>
          </cell>
          <cell r="G441" t="str">
            <v>GLOW - Água Micelar</v>
          </cell>
          <cell r="K441">
            <v>1680</v>
          </cell>
          <cell r="L441" t="str">
            <v>GLMKAM03</v>
          </cell>
          <cell r="P441" t="str">
            <v>GLOW MAKE UP</v>
          </cell>
        </row>
        <row r="442">
          <cell r="B442">
            <v>45902.472222222219</v>
          </cell>
          <cell r="C442">
            <v>45902.527777777781</v>
          </cell>
          <cell r="G442" t="str">
            <v>03_07</v>
          </cell>
          <cell r="K442">
            <v>1000</v>
          </cell>
          <cell r="L442" t="str">
            <v>IBCHGC01</v>
          </cell>
          <cell r="P442" t="str">
            <v>ISA BEAUTY</v>
          </cell>
        </row>
        <row r="443">
          <cell r="B443">
            <v>45902.493055555555</v>
          </cell>
          <cell r="C443">
            <v>45902.597222222219</v>
          </cell>
          <cell r="G443" t="str">
            <v>GLOW - Água Micelar</v>
          </cell>
          <cell r="K443">
            <v>1680</v>
          </cell>
          <cell r="L443" t="str">
            <v>GLMKAM03</v>
          </cell>
          <cell r="P443" t="str">
            <v>GLOW MAKE UP</v>
          </cell>
        </row>
        <row r="444">
          <cell r="B444">
            <v>45902.604166666664</v>
          </cell>
          <cell r="C444">
            <v>45902.645833333336</v>
          </cell>
          <cell r="G444" t="str">
            <v>03_07</v>
          </cell>
          <cell r="K444">
            <v>1000</v>
          </cell>
          <cell r="L444" t="str">
            <v>IBCHGC03</v>
          </cell>
          <cell r="P444" t="str">
            <v>ISA BEAUTY</v>
          </cell>
        </row>
        <row r="445">
          <cell r="B445">
            <v>45902.645833333336</v>
          </cell>
          <cell r="C445">
            <v>45902.708333333336</v>
          </cell>
          <cell r="G445" t="str">
            <v>03_07</v>
          </cell>
          <cell r="K445">
            <v>1000</v>
          </cell>
          <cell r="L445" t="str">
            <v>IBCHGC03</v>
          </cell>
          <cell r="P445" t="str">
            <v>ISA BEAUTY</v>
          </cell>
        </row>
        <row r="446">
          <cell r="B446">
            <v>45902.708333333336</v>
          </cell>
          <cell r="C446">
            <v>45903.375</v>
          </cell>
          <cell r="G446" t="str">
            <v>03_07</v>
          </cell>
          <cell r="K446">
            <v>1000</v>
          </cell>
          <cell r="L446" t="str">
            <v>IBCHGC03</v>
          </cell>
          <cell r="P446" t="str">
            <v>ISA BEAUTY</v>
          </cell>
        </row>
        <row r="447">
          <cell r="B447">
            <v>45903.3125</v>
          </cell>
          <cell r="C447">
            <v>45903.395833333336</v>
          </cell>
          <cell r="G447" t="str">
            <v>03_07</v>
          </cell>
          <cell r="K447">
            <v>1000</v>
          </cell>
          <cell r="L447" t="str">
            <v>IBCHGC03</v>
          </cell>
          <cell r="P447" t="str">
            <v>ISA BEAUTY</v>
          </cell>
        </row>
        <row r="448">
          <cell r="B448">
            <v>45903.395833333336</v>
          </cell>
          <cell r="C448">
            <v>45903.46875</v>
          </cell>
          <cell r="G448" t="str">
            <v>03_07</v>
          </cell>
          <cell r="K448">
            <v>1000</v>
          </cell>
          <cell r="L448" t="str">
            <v>IBCHGC03</v>
          </cell>
          <cell r="P448" t="str">
            <v>ISA BEAUTY</v>
          </cell>
        </row>
        <row r="449">
          <cell r="B449">
            <v>45903.395833333336</v>
          </cell>
          <cell r="C449">
            <v>45903.479166666664</v>
          </cell>
          <cell r="G449" t="str">
            <v>03_07</v>
          </cell>
          <cell r="K449">
            <v>1000</v>
          </cell>
          <cell r="L449" t="str">
            <v>IBCHGC03</v>
          </cell>
          <cell r="P449" t="str">
            <v>ISA BEAUTY</v>
          </cell>
        </row>
        <row r="450">
          <cell r="B450">
            <v>45903.46875</v>
          </cell>
          <cell r="C450">
            <v>45903.645833333336</v>
          </cell>
          <cell r="G450" t="str">
            <v>03_07</v>
          </cell>
          <cell r="K450">
            <v>1000</v>
          </cell>
          <cell r="L450" t="str">
            <v>IBCHGC03</v>
          </cell>
          <cell r="P450" t="str">
            <v>ISA BEAUTY</v>
          </cell>
        </row>
        <row r="451">
          <cell r="B451">
            <v>45904.303472222222</v>
          </cell>
          <cell r="C451">
            <v>45904.425694444442</v>
          </cell>
          <cell r="G451" t="str">
            <v>03_07</v>
          </cell>
          <cell r="K451">
            <v>1000</v>
          </cell>
          <cell r="L451" t="str">
            <v>IBCHGC03</v>
          </cell>
          <cell r="P451" t="str">
            <v>ISA BEAUTY</v>
          </cell>
        </row>
        <row r="452">
          <cell r="B452">
            <v>45904.4375</v>
          </cell>
          <cell r="C452">
            <v>45904.458333333336</v>
          </cell>
          <cell r="G452" t="str">
            <v>03_07</v>
          </cell>
          <cell r="K452">
            <v>550</v>
          </cell>
          <cell r="L452" t="str">
            <v>IBCHGC03</v>
          </cell>
          <cell r="P452" t="str">
            <v>ISA BEAUTY</v>
          </cell>
        </row>
        <row r="453">
          <cell r="B453">
            <v>45904.4375</v>
          </cell>
          <cell r="C453">
            <v>45904.638888888891</v>
          </cell>
          <cell r="G453" t="str">
            <v>Moutier 01/09</v>
          </cell>
          <cell r="K453">
            <v>1039</v>
          </cell>
          <cell r="L453" t="str">
            <v>MOPFFM13</v>
          </cell>
          <cell r="P453" t="str">
            <v>MOUTIER</v>
          </cell>
        </row>
        <row r="454">
          <cell r="B454">
            <v>45904.4375</v>
          </cell>
          <cell r="C454">
            <v>45904.552083333336</v>
          </cell>
          <cell r="G454" t="str">
            <v>Moutier 01/09</v>
          </cell>
          <cell r="K454">
            <v>307</v>
          </cell>
          <cell r="L454" t="str">
            <v>MOPFFM03</v>
          </cell>
          <cell r="P454" t="str">
            <v>MOUTIER</v>
          </cell>
        </row>
        <row r="455">
          <cell r="B455">
            <v>45904.568055555559</v>
          </cell>
          <cell r="C455">
            <v>45904.666666666664</v>
          </cell>
          <cell r="G455" t="str">
            <v>Moutier 01/09</v>
          </cell>
          <cell r="K455">
            <v>335</v>
          </cell>
          <cell r="L455" t="str">
            <v>MOPFFW10</v>
          </cell>
          <cell r="P455" t="str">
            <v>MOUTIER</v>
          </cell>
        </row>
        <row r="456">
          <cell r="B456">
            <v>45904.604166666664</v>
          </cell>
          <cell r="C456">
            <v>45905.4</v>
          </cell>
          <cell r="G456" t="str">
            <v>DAPOP - Pedido 360 mil</v>
          </cell>
          <cell r="K456">
            <v>4020</v>
          </cell>
          <cell r="L456" t="str">
            <v>DPGLHD02</v>
          </cell>
          <cell r="P456" t="str">
            <v>DAPOP</v>
          </cell>
        </row>
        <row r="457">
          <cell r="B457">
            <v>45904.677083333336</v>
          </cell>
          <cell r="C457">
            <v>45905.388888888891</v>
          </cell>
          <cell r="G457" t="str">
            <v>Moutier 01/09</v>
          </cell>
          <cell r="K457">
            <v>307</v>
          </cell>
          <cell r="L457" t="str">
            <v>MOPFFW02</v>
          </cell>
          <cell r="P457" t="str">
            <v>MOUTIER</v>
          </cell>
        </row>
        <row r="458">
          <cell r="B458">
            <v>45905.388888888891</v>
          </cell>
          <cell r="C458">
            <v>45905.46875</v>
          </cell>
          <cell r="G458" t="str">
            <v>Moutier 01/09</v>
          </cell>
          <cell r="K458">
            <v>307</v>
          </cell>
          <cell r="L458" t="str">
            <v>MOPFFW18</v>
          </cell>
          <cell r="P458" t="str">
            <v>MOUTIER</v>
          </cell>
        </row>
        <row r="459">
          <cell r="B459">
            <v>45905.4</v>
          </cell>
          <cell r="C459">
            <v>45908.302083333336</v>
          </cell>
          <cell r="G459" t="str">
            <v>DAPOP - Pedido 360 mil</v>
          </cell>
          <cell r="K459">
            <v>4020</v>
          </cell>
          <cell r="L459" t="str">
            <v>DPGLHD02</v>
          </cell>
          <cell r="P459" t="str">
            <v>DAPOP</v>
          </cell>
        </row>
        <row r="460">
          <cell r="B460">
            <v>45905.46875</v>
          </cell>
          <cell r="C460">
            <v>45905.604166666664</v>
          </cell>
          <cell r="G460" t="str">
            <v>Moutier 01/09</v>
          </cell>
          <cell r="K460">
            <v>307</v>
          </cell>
          <cell r="L460" t="str">
            <v>MOPFFW19</v>
          </cell>
          <cell r="P460" t="str">
            <v>MOUTIER</v>
          </cell>
        </row>
        <row r="461">
          <cell r="B461">
            <v>45905.552083333336</v>
          </cell>
          <cell r="C461">
            <v>45905.666666666664</v>
          </cell>
          <cell r="G461" t="str">
            <v>Moutier 01/09</v>
          </cell>
          <cell r="K461">
            <v>300</v>
          </cell>
          <cell r="L461" t="str">
            <v>MOPFFM01</v>
          </cell>
          <cell r="P461" t="str">
            <v>MOUTIER</v>
          </cell>
        </row>
        <row r="462">
          <cell r="B462">
            <v>45908.302083333336</v>
          </cell>
          <cell r="C462">
            <v>45908.484027777777</v>
          </cell>
          <cell r="G462" t="str">
            <v>DAPOP - Pedido 360 mil</v>
          </cell>
          <cell r="K462">
            <v>4020</v>
          </cell>
          <cell r="L462" t="str">
            <v>DPGLHD02</v>
          </cell>
          <cell r="P462" t="str">
            <v>DAPOP</v>
          </cell>
        </row>
        <row r="463">
          <cell r="B463">
            <v>45908.375</v>
          </cell>
          <cell r="C463">
            <v>45908.451388888891</v>
          </cell>
          <cell r="G463" t="str">
            <v>Bases - Multi Lojas</v>
          </cell>
          <cell r="K463">
            <v>312</v>
          </cell>
          <cell r="L463" t="str">
            <v>KUBPBA02</v>
          </cell>
          <cell r="P463" t="str">
            <v>KURYOS</v>
          </cell>
        </row>
        <row r="464">
          <cell r="B464">
            <v>45908.451388888891</v>
          </cell>
          <cell r="C464">
            <v>45908.479166666664</v>
          </cell>
          <cell r="G464" t="str">
            <v>Bases - Multi Lojas</v>
          </cell>
          <cell r="K464">
            <v>208</v>
          </cell>
          <cell r="L464" t="str">
            <v>KUBPBA01</v>
          </cell>
          <cell r="P464" t="str">
            <v>KURYOS</v>
          </cell>
        </row>
        <row r="465">
          <cell r="B465">
            <v>45908.484027777777</v>
          </cell>
          <cell r="C465">
            <v>45909.390277777777</v>
          </cell>
          <cell r="G465" t="str">
            <v>DAPOP - Pedido 360 mil</v>
          </cell>
          <cell r="K465">
            <v>4020</v>
          </cell>
          <cell r="L465" t="str">
            <v>DPGLHD02</v>
          </cell>
          <cell r="P465" t="str">
            <v>DAPOP</v>
          </cell>
        </row>
        <row r="466">
          <cell r="B466">
            <v>45909.397222222222</v>
          </cell>
          <cell r="C466">
            <v>45909.645833333336</v>
          </cell>
          <cell r="G466" t="str">
            <v>DAPOP - Pedido 360 mil</v>
          </cell>
          <cell r="K466">
            <v>4020</v>
          </cell>
          <cell r="L466" t="str">
            <v>DPGLHD01</v>
          </cell>
          <cell r="P466" t="str">
            <v>DAPOP</v>
          </cell>
        </row>
        <row r="467">
          <cell r="B467">
            <v>45909.645833333336</v>
          </cell>
          <cell r="C467">
            <v>45910.416666666664</v>
          </cell>
          <cell r="G467" t="str">
            <v>DAPOP - Pedido 360 mil</v>
          </cell>
          <cell r="K467">
            <v>4020</v>
          </cell>
          <cell r="L467" t="str">
            <v>DPGLHD01</v>
          </cell>
          <cell r="P467" t="str">
            <v>DAPOP</v>
          </cell>
        </row>
        <row r="468">
          <cell r="B468">
            <v>45910.416666666664</v>
          </cell>
          <cell r="C468">
            <v>45910.633333333331</v>
          </cell>
          <cell r="G468" t="str">
            <v>DAPOP - Pedido 360 mil</v>
          </cell>
          <cell r="K468">
            <v>4020</v>
          </cell>
          <cell r="L468" t="str">
            <v>DPGLHD01</v>
          </cell>
          <cell r="P468" t="str">
            <v>DAPOP</v>
          </cell>
        </row>
        <row r="469">
          <cell r="B469">
            <v>45910.633333333331</v>
          </cell>
          <cell r="C469">
            <v>45910.701388888891</v>
          </cell>
          <cell r="G469" t="str">
            <v>DAPOP - Pedido 360 mil</v>
          </cell>
          <cell r="K469">
            <v>2220</v>
          </cell>
          <cell r="L469" t="str">
            <v>DPGLHD01</v>
          </cell>
          <cell r="P469" t="str">
            <v>DAPOP</v>
          </cell>
        </row>
        <row r="470">
          <cell r="B470">
            <v>45911.420138888891</v>
          </cell>
          <cell r="C470">
            <v>45911.611111111109</v>
          </cell>
          <cell r="G470" t="str">
            <v>02_07</v>
          </cell>
          <cell r="K470">
            <v>4620</v>
          </cell>
          <cell r="L470" t="str">
            <v>DPHNBS01</v>
          </cell>
          <cell r="P470" t="str">
            <v>DAPOP</v>
          </cell>
        </row>
        <row r="471">
          <cell r="B471">
            <v>45914.611111111109</v>
          </cell>
          <cell r="C471">
            <v>45915.625</v>
          </cell>
          <cell r="G471" t="str">
            <v>02_07</v>
          </cell>
          <cell r="K471">
            <v>4680</v>
          </cell>
          <cell r="L471" t="str">
            <v>DPHNBS01</v>
          </cell>
          <cell r="P471" t="str">
            <v>DAPOP</v>
          </cell>
        </row>
        <row r="472">
          <cell r="B472">
            <v>45916.652777777781</v>
          </cell>
          <cell r="C472">
            <v>45917.359027777777</v>
          </cell>
          <cell r="G472" t="str">
            <v>03_07</v>
          </cell>
          <cell r="K472">
            <v>2496</v>
          </cell>
          <cell r="L472" t="str">
            <v>IBARHD01</v>
          </cell>
          <cell r="P472" t="str">
            <v>ISA BEAUTY</v>
          </cell>
        </row>
        <row r="473">
          <cell r="B473">
            <v>45917.361111111109</v>
          </cell>
          <cell r="C473">
            <v>45917.472222222219</v>
          </cell>
          <cell r="G473" t="str">
            <v>03_07</v>
          </cell>
          <cell r="K473">
            <v>2338</v>
          </cell>
          <cell r="L473" t="str">
            <v>IBARHD01</v>
          </cell>
          <cell r="P473" t="str">
            <v>ISA BEAUTY</v>
          </cell>
        </row>
        <row r="474">
          <cell r="B474">
            <v>45917.555555555555</v>
          </cell>
          <cell r="C474">
            <v>45918.402777777781</v>
          </cell>
          <cell r="G474" t="str">
            <v>03_07</v>
          </cell>
          <cell r="K474">
            <v>4848</v>
          </cell>
          <cell r="L474" t="str">
            <v>IBARBS01</v>
          </cell>
          <cell r="P474" t="str">
            <v>ISA BEAUTY</v>
          </cell>
        </row>
        <row r="475">
          <cell r="B475">
            <v>45917.555555555555</v>
          </cell>
          <cell r="C475">
            <v>45917.667361111111</v>
          </cell>
          <cell r="G475" t="str">
            <v>03_07</v>
          </cell>
          <cell r="K475">
            <v>2496</v>
          </cell>
          <cell r="L475" t="str">
            <v>IBARHD05</v>
          </cell>
          <cell r="P475" t="str">
            <v>ISA BEAUTY</v>
          </cell>
        </row>
        <row r="476">
          <cell r="B476">
            <v>45917.667361111111</v>
          </cell>
          <cell r="C476">
            <v>45918.388888888891</v>
          </cell>
          <cell r="G476" t="str">
            <v>03_07</v>
          </cell>
          <cell r="K476">
            <v>2411</v>
          </cell>
          <cell r="L476" t="str">
            <v>IBARHD05</v>
          </cell>
          <cell r="P476" t="str">
            <v>ISA BEAUTY</v>
          </cell>
        </row>
        <row r="477">
          <cell r="B477">
            <v>45918.395833333336</v>
          </cell>
          <cell r="C477">
            <v>45918.541666666664</v>
          </cell>
          <cell r="G477" t="str">
            <v>03_07</v>
          </cell>
          <cell r="K477">
            <v>2496</v>
          </cell>
          <cell r="L477" t="str">
            <v>IBARHD02</v>
          </cell>
          <cell r="P477" t="str">
            <v>ISA BEAUTY</v>
          </cell>
        </row>
        <row r="478">
          <cell r="B478">
            <v>45918.402777777781</v>
          </cell>
          <cell r="C478">
            <v>45918.611111111109</v>
          </cell>
          <cell r="G478" t="str">
            <v>03_07</v>
          </cell>
          <cell r="K478">
            <v>3072</v>
          </cell>
          <cell r="L478" t="str">
            <v>IBARBS01</v>
          </cell>
          <cell r="P478" t="str">
            <v>ISA BEAUTY</v>
          </cell>
        </row>
        <row r="479">
          <cell r="B479">
            <v>45918.541666666664</v>
          </cell>
          <cell r="C479">
            <v>45918.701388888891</v>
          </cell>
          <cell r="G479" t="str">
            <v>03_07</v>
          </cell>
          <cell r="K479">
            <v>2544</v>
          </cell>
          <cell r="L479" t="str">
            <v>IBARHD02</v>
          </cell>
          <cell r="P479" t="str">
            <v>ISA BEAUTY</v>
          </cell>
        </row>
        <row r="480">
          <cell r="B480">
            <v>45918.625</v>
          </cell>
          <cell r="C480">
            <v>45919.5625</v>
          </cell>
          <cell r="G480" t="str">
            <v>03_07</v>
          </cell>
          <cell r="K480">
            <v>4704</v>
          </cell>
          <cell r="L480" t="str">
            <v>IBARBS02</v>
          </cell>
          <cell r="P480" t="str">
            <v>ISA BEAUTY</v>
          </cell>
        </row>
        <row r="481">
          <cell r="B481">
            <v>45919.3125</v>
          </cell>
          <cell r="C481">
            <v>45919.451388888891</v>
          </cell>
          <cell r="G481" t="str">
            <v>03_07</v>
          </cell>
          <cell r="K481">
            <v>2496</v>
          </cell>
          <cell r="L481" t="str">
            <v>IBARHD06</v>
          </cell>
          <cell r="P481" t="str">
            <v>ISA BEAUTY</v>
          </cell>
        </row>
        <row r="482">
          <cell r="B482">
            <v>45919.451388888891</v>
          </cell>
          <cell r="C482">
            <v>45919.630555555559</v>
          </cell>
          <cell r="G482" t="str">
            <v>03_07</v>
          </cell>
          <cell r="K482">
            <v>2520</v>
          </cell>
          <cell r="L482" t="str">
            <v>IBARHD06</v>
          </cell>
          <cell r="P482" t="str">
            <v>ISA BEAUTY</v>
          </cell>
        </row>
        <row r="483">
          <cell r="B483">
            <v>45919.5625</v>
          </cell>
          <cell r="C483">
            <v>45922.493055555555</v>
          </cell>
          <cell r="G483" t="str">
            <v>03_07</v>
          </cell>
          <cell r="K483">
            <v>4944</v>
          </cell>
          <cell r="L483" t="str">
            <v>IBARBS05</v>
          </cell>
          <cell r="P483" t="str">
            <v>ISA BEAUTY</v>
          </cell>
        </row>
        <row r="484">
          <cell r="B484">
            <v>45919.638888888891</v>
          </cell>
          <cell r="C484">
            <v>45922.409722222219</v>
          </cell>
          <cell r="G484" t="str">
            <v>03_07</v>
          </cell>
          <cell r="K484">
            <v>2496</v>
          </cell>
          <cell r="L484" t="str">
            <v>IBARHD03</v>
          </cell>
          <cell r="P484" t="str">
            <v>ISA BEAUTY</v>
          </cell>
        </row>
        <row r="485">
          <cell r="B485">
            <v>45922.409722222219</v>
          </cell>
          <cell r="C485">
            <v>45923.493055555555</v>
          </cell>
          <cell r="G485" t="str">
            <v>03_07</v>
          </cell>
          <cell r="K485">
            <v>2400</v>
          </cell>
          <cell r="L485" t="str">
            <v>IBARHD03</v>
          </cell>
          <cell r="P485" t="str">
            <v>ISA BEAUTY</v>
          </cell>
        </row>
        <row r="486">
          <cell r="B486">
            <v>45922.49722222222</v>
          </cell>
          <cell r="C486">
            <v>45923.458333333336</v>
          </cell>
          <cell r="G486" t="str">
            <v>03_07</v>
          </cell>
          <cell r="K486">
            <v>4848</v>
          </cell>
          <cell r="L486" t="str">
            <v>IBARBS03</v>
          </cell>
          <cell r="P486" t="str">
            <v>ISA BEAUTY</v>
          </cell>
        </row>
        <row r="487">
          <cell r="B487">
            <v>45922.648611111108</v>
          </cell>
          <cell r="C487">
            <v>45923.413194444445</v>
          </cell>
          <cell r="G487" t="str">
            <v>03_07</v>
          </cell>
          <cell r="K487">
            <v>2496</v>
          </cell>
          <cell r="L487" t="str">
            <v>IBARHD04</v>
          </cell>
          <cell r="P487" t="str">
            <v>ISA BEAUTY</v>
          </cell>
        </row>
        <row r="488">
          <cell r="B488">
            <v>45923.413194444445</v>
          </cell>
          <cell r="C488">
            <v>45923.602083333331</v>
          </cell>
          <cell r="G488" t="str">
            <v>03_07</v>
          </cell>
          <cell r="K488">
            <v>2520</v>
          </cell>
          <cell r="L488" t="str">
            <v>IBARHD04</v>
          </cell>
          <cell r="P488" t="str">
            <v>ISA BEAUTY</v>
          </cell>
        </row>
        <row r="489">
          <cell r="B489">
            <v>45923.447916666664</v>
          </cell>
          <cell r="C489">
            <v>45924.347222222219</v>
          </cell>
          <cell r="G489" t="str">
            <v>03_07</v>
          </cell>
          <cell r="K489">
            <v>4752</v>
          </cell>
          <cell r="L489" t="str">
            <v>IBARBS06</v>
          </cell>
          <cell r="P489" t="str">
            <v>ISA BEAUTY</v>
          </cell>
        </row>
        <row r="490">
          <cell r="B490">
            <v>45923.666666666664</v>
          </cell>
          <cell r="C490">
            <v>45924.368055555555</v>
          </cell>
          <cell r="G490" t="str">
            <v>Fabiano 22/09</v>
          </cell>
          <cell r="K490">
            <v>2544</v>
          </cell>
          <cell r="L490" t="str">
            <v>MRARBS02</v>
          </cell>
          <cell r="P490" t="str">
            <v>MISS RÔSE</v>
          </cell>
        </row>
        <row r="491">
          <cell r="B491">
            <v>45924.347222222219</v>
          </cell>
          <cell r="C491">
            <v>45924.629166666666</v>
          </cell>
          <cell r="G491" t="str">
            <v>03_07</v>
          </cell>
          <cell r="K491">
            <v>4896</v>
          </cell>
          <cell r="L491" t="str">
            <v>IBARBS04</v>
          </cell>
          <cell r="P491" t="str">
            <v>ISA BEAUTY</v>
          </cell>
        </row>
        <row r="492">
          <cell r="B492">
            <v>45924.368055555555</v>
          </cell>
          <cell r="C492">
            <v>45924.463888888888</v>
          </cell>
          <cell r="G492" t="str">
            <v>Fabiano 22/09</v>
          </cell>
          <cell r="K492">
            <v>1392</v>
          </cell>
          <cell r="L492" t="str">
            <v>MRARBS02</v>
          </cell>
          <cell r="P492" t="str">
            <v>MISS RÔSE</v>
          </cell>
        </row>
        <row r="493">
          <cell r="B493">
            <v>45924.463888888888</v>
          </cell>
          <cell r="C493">
            <v>45924.655555555553</v>
          </cell>
          <cell r="G493" t="str">
            <v>Fabiano 22/09</v>
          </cell>
          <cell r="K493">
            <v>2544</v>
          </cell>
          <cell r="L493" t="str">
            <v>MRARBS04</v>
          </cell>
          <cell r="P493" t="str">
            <v>MISS RÔSE</v>
          </cell>
        </row>
        <row r="494">
          <cell r="B494">
            <v>45924.655555555553</v>
          </cell>
          <cell r="C494">
            <v>45925.368055555555</v>
          </cell>
          <cell r="G494" t="str">
            <v>Fabiano 22/09</v>
          </cell>
          <cell r="K494">
            <v>2544</v>
          </cell>
          <cell r="L494" t="str">
            <v>MRARBS04</v>
          </cell>
          <cell r="P494" t="str">
            <v>MISS RÔSE</v>
          </cell>
        </row>
        <row r="495">
          <cell r="B495">
            <v>45925.375</v>
          </cell>
          <cell r="C495">
            <v>45925.484722222223</v>
          </cell>
          <cell r="G495" t="str">
            <v>Fabiano 22/09</v>
          </cell>
          <cell r="K495">
            <v>2544</v>
          </cell>
          <cell r="L495" t="str">
            <v>MRARBS04</v>
          </cell>
          <cell r="P495" t="str">
            <v>MISS RÔSE</v>
          </cell>
        </row>
        <row r="496">
          <cell r="B496">
            <v>45925.484722222223</v>
          </cell>
          <cell r="C496">
            <v>45926.320833333331</v>
          </cell>
          <cell r="G496" t="str">
            <v>Fabiano 22/09</v>
          </cell>
          <cell r="K496">
            <v>2544</v>
          </cell>
          <cell r="L496" t="str">
            <v>MRARBS04</v>
          </cell>
          <cell r="P496" t="str">
            <v>MISS RÔSE</v>
          </cell>
        </row>
        <row r="497">
          <cell r="B497">
            <v>45926.324999999997</v>
          </cell>
          <cell r="C497">
            <v>45926.415972222225</v>
          </cell>
          <cell r="G497" t="str">
            <v>Fabiano 22/09</v>
          </cell>
          <cell r="K497">
            <v>2544</v>
          </cell>
          <cell r="L497" t="str">
            <v>MRARBS04</v>
          </cell>
          <cell r="P497" t="str">
            <v>MISS RÔSE</v>
          </cell>
        </row>
        <row r="498">
          <cell r="B498">
            <v>45926.401388888888</v>
          </cell>
          <cell r="C498">
            <v>45929.347222222219</v>
          </cell>
          <cell r="G498" t="str">
            <v>03_07</v>
          </cell>
          <cell r="K498">
            <v>5000</v>
          </cell>
          <cell r="L498" t="str">
            <v>IBCHEC01</v>
          </cell>
          <cell r="P498" t="str">
            <v>ISA BEAUTY</v>
          </cell>
        </row>
        <row r="499">
          <cell r="B499">
            <v>45926.415972222225</v>
          </cell>
          <cell r="C499">
            <v>45926.592361111114</v>
          </cell>
          <cell r="G499" t="str">
            <v>Fabiano 22/09</v>
          </cell>
          <cell r="K499">
            <v>2544</v>
          </cell>
          <cell r="L499" t="str">
            <v>MRARBS04</v>
          </cell>
          <cell r="P499" t="str">
            <v>MISS RÔSE</v>
          </cell>
        </row>
        <row r="500">
          <cell r="B500">
            <v>45926.593055555553</v>
          </cell>
          <cell r="C500">
            <v>45929.352777777778</v>
          </cell>
          <cell r="G500" t="str">
            <v>Fabiano 22/09</v>
          </cell>
          <cell r="K500">
            <v>2544</v>
          </cell>
          <cell r="L500" t="str">
            <v>MRARBS04</v>
          </cell>
          <cell r="P500" t="str">
            <v>MISS RÔSE</v>
          </cell>
        </row>
        <row r="501">
          <cell r="B501">
            <v>45929.333333333336</v>
          </cell>
          <cell r="C501">
            <v>45929.604166666664</v>
          </cell>
          <cell r="G501" t="str">
            <v>Fabiano 22/09</v>
          </cell>
          <cell r="K501">
            <v>2544</v>
          </cell>
          <cell r="L501" t="str">
            <v>MRARBS04</v>
          </cell>
          <cell r="P501" t="str">
            <v>MISS RÔSE</v>
          </cell>
        </row>
        <row r="502">
          <cell r="B502">
            <v>45929.347222222219</v>
          </cell>
          <cell r="C502">
            <v>45930.359722222223</v>
          </cell>
          <cell r="G502" t="str">
            <v>03_07</v>
          </cell>
          <cell r="K502">
            <v>5000</v>
          </cell>
          <cell r="L502" t="str">
            <v>IBCHEC01</v>
          </cell>
          <cell r="P502" t="str">
            <v>ISA BEAUTY</v>
          </cell>
        </row>
        <row r="503">
          <cell r="B503">
            <v>45929.352777777778</v>
          </cell>
          <cell r="C503">
            <v>45929.454861111109</v>
          </cell>
          <cell r="G503" t="str">
            <v>Fabiano 22/09</v>
          </cell>
          <cell r="K503">
            <v>2544</v>
          </cell>
          <cell r="L503" t="str">
            <v>MRARBS04</v>
          </cell>
          <cell r="P503" t="str">
            <v>MISS RÔSE</v>
          </cell>
        </row>
        <row r="504">
          <cell r="B504">
            <v>45929.604166666664</v>
          </cell>
          <cell r="C504">
            <v>45929.657638888886</v>
          </cell>
          <cell r="G504" t="str">
            <v>Fabiano 22/09</v>
          </cell>
          <cell r="K504">
            <v>1152</v>
          </cell>
          <cell r="L504" t="str">
            <v>MRARBS04</v>
          </cell>
          <cell r="P504" t="str">
            <v>MISS RÔSE</v>
          </cell>
        </row>
        <row r="505">
          <cell r="B505">
            <v>45929.664583333331</v>
          </cell>
          <cell r="C505">
            <v>45930.37222222222</v>
          </cell>
          <cell r="G505" t="str">
            <v>Fabiano 22/09</v>
          </cell>
          <cell r="K505">
            <v>2016</v>
          </cell>
          <cell r="L505" t="str">
            <v>MRARBS03</v>
          </cell>
          <cell r="P505" t="str">
            <v>MISS RÔSE</v>
          </cell>
        </row>
        <row r="506">
          <cell r="B506">
            <v>45930.372916666667</v>
          </cell>
          <cell r="C506">
            <v>45930.479166666664</v>
          </cell>
          <cell r="G506" t="str">
            <v>Fabiano 22/09</v>
          </cell>
          <cell r="K506">
            <v>2448</v>
          </cell>
          <cell r="L506" t="str">
            <v>MRARBS03</v>
          </cell>
          <cell r="P506" t="str">
            <v>MISS RÔSE</v>
          </cell>
        </row>
        <row r="507">
          <cell r="B507">
            <v>45930.395833333336</v>
          </cell>
          <cell r="C507">
            <v>45930.5625</v>
          </cell>
          <cell r="G507" t="str">
            <v>Curaderm</v>
          </cell>
          <cell r="K507">
            <v>2219</v>
          </cell>
          <cell r="L507" t="str">
            <v>CRPMCR01</v>
          </cell>
          <cell r="P507" t="str">
            <v>CURADERM</v>
          </cell>
        </row>
        <row r="508">
          <cell r="B508">
            <v>45930.55972222222</v>
          </cell>
          <cell r="C508">
            <v>45930.622916666667</v>
          </cell>
          <cell r="G508" t="str">
            <v>GLOW - Água Micelar</v>
          </cell>
          <cell r="K508">
            <v>1680</v>
          </cell>
          <cell r="L508" t="str">
            <v>GLMKAM04</v>
          </cell>
          <cell r="P508" t="str">
            <v>GLOW MAKE UP</v>
          </cell>
        </row>
        <row r="509">
          <cell r="B509">
            <v>45930.622916666667</v>
          </cell>
          <cell r="C509">
            <v>45931.30972222222</v>
          </cell>
          <cell r="G509" t="str">
            <v>GLOW - Água Micelar</v>
          </cell>
          <cell r="K509">
            <v>1680</v>
          </cell>
          <cell r="L509" t="str">
            <v>GLMKAM04</v>
          </cell>
          <cell r="P509" t="str">
            <v>GLOW MAKE UP</v>
          </cell>
        </row>
        <row r="510">
          <cell r="B510">
            <v>45930.6875</v>
          </cell>
          <cell r="C510">
            <v>45931.45416666667</v>
          </cell>
          <cell r="G510" t="str">
            <v>03_07</v>
          </cell>
          <cell r="K510">
            <v>5000</v>
          </cell>
          <cell r="L510" t="str">
            <v>IBCHEC02</v>
          </cell>
          <cell r="P510" t="str">
            <v>ISA BEAUTY</v>
          </cell>
        </row>
        <row r="511">
          <cell r="B511">
            <v>45931.3125</v>
          </cell>
          <cell r="C511">
            <v>45931.424305555556</v>
          </cell>
          <cell r="G511" t="str">
            <v>GLOW - Água Micelar</v>
          </cell>
          <cell r="K511">
            <v>1680</v>
          </cell>
          <cell r="L511" t="str">
            <v>GLMKAM04</v>
          </cell>
          <cell r="P511" t="str">
            <v>GLOW MAKE UP</v>
          </cell>
        </row>
        <row r="512">
          <cell r="B512">
            <v>45931.424305555556</v>
          </cell>
          <cell r="C512">
            <v>45931.571527777778</v>
          </cell>
          <cell r="G512" t="str">
            <v>GLOW - Água Micelar</v>
          </cell>
          <cell r="K512">
            <v>1680</v>
          </cell>
          <cell r="L512" t="str">
            <v>GLMKAM04</v>
          </cell>
          <cell r="P512" t="str">
            <v>GLOW MAKE UP</v>
          </cell>
        </row>
        <row r="513">
          <cell r="B513">
            <v>45931.446527777778</v>
          </cell>
          <cell r="C513">
            <v>45931.59375</v>
          </cell>
          <cell r="G513" t="str">
            <v>03_07</v>
          </cell>
          <cell r="K513">
            <v>5000</v>
          </cell>
          <cell r="L513" t="str">
            <v>IBCHEC02</v>
          </cell>
          <cell r="P513" t="str">
            <v>ISA BEAUTY</v>
          </cell>
        </row>
        <row r="514">
          <cell r="B514">
            <v>45931.571527777778</v>
          </cell>
          <cell r="C514">
            <v>45931.669444444444</v>
          </cell>
          <cell r="G514" t="str">
            <v>GLOW - Água Micelar</v>
          </cell>
          <cell r="K514">
            <v>1680</v>
          </cell>
          <cell r="L514" t="str">
            <v>GLMKAM04</v>
          </cell>
          <cell r="P514" t="str">
            <v>GLOW MAKE UP</v>
          </cell>
        </row>
        <row r="515">
          <cell r="B515">
            <v>45931.667361111111</v>
          </cell>
          <cell r="C515">
            <v>45932.340277777781</v>
          </cell>
          <cell r="G515" t="str">
            <v>GLOW - Água Micelar</v>
          </cell>
          <cell r="K515">
            <v>1680</v>
          </cell>
          <cell r="L515" t="str">
            <v>GLMKAM04</v>
          </cell>
          <cell r="P515" t="str">
            <v>GLOW MAKE UP</v>
          </cell>
        </row>
        <row r="516">
          <cell r="B516">
            <v>45932.340277777781</v>
          </cell>
          <cell r="C516">
            <v>45932.424305555556</v>
          </cell>
          <cell r="G516" t="str">
            <v>GLOW - Água Micelar</v>
          </cell>
          <cell r="K516">
            <v>1680</v>
          </cell>
          <cell r="L516" t="str">
            <v>GLMKAM04</v>
          </cell>
          <cell r="P516" t="str">
            <v>GLOW MAKE UP</v>
          </cell>
        </row>
        <row r="517">
          <cell r="B517">
            <v>45932.424305555556</v>
          </cell>
          <cell r="C517">
            <v>45932.552083333336</v>
          </cell>
          <cell r="G517" t="str">
            <v>GLOW - Água Micelar</v>
          </cell>
          <cell r="K517">
            <v>1680</v>
          </cell>
          <cell r="L517" t="str">
            <v>GLMKAM04</v>
          </cell>
          <cell r="P517" t="str">
            <v>GLOW MAKE UP</v>
          </cell>
        </row>
        <row r="518">
          <cell r="B518">
            <v>45932.479166666664</v>
          </cell>
          <cell r="C518">
            <v>45933.311805555553</v>
          </cell>
          <cell r="G518" t="str">
            <v>ANDRÉ 15/09</v>
          </cell>
          <cell r="K518">
            <v>3672</v>
          </cell>
          <cell r="L518" t="str">
            <v>MAOEOL02</v>
          </cell>
          <cell r="P518" t="str">
            <v>MAAKE</v>
          </cell>
        </row>
        <row r="519">
          <cell r="B519">
            <v>45932.552083333336</v>
          </cell>
          <cell r="C519">
            <v>45932.638888888891</v>
          </cell>
          <cell r="G519" t="str">
            <v>GLOW - Água Micelar</v>
          </cell>
          <cell r="K519">
            <v>1632</v>
          </cell>
          <cell r="L519" t="str">
            <v>GLMKAM04</v>
          </cell>
          <cell r="P519" t="str">
            <v>GLOW MAKE UP</v>
          </cell>
        </row>
        <row r="520">
          <cell r="B520">
            <v>45932.638888888891</v>
          </cell>
          <cell r="C520">
            <v>45933.328472222223</v>
          </cell>
          <cell r="G520" t="str">
            <v>GLOW - Água Micelar</v>
          </cell>
          <cell r="K520">
            <v>1680</v>
          </cell>
          <cell r="L520" t="str">
            <v>GLMKAM06</v>
          </cell>
          <cell r="P520" t="str">
            <v>GLOW MAKE UP</v>
          </cell>
        </row>
        <row r="521">
          <cell r="B521">
            <v>45933.311805555553</v>
          </cell>
          <cell r="C521">
            <v>45933.645833333336</v>
          </cell>
          <cell r="G521" t="str">
            <v>ANDRÉ 15/09</v>
          </cell>
          <cell r="K521">
            <v>3744</v>
          </cell>
          <cell r="L521" t="str">
            <v>MAOEOL02</v>
          </cell>
          <cell r="P521" t="str">
            <v>MAAKE</v>
          </cell>
        </row>
        <row r="522">
          <cell r="B522">
            <v>45933.328472222223</v>
          </cell>
          <cell r="C522">
            <v>45933.416666666664</v>
          </cell>
          <cell r="G522" t="str">
            <v>GLOW - Água Micelar</v>
          </cell>
          <cell r="K522">
            <v>1680</v>
          </cell>
          <cell r="L522" t="str">
            <v>GLMKAM06</v>
          </cell>
          <cell r="P522" t="str">
            <v>GLOW MAKE UP</v>
          </cell>
        </row>
        <row r="523">
          <cell r="B523">
            <v>45933.416666666664</v>
          </cell>
          <cell r="C523">
            <v>45933.555555555555</v>
          </cell>
          <cell r="G523" t="str">
            <v>GLOW - Água Micelar</v>
          </cell>
          <cell r="K523">
            <v>1680</v>
          </cell>
          <cell r="L523" t="str">
            <v>GLMKAM06</v>
          </cell>
          <cell r="P523" t="str">
            <v>GLOW MAKE UP</v>
          </cell>
        </row>
        <row r="524">
          <cell r="B524">
            <v>45933.555555555555</v>
          </cell>
          <cell r="C524">
            <v>45933.636805555558</v>
          </cell>
          <cell r="G524" t="str">
            <v>GLOW - Água Micelar</v>
          </cell>
          <cell r="K524">
            <v>1680</v>
          </cell>
          <cell r="L524" t="str">
            <v>GLMKAM06</v>
          </cell>
          <cell r="P524" t="str">
            <v>GLOW MAKE UP</v>
          </cell>
        </row>
        <row r="525">
          <cell r="B525">
            <v>45933.637499999997</v>
          </cell>
          <cell r="C525">
            <v>45936.354166666664</v>
          </cell>
          <cell r="G525" t="str">
            <v>GLOW - Água Micelar</v>
          </cell>
          <cell r="K525">
            <v>1680</v>
          </cell>
          <cell r="L525" t="str">
            <v>GLMKAM06</v>
          </cell>
          <cell r="P525" t="str">
            <v>GLOW MAKE UP</v>
          </cell>
        </row>
        <row r="526">
          <cell r="B526">
            <v>45936.322916666664</v>
          </cell>
          <cell r="C526">
            <v>45936.604166666664</v>
          </cell>
          <cell r="G526" t="str">
            <v>02_07</v>
          </cell>
          <cell r="K526">
            <v>4620</v>
          </cell>
          <cell r="L526" t="str">
            <v>DPHNBS02</v>
          </cell>
          <cell r="P526" t="str">
            <v>DAPOP</v>
          </cell>
        </row>
        <row r="527">
          <cell r="B527">
            <v>45936.354166666664</v>
          </cell>
          <cell r="C527">
            <v>45936.429861111108</v>
          </cell>
          <cell r="G527" t="str">
            <v>GLOW - Água Micelar</v>
          </cell>
          <cell r="K527">
            <v>1680</v>
          </cell>
          <cell r="L527" t="str">
            <v>GLMKAM06</v>
          </cell>
          <cell r="P527" t="str">
            <v>GLOW MAKE UP</v>
          </cell>
        </row>
        <row r="528">
          <cell r="B528">
            <v>45936.4375</v>
          </cell>
          <cell r="C528">
            <v>45936.465277777781</v>
          </cell>
          <cell r="G528" t="str">
            <v>GLOW - Água Micelar</v>
          </cell>
          <cell r="K528">
            <v>624</v>
          </cell>
          <cell r="L528" t="str">
            <v>GLMKAM06</v>
          </cell>
          <cell r="P528" t="str">
            <v>GLOW MAKE UP</v>
          </cell>
        </row>
        <row r="529">
          <cell r="B529">
            <v>45936.467361111114</v>
          </cell>
          <cell r="C529">
            <v>45936.581944444442</v>
          </cell>
          <cell r="G529" t="str">
            <v>GLOW - Água Micelar</v>
          </cell>
          <cell r="K529">
            <v>1680</v>
          </cell>
          <cell r="L529" t="str">
            <v>GLMKAM05</v>
          </cell>
          <cell r="P529" t="str">
            <v>GLOW MAKE UP</v>
          </cell>
        </row>
        <row r="530">
          <cell r="B530">
            <v>45936.581944444442</v>
          </cell>
          <cell r="C530">
            <v>45936.663194444445</v>
          </cell>
          <cell r="G530" t="str">
            <v>GLOW - Água Micelar</v>
          </cell>
          <cell r="K530">
            <v>1680</v>
          </cell>
          <cell r="L530" t="str">
            <v>GLMKAM05</v>
          </cell>
          <cell r="P530" t="str">
            <v>GLOW MAKE UP</v>
          </cell>
        </row>
        <row r="531">
          <cell r="B531">
            <v>45936.604166666664</v>
          </cell>
          <cell r="C531">
            <v>45937.439583333333</v>
          </cell>
          <cell r="G531" t="str">
            <v>02_07</v>
          </cell>
          <cell r="K531">
            <v>4680</v>
          </cell>
          <cell r="L531" t="str">
            <v>DPHNBS02</v>
          </cell>
          <cell r="P531" t="str">
            <v>DAPOP</v>
          </cell>
        </row>
        <row r="532">
          <cell r="B532">
            <v>45936.663194444445</v>
          </cell>
          <cell r="C532">
            <v>45937.329861111109</v>
          </cell>
          <cell r="G532" t="str">
            <v>GLOW - Água Micelar</v>
          </cell>
          <cell r="K532">
            <v>1680</v>
          </cell>
          <cell r="L532" t="str">
            <v>GLMKAM05</v>
          </cell>
          <cell r="P532" t="str">
            <v>GLOW MAKE UP</v>
          </cell>
        </row>
        <row r="533">
          <cell r="B533">
            <v>45937.329861111109</v>
          </cell>
          <cell r="C533">
            <v>45937.405555555553</v>
          </cell>
          <cell r="G533" t="str">
            <v>GLOW - Água Micelar</v>
          </cell>
          <cell r="K533">
            <v>1680</v>
          </cell>
          <cell r="L533" t="str">
            <v>GLMKAM05</v>
          </cell>
          <cell r="P533" t="str">
            <v>GLOW MAKE UP</v>
          </cell>
        </row>
        <row r="534">
          <cell r="B534">
            <v>45937.405555555553</v>
          </cell>
          <cell r="C534">
            <v>45937.469444444447</v>
          </cell>
          <cell r="G534" t="str">
            <v>GLOW - Água Micelar</v>
          </cell>
          <cell r="K534">
            <v>1680</v>
          </cell>
          <cell r="L534" t="str">
            <v>GLMKAM05</v>
          </cell>
          <cell r="P534" t="str">
            <v>GLOW MAKE UP</v>
          </cell>
        </row>
        <row r="535">
          <cell r="B535">
            <v>45937.469444444447</v>
          </cell>
          <cell r="C535">
            <v>45937.602777777778</v>
          </cell>
          <cell r="G535" t="str">
            <v>GLOW - Água Micelar</v>
          </cell>
          <cell r="K535">
            <v>1680</v>
          </cell>
          <cell r="L535" t="str">
            <v>GLMKAM05</v>
          </cell>
          <cell r="P535" t="str">
            <v>GLOW MAKE UP</v>
          </cell>
        </row>
        <row r="536">
          <cell r="B536">
            <v>45937.548611111109</v>
          </cell>
          <cell r="C536">
            <v>45938.45208333333</v>
          </cell>
          <cell r="G536" t="str">
            <v>02_07</v>
          </cell>
          <cell r="K536">
            <v>4620</v>
          </cell>
          <cell r="L536" t="str">
            <v>DPHNBS02</v>
          </cell>
          <cell r="P536" t="str">
            <v>DAPOP</v>
          </cell>
        </row>
        <row r="537">
          <cell r="B537">
            <v>45937.602777777778</v>
          </cell>
          <cell r="C537">
            <v>45937.690972222219</v>
          </cell>
          <cell r="G537" t="str">
            <v>GLOW - Água Micelar</v>
          </cell>
          <cell r="K537">
            <v>1680</v>
          </cell>
          <cell r="L537" t="str">
            <v>GLMKAM05</v>
          </cell>
          <cell r="P537" t="str">
            <v>GLOW MAKE UP</v>
          </cell>
        </row>
        <row r="538">
          <cell r="B538">
            <v>45937.689583333333</v>
          </cell>
          <cell r="C538">
            <v>45938.368055555555</v>
          </cell>
          <cell r="G538" t="str">
            <v>GLOW - Água Micelar</v>
          </cell>
          <cell r="K538">
            <v>1680</v>
          </cell>
          <cell r="L538" t="str">
            <v>GLMKAM05</v>
          </cell>
          <cell r="P538" t="str">
            <v>GLOW MAKE UP</v>
          </cell>
        </row>
        <row r="539">
          <cell r="B539">
            <v>45938.368055555555</v>
          </cell>
          <cell r="C539">
            <v>45938.430555555555</v>
          </cell>
          <cell r="G539" t="str">
            <v>GLOW - Água Micelar</v>
          </cell>
          <cell r="K539">
            <v>1056</v>
          </cell>
          <cell r="L539" t="str">
            <v>GLMKAM05</v>
          </cell>
          <cell r="P539" t="str">
            <v>GLOW MAKE UP</v>
          </cell>
        </row>
        <row r="540">
          <cell r="B540">
            <v>45938.43472222222</v>
          </cell>
          <cell r="C540">
            <v>45938.549305555556</v>
          </cell>
          <cell r="G540" t="str">
            <v>GLOW - Água Micelar</v>
          </cell>
          <cell r="K540">
            <v>1680</v>
          </cell>
          <cell r="L540" t="str">
            <v>GLMKAM01</v>
          </cell>
          <cell r="P540" t="str">
            <v>GLOW MAKE UP</v>
          </cell>
        </row>
        <row r="541">
          <cell r="B541">
            <v>45938.549305555556</v>
          </cell>
          <cell r="C541">
            <v>45938.576388888891</v>
          </cell>
          <cell r="G541" t="str">
            <v>GLOW - Água Micelar</v>
          </cell>
          <cell r="K541">
            <v>432</v>
          </cell>
          <cell r="L541" t="str">
            <v>GLMKAM01</v>
          </cell>
          <cell r="P541" t="str">
            <v>GLOW MAKE UP</v>
          </cell>
        </row>
        <row r="542">
          <cell r="B542">
            <v>45938.582638888889</v>
          </cell>
          <cell r="C542">
            <v>45938.635416666664</v>
          </cell>
          <cell r="G542" t="str">
            <v>GLOW - Água Micelar</v>
          </cell>
          <cell r="K542">
            <v>1008</v>
          </cell>
          <cell r="L542" t="str">
            <v>GLMKAM02</v>
          </cell>
          <cell r="P542" t="str">
            <v>GLOW MAKE UP</v>
          </cell>
        </row>
        <row r="543">
          <cell r="B543">
            <v>45938.59375</v>
          </cell>
          <cell r="C543">
            <v>45939.344444444447</v>
          </cell>
          <cell r="G543" t="str">
            <v>02_07</v>
          </cell>
          <cell r="K543">
            <v>4620</v>
          </cell>
          <cell r="L543" t="str">
            <v>DPHNBS02</v>
          </cell>
          <cell r="P543" t="str">
            <v>DAPOP</v>
          </cell>
        </row>
        <row r="544">
          <cell r="B544">
            <v>45938.661805555559</v>
          </cell>
          <cell r="C544">
            <v>45939.372916666667</v>
          </cell>
          <cell r="G544" t="str">
            <v>Fabiano 22/09</v>
          </cell>
          <cell r="K544">
            <v>2544</v>
          </cell>
          <cell r="L544" t="str">
            <v>MRARBS03</v>
          </cell>
          <cell r="P544" t="str">
            <v>MISS RÔSE</v>
          </cell>
        </row>
        <row r="545">
          <cell r="B545">
            <v>45939.344444444447</v>
          </cell>
          <cell r="C545">
            <v>45939.650694444441</v>
          </cell>
          <cell r="G545" t="str">
            <v>02_07</v>
          </cell>
          <cell r="K545">
            <v>4620</v>
          </cell>
          <cell r="L545" t="str">
            <v>DPHNBS02</v>
          </cell>
          <cell r="P545" t="str">
            <v>DAPOP</v>
          </cell>
        </row>
        <row r="546">
          <cell r="B546">
            <v>45939.372916666667</v>
          </cell>
          <cell r="C546">
            <v>45939.5625</v>
          </cell>
          <cell r="G546" t="str">
            <v>Fabiano 22/09</v>
          </cell>
          <cell r="K546">
            <v>2544</v>
          </cell>
          <cell r="L546" t="str">
            <v>MRARBS03</v>
          </cell>
          <cell r="P546" t="str">
            <v>MISS RÔSE</v>
          </cell>
        </row>
        <row r="547">
          <cell r="B547">
            <v>45939.650694444441</v>
          </cell>
          <cell r="C547">
            <v>45940.479166666664</v>
          </cell>
          <cell r="G547" t="str">
            <v>02_07</v>
          </cell>
          <cell r="K547">
            <v>5540</v>
          </cell>
          <cell r="L547" t="str">
            <v>DPHNBS02</v>
          </cell>
          <cell r="P547" t="str">
            <v>DAPOP</v>
          </cell>
        </row>
        <row r="548">
          <cell r="B548">
            <v>45940.479166666664</v>
          </cell>
          <cell r="C548">
            <v>45940.645833333336</v>
          </cell>
          <cell r="G548" t="str">
            <v>03_07</v>
          </cell>
          <cell r="K548">
            <v>2600</v>
          </cell>
          <cell r="L548" t="str">
            <v>IBCHEC02</v>
          </cell>
          <cell r="P548" t="str">
            <v>ISA BEAUTY</v>
          </cell>
        </row>
        <row r="549">
          <cell r="B549">
            <v>45940.645833333336</v>
          </cell>
          <cell r="C549">
            <v>45943.416666666664</v>
          </cell>
          <cell r="G549" t="str">
            <v>03_07</v>
          </cell>
          <cell r="K549">
            <v>2821</v>
          </cell>
          <cell r="L549" t="str">
            <v>IBCHEC01</v>
          </cell>
          <cell r="P549" t="str">
            <v>ISA BEAUTY</v>
          </cell>
        </row>
        <row r="550">
          <cell r="B550">
            <v>45943.45</v>
          </cell>
          <cell r="C550">
            <v>45943.546527777777</v>
          </cell>
          <cell r="G550" t="str">
            <v>Fabiano 22/09</v>
          </cell>
          <cell r="K550">
            <v>2544</v>
          </cell>
          <cell r="L550" t="str">
            <v>MRARBS03</v>
          </cell>
          <cell r="P550" t="str">
            <v>MISS RÔSE</v>
          </cell>
        </row>
        <row r="551">
          <cell r="B551">
            <v>45943.546527777777</v>
          </cell>
          <cell r="C551">
            <v>45943.657638888886</v>
          </cell>
          <cell r="G551" t="str">
            <v>Fabiano 22/09</v>
          </cell>
          <cell r="K551">
            <v>2544</v>
          </cell>
          <cell r="L551" t="str">
            <v>MRARBS03</v>
          </cell>
          <cell r="P551" t="str">
            <v>MISS RÔSE</v>
          </cell>
        </row>
        <row r="552">
          <cell r="B552">
            <v>45943.618055555555</v>
          </cell>
          <cell r="C552">
            <v>45944.498611111114</v>
          </cell>
          <cell r="G552" t="str">
            <v>Sassa 26/09</v>
          </cell>
          <cell r="K552">
            <v>1072</v>
          </cell>
          <cell r="L552" t="str">
            <v>KUBPBA01 - 2</v>
          </cell>
          <cell r="P552" t="str">
            <v>KURYOS</v>
          </cell>
        </row>
        <row r="553">
          <cell r="B553">
            <v>45943.657638888886</v>
          </cell>
          <cell r="C553">
            <v>45944.319444444445</v>
          </cell>
          <cell r="G553" t="str">
            <v>Fabiano 22/09</v>
          </cell>
          <cell r="K553">
            <v>864</v>
          </cell>
          <cell r="L553" t="str">
            <v>MRARBS03</v>
          </cell>
          <cell r="P553" t="str">
            <v>MISS RÔSE</v>
          </cell>
        </row>
        <row r="554">
          <cell r="B554">
            <v>45944.319444444445</v>
          </cell>
          <cell r="C554">
            <v>45944.645833333336</v>
          </cell>
          <cell r="G554" t="str">
            <v>02_07</v>
          </cell>
          <cell r="K554">
            <v>4620</v>
          </cell>
          <cell r="L554" t="str">
            <v>DPHNBS01</v>
          </cell>
          <cell r="P554" t="str">
            <v>DAPOP</v>
          </cell>
        </row>
        <row r="555">
          <cell r="B555">
            <v>45944.541666666664</v>
          </cell>
          <cell r="C555">
            <v>45945.38958333333</v>
          </cell>
          <cell r="G555" t="str">
            <v>Sassa 26/09</v>
          </cell>
          <cell r="K555">
            <v>1048</v>
          </cell>
          <cell r="L555" t="str">
            <v>KUBPBA01</v>
          </cell>
          <cell r="P555" t="str">
            <v>KURYOS</v>
          </cell>
        </row>
        <row r="556">
          <cell r="B556">
            <v>45944.645833333336</v>
          </cell>
          <cell r="C556">
            <v>45946.565972222219</v>
          </cell>
          <cell r="G556" t="str">
            <v>02_07</v>
          </cell>
          <cell r="K556">
            <v>4620</v>
          </cell>
          <cell r="L556" t="str">
            <v>DPHNBS01</v>
          </cell>
          <cell r="P556" t="str">
            <v>DAPOP</v>
          </cell>
        </row>
        <row r="557">
          <cell r="B557">
            <v>45945.5625</v>
          </cell>
          <cell r="C557">
            <v>45946.340277777781</v>
          </cell>
          <cell r="G557" t="str">
            <v>03_07</v>
          </cell>
          <cell r="K557">
            <v>2304</v>
          </cell>
          <cell r="L557" t="str">
            <v>IBARGB01</v>
          </cell>
          <cell r="P557" t="str">
            <v>ISA BEAUTY</v>
          </cell>
        </row>
        <row r="558">
          <cell r="B558">
            <v>45945.565972222219</v>
          </cell>
          <cell r="C558">
            <v>45946.5625</v>
          </cell>
          <cell r="G558" t="str">
            <v>02_07</v>
          </cell>
          <cell r="K558">
            <v>4620</v>
          </cell>
          <cell r="L558" t="str">
            <v>DPHNBS01</v>
          </cell>
          <cell r="P558" t="str">
            <v>DAPOP</v>
          </cell>
        </row>
        <row r="559">
          <cell r="B559">
            <v>45946.340277777781</v>
          </cell>
          <cell r="C559">
            <v>45946.488194444442</v>
          </cell>
          <cell r="G559" t="str">
            <v>03_07</v>
          </cell>
          <cell r="K559">
            <v>2472</v>
          </cell>
          <cell r="L559" t="str">
            <v>IBARGB01</v>
          </cell>
          <cell r="P559" t="str">
            <v>ISA BEAUTY</v>
          </cell>
        </row>
        <row r="560">
          <cell r="B560">
            <v>45946.552777777775</v>
          </cell>
          <cell r="C560">
            <v>45947.298611111109</v>
          </cell>
          <cell r="G560" t="str">
            <v>03_07</v>
          </cell>
          <cell r="K560">
            <v>2496</v>
          </cell>
          <cell r="L560" t="str">
            <v>IBARGB03</v>
          </cell>
          <cell r="P560" t="str">
            <v>ISA BEAUTY</v>
          </cell>
        </row>
        <row r="561">
          <cell r="B561">
            <v>45946.5625</v>
          </cell>
          <cell r="C561">
            <v>45947.625</v>
          </cell>
          <cell r="G561" t="str">
            <v>02_07</v>
          </cell>
          <cell r="K561">
            <v>4740</v>
          </cell>
          <cell r="L561" t="str">
            <v>DPHNBS01</v>
          </cell>
          <cell r="P561" t="str">
            <v>DAPOP</v>
          </cell>
        </row>
        <row r="562">
          <cell r="B562">
            <v>45947.298611111109</v>
          </cell>
          <cell r="C562">
            <v>45947.470833333333</v>
          </cell>
          <cell r="G562" t="str">
            <v>03_07</v>
          </cell>
          <cell r="K562">
            <v>2352</v>
          </cell>
          <cell r="L562" t="str">
            <v>IBARGB03</v>
          </cell>
          <cell r="P562" t="str">
            <v>ISA BEAUTY</v>
          </cell>
        </row>
        <row r="563">
          <cell r="B563">
            <v>45947.486111111109</v>
          </cell>
          <cell r="C563">
            <v>45947.632638888892</v>
          </cell>
          <cell r="G563" t="str">
            <v>03_07</v>
          </cell>
          <cell r="K563">
            <v>2400</v>
          </cell>
          <cell r="L563" t="str">
            <v>IBARGB04</v>
          </cell>
          <cell r="P563" t="str">
            <v>ISA BEAUTY</v>
          </cell>
        </row>
        <row r="564">
          <cell r="B564">
            <v>45947.632638888892</v>
          </cell>
          <cell r="C564">
            <v>45950.368055555555</v>
          </cell>
          <cell r="G564" t="str">
            <v>03_07</v>
          </cell>
          <cell r="K564">
            <v>2568</v>
          </cell>
          <cell r="L564" t="str">
            <v>IBARGB04</v>
          </cell>
          <cell r="P564" t="str">
            <v>ISA BEAUTY</v>
          </cell>
        </row>
        <row r="565">
          <cell r="B565">
            <v>45950.381944444445</v>
          </cell>
          <cell r="C565">
            <v>45950.482638888891</v>
          </cell>
          <cell r="G565" t="str">
            <v>03_07</v>
          </cell>
          <cell r="K565">
            <v>2400</v>
          </cell>
          <cell r="L565" t="str">
            <v>IBARGB05</v>
          </cell>
          <cell r="P565" t="str">
            <v>ISA BEAUTY</v>
          </cell>
        </row>
        <row r="566">
          <cell r="B566">
            <v>45950.482638888891</v>
          </cell>
          <cell r="C566">
            <v>45950.638888888891</v>
          </cell>
          <cell r="G566" t="str">
            <v>03_07</v>
          </cell>
          <cell r="K566">
            <v>2448</v>
          </cell>
          <cell r="L566" t="str">
            <v>IBARGB05</v>
          </cell>
          <cell r="P566" t="str">
            <v>ISA BEAUTY</v>
          </cell>
        </row>
        <row r="567">
          <cell r="B567">
            <v>45950.666666666664</v>
          </cell>
          <cell r="C567">
            <v>45952.46875</v>
          </cell>
          <cell r="G567" t="str">
            <v>02_07</v>
          </cell>
          <cell r="K567">
            <v>8640</v>
          </cell>
          <cell r="L567" t="str">
            <v>DPHNPC01</v>
          </cell>
          <cell r="P567" t="str">
            <v>DAPOP</v>
          </cell>
        </row>
        <row r="568">
          <cell r="B568">
            <v>45951.34375</v>
          </cell>
          <cell r="C568">
            <v>45951.583333333336</v>
          </cell>
          <cell r="G568" t="str">
            <v>03_07</v>
          </cell>
          <cell r="K568">
            <v>4900</v>
          </cell>
          <cell r="L568" t="str">
            <v>IBCHEC03</v>
          </cell>
          <cell r="P568" t="str">
            <v>ISA BEAUTY</v>
          </cell>
        </row>
        <row r="569">
          <cell r="B569">
            <v>45951.604166666664</v>
          </cell>
          <cell r="C569">
            <v>45952.35</v>
          </cell>
          <cell r="G569" t="str">
            <v>03_07</v>
          </cell>
          <cell r="K569">
            <v>2472</v>
          </cell>
          <cell r="L569" t="str">
            <v>IBARGB06</v>
          </cell>
          <cell r="P569" t="str">
            <v>ISA BEAUTY</v>
          </cell>
        </row>
        <row r="570">
          <cell r="B570">
            <v>45952.350694444445</v>
          </cell>
          <cell r="C570">
            <v>45952.493055555555</v>
          </cell>
          <cell r="G570" t="str">
            <v>03_07</v>
          </cell>
          <cell r="K570">
            <v>2520</v>
          </cell>
          <cell r="L570" t="str">
            <v>IBARGB06</v>
          </cell>
          <cell r="P570" t="str">
            <v>ISA BEAUTY</v>
          </cell>
        </row>
        <row r="571">
          <cell r="B571">
            <v>45952.46875</v>
          </cell>
          <cell r="C571">
            <v>45957.482638888891</v>
          </cell>
          <cell r="G571" t="str">
            <v>02_07</v>
          </cell>
          <cell r="K571">
            <v>8640</v>
          </cell>
          <cell r="L571" t="str">
            <v>DPHNPC01</v>
          </cell>
          <cell r="P571" t="str">
            <v>DAPOP</v>
          </cell>
        </row>
        <row r="572">
          <cell r="B572">
            <v>45952.63958333333</v>
          </cell>
          <cell r="C572">
            <v>45953.347222222219</v>
          </cell>
          <cell r="G572" t="str">
            <v>Fabiano 20/10</v>
          </cell>
          <cell r="K572">
            <v>2544</v>
          </cell>
          <cell r="L572" t="str">
            <v>MRARBS01</v>
          </cell>
          <cell r="P572" t="str">
            <v>MISS RÔSE</v>
          </cell>
        </row>
        <row r="573">
          <cell r="B573">
            <v>45953.347222222219</v>
          </cell>
          <cell r="C573">
            <v>45953.447222222225</v>
          </cell>
          <cell r="G573" t="str">
            <v>Fabiano 20/10</v>
          </cell>
          <cell r="K573">
            <v>2544</v>
          </cell>
          <cell r="L573" t="str">
            <v>MRARBS01</v>
          </cell>
          <cell r="P573" t="str">
            <v>MISS RÔSE</v>
          </cell>
        </row>
        <row r="574">
          <cell r="B574">
            <v>45953.447222222225</v>
          </cell>
          <cell r="C574">
            <v>45953.583333333336</v>
          </cell>
          <cell r="G574" t="str">
            <v>Fabiano 20/10</v>
          </cell>
          <cell r="K574">
            <v>2544</v>
          </cell>
          <cell r="L574" t="str">
            <v>MRARBS01</v>
          </cell>
          <cell r="P574" t="str">
            <v>MISS RÔSE</v>
          </cell>
        </row>
        <row r="575">
          <cell r="B575">
            <v>45953.583333333336</v>
          </cell>
          <cell r="C575">
            <v>45954.327777777777</v>
          </cell>
          <cell r="G575" t="str">
            <v>Fabiano 20/10</v>
          </cell>
          <cell r="K575">
            <v>2544</v>
          </cell>
          <cell r="L575" t="str">
            <v>MRARBS01</v>
          </cell>
          <cell r="P575" t="str">
            <v>MISS RÔSE</v>
          </cell>
        </row>
        <row r="576">
          <cell r="B576">
            <v>45954.327777777777</v>
          </cell>
          <cell r="C576">
            <v>45954.474305555559</v>
          </cell>
          <cell r="G576" t="str">
            <v>Fabiano 20/10</v>
          </cell>
          <cell r="K576">
            <v>2544</v>
          </cell>
          <cell r="L576" t="str">
            <v>MRARBS01</v>
          </cell>
          <cell r="P576" t="str">
            <v>MISS RÔSE</v>
          </cell>
        </row>
        <row r="577">
          <cell r="B577">
            <v>45954.474305555559</v>
          </cell>
          <cell r="C577">
            <v>45954.701388888891</v>
          </cell>
          <cell r="G577" t="str">
            <v>Fabiano 20/10</v>
          </cell>
          <cell r="K577">
            <v>2544</v>
          </cell>
          <cell r="L577" t="str">
            <v>MRARBS01</v>
          </cell>
          <cell r="P577" t="str">
            <v>MISS RÔSE</v>
          </cell>
        </row>
        <row r="578">
          <cell r="B578">
            <v>45955.62222222222</v>
          </cell>
          <cell r="C578">
            <v>45958.395833333336</v>
          </cell>
          <cell r="G578" t="str">
            <v>Fabiano 20/10</v>
          </cell>
          <cell r="K578">
            <v>2544</v>
          </cell>
          <cell r="L578" t="str">
            <v>MRARBS01</v>
          </cell>
          <cell r="P578" t="str">
            <v>MISS RÔSE</v>
          </cell>
        </row>
        <row r="579">
          <cell r="B579">
            <v>45957.291666666664</v>
          </cell>
          <cell r="C579">
            <v>45957.324999999997</v>
          </cell>
          <cell r="G579" t="str">
            <v>KURYOS</v>
          </cell>
          <cell r="K579">
            <v>20</v>
          </cell>
          <cell r="L579" t="str">
            <v>RETRAB05</v>
          </cell>
          <cell r="P579" t="str">
            <v>KURYOS</v>
          </cell>
        </row>
        <row r="580">
          <cell r="B580">
            <v>45957.291666666664</v>
          </cell>
          <cell r="C580">
            <v>45957.62222222222</v>
          </cell>
          <cell r="G580" t="str">
            <v>Fabiano 20/10</v>
          </cell>
          <cell r="K580">
            <v>2544</v>
          </cell>
          <cell r="L580" t="str">
            <v>MRARBS01</v>
          </cell>
          <cell r="P580" t="str">
            <v>MISS RÔSE</v>
          </cell>
        </row>
        <row r="581">
          <cell r="B581">
            <v>45957.479166666664</v>
          </cell>
          <cell r="C581">
            <v>45959.363194444442</v>
          </cell>
          <cell r="G581" t="str">
            <v>02_07</v>
          </cell>
          <cell r="K581">
            <v>8640</v>
          </cell>
          <cell r="L581" t="str">
            <v>DPHNPC01</v>
          </cell>
          <cell r="P581" t="str">
            <v>DAPOP</v>
          </cell>
        </row>
        <row r="582">
          <cell r="B582">
            <v>45958.395833333336</v>
          </cell>
          <cell r="C582">
            <v>45958.541666666664</v>
          </cell>
          <cell r="G582" t="str">
            <v>Fabiano 20/10</v>
          </cell>
          <cell r="K582">
            <v>2544</v>
          </cell>
          <cell r="L582" t="str">
            <v>MRARBS01</v>
          </cell>
          <cell r="P582" t="str">
            <v>MISS RÔSE</v>
          </cell>
        </row>
        <row r="583">
          <cell r="B583">
            <v>45959.341666666667</v>
          </cell>
          <cell r="C583">
            <v>45959.59375</v>
          </cell>
          <cell r="G583" t="str">
            <v>Fabiano 20/10</v>
          </cell>
          <cell r="K583">
            <v>2544</v>
          </cell>
          <cell r="L583" t="str">
            <v>MRARBS01</v>
          </cell>
          <cell r="P583" t="str">
            <v>MISS RÔSE</v>
          </cell>
        </row>
        <row r="584">
          <cell r="B584">
            <v>45959.361111111109</v>
          </cell>
          <cell r="C584">
            <v>45960.625</v>
          </cell>
          <cell r="G584" t="str">
            <v>02_07</v>
          </cell>
          <cell r="K584">
            <v>8640</v>
          </cell>
          <cell r="L584" t="str">
            <v>DPHNPC01</v>
          </cell>
          <cell r="P584" t="str">
            <v>DAPOP</v>
          </cell>
        </row>
        <row r="585">
          <cell r="B585">
            <v>45959.4375</v>
          </cell>
          <cell r="C585">
            <v>45959.604166666664</v>
          </cell>
          <cell r="G585" t="str">
            <v>MAHMUD 23/10</v>
          </cell>
          <cell r="K585">
            <v>2544</v>
          </cell>
          <cell r="L585" t="str">
            <v>MRARBS05</v>
          </cell>
          <cell r="P585" t="str">
            <v>MISS RÔSE</v>
          </cell>
        </row>
        <row r="586">
          <cell r="B586">
            <v>45960.59375</v>
          </cell>
          <cell r="C586">
            <v>45961.354166666664</v>
          </cell>
          <cell r="G586" t="str">
            <v>Fabiano 20/10</v>
          </cell>
          <cell r="K586">
            <v>1056</v>
          </cell>
          <cell r="L586" t="str">
            <v>MRARBS01</v>
          </cell>
          <cell r="P586" t="str">
            <v>MISS RÔSE</v>
          </cell>
        </row>
        <row r="587">
          <cell r="B587">
            <v>45960.625</v>
          </cell>
          <cell r="C587">
            <v>45961.583333333336</v>
          </cell>
          <cell r="G587" t="str">
            <v>02_07</v>
          </cell>
          <cell r="K587">
            <v>4471</v>
          </cell>
          <cell r="L587" t="str">
            <v>DPHNPC01</v>
          </cell>
          <cell r="P587" t="str">
            <v>DAPOP</v>
          </cell>
        </row>
        <row r="588">
          <cell r="B588">
            <v>45961.363194444442</v>
          </cell>
          <cell r="C588">
            <v>45961.486111111109</v>
          </cell>
          <cell r="G588" t="str">
            <v>MAHMUD 23/10</v>
          </cell>
          <cell r="K588">
            <v>2544</v>
          </cell>
          <cell r="L588" t="str">
            <v>MRARBS05</v>
          </cell>
          <cell r="P588" t="str">
            <v>MISS RÔSE</v>
          </cell>
        </row>
        <row r="589">
          <cell r="B589">
            <v>45961.486111111109</v>
          </cell>
          <cell r="C589">
            <v>45961.701388888891</v>
          </cell>
          <cell r="G589" t="str">
            <v>MAHMUD 23/10</v>
          </cell>
          <cell r="K589">
            <v>2544</v>
          </cell>
          <cell r="L589" t="str">
            <v>MRARBS05</v>
          </cell>
          <cell r="P589" t="str">
            <v>MISS RÔSE</v>
          </cell>
        </row>
        <row r="590">
          <cell r="B590">
            <v>45964.295138888891</v>
          </cell>
          <cell r="C590">
            <v>45964.385416666664</v>
          </cell>
          <cell r="G590" t="str">
            <v>MAHMUD 23/10</v>
          </cell>
          <cell r="K590">
            <v>2544</v>
          </cell>
          <cell r="L590" t="str">
            <v>MRARBS05</v>
          </cell>
          <cell r="P590" t="str">
            <v>MISS RÔSE</v>
          </cell>
        </row>
        <row r="591">
          <cell r="B591">
            <v>45964.385416666664</v>
          </cell>
          <cell r="C591">
            <v>45964.565972222219</v>
          </cell>
          <cell r="G591" t="str">
            <v>MAHMUD 23/10</v>
          </cell>
          <cell r="K591">
            <v>2544</v>
          </cell>
          <cell r="L591" t="str">
            <v>MRARBS05</v>
          </cell>
          <cell r="P591" t="str">
            <v>MISS RÔSE</v>
          </cell>
        </row>
        <row r="592">
          <cell r="B592">
            <v>45964.565972222219</v>
          </cell>
          <cell r="C592">
            <v>45964.645833333336</v>
          </cell>
          <cell r="G592" t="str">
            <v>MAHMUD 23/10</v>
          </cell>
          <cell r="K592">
            <v>2544</v>
          </cell>
          <cell r="L592" t="str">
            <v>MRARBS05</v>
          </cell>
          <cell r="P592" t="str">
            <v>MISS RÔSE</v>
          </cell>
        </row>
        <row r="593">
          <cell r="B593">
            <v>45964.645833333336</v>
          </cell>
          <cell r="C593">
            <v>45965.361111111109</v>
          </cell>
          <cell r="G593" t="str">
            <v>MAHMUD 23/10</v>
          </cell>
          <cell r="K593">
            <v>2544</v>
          </cell>
          <cell r="L593" t="str">
            <v>MRARBS05</v>
          </cell>
          <cell r="P593" t="str">
            <v>MISS RÔSE</v>
          </cell>
        </row>
        <row r="594">
          <cell r="B594">
            <v>45965.291666666664</v>
          </cell>
          <cell r="C594">
            <v>45972.583333333336</v>
          </cell>
          <cell r="G594" t="str">
            <v>RETRABALHO</v>
          </cell>
          <cell r="K594">
            <v>27360</v>
          </cell>
          <cell r="L594" t="str">
            <v>RETRAB06</v>
          </cell>
          <cell r="P594" t="str">
            <v>DAPOP</v>
          </cell>
        </row>
        <row r="595">
          <cell r="B595">
            <v>45965.361111111109</v>
          </cell>
          <cell r="C595">
            <v>45965.472222222219</v>
          </cell>
          <cell r="G595" t="str">
            <v>MAHMUD 23/10</v>
          </cell>
          <cell r="K595">
            <v>2544</v>
          </cell>
          <cell r="L595" t="str">
            <v>MRARBS05</v>
          </cell>
          <cell r="P595" t="str">
            <v>MISS RÔSE</v>
          </cell>
        </row>
        <row r="596">
          <cell r="B596">
            <v>45965.472222222219</v>
          </cell>
          <cell r="C596">
            <v>45965.625</v>
          </cell>
          <cell r="G596" t="str">
            <v>MAHMUD 23/10</v>
          </cell>
          <cell r="K596">
            <v>2544</v>
          </cell>
          <cell r="L596" t="str">
            <v>MRARBS05</v>
          </cell>
          <cell r="P596" t="str">
            <v>MISS RÔSE</v>
          </cell>
        </row>
        <row r="597">
          <cell r="B597">
            <v>45965.625</v>
          </cell>
          <cell r="C597">
            <v>45966.368055555555</v>
          </cell>
          <cell r="G597" t="str">
            <v>MAHMUD 23/10</v>
          </cell>
          <cell r="K597">
            <v>2544</v>
          </cell>
          <cell r="L597" t="str">
            <v>MRARBS05</v>
          </cell>
          <cell r="P597" t="str">
            <v>MISS RÔSE</v>
          </cell>
        </row>
        <row r="598">
          <cell r="B598">
            <v>45966.368055555555</v>
          </cell>
          <cell r="C598">
            <v>45966.479166666664</v>
          </cell>
          <cell r="G598" t="str">
            <v>MAHMUD 23/10</v>
          </cell>
          <cell r="K598">
            <v>2544</v>
          </cell>
          <cell r="L598" t="str">
            <v>MRARBS05</v>
          </cell>
          <cell r="P598" t="str">
            <v>MISS RÔSE</v>
          </cell>
        </row>
        <row r="599">
          <cell r="B599">
            <v>45966.479166666664</v>
          </cell>
          <cell r="C599">
            <v>45966.625</v>
          </cell>
          <cell r="G599" t="str">
            <v>MAHMUD 23/10</v>
          </cell>
          <cell r="K599">
            <v>2544</v>
          </cell>
          <cell r="L599" t="str">
            <v>MRARBS05</v>
          </cell>
          <cell r="P599" t="str">
            <v>MISS RÔSE</v>
          </cell>
        </row>
        <row r="600">
          <cell r="B600">
            <v>45966.625</v>
          </cell>
          <cell r="C600">
            <v>45967.36041666667</v>
          </cell>
          <cell r="G600" t="str">
            <v>MAHMUD 23/10</v>
          </cell>
          <cell r="K600">
            <v>2455</v>
          </cell>
          <cell r="L600" t="str">
            <v>MRARBS05</v>
          </cell>
          <cell r="P600" t="str">
            <v>MISS RÔSE</v>
          </cell>
        </row>
        <row r="601">
          <cell r="B601">
            <v>45967.36041666667</v>
          </cell>
          <cell r="C601">
            <v>45967.465277777781</v>
          </cell>
          <cell r="G601" t="str">
            <v>MAHMUD 23/10</v>
          </cell>
          <cell r="K601">
            <v>2544</v>
          </cell>
          <cell r="L601" t="str">
            <v>MRARBS05</v>
          </cell>
          <cell r="P601" t="str">
            <v>MISS RÔSE</v>
          </cell>
        </row>
        <row r="602">
          <cell r="B602">
            <v>45967.465277777781</v>
          </cell>
          <cell r="C602">
            <v>45967.618055555555</v>
          </cell>
          <cell r="G602" t="str">
            <v>MAHMUD 23/10</v>
          </cell>
          <cell r="K602">
            <v>2544</v>
          </cell>
          <cell r="L602" t="str">
            <v>MRARBS05</v>
          </cell>
          <cell r="P602" t="str">
            <v>MISS RÔSE</v>
          </cell>
        </row>
        <row r="603">
          <cell r="B603">
            <v>45967.618055555555</v>
          </cell>
          <cell r="C603">
            <v>45968.458333333336</v>
          </cell>
          <cell r="G603" t="str">
            <v>MAHMUD 23/10</v>
          </cell>
          <cell r="K603">
            <v>2544</v>
          </cell>
          <cell r="L603" t="str">
            <v>MRARBS05</v>
          </cell>
          <cell r="P603" t="str">
            <v>MISS RÔSE</v>
          </cell>
        </row>
        <row r="604">
          <cell r="B604">
            <v>45968.333333333336</v>
          </cell>
          <cell r="C604">
            <v>45968.449305555558</v>
          </cell>
          <cell r="G604" t="str">
            <v>MAHMUD 23/10</v>
          </cell>
          <cell r="K604">
            <v>2544</v>
          </cell>
          <cell r="L604" t="str">
            <v>MRARBS05</v>
          </cell>
          <cell r="P604" t="str">
            <v>MISS RÔSE</v>
          </cell>
        </row>
        <row r="605">
          <cell r="B605">
            <v>45968.451388888891</v>
          </cell>
          <cell r="C605">
            <v>45971.326388888891</v>
          </cell>
          <cell r="G605" t="str">
            <v>MAHMUD 23/10</v>
          </cell>
          <cell r="K605">
            <v>2544</v>
          </cell>
          <cell r="L605" t="str">
            <v>MRARBS05</v>
          </cell>
          <cell r="P605" t="str">
            <v>MISS RÔSE</v>
          </cell>
        </row>
        <row r="606">
          <cell r="B606">
            <v>45971.326388888891</v>
          </cell>
          <cell r="C606">
            <v>45971.427083333336</v>
          </cell>
          <cell r="G606" t="str">
            <v>MAHMUD 23/10</v>
          </cell>
          <cell r="K606">
            <v>2544</v>
          </cell>
          <cell r="L606" t="str">
            <v>MRARBS05</v>
          </cell>
          <cell r="P606" t="str">
            <v>MISS RÔSE</v>
          </cell>
        </row>
        <row r="607">
          <cell r="B607">
            <v>45971.427083333336</v>
          </cell>
          <cell r="C607">
            <v>45971.576388888891</v>
          </cell>
          <cell r="G607" t="str">
            <v>MAHMUD 23/10</v>
          </cell>
          <cell r="K607">
            <v>2544</v>
          </cell>
          <cell r="L607" t="str">
            <v>MRARBS05</v>
          </cell>
          <cell r="P607" t="str">
            <v>MISS RÔSE</v>
          </cell>
        </row>
        <row r="608">
          <cell r="B608">
            <v>45971.576388888891</v>
          </cell>
          <cell r="C608">
            <v>45972.298611111109</v>
          </cell>
          <cell r="G608" t="str">
            <v>MAHMUD 23/10</v>
          </cell>
          <cell r="K608">
            <v>2544</v>
          </cell>
          <cell r="L608" t="str">
            <v>MRARBS05</v>
          </cell>
          <cell r="P608" t="str">
            <v>MISS RÔSE</v>
          </cell>
        </row>
        <row r="609">
          <cell r="B609">
            <v>45972.298611111109</v>
          </cell>
          <cell r="C609">
            <v>45972.413888888892</v>
          </cell>
          <cell r="G609" t="str">
            <v>MAHMUD 23/10</v>
          </cell>
          <cell r="K609">
            <v>2544</v>
          </cell>
          <cell r="L609" t="str">
            <v>MRARBS05</v>
          </cell>
          <cell r="P609" t="str">
            <v>MISS RÔSE</v>
          </cell>
        </row>
        <row r="610">
          <cell r="B610">
            <v>45972.413888888892</v>
          </cell>
          <cell r="C610">
            <v>45972.569444444445</v>
          </cell>
          <cell r="G610" t="str">
            <v>MAHMUD 23/10</v>
          </cell>
          <cell r="K610">
            <v>2544</v>
          </cell>
          <cell r="L610" t="str">
            <v>MRARBS05</v>
          </cell>
          <cell r="P610" t="str">
            <v>MISS RÔSE</v>
          </cell>
        </row>
        <row r="611">
          <cell r="B611">
            <v>45972.569444444445</v>
          </cell>
          <cell r="C611">
            <v>45972.6875</v>
          </cell>
          <cell r="G611" t="str">
            <v>MAHMUD 23/10</v>
          </cell>
          <cell r="K611">
            <v>2352</v>
          </cell>
          <cell r="L611" t="str">
            <v>MRARBS05</v>
          </cell>
          <cell r="P611" t="str">
            <v>MISS RÔSE</v>
          </cell>
        </row>
        <row r="612">
          <cell r="B612">
            <v>45973.302083333336</v>
          </cell>
          <cell r="C612">
            <v>45973.445138888892</v>
          </cell>
          <cell r="G612" t="str">
            <v>FABIANO 06/11</v>
          </cell>
          <cell r="K612">
            <v>2544</v>
          </cell>
          <cell r="L612" t="str">
            <v>MRARBS02</v>
          </cell>
          <cell r="P612" t="str">
            <v>MISS RÔSE</v>
          </cell>
        </row>
        <row r="613">
          <cell r="B613">
            <v>45973.445138888892</v>
          </cell>
          <cell r="C613">
            <v>45973.6875</v>
          </cell>
          <cell r="G613" t="str">
            <v>FABIANO 06/11</v>
          </cell>
          <cell r="K613">
            <v>2544</v>
          </cell>
          <cell r="L613" t="str">
            <v>MRARBS02</v>
          </cell>
          <cell r="P613" t="str">
            <v>MISS RÔSE</v>
          </cell>
        </row>
        <row r="614">
          <cell r="B614">
            <v>45973.6875</v>
          </cell>
          <cell r="C614">
            <v>45974.390277777777</v>
          </cell>
          <cell r="G614" t="str">
            <v>FABIANO 06/11</v>
          </cell>
          <cell r="K614">
            <v>2544</v>
          </cell>
          <cell r="L614" t="str">
            <v>MRARBS02</v>
          </cell>
          <cell r="P614" t="str">
            <v>MISS RÔSE</v>
          </cell>
        </row>
        <row r="615">
          <cell r="B615">
            <v>45974.38958333333</v>
          </cell>
          <cell r="C615">
            <v>45974.5625</v>
          </cell>
          <cell r="G615" t="str">
            <v>FABIANO 06/11</v>
          </cell>
          <cell r="K615">
            <v>2544</v>
          </cell>
          <cell r="L615" t="str">
            <v>MRARBS02</v>
          </cell>
          <cell r="P615" t="str">
            <v>MISS RÔSE</v>
          </cell>
        </row>
        <row r="616">
          <cell r="B616">
            <v>45974.5625</v>
          </cell>
          <cell r="C616">
            <v>45974.680555555555</v>
          </cell>
          <cell r="G616" t="str">
            <v>FABIANO 06/11</v>
          </cell>
          <cell r="K616">
            <v>2544</v>
          </cell>
          <cell r="L616" t="str">
            <v>MRARBS02</v>
          </cell>
          <cell r="P616" t="str">
            <v>MISS RÔSE</v>
          </cell>
        </row>
        <row r="617">
          <cell r="B617">
            <v>45975.291666666664</v>
          </cell>
          <cell r="C617">
            <v>45975.402777777781</v>
          </cell>
          <cell r="G617" t="str">
            <v>FABIANO 06/11</v>
          </cell>
          <cell r="K617">
            <v>2544</v>
          </cell>
          <cell r="L617" t="str">
            <v>MRARBS02</v>
          </cell>
          <cell r="P617" t="str">
            <v>MISS RÔSE</v>
          </cell>
        </row>
        <row r="618">
          <cell r="B618">
            <v>45975.402777777781</v>
          </cell>
          <cell r="C618">
            <v>45975.489583333336</v>
          </cell>
          <cell r="G618" t="str">
            <v>FABIANO 06/11</v>
          </cell>
          <cell r="K618">
            <v>1488</v>
          </cell>
          <cell r="L618" t="str">
            <v>MRARBS02</v>
          </cell>
          <cell r="P618" t="str">
            <v>MISS RÔSE</v>
          </cell>
        </row>
        <row r="619">
          <cell r="B619">
            <v>45975.618055555555</v>
          </cell>
          <cell r="C619">
            <v>45978.451388888891</v>
          </cell>
          <cell r="G619" t="str">
            <v>SMAYKEL 01</v>
          </cell>
          <cell r="K619">
            <v>1384</v>
          </cell>
          <cell r="L619" t="str">
            <v>DYPFPF01</v>
          </cell>
          <cell r="P619" t="str">
            <v>DYNASTY</v>
          </cell>
        </row>
        <row r="620">
          <cell r="B620">
            <v>45978.541666666664</v>
          </cell>
          <cell r="C620">
            <v>45979.361111111109</v>
          </cell>
          <cell r="G620" t="str">
            <v>SMAYKEL 01</v>
          </cell>
          <cell r="K620">
            <v>1499</v>
          </cell>
          <cell r="L620" t="str">
            <v>DYPFPF04</v>
          </cell>
          <cell r="P620" t="str">
            <v>DYNASTY</v>
          </cell>
        </row>
        <row r="621">
          <cell r="B621">
            <v>45979.361111111109</v>
          </cell>
          <cell r="C621">
            <v>45979.604166666664</v>
          </cell>
          <cell r="G621" t="str">
            <v>SMAYKEL 01</v>
          </cell>
          <cell r="K621">
            <v>1497</v>
          </cell>
          <cell r="L621" t="str">
            <v>DYPFPF02</v>
          </cell>
          <cell r="P621" t="str">
            <v>DYNASTY</v>
          </cell>
        </row>
        <row r="622">
          <cell r="B622">
            <v>45979.604166666664</v>
          </cell>
          <cell r="C622">
            <v>45980.427083333336</v>
          </cell>
          <cell r="G622" t="str">
            <v>SMAYKEL 01</v>
          </cell>
          <cell r="K622">
            <v>549</v>
          </cell>
          <cell r="L622" t="str">
            <v>DYPFPF03</v>
          </cell>
          <cell r="P622" t="str">
            <v>DYNASTY</v>
          </cell>
        </row>
        <row r="623">
          <cell r="B623">
            <v>45979.625</v>
          </cell>
          <cell r="C623">
            <v>45979.7</v>
          </cell>
          <cell r="G623" t="str">
            <v>DAPOP - Pedido 360 mil</v>
          </cell>
          <cell r="K623">
            <v>3360</v>
          </cell>
          <cell r="L623" t="str">
            <v>DPGLES02</v>
          </cell>
          <cell r="P623" t="str">
            <v>DAPOP</v>
          </cell>
        </row>
        <row r="624">
          <cell r="B624">
            <v>45980.427083333336</v>
          </cell>
          <cell r="C624">
            <v>45980.701388888891</v>
          </cell>
          <cell r="G624" t="str">
            <v>DAPOP - Pedido 360 mil</v>
          </cell>
          <cell r="K624">
            <v>3376</v>
          </cell>
          <cell r="L624" t="str">
            <v>DPGLES02</v>
          </cell>
          <cell r="P624" t="str">
            <v>DAPOP</v>
          </cell>
        </row>
        <row r="625">
          <cell r="B625">
            <v>45981.543749999997</v>
          </cell>
          <cell r="C625">
            <v>45985.419444444444</v>
          </cell>
          <cell r="G625" t="str">
            <v>DAPOP - Pedido 360 mil</v>
          </cell>
          <cell r="K625">
            <v>3420</v>
          </cell>
          <cell r="L625" t="str">
            <v>DPMTES02</v>
          </cell>
          <cell r="P625" t="str">
            <v>DAPOP</v>
          </cell>
        </row>
        <row r="626">
          <cell r="B626">
            <v>45985.495138888888</v>
          </cell>
          <cell r="C626">
            <v>45987.404861111114</v>
          </cell>
          <cell r="G626" t="str">
            <v>AMEERATI 01</v>
          </cell>
          <cell r="K626">
            <v>1512</v>
          </cell>
          <cell r="L626" t="str">
            <v>AMNCBS07</v>
          </cell>
          <cell r="P626" t="str">
            <v>AMEERATI</v>
          </cell>
        </row>
        <row r="627">
          <cell r="B627">
            <v>45987.375</v>
          </cell>
          <cell r="C627">
            <v>45987.666666666664</v>
          </cell>
          <cell r="G627" t="str">
            <v>CIDA 11/11</v>
          </cell>
          <cell r="K627">
            <v>1144</v>
          </cell>
          <cell r="L627" t="str">
            <v>KUBPBA01 - 2</v>
          </cell>
          <cell r="P627" t="str">
            <v>KURYOS</v>
          </cell>
        </row>
        <row r="628">
          <cell r="B628">
            <v>45987.427083333336</v>
          </cell>
          <cell r="C628">
            <v>45987.486111111109</v>
          </cell>
          <cell r="G628" t="str">
            <v>AMEERATI 01</v>
          </cell>
          <cell r="K628">
            <v>1580</v>
          </cell>
          <cell r="L628" t="str">
            <v>AMNCBS07</v>
          </cell>
          <cell r="P628" t="str">
            <v>AMEERATI</v>
          </cell>
        </row>
        <row r="629">
          <cell r="B629">
            <v>45987.625</v>
          </cell>
          <cell r="C629">
            <v>45988.382638888892</v>
          </cell>
          <cell r="G629" t="str">
            <v>AMEERATI 01</v>
          </cell>
          <cell r="K629">
            <v>1464</v>
          </cell>
          <cell r="L629" t="str">
            <v>AMNCBS08</v>
          </cell>
          <cell r="P629" t="str">
            <v>AMEERATI</v>
          </cell>
        </row>
        <row r="630">
          <cell r="B630">
            <v>45987.666666666664</v>
          </cell>
          <cell r="C630">
            <v>45988.384722222225</v>
          </cell>
          <cell r="G630" t="str">
            <v>CIDA 11/11</v>
          </cell>
          <cell r="K630">
            <v>384</v>
          </cell>
          <cell r="L630" t="str">
            <v>KUBPBA02</v>
          </cell>
          <cell r="P630" t="str">
            <v>KURYOS</v>
          </cell>
        </row>
        <row r="631">
          <cell r="B631">
            <v>45988.461805555555</v>
          </cell>
          <cell r="C631">
            <v>45988.611111111109</v>
          </cell>
          <cell r="G631" t="str">
            <v>AMEERATI 01</v>
          </cell>
          <cell r="K631">
            <v>1680</v>
          </cell>
          <cell r="L631" t="str">
            <v>AMNCBS08</v>
          </cell>
          <cell r="P631" t="str">
            <v>AMEERATI</v>
          </cell>
        </row>
        <row r="632">
          <cell r="B632">
            <v>45988.548611111109</v>
          </cell>
          <cell r="C632">
            <v>45988.616666666669</v>
          </cell>
          <cell r="G632" t="str">
            <v>CIDA 11/11</v>
          </cell>
          <cell r="K632">
            <v>540</v>
          </cell>
          <cell r="L632" t="str">
            <v>KUBPBA01</v>
          </cell>
          <cell r="P632" t="str">
            <v>KURYOS</v>
          </cell>
        </row>
        <row r="633">
          <cell r="B633">
            <v>45988.616666666669</v>
          </cell>
          <cell r="C633">
            <v>45989.368055555555</v>
          </cell>
          <cell r="G633" t="str">
            <v>CIDA 11/11</v>
          </cell>
          <cell r="K633">
            <v>495</v>
          </cell>
          <cell r="L633" t="str">
            <v>KUBPBA01</v>
          </cell>
          <cell r="P633" t="str">
            <v>KURYOS</v>
          </cell>
        </row>
        <row r="634">
          <cell r="B634">
            <v>45989.635416666664</v>
          </cell>
          <cell r="C634">
            <v>45992.368055555555</v>
          </cell>
          <cell r="G634" t="str">
            <v>AMEERATI 01</v>
          </cell>
          <cell r="K634">
            <v>3240</v>
          </cell>
          <cell r="L634" t="str">
            <v>AMNCBS04</v>
          </cell>
          <cell r="P634" t="str">
            <v>AMEERATI</v>
          </cell>
        </row>
        <row r="635">
          <cell r="B635">
            <v>45990.578472222223</v>
          </cell>
          <cell r="C635">
            <v>45993.385416666664</v>
          </cell>
          <cell r="G635" t="str">
            <v>DAPOP - Pedido 360 mil</v>
          </cell>
          <cell r="K635">
            <v>4289</v>
          </cell>
          <cell r="L635" t="str">
            <v>DPMTES02</v>
          </cell>
          <cell r="P635" t="str">
            <v>DAPOP</v>
          </cell>
        </row>
        <row r="636">
          <cell r="B636">
            <v>45992.370138888888</v>
          </cell>
          <cell r="C636">
            <v>45992.618055555555</v>
          </cell>
          <cell r="G636" t="str">
            <v>AMEERATI 01</v>
          </cell>
          <cell r="K636">
            <v>3336</v>
          </cell>
          <cell r="L636" t="str">
            <v>AMNCBS03</v>
          </cell>
          <cell r="P636" t="str">
            <v>AMEERATI</v>
          </cell>
        </row>
        <row r="637">
          <cell r="B637">
            <v>45992.618055555555</v>
          </cell>
          <cell r="C637">
            <v>45993.270833333336</v>
          </cell>
          <cell r="G637" t="str">
            <v>ANDRE 06/11</v>
          </cell>
          <cell r="K637">
            <v>1680</v>
          </cell>
          <cell r="L637" t="str">
            <v>GLMKAM07</v>
          </cell>
          <cell r="P637" t="str">
            <v>GLOW MAKE UP</v>
          </cell>
        </row>
        <row r="638">
          <cell r="B638">
            <v>45993.270833333336</v>
          </cell>
          <cell r="C638">
            <v>45993.415277777778</v>
          </cell>
          <cell r="G638" t="str">
            <v>ANDRE 06/11</v>
          </cell>
          <cell r="K638">
            <v>3072</v>
          </cell>
          <cell r="L638" t="str">
            <v>GLMKAM07</v>
          </cell>
          <cell r="P638" t="str">
            <v>GLOW MAKE UP</v>
          </cell>
        </row>
        <row r="639">
          <cell r="B639">
            <v>45993.415277777778</v>
          </cell>
          <cell r="C639">
            <v>45993.590277777781</v>
          </cell>
          <cell r="G639" t="str">
            <v>ANDRE 06/11</v>
          </cell>
          <cell r="K639">
            <v>3072</v>
          </cell>
          <cell r="L639" t="str">
            <v>GLMKAM07</v>
          </cell>
          <cell r="P639" t="str">
            <v>GLOW MAKE UP</v>
          </cell>
        </row>
        <row r="640">
          <cell r="B640">
            <v>45993.4375</v>
          </cell>
          <cell r="C640">
            <v>45993.680555555555</v>
          </cell>
          <cell r="G640" t="str">
            <v>DAPOP - Pedido 360 mil</v>
          </cell>
          <cell r="K640">
            <v>3120</v>
          </cell>
          <cell r="L640" t="str">
            <v>DPMTES01</v>
          </cell>
          <cell r="P640" t="str">
            <v>DAPOP</v>
          </cell>
        </row>
        <row r="641">
          <cell r="B641">
            <v>45993.590277777781</v>
          </cell>
          <cell r="C641">
            <v>45993.6875</v>
          </cell>
          <cell r="G641" t="str">
            <v>ANDRE 06/11</v>
          </cell>
          <cell r="K641">
            <v>3072</v>
          </cell>
          <cell r="L641" t="str">
            <v>GLMKAM07</v>
          </cell>
          <cell r="P641" t="str">
            <v>GLOW MAKE UP</v>
          </cell>
        </row>
        <row r="642">
          <cell r="B642">
            <v>45993.680555555555</v>
          </cell>
          <cell r="C642">
            <v>45993.895833333336</v>
          </cell>
          <cell r="G642" t="str">
            <v>DAPOP - Pedido 360 mil</v>
          </cell>
          <cell r="K642">
            <v>3334</v>
          </cell>
          <cell r="L642" t="str">
            <v>DPMTES01</v>
          </cell>
          <cell r="P642" t="str">
            <v>DAPOP</v>
          </cell>
        </row>
        <row r="643">
          <cell r="B643">
            <v>45993.695833333331</v>
          </cell>
          <cell r="C643">
            <v>45994.279166666667</v>
          </cell>
          <cell r="G643" t="str">
            <v>ANDRE 06/11</v>
          </cell>
          <cell r="K643">
            <v>3072</v>
          </cell>
          <cell r="L643" t="str">
            <v>GLMKAM07</v>
          </cell>
          <cell r="P643" t="str">
            <v>GLOW MAKE UP</v>
          </cell>
        </row>
        <row r="644">
          <cell r="B644">
            <v>45994.279861111114</v>
          </cell>
          <cell r="C644">
            <v>45994.429861111108</v>
          </cell>
          <cell r="G644" t="str">
            <v>ANDRE 06/11</v>
          </cell>
          <cell r="K644">
            <v>3072</v>
          </cell>
          <cell r="L644" t="str">
            <v>GLMKAM07</v>
          </cell>
          <cell r="P644" t="str">
            <v>GLOW MAKE UP</v>
          </cell>
        </row>
        <row r="645">
          <cell r="B645">
            <v>45994.429861111108</v>
          </cell>
          <cell r="C645">
            <v>45994.537499999999</v>
          </cell>
          <cell r="G645" t="str">
            <v>ANDRE 06/11</v>
          </cell>
          <cell r="K645">
            <v>2139</v>
          </cell>
          <cell r="L645" t="str">
            <v>GLMKAM07</v>
          </cell>
          <cell r="P645" t="str">
            <v>GLOW MAKE UP</v>
          </cell>
        </row>
        <row r="646">
          <cell r="B646">
            <v>45994.554861111108</v>
          </cell>
          <cell r="C646">
            <v>45994.705555555556</v>
          </cell>
          <cell r="G646" t="str">
            <v>DAPOP - Pedido 360 mil</v>
          </cell>
          <cell r="K646">
            <v>3300</v>
          </cell>
          <cell r="L646" t="str">
            <v>DPMTES03</v>
          </cell>
          <cell r="P646" t="str">
            <v>DAPOP</v>
          </cell>
        </row>
        <row r="647">
          <cell r="B647">
            <v>45994.694444444445</v>
          </cell>
          <cell r="C647">
            <v>45994.895833333336</v>
          </cell>
          <cell r="G647" t="str">
            <v>DAPOP - Pedido 360 mil</v>
          </cell>
          <cell r="K647">
            <v>3290</v>
          </cell>
          <cell r="L647" t="str">
            <v>DPMTES03</v>
          </cell>
          <cell r="P647" t="str">
            <v>DAPOP</v>
          </cell>
        </row>
        <row r="648">
          <cell r="B648">
            <v>45994.720138888886</v>
          </cell>
          <cell r="C648">
            <v>45995.277777777781</v>
          </cell>
          <cell r="G648" t="str">
            <v>BRIA 01</v>
          </cell>
          <cell r="K648">
            <v>4080</v>
          </cell>
          <cell r="L648" t="str">
            <v>BBSJBS01-2</v>
          </cell>
          <cell r="P648" t="str">
            <v>BRIA BEAUTY</v>
          </cell>
        </row>
        <row r="649">
          <cell r="B649">
            <v>45995.277777777781</v>
          </cell>
          <cell r="C649">
            <v>45995.427083333336</v>
          </cell>
          <cell r="G649" t="str">
            <v>BRIA 01</v>
          </cell>
          <cell r="K649">
            <v>4080</v>
          </cell>
          <cell r="L649" t="str">
            <v>BBSJBS01-2</v>
          </cell>
          <cell r="P649" t="str">
            <v>BRIA BEAUTY</v>
          </cell>
        </row>
        <row r="650">
          <cell r="B650">
            <v>45995.34652777778</v>
          </cell>
          <cell r="C650">
            <v>45996.318749999999</v>
          </cell>
          <cell r="G650" t="str">
            <v>FABIANO 19/11</v>
          </cell>
          <cell r="K650">
            <v>1576</v>
          </cell>
          <cell r="L650" t="str">
            <v>MRARHD03</v>
          </cell>
          <cell r="P650" t="str">
            <v>MISS RÔSE</v>
          </cell>
        </row>
        <row r="651">
          <cell r="B651">
            <v>45995.430555555555</v>
          </cell>
          <cell r="C651">
            <v>45995.578472222223</v>
          </cell>
          <cell r="G651" t="str">
            <v>BRIA 01</v>
          </cell>
          <cell r="K651">
            <v>4080</v>
          </cell>
          <cell r="L651" t="str">
            <v>BBSJBS01-2</v>
          </cell>
          <cell r="P651" t="str">
            <v>BRIA BEAUTY</v>
          </cell>
        </row>
        <row r="652">
          <cell r="B652">
            <v>45995.552777777775</v>
          </cell>
          <cell r="C652">
            <v>45995.694444444445</v>
          </cell>
          <cell r="G652" t="str">
            <v>FABIANO 19/11</v>
          </cell>
          <cell r="K652">
            <v>2544</v>
          </cell>
          <cell r="L652" t="str">
            <v>MRARHD03</v>
          </cell>
          <cell r="P652" t="str">
            <v>MISS RÔSE</v>
          </cell>
        </row>
        <row r="653">
          <cell r="B653">
            <v>45995.578472222223</v>
          </cell>
          <cell r="C653">
            <v>45995.801388888889</v>
          </cell>
          <cell r="G653" t="str">
            <v>BRIA 01</v>
          </cell>
          <cell r="K653">
            <v>4080</v>
          </cell>
          <cell r="L653" t="str">
            <v>BBSJBS01-2</v>
          </cell>
          <cell r="P653" t="str">
            <v>BRIA BEAUTY</v>
          </cell>
        </row>
        <row r="654">
          <cell r="B654">
            <v>45995.694444444445</v>
          </cell>
          <cell r="C654">
            <v>45995.84652777778</v>
          </cell>
          <cell r="G654" t="str">
            <v>FABIANO 19/11</v>
          </cell>
          <cell r="K654">
            <v>2544</v>
          </cell>
          <cell r="L654" t="str">
            <v>MRARHD03</v>
          </cell>
          <cell r="P654" t="str">
            <v>MISS RÔSE</v>
          </cell>
        </row>
        <row r="655">
          <cell r="B655">
            <v>45995.802083333336</v>
          </cell>
          <cell r="C655">
            <v>45995.895833333336</v>
          </cell>
          <cell r="G655" t="str">
            <v>BRIA 01</v>
          </cell>
          <cell r="K655">
            <v>2156</v>
          </cell>
          <cell r="L655" t="str">
            <v>BBSJBS01-2</v>
          </cell>
          <cell r="P655" t="str">
            <v>BRIA BEAUTY</v>
          </cell>
        </row>
        <row r="656">
          <cell r="B656">
            <v>45996.298611111109</v>
          </cell>
          <cell r="C656">
            <v>45996.427083333336</v>
          </cell>
          <cell r="G656" t="str">
            <v>BRIA 01</v>
          </cell>
          <cell r="K656">
            <v>4080</v>
          </cell>
          <cell r="L656" t="str">
            <v>BBSJBS04-2</v>
          </cell>
          <cell r="P656" t="str">
            <v>BRIA BEAUTY</v>
          </cell>
        </row>
        <row r="657">
          <cell r="B657">
            <v>45996.306250000001</v>
          </cell>
          <cell r="C657">
            <v>45999.375</v>
          </cell>
          <cell r="G657" t="str">
            <v>FABIANO 19/11</v>
          </cell>
          <cell r="K657">
            <v>629</v>
          </cell>
          <cell r="L657" t="str">
            <v>MRARHD01</v>
          </cell>
          <cell r="P657" t="str">
            <v>MISS RÔSE</v>
          </cell>
        </row>
        <row r="658">
          <cell r="B658">
            <v>45996.427083333336</v>
          </cell>
          <cell r="C658">
            <v>45996.613194444442</v>
          </cell>
          <cell r="G658" t="str">
            <v>BRIA 01</v>
          </cell>
          <cell r="K658">
            <v>4080</v>
          </cell>
          <cell r="L658" t="str">
            <v>BBSJBS04-2</v>
          </cell>
          <cell r="P658" t="str">
            <v>BRIA BEAUTY</v>
          </cell>
        </row>
        <row r="659">
          <cell r="B659">
            <v>45996.541666666664</v>
          </cell>
          <cell r="C659">
            <v>45996.6875</v>
          </cell>
          <cell r="G659" t="str">
            <v>FABIANO 19/11</v>
          </cell>
          <cell r="K659">
            <v>2544</v>
          </cell>
          <cell r="L659" t="str">
            <v>MRARHD01</v>
          </cell>
          <cell r="P659" t="str">
            <v>MISS RÔSE</v>
          </cell>
        </row>
        <row r="660">
          <cell r="B660">
            <v>45996.613888888889</v>
          </cell>
          <cell r="C660">
            <v>45996.777777777781</v>
          </cell>
          <cell r="G660" t="str">
            <v>BRIA 01</v>
          </cell>
          <cell r="K660">
            <v>4080</v>
          </cell>
          <cell r="L660" t="str">
            <v>BBSJBS04-2</v>
          </cell>
          <cell r="P660" t="str">
            <v>BRIA BEAUTY</v>
          </cell>
        </row>
        <row r="661">
          <cell r="B661">
            <v>45996.6875</v>
          </cell>
          <cell r="C661">
            <v>45996.806250000001</v>
          </cell>
          <cell r="G661" t="str">
            <v>FABIANO 19/11</v>
          </cell>
          <cell r="K661">
            <v>2544</v>
          </cell>
          <cell r="L661" t="str">
            <v>MRARHD01</v>
          </cell>
          <cell r="P661" t="str">
            <v>MISS RÔSE</v>
          </cell>
        </row>
        <row r="662">
          <cell r="B662">
            <v>45996.777777777781</v>
          </cell>
          <cell r="C662">
            <v>45999.356249999997</v>
          </cell>
          <cell r="G662" t="str">
            <v>BRIA 01</v>
          </cell>
          <cell r="K662">
            <v>3454</v>
          </cell>
          <cell r="L662" t="str">
            <v>BBSJBS04-2</v>
          </cell>
          <cell r="P662" t="str">
            <v>BRIA BEAUTY</v>
          </cell>
        </row>
        <row r="663">
          <cell r="B663">
            <v>45999.356249999997</v>
          </cell>
          <cell r="C663">
            <v>45999.55</v>
          </cell>
          <cell r="G663" t="str">
            <v>BRIA 01</v>
          </cell>
          <cell r="K663">
            <v>4080</v>
          </cell>
          <cell r="L663" t="str">
            <v>BBSJBS02-2</v>
          </cell>
          <cell r="P663" t="str">
            <v>BRIA BEAUTY</v>
          </cell>
        </row>
        <row r="664">
          <cell r="B664">
            <v>45999.386805555558</v>
          </cell>
          <cell r="C664">
            <v>45999.458333333336</v>
          </cell>
          <cell r="G664" t="str">
            <v>AMEERATI 01</v>
          </cell>
          <cell r="K664">
            <v>840</v>
          </cell>
          <cell r="L664" t="str">
            <v>AMNCHD01</v>
          </cell>
          <cell r="P664" t="str">
            <v>AMEERATI</v>
          </cell>
        </row>
        <row r="665">
          <cell r="B665">
            <v>45999.458333333336</v>
          </cell>
          <cell r="C665">
            <v>45999.506944444445</v>
          </cell>
          <cell r="G665" t="str">
            <v>AMEERATI 01</v>
          </cell>
          <cell r="K665">
            <v>840</v>
          </cell>
          <cell r="L665" t="str">
            <v>AMNCHD03</v>
          </cell>
          <cell r="P665" t="str">
            <v>AMEERATI</v>
          </cell>
        </row>
        <row r="666">
          <cell r="B666">
            <v>45999.541666666664</v>
          </cell>
          <cell r="C666">
            <v>45999.590277777781</v>
          </cell>
          <cell r="G666" t="str">
            <v>AMEERATI 01</v>
          </cell>
          <cell r="K666">
            <v>840</v>
          </cell>
          <cell r="L666" t="str">
            <v>AMNCHD05</v>
          </cell>
          <cell r="P666" t="str">
            <v>AMEERATI</v>
          </cell>
        </row>
        <row r="667">
          <cell r="B667">
            <v>45999.55</v>
          </cell>
          <cell r="C667">
            <v>45999.747916666667</v>
          </cell>
          <cell r="G667" t="str">
            <v>BRIA 01</v>
          </cell>
          <cell r="K667">
            <v>4080</v>
          </cell>
          <cell r="L667" t="str">
            <v>BBSJBS02-2</v>
          </cell>
          <cell r="P667" t="str">
            <v>BRIA BEAUTY</v>
          </cell>
        </row>
        <row r="668">
          <cell r="B668">
            <v>45999.595833333333</v>
          </cell>
          <cell r="C668">
            <v>45999.647222222222</v>
          </cell>
          <cell r="G668" t="str">
            <v>AMEERATI 01</v>
          </cell>
          <cell r="K668">
            <v>840</v>
          </cell>
          <cell r="L668" t="str">
            <v>AMNCHD02</v>
          </cell>
          <cell r="P668" t="str">
            <v>AMEERATI</v>
          </cell>
        </row>
        <row r="669">
          <cell r="B669">
            <v>45999.625</v>
          </cell>
          <cell r="C669">
            <v>45999.708333333336</v>
          </cell>
          <cell r="G669" t="str">
            <v>AMEERATI 01</v>
          </cell>
          <cell r="K669">
            <v>840</v>
          </cell>
          <cell r="L669" t="str">
            <v>AMNCHD04</v>
          </cell>
          <cell r="P669" t="str">
            <v>AMEERATI</v>
          </cell>
        </row>
        <row r="670">
          <cell r="B670">
            <v>45999.717361111114</v>
          </cell>
          <cell r="C670">
            <v>45999.770138888889</v>
          </cell>
          <cell r="G670" t="str">
            <v>AMEERATI 01</v>
          </cell>
          <cell r="K670">
            <v>840</v>
          </cell>
          <cell r="L670" t="str">
            <v>AMNCHD07</v>
          </cell>
          <cell r="P670" t="str">
            <v>AMEERATI</v>
          </cell>
        </row>
        <row r="671">
          <cell r="B671">
            <v>45999.747916666667</v>
          </cell>
          <cell r="C671">
            <v>46000.323611111111</v>
          </cell>
          <cell r="G671" t="str">
            <v>BRIA 01</v>
          </cell>
          <cell r="K671">
            <v>4080</v>
          </cell>
          <cell r="L671" t="str">
            <v>BBSJBS02-2</v>
          </cell>
          <cell r="P671" t="str">
            <v>BRIA BEAUTY</v>
          </cell>
        </row>
        <row r="672">
          <cell r="B672">
            <v>45999.770138888889</v>
          </cell>
          <cell r="C672">
            <v>45999.895833333336</v>
          </cell>
          <cell r="G672" t="str">
            <v>AMEERATI 01</v>
          </cell>
          <cell r="K672">
            <v>834</v>
          </cell>
          <cell r="L672" t="str">
            <v>AMNCHD06</v>
          </cell>
          <cell r="P672" t="str">
            <v>AMEERATI</v>
          </cell>
        </row>
        <row r="673">
          <cell r="B673">
            <v>45999.895833333336</v>
          </cell>
          <cell r="C673">
            <v>46000.329861111109</v>
          </cell>
          <cell r="G673" t="str">
            <v>AMEERATI 01</v>
          </cell>
          <cell r="K673">
            <v>627</v>
          </cell>
          <cell r="L673" t="str">
            <v>AMNCHD08</v>
          </cell>
          <cell r="P673" t="str">
            <v>AMEERATI</v>
          </cell>
        </row>
        <row r="674">
          <cell r="B674">
            <v>46000.324999999997</v>
          </cell>
          <cell r="C674">
            <v>46000.503472222219</v>
          </cell>
          <cell r="G674" t="str">
            <v>BRIA 01</v>
          </cell>
          <cell r="K674">
            <v>4640</v>
          </cell>
          <cell r="L674" t="str">
            <v>BBSJBS02-2</v>
          </cell>
          <cell r="P674" t="str">
            <v>BRIA BEAUTY</v>
          </cell>
        </row>
        <row r="675">
          <cell r="B675">
            <v>46000.401388888888</v>
          </cell>
          <cell r="C675">
            <v>46000.616666666669</v>
          </cell>
          <cell r="G675" t="str">
            <v>FABIANO 19/11</v>
          </cell>
          <cell r="K675">
            <v>2544</v>
          </cell>
          <cell r="L675" t="str">
            <v>MRARHD04</v>
          </cell>
          <cell r="P675" t="str">
            <v>MISS RÔSE</v>
          </cell>
        </row>
        <row r="676">
          <cell r="B676">
            <v>46000.525000000001</v>
          </cell>
          <cell r="C676">
            <v>46000.536111111112</v>
          </cell>
          <cell r="G676" t="str">
            <v>BRIA 01</v>
          </cell>
          <cell r="K676">
            <v>844</v>
          </cell>
          <cell r="L676" t="str">
            <v>BBSJBS02-2</v>
          </cell>
          <cell r="P676" t="str">
            <v>BRIA BEAUTY</v>
          </cell>
        </row>
        <row r="677">
          <cell r="B677">
            <v>46000.534722222219</v>
          </cell>
          <cell r="C677">
            <v>46000.708333333336</v>
          </cell>
          <cell r="G677" t="str">
            <v>BRIA 01</v>
          </cell>
          <cell r="K677">
            <v>4080</v>
          </cell>
          <cell r="L677" t="str">
            <v>BBSJBS03-2</v>
          </cell>
          <cell r="P677" t="str">
            <v>BRIA BEAUTY</v>
          </cell>
        </row>
        <row r="678">
          <cell r="B678">
            <v>46000.616666666669</v>
          </cell>
          <cell r="C678">
            <v>46001.408333333333</v>
          </cell>
          <cell r="G678" t="str">
            <v>FABIANO 19/11</v>
          </cell>
          <cell r="K678">
            <v>2544</v>
          </cell>
          <cell r="L678" t="str">
            <v>MRARHD04</v>
          </cell>
          <cell r="P678" t="str">
            <v>MISS RÔSE</v>
          </cell>
        </row>
        <row r="679">
          <cell r="B679">
            <v>46000.715277777781</v>
          </cell>
          <cell r="C679">
            <v>46001.304861111108</v>
          </cell>
          <cell r="G679" t="str">
            <v>BRIA 01</v>
          </cell>
          <cell r="K679">
            <v>4080</v>
          </cell>
          <cell r="L679" t="str">
            <v>BBSJBS03-2</v>
          </cell>
          <cell r="P679" t="str">
            <v>BRIA BEAUTY</v>
          </cell>
        </row>
        <row r="680">
          <cell r="B680">
            <v>46001.305555555555</v>
          </cell>
          <cell r="C680">
            <v>46001.46597222222</v>
          </cell>
          <cell r="G680" t="str">
            <v>BRIA 01</v>
          </cell>
          <cell r="K680">
            <v>4080</v>
          </cell>
          <cell r="L680" t="str">
            <v>BBSJBS03-2</v>
          </cell>
          <cell r="P680" t="str">
            <v>BRIA BEAUTY</v>
          </cell>
        </row>
        <row r="681">
          <cell r="B681">
            <v>46001.427083333336</v>
          </cell>
          <cell r="C681">
            <v>46001.470833333333</v>
          </cell>
          <cell r="G681" t="str">
            <v>FABIANO 19/11</v>
          </cell>
          <cell r="K681">
            <v>1560</v>
          </cell>
          <cell r="L681" t="str">
            <v>MRARHD04</v>
          </cell>
          <cell r="P681" t="str">
            <v>MISS RÔSE</v>
          </cell>
        </row>
        <row r="682">
          <cell r="B682">
            <v>46001.46597222222</v>
          </cell>
          <cell r="C682">
            <v>46002.747916666667</v>
          </cell>
          <cell r="G682" t="str">
            <v>BRIA 01</v>
          </cell>
          <cell r="K682">
            <v>4080</v>
          </cell>
          <cell r="L682" t="str">
            <v>BBSJBS03-2</v>
          </cell>
          <cell r="P682" t="str">
            <v>BRIA BEAUTY</v>
          </cell>
        </row>
        <row r="683">
          <cell r="B683">
            <v>46002.319444444445</v>
          </cell>
          <cell r="C683">
            <v>46002.361111111109</v>
          </cell>
          <cell r="G683" t="str">
            <v>AMEERATI 01</v>
          </cell>
          <cell r="K683">
            <v>838</v>
          </cell>
          <cell r="L683" t="str">
            <v>AMNCBS06</v>
          </cell>
          <cell r="P683" t="str">
            <v>AMEERATI</v>
          </cell>
        </row>
        <row r="684">
          <cell r="B684">
            <v>46002.319444444445</v>
          </cell>
          <cell r="C684">
            <v>46002.361111111109</v>
          </cell>
          <cell r="G684" t="str">
            <v>AMEERATI 01</v>
          </cell>
          <cell r="K684">
            <v>799</v>
          </cell>
          <cell r="L684" t="str">
            <v>AMNCBS02</v>
          </cell>
          <cell r="P684" t="str">
            <v>AMEERATI</v>
          </cell>
        </row>
        <row r="685">
          <cell r="B685">
            <v>46002.361111111109</v>
          </cell>
          <cell r="C685">
            <v>46002.402777777781</v>
          </cell>
          <cell r="G685" t="str">
            <v>AMEERATI 01</v>
          </cell>
          <cell r="K685">
            <v>843</v>
          </cell>
          <cell r="L685" t="str">
            <v>AMNCBS01</v>
          </cell>
          <cell r="P685" t="str">
            <v>AMEERATI</v>
          </cell>
        </row>
        <row r="686">
          <cell r="B686">
            <v>46002.402777777781</v>
          </cell>
          <cell r="C686">
            <v>46002.444444444445</v>
          </cell>
          <cell r="G686" t="str">
            <v>AMEERATI 01</v>
          </cell>
          <cell r="K686">
            <v>820</v>
          </cell>
          <cell r="L686" t="str">
            <v>AMNCBS05</v>
          </cell>
          <cell r="P686" t="str">
            <v>AMEERATI</v>
          </cell>
        </row>
        <row r="687">
          <cell r="B687">
            <v>46002.486111111109</v>
          </cell>
          <cell r="C687">
            <v>46002.620138888888</v>
          </cell>
          <cell r="G687" t="str">
            <v>FABIANO 19/11</v>
          </cell>
          <cell r="K687">
            <v>2544</v>
          </cell>
          <cell r="L687" t="str">
            <v>MRARHD02</v>
          </cell>
          <cell r="P687" t="str">
            <v>MISS RÔSE</v>
          </cell>
        </row>
        <row r="688">
          <cell r="B688">
            <v>46002.620138888888</v>
          </cell>
          <cell r="C688">
            <v>46002.866666666669</v>
          </cell>
          <cell r="G688" t="str">
            <v>FABIANO 19/11</v>
          </cell>
          <cell r="K688">
            <v>2544</v>
          </cell>
          <cell r="L688" t="str">
            <v>MRARHD02</v>
          </cell>
          <cell r="P688" t="str">
            <v>MISS RÔSE</v>
          </cell>
        </row>
        <row r="689">
          <cell r="B689">
            <v>46002.747916666667</v>
          </cell>
          <cell r="C689">
            <v>46003.324305555558</v>
          </cell>
          <cell r="G689" t="str">
            <v>BRIA 01</v>
          </cell>
          <cell r="K689">
            <v>4080</v>
          </cell>
          <cell r="L689" t="str">
            <v>BBSJBS03-2</v>
          </cell>
          <cell r="P689" t="str">
            <v>BRIA BEAUTY</v>
          </cell>
        </row>
        <row r="690">
          <cell r="B690">
            <v>46002.866666666669</v>
          </cell>
          <cell r="C690">
            <v>46003.326388888891</v>
          </cell>
          <cell r="G690" t="str">
            <v>FABIANO 19/11</v>
          </cell>
          <cell r="K690">
            <v>1584</v>
          </cell>
          <cell r="L690" t="str">
            <v>MRARHD02</v>
          </cell>
          <cell r="P690" t="str">
            <v>MISS RÔSE</v>
          </cell>
        </row>
        <row r="691">
          <cell r="B691">
            <v>46003.323611111111</v>
          </cell>
          <cell r="C691">
            <v>46003.548611111109</v>
          </cell>
          <cell r="G691" t="str">
            <v>BRIA 01</v>
          </cell>
          <cell r="K691">
            <v>4080</v>
          </cell>
          <cell r="L691" t="str">
            <v>BBSJBS05-2</v>
          </cell>
          <cell r="P691" t="str">
            <v>BRIA BEAUTY</v>
          </cell>
        </row>
        <row r="692">
          <cell r="B692">
            <v>46003.400694444441</v>
          </cell>
          <cell r="C692">
            <v>46003.770833333336</v>
          </cell>
          <cell r="G692" t="str">
            <v>BRIA 01</v>
          </cell>
          <cell r="K692">
            <v>4080</v>
          </cell>
          <cell r="L692" t="str">
            <v>BBSJBS05-2</v>
          </cell>
          <cell r="P692" t="str">
            <v>BRIA BEAUTY</v>
          </cell>
        </row>
        <row r="693">
          <cell r="B693">
            <v>46003.548611111109</v>
          </cell>
          <cell r="C693">
            <v>46003.833333333336</v>
          </cell>
          <cell r="G693" t="str">
            <v>BRIA 01</v>
          </cell>
          <cell r="K693">
            <v>4080</v>
          </cell>
          <cell r="L693" t="str">
            <v>BBSJBS05-2</v>
          </cell>
          <cell r="P693" t="str">
            <v>BRIA BEAUTY</v>
          </cell>
        </row>
        <row r="694">
          <cell r="B694">
            <v>46003.625</v>
          </cell>
          <cell r="C694">
            <v>46008.70416666667</v>
          </cell>
          <cell r="G694" t="str">
            <v>AMEERATI 01</v>
          </cell>
          <cell r="K694">
            <v>860</v>
          </cell>
          <cell r="L694" t="str">
            <v>AMABBS06</v>
          </cell>
          <cell r="P694" t="str">
            <v>AMEERATI</v>
          </cell>
        </row>
        <row r="695">
          <cell r="B695">
            <v>46003.770833333336</v>
          </cell>
          <cell r="C695">
            <v>46006.301388888889</v>
          </cell>
          <cell r="G695" t="str">
            <v>BRIA 01</v>
          </cell>
          <cell r="K695">
            <v>4080</v>
          </cell>
          <cell r="L695" t="str">
            <v>BBSJBS05-2</v>
          </cell>
          <cell r="P695" t="str">
            <v>BRIA BEAUTY</v>
          </cell>
        </row>
        <row r="696">
          <cell r="B696">
            <v>46006.3</v>
          </cell>
          <cell r="C696">
            <v>46006.416666666664</v>
          </cell>
          <cell r="G696" t="str">
            <v>BRIA 01</v>
          </cell>
          <cell r="K696">
            <v>2320</v>
          </cell>
          <cell r="L696" t="str">
            <v>BBSJBS05-2</v>
          </cell>
          <cell r="P696" t="str">
            <v>BRIA BEAUTY</v>
          </cell>
        </row>
        <row r="697">
          <cell r="B697">
            <v>46006.404861111114</v>
          </cell>
          <cell r="C697">
            <v>46006.519444444442</v>
          </cell>
          <cell r="G697" t="str">
            <v>FABIANO 19/11</v>
          </cell>
          <cell r="K697">
            <v>2544</v>
          </cell>
          <cell r="L697" t="str">
            <v>MRARBS03</v>
          </cell>
          <cell r="P697" t="str">
            <v>MISS RÔSE</v>
          </cell>
        </row>
        <row r="698">
          <cell r="B698">
            <v>46006.472222222219</v>
          </cell>
          <cell r="C698">
            <v>46006.625</v>
          </cell>
          <cell r="G698" t="str">
            <v>FABIANO 19/11</v>
          </cell>
          <cell r="K698">
            <v>2544</v>
          </cell>
          <cell r="L698" t="str">
            <v>MRARBS03</v>
          </cell>
          <cell r="P698" t="str">
            <v>MISS RÔSE</v>
          </cell>
        </row>
        <row r="699">
          <cell r="B699">
            <v>46006.519444444442</v>
          </cell>
          <cell r="C699">
            <v>46006.625</v>
          </cell>
          <cell r="G699" t="str">
            <v>FABIANO 19/11</v>
          </cell>
          <cell r="K699">
            <v>2544</v>
          </cell>
          <cell r="L699" t="str">
            <v>MRARBS03</v>
          </cell>
          <cell r="P699" t="str">
            <v>MISS RÔSE</v>
          </cell>
        </row>
        <row r="700">
          <cell r="B700">
            <v>46006.625</v>
          </cell>
          <cell r="C700">
            <v>46006.736111111109</v>
          </cell>
          <cell r="G700" t="str">
            <v>FABIANO 19/11</v>
          </cell>
          <cell r="K700">
            <v>2544</v>
          </cell>
          <cell r="L700" t="str">
            <v>MRARBS03</v>
          </cell>
          <cell r="P700" t="str">
            <v>MISS RÔSE</v>
          </cell>
        </row>
        <row r="701">
          <cell r="B701">
            <v>46006.652777777781</v>
          </cell>
          <cell r="C701">
            <v>46006.75</v>
          </cell>
          <cell r="G701" t="str">
            <v>FABIANO 19/11</v>
          </cell>
          <cell r="K701">
            <v>2544</v>
          </cell>
          <cell r="L701" t="str">
            <v>MRARBS02</v>
          </cell>
          <cell r="P701" t="str">
            <v>MISS RÔSE</v>
          </cell>
        </row>
        <row r="702">
          <cell r="B702">
            <v>46006.729166666664</v>
          </cell>
          <cell r="C702">
            <v>46007.291666666664</v>
          </cell>
          <cell r="G702" t="str">
            <v>FABIANO 19/11</v>
          </cell>
          <cell r="K702">
            <v>3312</v>
          </cell>
          <cell r="L702" t="str">
            <v>MRARBS02</v>
          </cell>
          <cell r="P702" t="str">
            <v>MISS RÔSE</v>
          </cell>
        </row>
        <row r="703">
          <cell r="B703">
            <v>46006.743055555555</v>
          </cell>
          <cell r="C703">
            <v>46007.298611111109</v>
          </cell>
          <cell r="G703" t="str">
            <v>FABIANO 19/11</v>
          </cell>
          <cell r="K703">
            <v>3312</v>
          </cell>
          <cell r="L703" t="str">
            <v>MRARBS03</v>
          </cell>
          <cell r="P703" t="str">
            <v>MISS RÔSE</v>
          </cell>
        </row>
        <row r="704">
          <cell r="B704">
            <v>46006.75</v>
          </cell>
          <cell r="C704">
            <v>46007.311805555553</v>
          </cell>
          <cell r="G704" t="str">
            <v>FABIANO 19/11</v>
          </cell>
          <cell r="K704">
            <v>2544</v>
          </cell>
          <cell r="L704" t="str">
            <v>MRARBS02</v>
          </cell>
          <cell r="P704" t="str">
            <v>MISS RÔSE</v>
          </cell>
        </row>
        <row r="705">
          <cell r="B705">
            <v>46007.311805555553</v>
          </cell>
          <cell r="C705">
            <v>46007.468055555553</v>
          </cell>
          <cell r="G705" t="str">
            <v>FABIANO 19/11</v>
          </cell>
          <cell r="K705">
            <v>2544</v>
          </cell>
          <cell r="L705" t="str">
            <v>MRARBS02</v>
          </cell>
          <cell r="P705" t="str">
            <v>MISS RÔSE</v>
          </cell>
        </row>
        <row r="706">
          <cell r="B706">
            <v>46007.320833333331</v>
          </cell>
          <cell r="C706">
            <v>46007.458333333336</v>
          </cell>
          <cell r="G706" t="str">
            <v>FABIANO 19/11</v>
          </cell>
          <cell r="K706">
            <v>2544</v>
          </cell>
          <cell r="L706" t="str">
            <v>MRARBS02</v>
          </cell>
          <cell r="P706" t="str">
            <v>MISS RÔSE</v>
          </cell>
        </row>
        <row r="707">
          <cell r="B707">
            <v>46007.635416666664</v>
          </cell>
          <cell r="C707">
            <v>46007.902777777781</v>
          </cell>
          <cell r="G707" t="str">
            <v>CIDA 11/11</v>
          </cell>
          <cell r="K707">
            <v>572</v>
          </cell>
          <cell r="L707" t="str">
            <v>KUBPBA02</v>
          </cell>
          <cell r="P707" t="str">
            <v>KURYOS</v>
          </cell>
        </row>
        <row r="708">
          <cell r="B708">
            <v>46007.636111111111</v>
          </cell>
          <cell r="C708">
            <v>46007.715277777781</v>
          </cell>
          <cell r="G708" t="str">
            <v>AMEERATI 01</v>
          </cell>
          <cell r="K708">
            <v>858</v>
          </cell>
          <cell r="L708" t="str">
            <v>AMABBS01</v>
          </cell>
          <cell r="P708" t="str">
            <v>AMEERATI</v>
          </cell>
        </row>
        <row r="709">
          <cell r="B709">
            <v>46007.729166666664</v>
          </cell>
          <cell r="C709">
            <v>46007.833333333336</v>
          </cell>
          <cell r="G709" t="str">
            <v>AMEERATI 01</v>
          </cell>
          <cell r="K709">
            <v>855</v>
          </cell>
          <cell r="L709" t="str">
            <v>AMABBS02</v>
          </cell>
          <cell r="P709" t="str">
            <v>AMEERATI</v>
          </cell>
        </row>
        <row r="710">
          <cell r="B710">
            <v>46007.833333333336</v>
          </cell>
          <cell r="C710">
            <v>46007.916666666664</v>
          </cell>
          <cell r="G710" t="str">
            <v>AMEERATI 01</v>
          </cell>
          <cell r="K710">
            <v>858</v>
          </cell>
          <cell r="L710" t="str">
            <v>AMABBS04</v>
          </cell>
          <cell r="P710" t="str">
            <v>AMEERATI</v>
          </cell>
        </row>
        <row r="711">
          <cell r="B711">
            <v>46008.319444444445</v>
          </cell>
          <cell r="C711">
            <v>46008.4</v>
          </cell>
          <cell r="G711" t="str">
            <v>AMEERATI 01</v>
          </cell>
          <cell r="K711">
            <v>855</v>
          </cell>
          <cell r="L711" t="str">
            <v>AMABBS03</v>
          </cell>
          <cell r="P711" t="str">
            <v>AMEERATI</v>
          </cell>
        </row>
        <row r="712">
          <cell r="B712">
            <v>46008.400694444441</v>
          </cell>
          <cell r="C712">
            <v>46008.472222222219</v>
          </cell>
          <cell r="G712" t="str">
            <v>AMEERATI 01</v>
          </cell>
          <cell r="K712">
            <v>861</v>
          </cell>
          <cell r="L712" t="str">
            <v>AMABBS08</v>
          </cell>
          <cell r="P712" t="str">
            <v>AMEERATI</v>
          </cell>
        </row>
        <row r="713">
          <cell r="B713">
            <v>46008.458333333336</v>
          </cell>
          <cell r="C713">
            <v>46008.645833333336</v>
          </cell>
          <cell r="G713" t="str">
            <v>CIDA 11/11</v>
          </cell>
          <cell r="K713">
            <v>462</v>
          </cell>
          <cell r="L713" t="str">
            <v>KUBPBA02</v>
          </cell>
          <cell r="P713" t="str">
            <v>KURYOS</v>
          </cell>
        </row>
        <row r="714">
          <cell r="B714">
            <v>46008.472222222219</v>
          </cell>
          <cell r="C714">
            <v>46008.606249999997</v>
          </cell>
          <cell r="G714" t="str">
            <v>AMEERATI 01</v>
          </cell>
          <cell r="K714">
            <v>869</v>
          </cell>
          <cell r="L714" t="str">
            <v>AMABBS07</v>
          </cell>
          <cell r="P714" t="str">
            <v>AMEERATI</v>
          </cell>
        </row>
        <row r="715">
          <cell r="B715">
            <v>46009.304861111108</v>
          </cell>
          <cell r="C715">
            <v>46009.381944444445</v>
          </cell>
          <cell r="G715" t="str">
            <v>AMEERATI 01</v>
          </cell>
          <cell r="K715">
            <v>882</v>
          </cell>
          <cell r="L715" t="str">
            <v>AMABBS05</v>
          </cell>
          <cell r="P715" t="str">
            <v>AMEERATI</v>
          </cell>
        </row>
        <row r="716">
          <cell r="B716">
            <v>46009.395833333336</v>
          </cell>
          <cell r="C716">
            <v>46009.428472222222</v>
          </cell>
          <cell r="G716" t="str">
            <v>AMEERATI 01</v>
          </cell>
          <cell r="K716">
            <v>498</v>
          </cell>
          <cell r="L716" t="str">
            <v>AMABHD01</v>
          </cell>
          <cell r="P716" t="str">
            <v>AMEERATI</v>
          </cell>
        </row>
        <row r="717">
          <cell r="B717">
            <v>46009.429861111108</v>
          </cell>
          <cell r="C717">
            <v>46009.45416666667</v>
          </cell>
          <cell r="G717" t="str">
            <v>AMEERATI 01</v>
          </cell>
          <cell r="K717">
            <v>493</v>
          </cell>
          <cell r="L717" t="str">
            <v>AMABHD02</v>
          </cell>
          <cell r="P717" t="str">
            <v>AMEERATI</v>
          </cell>
        </row>
        <row r="718">
          <cell r="B718">
            <v>46009.45416666667</v>
          </cell>
          <cell r="C718">
            <v>46009.474305555559</v>
          </cell>
          <cell r="G718" t="str">
            <v>AMEERATI 01</v>
          </cell>
          <cell r="K718">
            <v>421</v>
          </cell>
          <cell r="L718" t="str">
            <v>AMABHD03</v>
          </cell>
          <cell r="P718" t="str">
            <v>AMEERATI</v>
          </cell>
        </row>
        <row r="719">
          <cell r="B719">
            <v>46009.479861111111</v>
          </cell>
          <cell r="C719">
            <v>46009.55</v>
          </cell>
          <cell r="G719" t="str">
            <v>AMEERATI 01</v>
          </cell>
          <cell r="K719">
            <v>424</v>
          </cell>
          <cell r="L719" t="str">
            <v>AMABHD04</v>
          </cell>
          <cell r="P719" t="str">
            <v>AMEERATI</v>
          </cell>
        </row>
        <row r="720">
          <cell r="B720">
            <v>46009.55</v>
          </cell>
          <cell r="C720">
            <v>46009.576388888891</v>
          </cell>
          <cell r="G720" t="str">
            <v>AMEERATI 01</v>
          </cell>
          <cell r="K720">
            <v>432</v>
          </cell>
          <cell r="L720" t="str">
            <v>AMABHD08</v>
          </cell>
          <cell r="P720" t="str">
            <v>AMEERATI</v>
          </cell>
        </row>
        <row r="721">
          <cell r="B721">
            <v>46009.576388888891</v>
          </cell>
          <cell r="C721">
            <v>46009.604166666664</v>
          </cell>
          <cell r="G721" t="str">
            <v>AMEERATI 01</v>
          </cell>
          <cell r="K721">
            <v>463</v>
          </cell>
          <cell r="L721" t="str">
            <v>AMABHD06</v>
          </cell>
          <cell r="P721" t="str">
            <v>AMEERATI</v>
          </cell>
        </row>
        <row r="722">
          <cell r="B722">
            <v>46009.600694444445</v>
          </cell>
          <cell r="C722">
            <v>46009.625</v>
          </cell>
          <cell r="G722" t="str">
            <v>AMEERATI 01</v>
          </cell>
          <cell r="K722">
            <v>421</v>
          </cell>
          <cell r="L722" t="str">
            <v>AMABHD07</v>
          </cell>
          <cell r="P722" t="str">
            <v>AMEERATI</v>
          </cell>
        </row>
        <row r="723">
          <cell r="B723">
            <v>46009.645833333336</v>
          </cell>
          <cell r="C723">
            <v>46009.666666666664</v>
          </cell>
          <cell r="G723" t="str">
            <v>AMEERATI 01</v>
          </cell>
          <cell r="K723">
            <v>694</v>
          </cell>
          <cell r="L723" t="str">
            <v>AMABHD05</v>
          </cell>
          <cell r="P723" t="str">
            <v>AMEERATI</v>
          </cell>
        </row>
        <row r="724">
          <cell r="B724">
            <v>46034.305555555555</v>
          </cell>
          <cell r="C724">
            <v>46035.406944444447</v>
          </cell>
          <cell r="G724" t="str">
            <v>BRIA 01</v>
          </cell>
          <cell r="K724">
            <v>7560</v>
          </cell>
          <cell r="L724" t="str">
            <v>BBSJPF01</v>
          </cell>
          <cell r="P724" t="str">
            <v>BRIA BEAUTY</v>
          </cell>
        </row>
        <row r="725">
          <cell r="B725">
            <v>46034.409722222219</v>
          </cell>
          <cell r="C725">
            <v>46035.333333333336</v>
          </cell>
          <cell r="G725" t="str">
            <v>BRIA 01</v>
          </cell>
          <cell r="K725">
            <v>7560</v>
          </cell>
          <cell r="L725" t="str">
            <v>BBSJPF01</v>
          </cell>
          <cell r="P725" t="str">
            <v>BRIA BEAUTY</v>
          </cell>
        </row>
        <row r="726">
          <cell r="B726">
            <v>46035.337500000001</v>
          </cell>
          <cell r="C726">
            <v>46035.649305555555</v>
          </cell>
          <cell r="G726" t="str">
            <v>BRIA 01</v>
          </cell>
          <cell r="K726">
            <v>7560</v>
          </cell>
          <cell r="L726" t="str">
            <v>BBSJPF02</v>
          </cell>
          <cell r="P726" t="str">
            <v>BRIA BEAUTY</v>
          </cell>
        </row>
        <row r="727">
          <cell r="B727">
            <v>46035.430555555555</v>
          </cell>
          <cell r="C727">
            <v>46036.395833333336</v>
          </cell>
          <cell r="G727" t="str">
            <v>SAFIRA 674</v>
          </cell>
          <cell r="K727">
            <v>3304</v>
          </cell>
          <cell r="L727" t="str">
            <v>SASCGF01</v>
          </cell>
          <cell r="P727" t="str">
            <v>SAFIRA</v>
          </cell>
        </row>
        <row r="728">
          <cell r="B728">
            <v>46035.649305555555</v>
          </cell>
          <cell r="C728">
            <v>46036.572222222225</v>
          </cell>
          <cell r="G728" t="str">
            <v>BRIA 01</v>
          </cell>
          <cell r="K728">
            <v>7560</v>
          </cell>
          <cell r="L728" t="str">
            <v>BBSJPF02</v>
          </cell>
          <cell r="P728" t="str">
            <v>BRIA BEAUTY</v>
          </cell>
        </row>
        <row r="729">
          <cell r="B729">
            <v>46035.65347222222</v>
          </cell>
          <cell r="C729">
            <v>46036.645833333336</v>
          </cell>
          <cell r="G729" t="str">
            <v>SAFIRA 674</v>
          </cell>
          <cell r="K729">
            <v>2922</v>
          </cell>
          <cell r="L729" t="str">
            <v>SASCGF02</v>
          </cell>
          <cell r="P729" t="str">
            <v>SAFIRA</v>
          </cell>
        </row>
        <row r="730">
          <cell r="B730">
            <v>46036.430555555555</v>
          </cell>
          <cell r="C730">
            <v>46037.565972222219</v>
          </cell>
          <cell r="G730" t="str">
            <v>BRIA 01</v>
          </cell>
          <cell r="K730">
            <v>7440</v>
          </cell>
          <cell r="L730" t="str">
            <v>BBSJPF03</v>
          </cell>
          <cell r="P730" t="str">
            <v>BRIA BEAUTY</v>
          </cell>
        </row>
        <row r="731">
          <cell r="B731">
            <v>46036.57916666667</v>
          </cell>
          <cell r="C731">
            <v>46037.45</v>
          </cell>
          <cell r="G731" t="str">
            <v>BRIA 01</v>
          </cell>
          <cell r="K731">
            <v>7560</v>
          </cell>
          <cell r="L731" t="str">
            <v>BBSJPF03</v>
          </cell>
          <cell r="P731" t="str">
            <v>BRIA BEAUTY</v>
          </cell>
        </row>
        <row r="732">
          <cell r="B732">
            <v>46037.458333333336</v>
          </cell>
          <cell r="C732">
            <v>46038.354166666664</v>
          </cell>
          <cell r="G732" t="str">
            <v>SAFIRA 674</v>
          </cell>
          <cell r="K732">
            <v>4043</v>
          </cell>
          <cell r="L732" t="str">
            <v>SASCDM01</v>
          </cell>
          <cell r="P732" t="str">
            <v>SAFIRA</v>
          </cell>
        </row>
        <row r="733">
          <cell r="B733">
            <v>46038.333333333336</v>
          </cell>
          <cell r="C733">
            <v>46038.481944444444</v>
          </cell>
          <cell r="G733" t="str">
            <v>FABIANO 09/12</v>
          </cell>
          <cell r="K733">
            <v>2544</v>
          </cell>
          <cell r="L733" t="str">
            <v>MRARBS12</v>
          </cell>
          <cell r="P733" t="str">
            <v>MISS RÔSE</v>
          </cell>
        </row>
        <row r="734">
          <cell r="B734">
            <v>46038.354166666664</v>
          </cell>
          <cell r="C734">
            <v>46041.314583333333</v>
          </cell>
          <cell r="G734" t="str">
            <v>SAFIRA 674</v>
          </cell>
          <cell r="K734">
            <v>3220</v>
          </cell>
          <cell r="L734" t="str">
            <v>SASCDM02</v>
          </cell>
          <cell r="P734" t="str">
            <v>SAFIRA</v>
          </cell>
        </row>
        <row r="735">
          <cell r="B735">
            <v>46038.481944444444</v>
          </cell>
          <cell r="C735">
            <v>46041.334722222222</v>
          </cell>
          <cell r="G735" t="str">
            <v>FABIANO 09/12</v>
          </cell>
          <cell r="K735">
            <v>2352</v>
          </cell>
          <cell r="L735" t="str">
            <v>MRARBS12</v>
          </cell>
          <cell r="P735" t="str">
            <v>MISS RÔSE</v>
          </cell>
        </row>
        <row r="736">
          <cell r="B736">
            <v>46041.334722222222</v>
          </cell>
          <cell r="C736">
            <v>46041.563888888886</v>
          </cell>
          <cell r="G736" t="str">
            <v>FABIANO 09/12</v>
          </cell>
          <cell r="K736">
            <v>2400</v>
          </cell>
          <cell r="L736" t="str">
            <v>MRARBS12</v>
          </cell>
          <cell r="P736" t="str">
            <v>MISS RÔSE</v>
          </cell>
        </row>
        <row r="737">
          <cell r="B737">
            <v>46041.552083333336</v>
          </cell>
          <cell r="C737">
            <v>46042.486111111109</v>
          </cell>
          <cell r="G737" t="str">
            <v>SAFIRA 674</v>
          </cell>
          <cell r="K737">
            <v>5328</v>
          </cell>
          <cell r="L737" t="str">
            <v>SASCES01</v>
          </cell>
          <cell r="P737" t="str">
            <v>SAFIRA</v>
          </cell>
        </row>
        <row r="738">
          <cell r="B738">
            <v>46041.564583333333</v>
          </cell>
          <cell r="C738">
            <v>46042.313888888886</v>
          </cell>
          <cell r="G738" t="str">
            <v>FABIANO 09/12</v>
          </cell>
          <cell r="K738">
            <v>2496</v>
          </cell>
          <cell r="L738" t="str">
            <v>MRARBS12</v>
          </cell>
          <cell r="P738" t="str">
            <v>MISS RÔSE</v>
          </cell>
        </row>
        <row r="739">
          <cell r="B739">
            <v>46042.314583333333</v>
          </cell>
          <cell r="C739">
            <v>46042.486111111109</v>
          </cell>
          <cell r="G739" t="str">
            <v>FABIANO 09/12</v>
          </cell>
          <cell r="K739">
            <v>2592</v>
          </cell>
          <cell r="L739" t="str">
            <v>MRARBS12</v>
          </cell>
          <cell r="P739" t="str">
            <v>MISS RÔSE</v>
          </cell>
        </row>
        <row r="740">
          <cell r="B740">
            <v>46042.486111111109</v>
          </cell>
          <cell r="C740">
            <v>46043.486111111109</v>
          </cell>
          <cell r="G740" t="str">
            <v>SAFIRA 674</v>
          </cell>
          <cell r="K740">
            <v>4182</v>
          </cell>
          <cell r="L740" t="str">
            <v>SASCES02</v>
          </cell>
          <cell r="P740" t="str">
            <v>SAFIRA</v>
          </cell>
        </row>
        <row r="741">
          <cell r="B741">
            <v>46042.569444444445</v>
          </cell>
          <cell r="C741">
            <v>46042.661805555559</v>
          </cell>
          <cell r="G741" t="str">
            <v>FABIANO 09/12</v>
          </cell>
          <cell r="K741">
            <v>2321</v>
          </cell>
          <cell r="L741" t="str">
            <v>MRARBS12</v>
          </cell>
          <cell r="P741" t="str">
            <v>MISS RÔSE</v>
          </cell>
        </row>
        <row r="742">
          <cell r="B742">
            <v>46042.661805555559</v>
          </cell>
          <cell r="C742">
            <v>46043.368055555555</v>
          </cell>
          <cell r="G742" t="str">
            <v>FABIANO 09/12</v>
          </cell>
          <cell r="K742">
            <v>2544</v>
          </cell>
          <cell r="L742" t="str">
            <v>MRARBS07</v>
          </cell>
          <cell r="P742" t="str">
            <v>MISS RÔSE</v>
          </cell>
        </row>
        <row r="743">
          <cell r="B743">
            <v>46043.375</v>
          </cell>
          <cell r="C743">
            <v>46043.575694444444</v>
          </cell>
          <cell r="G743" t="str">
            <v>FABIANO 09/12</v>
          </cell>
          <cell r="K743">
            <v>2583</v>
          </cell>
          <cell r="L743" t="str">
            <v>MRARBS09</v>
          </cell>
          <cell r="P743" t="str">
            <v>MISS RÔSE</v>
          </cell>
        </row>
        <row r="744">
          <cell r="B744">
            <v>46043.444444444445</v>
          </cell>
          <cell r="C744">
            <v>46044.625694444447</v>
          </cell>
          <cell r="G744" t="str">
            <v>FABIANO 09/12</v>
          </cell>
          <cell r="K744">
            <v>2640</v>
          </cell>
          <cell r="L744" t="str">
            <v>MRARBS10</v>
          </cell>
          <cell r="P744" t="str">
            <v>MISS RÔSE</v>
          </cell>
        </row>
        <row r="745">
          <cell r="B745">
            <v>46043.54791666667</v>
          </cell>
          <cell r="C745">
            <v>46044.309027777781</v>
          </cell>
          <cell r="G745" t="str">
            <v>FABIANO 09/12</v>
          </cell>
          <cell r="K745">
            <v>2614</v>
          </cell>
          <cell r="L745" t="str">
            <v>MRARBS08</v>
          </cell>
          <cell r="P745" t="str">
            <v>MISS RÔSE</v>
          </cell>
        </row>
        <row r="746">
          <cell r="B746">
            <v>46043.583333333336</v>
          </cell>
          <cell r="C746">
            <v>46044.309027777781</v>
          </cell>
          <cell r="G746" t="str">
            <v>FABIANO 09/12</v>
          </cell>
          <cell r="K746">
            <v>2562</v>
          </cell>
          <cell r="L746" t="str">
            <v>MRARBS06</v>
          </cell>
          <cell r="P746" t="str">
            <v>MISS RÔSE</v>
          </cell>
        </row>
        <row r="747">
          <cell r="B747">
            <v>46044.309027777781</v>
          </cell>
          <cell r="C747">
            <v>46044.44027777778</v>
          </cell>
          <cell r="G747" t="str">
            <v>FABIANO 09/12</v>
          </cell>
          <cell r="K747">
            <v>2592</v>
          </cell>
          <cell r="L747" t="str">
            <v>MRARBS10</v>
          </cell>
          <cell r="P747" t="str">
            <v>MISS RÔSE</v>
          </cell>
        </row>
        <row r="748">
          <cell r="B748">
            <v>46044.309027777781</v>
          </cell>
          <cell r="C748">
            <v>46044.444444444445</v>
          </cell>
          <cell r="G748" t="str">
            <v>FABIANO 09/12</v>
          </cell>
          <cell r="K748">
            <v>2544</v>
          </cell>
          <cell r="L748" t="str">
            <v>MRARBS10</v>
          </cell>
          <cell r="P748" t="str">
            <v>MISS RÔSE</v>
          </cell>
        </row>
        <row r="749">
          <cell r="B749">
            <v>46044.440972222219</v>
          </cell>
          <cell r="C749">
            <v>46044.618055555555</v>
          </cell>
          <cell r="G749" t="str">
            <v>FABIANO 09/12</v>
          </cell>
          <cell r="K749">
            <v>2592</v>
          </cell>
          <cell r="L749" t="str">
            <v>MRARBS10</v>
          </cell>
          <cell r="P749" t="str">
            <v>MISS RÔSE</v>
          </cell>
        </row>
        <row r="750">
          <cell r="B750">
            <v>46044.618055555555</v>
          </cell>
          <cell r="C750">
            <v>46045.340277777781</v>
          </cell>
          <cell r="G750" t="str">
            <v>FABIANO 09/12</v>
          </cell>
          <cell r="K750">
            <v>2335</v>
          </cell>
          <cell r="L750" t="str">
            <v>MRARBS10</v>
          </cell>
          <cell r="P750" t="str">
            <v>MISS RÔSE</v>
          </cell>
        </row>
        <row r="751">
          <cell r="B751">
            <v>46044.625694444447</v>
          </cell>
          <cell r="C751">
            <v>46045.340277777781</v>
          </cell>
          <cell r="G751" t="str">
            <v>FABIANO 09/12</v>
          </cell>
          <cell r="K751">
            <v>2321</v>
          </cell>
          <cell r="L751" t="str">
            <v>MRARBS10</v>
          </cell>
          <cell r="P751" t="str">
            <v>MISS RÔSE</v>
          </cell>
        </row>
        <row r="752">
          <cell r="B752">
            <v>46045.356944444444</v>
          </cell>
          <cell r="C752">
            <v>46048.3125</v>
          </cell>
          <cell r="G752" t="str">
            <v>FABIANO 09/12</v>
          </cell>
          <cell r="K752">
            <v>4848</v>
          </cell>
          <cell r="L752" t="str">
            <v>MRARBS07</v>
          </cell>
          <cell r="P752" t="str">
            <v>MISS RÔSE</v>
          </cell>
        </row>
        <row r="753">
          <cell r="B753">
            <v>46045.361111111109</v>
          </cell>
          <cell r="C753">
            <v>46045.482638888891</v>
          </cell>
          <cell r="G753" t="str">
            <v>FABIANO 09/12</v>
          </cell>
          <cell r="K753">
            <v>2544</v>
          </cell>
          <cell r="L753" t="str">
            <v>MRARBS07</v>
          </cell>
          <cell r="P753" t="str">
            <v>MISS RÔSE</v>
          </cell>
        </row>
        <row r="754">
          <cell r="B754">
            <v>46045.482638888891</v>
          </cell>
          <cell r="C754">
            <v>46045.652777777781</v>
          </cell>
          <cell r="G754" t="str">
            <v>FABIANO 09/12</v>
          </cell>
          <cell r="K754">
            <v>2544</v>
          </cell>
          <cell r="L754" t="str">
            <v>MRARBS07</v>
          </cell>
          <cell r="P754" t="str">
            <v>MISS RÔSE</v>
          </cell>
        </row>
        <row r="755">
          <cell r="B755">
            <v>46048.3125</v>
          </cell>
          <cell r="C755">
            <v>46048.416666666664</v>
          </cell>
          <cell r="G755" t="str">
            <v>FABIANO 09/12</v>
          </cell>
          <cell r="K755">
            <v>2555</v>
          </cell>
          <cell r="L755" t="str">
            <v>MRARBS07</v>
          </cell>
          <cell r="P755" t="str">
            <v>MISS RÔSE</v>
          </cell>
        </row>
        <row r="756">
          <cell r="B756">
            <v>46048.445833333331</v>
          </cell>
          <cell r="C756">
            <v>46048.666666666664</v>
          </cell>
          <cell r="G756" t="str">
            <v>FABIANO 09/12</v>
          </cell>
          <cell r="K756">
            <v>2496</v>
          </cell>
          <cell r="L756" t="str">
            <v>MRARBS06</v>
          </cell>
          <cell r="P756" t="str">
            <v>MISS RÔSE</v>
          </cell>
        </row>
        <row r="757">
          <cell r="B757">
            <v>46048.451388888891</v>
          </cell>
          <cell r="C757">
            <v>46049.375</v>
          </cell>
          <cell r="G757" t="str">
            <v>FABIANO 09/12</v>
          </cell>
          <cell r="K757">
            <v>4752</v>
          </cell>
          <cell r="L757" t="str">
            <v>MRARBS06</v>
          </cell>
          <cell r="P757" t="str">
            <v>MISS RÔSE</v>
          </cell>
        </row>
        <row r="758">
          <cell r="B758">
            <v>46048.666666666664</v>
          </cell>
          <cell r="C758">
            <v>46049.458333333336</v>
          </cell>
          <cell r="G758" t="str">
            <v>FABIANO 09/12</v>
          </cell>
          <cell r="K758">
            <v>4896</v>
          </cell>
          <cell r="L758" t="str">
            <v>MRARBS06</v>
          </cell>
          <cell r="P758" t="str">
            <v>MISS RÔSE</v>
          </cell>
        </row>
        <row r="759">
          <cell r="B759">
            <v>46049.465277777781</v>
          </cell>
          <cell r="C759">
            <v>46049.625</v>
          </cell>
          <cell r="G759" t="str">
            <v>FABIANO 09/12</v>
          </cell>
          <cell r="K759">
            <v>2544</v>
          </cell>
          <cell r="L759" t="str">
            <v>MRARBS08</v>
          </cell>
          <cell r="P759" t="str">
            <v>MISS RÔSE</v>
          </cell>
        </row>
        <row r="760">
          <cell r="B760">
            <v>46049.625</v>
          </cell>
          <cell r="C760">
            <v>46050.433333333334</v>
          </cell>
          <cell r="G760" t="str">
            <v>FABIANO 09/12</v>
          </cell>
          <cell r="K760">
            <v>4848</v>
          </cell>
          <cell r="L760" t="str">
            <v>MRARBS08</v>
          </cell>
          <cell r="P760" t="str">
            <v>MISS RÔSE</v>
          </cell>
        </row>
        <row r="761">
          <cell r="B761">
            <v>46050.314583333333</v>
          </cell>
          <cell r="C761">
            <v>46050.659722222219</v>
          </cell>
          <cell r="G761" t="str">
            <v>FABIANO 09/12</v>
          </cell>
          <cell r="K761">
            <v>4972</v>
          </cell>
          <cell r="L761" t="str">
            <v>MRARBS08</v>
          </cell>
          <cell r="P761" t="str">
            <v>MISS RÔSE</v>
          </cell>
        </row>
        <row r="762">
          <cell r="B762">
            <v>46050.541666666664</v>
          </cell>
          <cell r="C762">
            <v>46050.666666666664</v>
          </cell>
          <cell r="G762" t="str">
            <v>FABIANO 09/12</v>
          </cell>
          <cell r="K762">
            <v>2544</v>
          </cell>
          <cell r="L762" t="str">
            <v>MRARBS09</v>
          </cell>
          <cell r="P762" t="str">
            <v>MISS RÔSE</v>
          </cell>
        </row>
        <row r="763">
          <cell r="B763">
            <v>46050.652777777781</v>
          </cell>
          <cell r="C763">
            <v>46051.478472222225</v>
          </cell>
          <cell r="G763" t="str">
            <v>FABIANO 09/12</v>
          </cell>
          <cell r="K763">
            <v>4808</v>
          </cell>
          <cell r="L763" t="str">
            <v>MRARBS09</v>
          </cell>
          <cell r="P763" t="str">
            <v>MISS RÔSE</v>
          </cell>
        </row>
        <row r="764">
          <cell r="B764">
            <v>46050.677083333336</v>
          </cell>
          <cell r="C764">
            <v>46051.5625</v>
          </cell>
          <cell r="G764" t="str">
            <v>FABIANO 09/12</v>
          </cell>
          <cell r="K764">
            <v>4880</v>
          </cell>
          <cell r="L764" t="str">
            <v>MRARBS09</v>
          </cell>
          <cell r="P764" t="str">
            <v>MISS RÔSE</v>
          </cell>
        </row>
        <row r="765">
          <cell r="B765">
            <v>46051.584027777775</v>
          </cell>
          <cell r="C765">
            <v>46051.676388888889</v>
          </cell>
          <cell r="G765" t="str">
            <v>FABIANO 20/01/26</v>
          </cell>
          <cell r="K765">
            <v>2544</v>
          </cell>
          <cell r="L765" t="str">
            <v>MRARBS01</v>
          </cell>
          <cell r="P765" t="str">
            <v>MISS RÔSE</v>
          </cell>
        </row>
        <row r="766">
          <cell r="B766">
            <v>46051.677083333336</v>
          </cell>
          <cell r="C766">
            <v>46052.443749999999</v>
          </cell>
          <cell r="G766" t="str">
            <v>FABIANO 20/01/26</v>
          </cell>
          <cell r="K766">
            <v>4704</v>
          </cell>
          <cell r="L766" t="str">
            <v>MRARBS01</v>
          </cell>
          <cell r="P766" t="str">
            <v>MISS RÔSE</v>
          </cell>
        </row>
        <row r="767">
          <cell r="B767">
            <v>46052.444444444445</v>
          </cell>
          <cell r="C767">
            <v>46052.607638888891</v>
          </cell>
          <cell r="G767" t="str">
            <v>FABIANO 20/01/26</v>
          </cell>
          <cell r="K767">
            <v>4512</v>
          </cell>
          <cell r="L767" t="str">
            <v>MRARBS01</v>
          </cell>
          <cell r="P767" t="str">
            <v>MISS RÔSE</v>
          </cell>
        </row>
        <row r="768">
          <cell r="B768">
            <v>46052.607638888891</v>
          </cell>
          <cell r="C768">
            <v>46055.405555555553</v>
          </cell>
          <cell r="G768" t="str">
            <v>FABIANO 20/01/26</v>
          </cell>
          <cell r="K768">
            <v>4608</v>
          </cell>
          <cell r="L768" t="str">
            <v>MRARBS01</v>
          </cell>
          <cell r="P768" t="str">
            <v>MISS RÔSE</v>
          </cell>
        </row>
        <row r="769">
          <cell r="B769">
            <v>46055.40625</v>
          </cell>
          <cell r="C769">
            <v>46056.576388888891</v>
          </cell>
          <cell r="G769" t="str">
            <v>FABIANO 20/01/26</v>
          </cell>
          <cell r="K769">
            <v>3216</v>
          </cell>
          <cell r="L769" t="str">
            <v>MRARBS01</v>
          </cell>
          <cell r="P769" t="str">
            <v>MISS RÔSE</v>
          </cell>
        </row>
        <row r="770">
          <cell r="B770">
            <v>46055.486111111109</v>
          </cell>
          <cell r="C770">
            <v>46055.666666666664</v>
          </cell>
          <cell r="G770" t="str">
            <v>FABIANO 09/12</v>
          </cell>
          <cell r="K770">
            <v>2544</v>
          </cell>
          <cell r="L770" t="str">
            <v>MRARBS11</v>
          </cell>
          <cell r="P770" t="str">
            <v>MISS RÔSE</v>
          </cell>
        </row>
        <row r="771">
          <cell r="B771">
            <v>46055.666666666664</v>
          </cell>
          <cell r="C771">
            <v>46056.397222222222</v>
          </cell>
          <cell r="G771" t="str">
            <v>FABIANO 09/12</v>
          </cell>
          <cell r="K771">
            <v>2544</v>
          </cell>
          <cell r="L771" t="str">
            <v>MRARBS11</v>
          </cell>
          <cell r="P771" t="str">
            <v>MISS RÔSE</v>
          </cell>
        </row>
        <row r="772">
          <cell r="B772">
            <v>46056.322222222225</v>
          </cell>
          <cell r="C772">
            <v>46057.571527777778</v>
          </cell>
          <cell r="G772" t="str">
            <v>BRIA 01</v>
          </cell>
          <cell r="K772">
            <v>4608</v>
          </cell>
          <cell r="L772" t="str">
            <v>BBSJBS01</v>
          </cell>
          <cell r="P772" t="str">
            <v>BRIA BEAUTY</v>
          </cell>
        </row>
        <row r="773">
          <cell r="B773">
            <v>46056.397222222222</v>
          </cell>
          <cell r="C773">
            <v>46056.575694444444</v>
          </cell>
          <cell r="G773" t="str">
            <v>FABIANO 09/12</v>
          </cell>
          <cell r="K773">
            <v>2688</v>
          </cell>
          <cell r="L773" t="str">
            <v>MRARBS11</v>
          </cell>
          <cell r="P773" t="str">
            <v>MISS RÔSE</v>
          </cell>
        </row>
        <row r="774">
          <cell r="B774">
            <v>46056.580555555556</v>
          </cell>
          <cell r="C774">
            <v>46057.319444444445</v>
          </cell>
          <cell r="G774" t="str">
            <v>FABIANO 09/12</v>
          </cell>
          <cell r="K774">
            <v>2592</v>
          </cell>
          <cell r="L774" t="str">
            <v>MRARBS11</v>
          </cell>
          <cell r="P774" t="str">
            <v>MISS RÔSE</v>
          </cell>
        </row>
        <row r="775">
          <cell r="B775">
            <v>46056.59375</v>
          </cell>
          <cell r="C775">
            <v>46056.698611111111</v>
          </cell>
          <cell r="G775" t="str">
            <v>FABIANO 09/12</v>
          </cell>
          <cell r="K775">
            <v>2256</v>
          </cell>
          <cell r="L775" t="str">
            <v>MRARBS11</v>
          </cell>
          <cell r="P775" t="str">
            <v>MISS RÔSE</v>
          </cell>
        </row>
        <row r="776">
          <cell r="B776">
            <v>46057.305555555555</v>
          </cell>
          <cell r="C776">
            <v>46057.322222222225</v>
          </cell>
          <cell r="G776" t="str">
            <v>BRIA 01</v>
          </cell>
          <cell r="K776">
            <v>384</v>
          </cell>
          <cell r="L776" t="str">
            <v>BBSJBS01</v>
          </cell>
          <cell r="P776" t="str">
            <v>BRIA BEAUTY</v>
          </cell>
        </row>
        <row r="777">
          <cell r="B777">
            <v>46057.319444444445</v>
          </cell>
          <cell r="C777">
            <v>46057.388888888891</v>
          </cell>
          <cell r="G777" t="str">
            <v>FABIANO 09/12</v>
          </cell>
          <cell r="K777">
            <v>990</v>
          </cell>
          <cell r="L777" t="str">
            <v>MRARBS11</v>
          </cell>
          <cell r="P777" t="str">
            <v>MISS RÔSE</v>
          </cell>
        </row>
        <row r="778">
          <cell r="B778">
            <v>46057.409722222219</v>
          </cell>
          <cell r="C778">
            <v>46057.432638888888</v>
          </cell>
          <cell r="G778" t="str">
            <v>BRIA 01</v>
          </cell>
          <cell r="K778">
            <v>384</v>
          </cell>
          <cell r="L778" t="str">
            <v>BBSJBS02</v>
          </cell>
          <cell r="P778" t="str">
            <v>BRIA BEAUTY</v>
          </cell>
        </row>
        <row r="779">
          <cell r="B779">
            <v>46057.427083333336</v>
          </cell>
          <cell r="C779">
            <v>46059.398611111108</v>
          </cell>
          <cell r="G779" t="str">
            <v>BRIA 01</v>
          </cell>
          <cell r="K779">
            <v>4676</v>
          </cell>
          <cell r="L779" t="str">
            <v>BBSJBS02</v>
          </cell>
          <cell r="P779" t="str">
            <v>BRIA BEAUTY</v>
          </cell>
        </row>
        <row r="780">
          <cell r="B780">
            <v>46057.432638888888</v>
          </cell>
          <cell r="C780">
            <v>46058.427083333336</v>
          </cell>
          <cell r="G780" t="str">
            <v>BRIA 01</v>
          </cell>
          <cell r="K780">
            <v>4641</v>
          </cell>
          <cell r="L780" t="str">
            <v>BBSJBS02</v>
          </cell>
          <cell r="P780" t="str">
            <v>BRIA BEAUTY</v>
          </cell>
        </row>
        <row r="781">
          <cell r="B781">
            <v>46057.571527777778</v>
          </cell>
          <cell r="C781">
            <v>46058.375694444447</v>
          </cell>
          <cell r="G781" t="str">
            <v>BRIA 01</v>
          </cell>
          <cell r="K781">
            <v>4723</v>
          </cell>
          <cell r="L781" t="str">
            <v>BBSJBS01</v>
          </cell>
          <cell r="P781" t="str">
            <v>BRIA BEAUTY</v>
          </cell>
        </row>
        <row r="782">
          <cell r="B782">
            <v>46058.388194444444</v>
          </cell>
          <cell r="C782">
            <v>46058.425000000003</v>
          </cell>
          <cell r="G782" t="str">
            <v>BRIA 01</v>
          </cell>
          <cell r="K782">
            <v>432</v>
          </cell>
          <cell r="L782" t="str">
            <v>BBSJBS03</v>
          </cell>
          <cell r="P782" t="str">
            <v>BRIA BEAUTY</v>
          </cell>
        </row>
        <row r="783">
          <cell r="B783">
            <v>46058.444444444445</v>
          </cell>
          <cell r="C783">
            <v>46059.363888888889</v>
          </cell>
          <cell r="G783" t="str">
            <v>BRIA 01</v>
          </cell>
          <cell r="K783">
            <v>4656</v>
          </cell>
          <cell r="L783" t="str">
            <v>BBSJBS03</v>
          </cell>
          <cell r="P783" t="str">
            <v>BRIA BEAUTY</v>
          </cell>
        </row>
        <row r="784">
          <cell r="B784">
            <v>46059.363888888889</v>
          </cell>
          <cell r="C784">
            <v>46059.642361111109</v>
          </cell>
          <cell r="G784" t="str">
            <v>BRIA 01</v>
          </cell>
          <cell r="K784">
            <v>4704</v>
          </cell>
          <cell r="L784" t="str">
            <v>BBSJBS03</v>
          </cell>
          <cell r="P784" t="str">
            <v>BRIA BEAUTY</v>
          </cell>
        </row>
        <row r="785">
          <cell r="B785">
            <v>46059.4375</v>
          </cell>
          <cell r="C785">
            <v>46059.666666666664</v>
          </cell>
          <cell r="G785" t="str">
            <v>FABIANO 19/11</v>
          </cell>
          <cell r="K785">
            <v>3360</v>
          </cell>
          <cell r="L785" t="str">
            <v>MRARBS03</v>
          </cell>
          <cell r="P785" t="str">
            <v>MISS RÔSE</v>
          </cell>
        </row>
        <row r="786">
          <cell r="B786">
            <v>46062.319444444445</v>
          </cell>
          <cell r="C786">
            <v>46062.463888888888</v>
          </cell>
          <cell r="G786" t="str">
            <v>FABIANO 19/11</v>
          </cell>
          <cell r="K786">
            <v>3271</v>
          </cell>
          <cell r="L786" t="str">
            <v>MRARBS03</v>
          </cell>
          <cell r="P786" t="str">
            <v>MISS RÔSE</v>
          </cell>
        </row>
        <row r="787">
          <cell r="B787">
            <v>46062.347222222219</v>
          </cell>
          <cell r="C787">
            <v>46062.46875</v>
          </cell>
          <cell r="G787" t="str">
            <v>CIDA 02.25</v>
          </cell>
          <cell r="K787">
            <v>1012</v>
          </cell>
          <cell r="L787" t="str">
            <v>KUBPBA02 - 2</v>
          </cell>
          <cell r="P787" t="str">
            <v>KURYOS</v>
          </cell>
        </row>
        <row r="788">
          <cell r="B788">
            <v>46062.470833333333</v>
          </cell>
          <cell r="C788">
            <v>46062.584722222222</v>
          </cell>
          <cell r="G788" t="str">
            <v>CIDA 02.25</v>
          </cell>
          <cell r="K788">
            <v>529</v>
          </cell>
          <cell r="L788" t="str">
            <v>KUBPBA02</v>
          </cell>
          <cell r="P788" t="str">
            <v>KURYOS</v>
          </cell>
        </row>
        <row r="789">
          <cell r="B789">
            <v>46062.479166666664</v>
          </cell>
          <cell r="C789">
            <v>46062.495833333334</v>
          </cell>
          <cell r="G789" t="str">
            <v>FABIANO 19/11</v>
          </cell>
          <cell r="K789">
            <v>271</v>
          </cell>
          <cell r="L789" t="str">
            <v>MRARBS02</v>
          </cell>
          <cell r="P789" t="str">
            <v>MISS RÔSE</v>
          </cell>
        </row>
        <row r="790">
          <cell r="B790">
            <v>46062.496527777781</v>
          </cell>
          <cell r="C790">
            <v>46062.684027777781</v>
          </cell>
          <cell r="G790" t="str">
            <v>FABIANO 19/11</v>
          </cell>
          <cell r="K790">
            <v>2640</v>
          </cell>
          <cell r="L790" t="str">
            <v>MRARBS02</v>
          </cell>
          <cell r="P790" t="str">
            <v>MISS RÔSE</v>
          </cell>
        </row>
        <row r="791">
          <cell r="B791">
            <v>46062.586805555555</v>
          </cell>
          <cell r="C791">
            <v>46062.640972222223</v>
          </cell>
          <cell r="G791" t="str">
            <v>CIDA 02.25</v>
          </cell>
          <cell r="K791">
            <v>439</v>
          </cell>
          <cell r="L791" t="str">
            <v>KUBPBA02</v>
          </cell>
          <cell r="P791" t="str">
            <v>KURYOS</v>
          </cell>
        </row>
        <row r="792">
          <cell r="B792">
            <v>46062.684027777781</v>
          </cell>
          <cell r="C792">
            <v>46063.39166666667</v>
          </cell>
          <cell r="G792" t="str">
            <v>FABIANO 19/11</v>
          </cell>
          <cell r="K792">
            <v>2378</v>
          </cell>
          <cell r="L792" t="str">
            <v>MRARBS02</v>
          </cell>
          <cell r="P792" t="str">
            <v>MISS RÔSE</v>
          </cell>
        </row>
        <row r="793">
          <cell r="B793">
            <v>46063.392430555556</v>
          </cell>
          <cell r="C793">
            <v>46063.541666666664</v>
          </cell>
          <cell r="G793" t="str">
            <v>FABIANO 19/11</v>
          </cell>
          <cell r="K793">
            <v>2629</v>
          </cell>
          <cell r="L793" t="str">
            <v>MRARBS02</v>
          </cell>
          <cell r="P793" t="str">
            <v>MISS RÔSE</v>
          </cell>
        </row>
        <row r="794">
          <cell r="B794">
            <v>46063.416666666664</v>
          </cell>
          <cell r="C794">
            <v>46063.486805555556</v>
          </cell>
          <cell r="G794" t="str">
            <v>CIDA 02.25</v>
          </cell>
          <cell r="K794">
            <v>578</v>
          </cell>
          <cell r="L794" t="str">
            <v>KUBPBA01</v>
          </cell>
          <cell r="P794" t="str">
            <v>KURYOS</v>
          </cell>
        </row>
        <row r="795">
          <cell r="B795">
            <v>46063.486805555556</v>
          </cell>
          <cell r="C795">
            <v>46063.677083333336</v>
          </cell>
          <cell r="G795" t="str">
            <v>CIDA 02.25</v>
          </cell>
          <cell r="K795">
            <v>307</v>
          </cell>
          <cell r="L795" t="str">
            <v>KUBPBA01</v>
          </cell>
          <cell r="P795" t="str">
            <v>KURYOS</v>
          </cell>
        </row>
        <row r="796">
          <cell r="B796">
            <v>46063.583333333336</v>
          </cell>
          <cell r="C796">
            <v>46063.677083333336</v>
          </cell>
          <cell r="G796" t="str">
            <v>FABIANO 19/11</v>
          </cell>
          <cell r="K796">
            <v>2285</v>
          </cell>
          <cell r="L796" t="str">
            <v>MRARBS02</v>
          </cell>
          <cell r="P796" t="str">
            <v>MISS RÔSE</v>
          </cell>
        </row>
        <row r="797">
          <cell r="B797">
            <v>46064.359027777777</v>
          </cell>
          <cell r="C797">
            <v>46064.487500000003</v>
          </cell>
          <cell r="G797" t="str">
            <v>ANDRE 14/01/26</v>
          </cell>
          <cell r="K797">
            <v>1552</v>
          </cell>
          <cell r="L797" t="str">
            <v>GLMKAM05</v>
          </cell>
          <cell r="P797" t="str">
            <v>GLOW MAKE UP</v>
          </cell>
        </row>
        <row r="798">
          <cell r="B798">
            <v>46064.388888888891</v>
          </cell>
          <cell r="C798">
            <v>46064.563194444447</v>
          </cell>
          <cell r="G798" t="str">
            <v>ANDRE 14/01/26</v>
          </cell>
          <cell r="K798">
            <v>1857</v>
          </cell>
          <cell r="L798" t="str">
            <v>GLMKAM05</v>
          </cell>
          <cell r="P798" t="str">
            <v>GLOW MAKE UP</v>
          </cell>
        </row>
        <row r="799">
          <cell r="B799">
            <v>46064.541666666664</v>
          </cell>
          <cell r="C799">
            <v>46064.642361111109</v>
          </cell>
          <cell r="G799" t="str">
            <v>ANDRE 14/01/26</v>
          </cell>
          <cell r="K799">
            <v>1696</v>
          </cell>
          <cell r="L799" t="str">
            <v>GLMKAM06</v>
          </cell>
          <cell r="P799" t="str">
            <v>GLOW MAKE UP</v>
          </cell>
        </row>
        <row r="800">
          <cell r="B800">
            <v>46064.5625</v>
          </cell>
          <cell r="C800">
            <v>46064.652777777781</v>
          </cell>
          <cell r="G800" t="str">
            <v>ANDRE 14/01/26</v>
          </cell>
          <cell r="K800">
            <v>1764</v>
          </cell>
          <cell r="L800" t="str">
            <v>GLMKAM06</v>
          </cell>
          <cell r="P800" t="str">
            <v>GLOW MAKE UP</v>
          </cell>
        </row>
        <row r="801">
          <cell r="B801">
            <v>46064.645833333336</v>
          </cell>
          <cell r="C801">
            <v>46065.354166666664</v>
          </cell>
          <cell r="G801" t="str">
            <v>ANDRE 14/01/26</v>
          </cell>
          <cell r="K801">
            <v>1776</v>
          </cell>
          <cell r="L801" t="str">
            <v>GLMKAM06</v>
          </cell>
          <cell r="P801" t="str">
            <v>GLOW MAKE UP</v>
          </cell>
        </row>
        <row r="802">
          <cell r="B802">
            <v>46064.690972222219</v>
          </cell>
          <cell r="C802">
            <v>46065.386111111111</v>
          </cell>
          <cell r="G802" t="str">
            <v>ANDRE 14/01/26</v>
          </cell>
          <cell r="K802">
            <v>1632</v>
          </cell>
          <cell r="L802" t="str">
            <v>GLMKAM06</v>
          </cell>
          <cell r="P802" t="str">
            <v>GLOW MAKE UP</v>
          </cell>
        </row>
        <row r="803">
          <cell r="B803">
            <v>46065.338194444441</v>
          </cell>
          <cell r="C803">
            <v>46065.384722222225</v>
          </cell>
          <cell r="G803" t="str">
            <v>ANDRE 14/01/26</v>
          </cell>
          <cell r="K803">
            <v>1616</v>
          </cell>
          <cell r="L803" t="str">
            <v>GLMKAM06</v>
          </cell>
          <cell r="P803" t="str">
            <v>GLOW MAKE UP</v>
          </cell>
        </row>
        <row r="804">
          <cell r="B804">
            <v>46065.397222222222</v>
          </cell>
          <cell r="C804">
            <v>46065.5</v>
          </cell>
          <cell r="G804" t="str">
            <v>ANDRE 14/01/26</v>
          </cell>
          <cell r="K804">
            <v>1698</v>
          </cell>
          <cell r="L804" t="str">
            <v>GLMKAM03</v>
          </cell>
          <cell r="P804" t="str">
            <v>GLOW MAKE UP</v>
          </cell>
        </row>
        <row r="805">
          <cell r="B805">
            <v>46065.494444444441</v>
          </cell>
          <cell r="C805">
            <v>46065.63958333333</v>
          </cell>
          <cell r="G805" t="str">
            <v>FABIANO 19/11</v>
          </cell>
          <cell r="K805">
            <v>2456</v>
          </cell>
          <cell r="L805" t="str">
            <v>MRARBS02</v>
          </cell>
          <cell r="P805" t="str">
            <v>MISS RÔSE</v>
          </cell>
        </row>
        <row r="806">
          <cell r="B806">
            <v>46065.543749999997</v>
          </cell>
          <cell r="C806">
            <v>46065.628472222219</v>
          </cell>
          <cell r="G806" t="str">
            <v>ANDRE 14/01/26</v>
          </cell>
          <cell r="K806">
            <v>1618</v>
          </cell>
          <cell r="L806" t="str">
            <v>GLMKAM03</v>
          </cell>
          <cell r="P806" t="str">
            <v>GLOW MAKE UP</v>
          </cell>
        </row>
        <row r="807">
          <cell r="B807">
            <v>46065.628472222219</v>
          </cell>
          <cell r="C807">
            <v>46066.326388888891</v>
          </cell>
          <cell r="G807" t="str">
            <v>ANDRE 14/01/26</v>
          </cell>
          <cell r="K807">
            <v>1584</v>
          </cell>
          <cell r="L807" t="str">
            <v>GLMKAM03</v>
          </cell>
          <cell r="P807" t="str">
            <v>GLOW MAKE UP</v>
          </cell>
        </row>
        <row r="808">
          <cell r="B808">
            <v>46065.640972222223</v>
          </cell>
          <cell r="C808">
            <v>46066.34375</v>
          </cell>
          <cell r="G808" t="str">
            <v>FABIANO 19/11</v>
          </cell>
          <cell r="K808">
            <v>2544</v>
          </cell>
          <cell r="L808" t="str">
            <v>MRARBS02</v>
          </cell>
          <cell r="P808" t="str">
            <v>MISS RÔSE</v>
          </cell>
        </row>
        <row r="809">
          <cell r="B809">
            <v>46066.32708333333</v>
          </cell>
          <cell r="C809">
            <v>46066.395833333336</v>
          </cell>
          <cell r="G809" t="str">
            <v>ANDRE 14/01/26</v>
          </cell>
          <cell r="K809">
            <v>1632</v>
          </cell>
          <cell r="L809" t="str">
            <v>GLMKAM03</v>
          </cell>
          <cell r="P809" t="str">
            <v>GLOW MAKE UP</v>
          </cell>
        </row>
        <row r="810">
          <cell r="B810">
            <v>46066.395833333336</v>
          </cell>
          <cell r="C810">
            <v>46066.482638888891</v>
          </cell>
          <cell r="G810" t="str">
            <v>ANDRE 14/01/26</v>
          </cell>
          <cell r="K810">
            <v>1624</v>
          </cell>
          <cell r="L810" t="str">
            <v>GLMKAM03</v>
          </cell>
          <cell r="P810" t="str">
            <v>GLOW MAKE UP</v>
          </cell>
        </row>
        <row r="811">
          <cell r="B811">
            <v>46066.409722222219</v>
          </cell>
          <cell r="C811">
            <v>46066.488194444442</v>
          </cell>
          <cell r="G811" t="str">
            <v>ANDRE 14/01/26</v>
          </cell>
          <cell r="K811">
            <v>1842</v>
          </cell>
          <cell r="L811" t="str">
            <v>GLMKAM03</v>
          </cell>
          <cell r="P811" t="str">
            <v>GLOW MAKE UP</v>
          </cell>
        </row>
        <row r="812">
          <cell r="B812">
            <v>46066.486111111109</v>
          </cell>
          <cell r="C812">
            <v>46066.637499999997</v>
          </cell>
          <cell r="G812" t="str">
            <v>ANDRE 14/01/26</v>
          </cell>
          <cell r="K812">
            <v>1433</v>
          </cell>
          <cell r="L812" t="str">
            <v>GLMKAM03</v>
          </cell>
          <cell r="P812" t="str">
            <v>GLOW MAKE UP</v>
          </cell>
        </row>
        <row r="813">
          <cell r="B813">
            <v>46066.554166666669</v>
          </cell>
          <cell r="C813">
            <v>46066.652777777781</v>
          </cell>
          <cell r="G813" t="str">
            <v>ANDRE 14/01/26</v>
          </cell>
          <cell r="K813">
            <v>1857</v>
          </cell>
          <cell r="L813" t="str">
            <v>GLMKAM03</v>
          </cell>
          <cell r="P813" t="str">
            <v>GLOW MAKE UP</v>
          </cell>
        </row>
        <row r="814">
          <cell r="B814">
            <v>46071.344444444447</v>
          </cell>
          <cell r="C814">
            <v>46071.423611111109</v>
          </cell>
          <cell r="G814" t="str">
            <v>ANDRE 14/01/26</v>
          </cell>
          <cell r="K814">
            <v>1632</v>
          </cell>
          <cell r="L814" t="str">
            <v>GLMKAM03</v>
          </cell>
          <cell r="P814" t="str">
            <v>GLOW MAKE UP</v>
          </cell>
        </row>
        <row r="815">
          <cell r="B815">
            <v>46071.381944444445</v>
          </cell>
          <cell r="C815">
            <v>46071.450694444444</v>
          </cell>
          <cell r="G815" t="str">
            <v>ANDRE 14/01/26</v>
          </cell>
          <cell r="K815">
            <v>1134</v>
          </cell>
          <cell r="L815" t="str">
            <v>GLMKAM04</v>
          </cell>
          <cell r="P815" t="str">
            <v>GLOW MAKE UP</v>
          </cell>
        </row>
        <row r="816">
          <cell r="B816">
            <v>46071.458333333336</v>
          </cell>
          <cell r="C816">
            <v>46071.574305555558</v>
          </cell>
          <cell r="G816" t="str">
            <v>ANDRE 14/01/26</v>
          </cell>
          <cell r="K816">
            <v>1550</v>
          </cell>
          <cell r="L816" t="str">
            <v>GLMKAM04</v>
          </cell>
          <cell r="P816" t="str">
            <v>GLOW MAKE UP</v>
          </cell>
        </row>
        <row r="817">
          <cell r="B817">
            <v>46071.476388888892</v>
          </cell>
          <cell r="C817">
            <v>46071.618750000001</v>
          </cell>
          <cell r="G817" t="str">
            <v>ANDRE 14/01/26</v>
          </cell>
          <cell r="K817">
            <v>1632</v>
          </cell>
          <cell r="L817" t="str">
            <v>GLMKAM02</v>
          </cell>
          <cell r="P817" t="str">
            <v>GLOW MAKE UP</v>
          </cell>
        </row>
        <row r="818">
          <cell r="B818">
            <v>46071.578472222223</v>
          </cell>
          <cell r="C818">
            <v>46071.649305555555</v>
          </cell>
          <cell r="G818" t="str">
            <v>ANDRE 14/01/26</v>
          </cell>
          <cell r="K818">
            <v>1665</v>
          </cell>
          <cell r="L818" t="str">
            <v>GLMKAM02</v>
          </cell>
          <cell r="P818" t="str">
            <v>GLOW MAKE UP</v>
          </cell>
        </row>
        <row r="819">
          <cell r="B819">
            <v>46071.618750000001</v>
          </cell>
          <cell r="C819">
            <v>46072.304861111108</v>
          </cell>
          <cell r="G819" t="str">
            <v>ANDRE 14/01/26</v>
          </cell>
          <cell r="K819">
            <v>1680</v>
          </cell>
          <cell r="L819" t="str">
            <v>GLMKAM02</v>
          </cell>
          <cell r="P819" t="str">
            <v>GLOW MAKE UP</v>
          </cell>
        </row>
        <row r="820">
          <cell r="B820">
            <v>46071.636805555558</v>
          </cell>
          <cell r="C820">
            <v>46072.322916666664</v>
          </cell>
          <cell r="G820" t="str">
            <v>ANDRE 14/01/26</v>
          </cell>
          <cell r="K820">
            <v>1680</v>
          </cell>
          <cell r="L820" t="str">
            <v>GLMKAM02</v>
          </cell>
          <cell r="P820" t="str">
            <v>GLOW MAKE UP</v>
          </cell>
        </row>
        <row r="821">
          <cell r="B821">
            <v>46072.305555555555</v>
          </cell>
          <cell r="C821">
            <v>46072.424305555556</v>
          </cell>
          <cell r="G821" t="str">
            <v>ANDRE 14/01/26</v>
          </cell>
          <cell r="K821">
            <v>1824</v>
          </cell>
          <cell r="L821" t="str">
            <v>GLMKAM02</v>
          </cell>
          <cell r="P821" t="str">
            <v>GLOW MAKE UP</v>
          </cell>
        </row>
        <row r="822">
          <cell r="B822">
            <v>46072.323611111111</v>
          </cell>
          <cell r="C822">
            <v>46072.416666666664</v>
          </cell>
          <cell r="G822" t="str">
            <v>ANDRE 14/01/26</v>
          </cell>
          <cell r="K822">
            <v>1776</v>
          </cell>
          <cell r="L822" t="str">
            <v>GLMKAM02</v>
          </cell>
          <cell r="P822" t="str">
            <v>GLOW MAKE UP</v>
          </cell>
        </row>
        <row r="823">
          <cell r="B823">
            <v>46072.420138888891</v>
          </cell>
          <cell r="C823">
            <v>46072.563888888886</v>
          </cell>
          <cell r="G823" t="str">
            <v>ANDRE 14/01/26</v>
          </cell>
          <cell r="K823">
            <v>1776</v>
          </cell>
          <cell r="L823" t="str">
            <v>GLMKAM02</v>
          </cell>
          <cell r="P823" t="str">
            <v>GLOW MAKE UP</v>
          </cell>
        </row>
        <row r="824">
          <cell r="B824">
            <v>46072.433333333334</v>
          </cell>
          <cell r="C824">
            <v>46072.583333333336</v>
          </cell>
          <cell r="G824" t="str">
            <v>ANDRE 14/01/26</v>
          </cell>
          <cell r="K824">
            <v>1680</v>
          </cell>
          <cell r="L824" t="str">
            <v>GLMKAM05</v>
          </cell>
          <cell r="P824" t="str">
            <v>GLOW MAKE UP</v>
          </cell>
        </row>
        <row r="825">
          <cell r="B825">
            <v>46072.565972222219</v>
          </cell>
          <cell r="C825">
            <v>46072.666666666664</v>
          </cell>
          <cell r="G825" t="str">
            <v>ANDRE 14/01/26</v>
          </cell>
          <cell r="K825">
            <v>1776</v>
          </cell>
          <cell r="L825" t="str">
            <v>GLMKAM02</v>
          </cell>
          <cell r="P825" t="str">
            <v>GLOW MAKE UP</v>
          </cell>
        </row>
        <row r="826">
          <cell r="B826">
            <v>46072.583333333336</v>
          </cell>
          <cell r="C826">
            <v>46073.3125</v>
          </cell>
          <cell r="G826" t="str">
            <v>ANDRE 14/01/26</v>
          </cell>
          <cell r="K826">
            <v>1728</v>
          </cell>
          <cell r="L826" t="str">
            <v>GLMKAM05</v>
          </cell>
          <cell r="P826" t="str">
            <v>GLOW MAKE UP</v>
          </cell>
        </row>
        <row r="827">
          <cell r="B827">
            <v>46072.666666666664</v>
          </cell>
          <cell r="C827">
            <v>46073.302777777775</v>
          </cell>
          <cell r="G827" t="str">
            <v>ANDRE 14/01/26</v>
          </cell>
          <cell r="K827">
            <v>1008</v>
          </cell>
          <cell r="L827" t="str">
            <v>GLMKAM02</v>
          </cell>
          <cell r="P827" t="str">
            <v>GLOW MAKE UP</v>
          </cell>
        </row>
        <row r="828">
          <cell r="B828">
            <v>46073.325694444444</v>
          </cell>
          <cell r="C828">
            <v>46073.383333333331</v>
          </cell>
          <cell r="G828" t="str">
            <v>ANDRE 14/01/26</v>
          </cell>
          <cell r="K828">
            <v>1680</v>
          </cell>
          <cell r="L828" t="str">
            <v>GLMKAM05</v>
          </cell>
          <cell r="P828" t="str">
            <v>GLOW MAKE UP</v>
          </cell>
        </row>
        <row r="829">
          <cell r="B829">
            <v>46073.376388888886</v>
          </cell>
          <cell r="C829">
            <v>46073.459722222222</v>
          </cell>
          <cell r="G829" t="str">
            <v>ANDRE 14/01/26</v>
          </cell>
          <cell r="K829">
            <v>1680</v>
          </cell>
          <cell r="L829" t="str">
            <v>GLMKAM05</v>
          </cell>
          <cell r="P829" t="str">
            <v>GLOW MAKE UP</v>
          </cell>
        </row>
        <row r="830">
          <cell r="B830">
            <v>46073.385416666664</v>
          </cell>
          <cell r="C830">
            <v>46073.472916666666</v>
          </cell>
          <cell r="G830" t="str">
            <v>ANDRE 14/01/26</v>
          </cell>
          <cell r="K830">
            <v>1728</v>
          </cell>
          <cell r="L830" t="str">
            <v>GLMKAM05</v>
          </cell>
          <cell r="P830" t="str">
            <v>GLOW MAKE UP</v>
          </cell>
        </row>
        <row r="831">
          <cell r="B831">
            <v>46073.477777777778</v>
          </cell>
          <cell r="C831">
            <v>46073.61041666667</v>
          </cell>
          <cell r="G831" t="str">
            <v>ANDRE 14/01/26</v>
          </cell>
          <cell r="K831">
            <v>1680</v>
          </cell>
          <cell r="L831" t="str">
            <v>GLMKAM05</v>
          </cell>
          <cell r="P831" t="str">
            <v>GLOW MAKE UP</v>
          </cell>
        </row>
        <row r="832">
          <cell r="B832">
            <v>46073.568749999999</v>
          </cell>
          <cell r="C832">
            <v>46073.643055555556</v>
          </cell>
          <cell r="G832" t="str">
            <v>ANDRE 14/01/26</v>
          </cell>
          <cell r="K832">
            <v>1632</v>
          </cell>
          <cell r="L832" t="str">
            <v>GLMKAM06</v>
          </cell>
          <cell r="P832" t="str">
            <v>GLOW MAKE UP</v>
          </cell>
        </row>
        <row r="833">
          <cell r="B833">
            <v>46073.643750000003</v>
          </cell>
          <cell r="C833">
            <v>46076.368750000001</v>
          </cell>
          <cell r="G833" t="str">
            <v>ANDRE 14/01/26</v>
          </cell>
          <cell r="K833">
            <v>1584</v>
          </cell>
          <cell r="L833" t="str">
            <v>GLMKAM06</v>
          </cell>
          <cell r="P833" t="str">
            <v>GLOW MAKE UP</v>
          </cell>
        </row>
        <row r="834">
          <cell r="B834">
            <v>46073.652777777781</v>
          </cell>
          <cell r="C834">
            <v>46076.324999999997</v>
          </cell>
          <cell r="G834" t="str">
            <v>ANDRE 14/01/26</v>
          </cell>
          <cell r="K834">
            <v>1497</v>
          </cell>
          <cell r="L834" t="str">
            <v>GLMKAM05</v>
          </cell>
          <cell r="P834" t="str">
            <v>GLOW MAKE UP</v>
          </cell>
        </row>
        <row r="835">
          <cell r="B835">
            <v>46076.336805555555</v>
          </cell>
          <cell r="C835">
            <v>46076.409722222219</v>
          </cell>
          <cell r="G835" t="str">
            <v>ANDRE 14/01/26</v>
          </cell>
          <cell r="K835">
            <v>1680</v>
          </cell>
          <cell r="L835" t="str">
            <v>GLMKAM04</v>
          </cell>
          <cell r="P835" t="str">
            <v>GLOW MAKE UP</v>
          </cell>
        </row>
        <row r="836">
          <cell r="B836">
            <v>46076.370138888888</v>
          </cell>
          <cell r="C836">
            <v>46076.456944444442</v>
          </cell>
          <cell r="G836" t="str">
            <v>ANDRE 14/01/26</v>
          </cell>
          <cell r="K836">
            <v>1641</v>
          </cell>
          <cell r="L836" t="str">
            <v>GLMKAM06</v>
          </cell>
          <cell r="P836" t="str">
            <v>GLOW MAKE UP</v>
          </cell>
        </row>
        <row r="837">
          <cell r="B837">
            <v>46076.409722222219</v>
          </cell>
          <cell r="C837">
            <v>46076.486805555556</v>
          </cell>
          <cell r="G837" t="str">
            <v>ANDRE 14/01/26</v>
          </cell>
          <cell r="K837">
            <v>1776</v>
          </cell>
          <cell r="L837" t="str">
            <v>GLMKAM04</v>
          </cell>
          <cell r="P837" t="str">
            <v>GLOW MAKE UP</v>
          </cell>
        </row>
        <row r="838">
          <cell r="B838">
            <v>46076.465277777781</v>
          </cell>
          <cell r="C838">
            <v>46076.647222222222</v>
          </cell>
          <cell r="G838" t="str">
            <v>ANDRE 14/01/26</v>
          </cell>
          <cell r="K838">
            <v>1656</v>
          </cell>
          <cell r="L838" t="str">
            <v>GLMKAM04</v>
          </cell>
          <cell r="P838" t="str">
            <v>GLOW MAKE UP</v>
          </cell>
        </row>
        <row r="839">
          <cell r="B839">
            <v>46076.486805555556</v>
          </cell>
          <cell r="C839">
            <v>46076.618055555555</v>
          </cell>
          <cell r="G839" t="str">
            <v>ANDRE 14/01/26</v>
          </cell>
          <cell r="K839">
            <v>1728</v>
          </cell>
          <cell r="L839" t="str">
            <v>GLMKAM04</v>
          </cell>
          <cell r="P839" t="str">
            <v>GLOW MAKE UP</v>
          </cell>
        </row>
        <row r="840">
          <cell r="B840">
            <v>46076.620138888888</v>
          </cell>
          <cell r="C840">
            <v>46077.302083333336</v>
          </cell>
          <cell r="G840" t="str">
            <v>ANDRE 14/01/26</v>
          </cell>
          <cell r="K840">
            <v>1680</v>
          </cell>
          <cell r="L840" t="str">
            <v>GLMKAM04</v>
          </cell>
          <cell r="P840" t="str">
            <v>GLOW MAKE UP</v>
          </cell>
        </row>
        <row r="841">
          <cell r="B841">
            <v>46076.647222222222</v>
          </cell>
          <cell r="C841">
            <v>46077.352777777778</v>
          </cell>
          <cell r="G841" t="str">
            <v>ANDRE 14/01/26</v>
          </cell>
          <cell r="K841">
            <v>1872</v>
          </cell>
          <cell r="L841" t="str">
            <v>GLMKAM04</v>
          </cell>
          <cell r="P841" t="str">
            <v>GLOW MAKE UP</v>
          </cell>
        </row>
        <row r="842">
          <cell r="B842">
            <v>46077.409722222219</v>
          </cell>
          <cell r="C842">
            <v>46077.461805555555</v>
          </cell>
          <cell r="G842" t="str">
            <v>ANDRE 14/01/26</v>
          </cell>
          <cell r="K842">
            <v>1776</v>
          </cell>
          <cell r="L842" t="str">
            <v>GLMKAM04</v>
          </cell>
          <cell r="P842" t="str">
            <v>GLOW MAKE UP</v>
          </cell>
        </row>
        <row r="843">
          <cell r="B843">
            <v>46077.480555555558</v>
          </cell>
          <cell r="C843">
            <v>46077.493055555555</v>
          </cell>
          <cell r="G843" t="str">
            <v>ANDRE 14/01/26</v>
          </cell>
          <cell r="K843">
            <v>149</v>
          </cell>
          <cell r="L843" t="str">
            <v>GLMKAM06</v>
          </cell>
          <cell r="P843" t="str">
            <v>GLOW MAKE UP</v>
          </cell>
        </row>
        <row r="844">
          <cell r="B844">
            <v>46077.55</v>
          </cell>
          <cell r="C844">
            <v>46077.5625</v>
          </cell>
          <cell r="G844" t="str">
            <v>ANDRE 14/01/26</v>
          </cell>
          <cell r="K844">
            <v>132</v>
          </cell>
          <cell r="L844" t="str">
            <v>GLMKAM05</v>
          </cell>
          <cell r="P844" t="str">
            <v>GLOW MAKE UP</v>
          </cell>
        </row>
        <row r="845">
          <cell r="B845">
            <v>46078.395833333336</v>
          </cell>
          <cell r="C845">
            <v>46078.411111111112</v>
          </cell>
          <cell r="K845">
            <v>47</v>
          </cell>
          <cell r="L845" t="str">
            <v>IMEDIATT LISS PASSO 1</v>
          </cell>
          <cell r="P845" t="str">
            <v>-</v>
          </cell>
        </row>
        <row r="846">
          <cell r="B846">
            <v>46078.416666666664</v>
          </cell>
          <cell r="C846">
            <v>46078.436805555553</v>
          </cell>
          <cell r="K846">
            <v>47</v>
          </cell>
          <cell r="L846" t="str">
            <v>IMEDIATT LISS PASSO 2</v>
          </cell>
          <cell r="P846" t="str">
            <v>-</v>
          </cell>
        </row>
        <row r="847">
          <cell r="B847">
            <v>46079.451388888891</v>
          </cell>
          <cell r="C847">
            <v>46079.701388888891</v>
          </cell>
          <cell r="G847" t="str">
            <v>FILATO 02/26</v>
          </cell>
          <cell r="K847">
            <v>975</v>
          </cell>
          <cell r="L847" t="str">
            <v>FBPF0002</v>
          </cell>
          <cell r="P847" t="str">
            <v>FILATO BENE</v>
          </cell>
        </row>
        <row r="848">
          <cell r="B848">
            <v>46080.333333333336</v>
          </cell>
          <cell r="C848">
            <v>46083.409722222219</v>
          </cell>
          <cell r="G848" t="str">
            <v>FILATO 02/26</v>
          </cell>
          <cell r="K848">
            <v>1010</v>
          </cell>
          <cell r="L848" t="str">
            <v>FBPF0001</v>
          </cell>
          <cell r="P848" t="str">
            <v>FILATO BENE</v>
          </cell>
        </row>
        <row r="849">
          <cell r="B849">
            <v>46083.409722222219</v>
          </cell>
          <cell r="C849">
            <v>46083.583333333336</v>
          </cell>
          <cell r="G849" t="str">
            <v>FABIANO 03/02/26</v>
          </cell>
          <cell r="K849">
            <v>1792</v>
          </cell>
          <cell r="L849" t="str">
            <v>MRFX0001</v>
          </cell>
          <cell r="P849" t="str">
            <v>MISS RÔSE</v>
          </cell>
        </row>
        <row r="850">
          <cell r="B850">
            <v>46083.583333333336</v>
          </cell>
          <cell r="C850">
            <v>46084.404861111114</v>
          </cell>
          <cell r="G850" t="str">
            <v>FABIANO 03/02/26</v>
          </cell>
          <cell r="K850">
            <v>4720</v>
          </cell>
          <cell r="L850" t="str">
            <v>MRFX0001</v>
          </cell>
          <cell r="P850" t="str">
            <v>MISS RÔSE</v>
          </cell>
        </row>
        <row r="851">
          <cell r="B851">
            <v>46084.406944444447</v>
          </cell>
          <cell r="C851">
            <v>46085.3125</v>
          </cell>
          <cell r="G851" t="str">
            <v>FABIANO 03/02/26</v>
          </cell>
          <cell r="K851">
            <v>4672</v>
          </cell>
          <cell r="L851" t="str">
            <v>MRFX0001</v>
          </cell>
          <cell r="P851" t="str">
            <v>MISS RÔSE</v>
          </cell>
        </row>
        <row r="852">
          <cell r="B852">
            <v>46084.449305555558</v>
          </cell>
          <cell r="C852">
            <v>46085.599305555559</v>
          </cell>
          <cell r="G852" t="str">
            <v>FABIANO 03/02/26</v>
          </cell>
          <cell r="K852">
            <v>4736</v>
          </cell>
          <cell r="L852" t="str">
            <v>MRFX0001</v>
          </cell>
          <cell r="P852" t="str">
            <v>MISS RÔSE</v>
          </cell>
        </row>
        <row r="853">
          <cell r="B853">
            <v>46085.3125</v>
          </cell>
          <cell r="C853">
            <v>46085.598611111112</v>
          </cell>
          <cell r="G853" t="str">
            <v>FABIANO 03/02/26</v>
          </cell>
          <cell r="K853">
            <v>4560</v>
          </cell>
          <cell r="L853" t="str">
            <v>MRFX0001</v>
          </cell>
          <cell r="P853" t="str">
            <v>MISS RÔSE</v>
          </cell>
        </row>
        <row r="854">
          <cell r="B854">
            <v>46085.625</v>
          </cell>
          <cell r="C854">
            <v>46086.655555555553</v>
          </cell>
          <cell r="G854" t="str">
            <v>HABIBI 01</v>
          </cell>
          <cell r="K854">
            <v>220</v>
          </cell>
          <cell r="L854" t="str">
            <v>HBHD0005</v>
          </cell>
          <cell r="P854" t="str">
            <v>HABIBI PERFUMES</v>
          </cell>
        </row>
        <row r="855">
          <cell r="B855">
            <v>46085.645833333336</v>
          </cell>
          <cell r="C855">
            <v>46085.673611111109</v>
          </cell>
          <cell r="G855" t="str">
            <v>HABIBI 01</v>
          </cell>
          <cell r="K855">
            <v>157</v>
          </cell>
          <cell r="L855" t="str">
            <v>HBHD0001</v>
          </cell>
          <cell r="P855" t="str">
            <v>HABIBI PERFUMES</v>
          </cell>
        </row>
        <row r="856">
          <cell r="B856">
            <v>46086.375</v>
          </cell>
          <cell r="C856">
            <v>46086.430555555555</v>
          </cell>
          <cell r="G856" t="str">
            <v>HABIBI 01</v>
          </cell>
          <cell r="K856">
            <v>139</v>
          </cell>
          <cell r="L856" t="str">
            <v>HBHD0002</v>
          </cell>
          <cell r="P856" t="str">
            <v>HABIBI PERFUMES</v>
          </cell>
        </row>
        <row r="857">
          <cell r="B857">
            <v>46086.4375</v>
          </cell>
          <cell r="C857">
            <v>46086.46875</v>
          </cell>
          <cell r="G857" t="str">
            <v>HABIBI 01</v>
          </cell>
          <cell r="K857">
            <v>130</v>
          </cell>
          <cell r="L857" t="str">
            <v>HBHD0007</v>
          </cell>
          <cell r="P857" t="str">
            <v>HABIBI PERFUMES</v>
          </cell>
        </row>
        <row r="858">
          <cell r="B858">
            <v>46086.455555555556</v>
          </cell>
          <cell r="C858">
            <v>46087.347222222219</v>
          </cell>
          <cell r="G858" t="str">
            <v>FABIANO 03/02/26</v>
          </cell>
          <cell r="K858">
            <v>4832</v>
          </cell>
          <cell r="L858" t="str">
            <v>MRFX0001</v>
          </cell>
          <cell r="P858" t="str">
            <v>MISS RÔSE</v>
          </cell>
        </row>
        <row r="859">
          <cell r="B859">
            <v>46086.618055555555</v>
          </cell>
          <cell r="C859">
            <v>46086.625</v>
          </cell>
          <cell r="G859" t="str">
            <v>HABIBI 01</v>
          </cell>
          <cell r="K859">
            <v>158</v>
          </cell>
          <cell r="L859" t="str">
            <v>HBHD0004</v>
          </cell>
          <cell r="P859" t="str">
            <v>HABIBI PERFUMES</v>
          </cell>
        </row>
        <row r="860">
          <cell r="B860">
            <v>46086.666666666664</v>
          </cell>
          <cell r="C860">
            <v>46086.690972222219</v>
          </cell>
          <cell r="G860" t="str">
            <v>HABIBI 01</v>
          </cell>
          <cell r="K860">
            <v>144</v>
          </cell>
          <cell r="L860" t="str">
            <v>HBHD0006</v>
          </cell>
          <cell r="P860" t="str">
            <v>HABIBI PERFUMES</v>
          </cell>
        </row>
        <row r="861">
          <cell r="B861">
            <v>46087.304166666669</v>
          </cell>
          <cell r="C861">
            <v>46087.319444444445</v>
          </cell>
          <cell r="G861" t="str">
            <v>HABIBI 01</v>
          </cell>
          <cell r="K861">
            <v>144</v>
          </cell>
          <cell r="L861" t="str">
            <v>HBHD0008</v>
          </cell>
          <cell r="P861" t="str">
            <v>HABIBI PERFUMES</v>
          </cell>
        </row>
        <row r="862">
          <cell r="B862">
            <v>46087.347916666666</v>
          </cell>
          <cell r="C862">
            <v>46087.387499999997</v>
          </cell>
          <cell r="G862" t="str">
            <v>HABIBI 01</v>
          </cell>
          <cell r="K862">
            <v>151</v>
          </cell>
          <cell r="L862" t="str">
            <v>HBHD0003</v>
          </cell>
          <cell r="P862" t="str">
            <v>HABIBI PERFUMES</v>
          </cell>
        </row>
        <row r="863">
          <cell r="B863">
            <v>46087.455555555556</v>
          </cell>
          <cell r="C863">
            <v>46088.541666666664</v>
          </cell>
          <cell r="G863" t="str">
            <v>FABIANO 03/02/26</v>
          </cell>
          <cell r="K863">
            <v>4640</v>
          </cell>
          <cell r="L863" t="str">
            <v>MRFX0001</v>
          </cell>
          <cell r="P863" t="str">
            <v>MISS RÔSE</v>
          </cell>
        </row>
        <row r="864">
          <cell r="B864">
            <v>46087.541666666664</v>
          </cell>
          <cell r="C864">
            <v>46088.39166666667</v>
          </cell>
          <cell r="G864" t="str">
            <v>FABIANO 03/02/26</v>
          </cell>
          <cell r="K864">
            <v>4672</v>
          </cell>
          <cell r="L864" t="str">
            <v>MRFX0001</v>
          </cell>
          <cell r="P864" t="str">
            <v>MISS RÔSE</v>
          </cell>
        </row>
        <row r="865">
          <cell r="B865">
            <v>46088.39166666667</v>
          </cell>
          <cell r="C865">
            <v>46090.319444444445</v>
          </cell>
          <cell r="G865" t="str">
            <v>FABIANO 03/02/26</v>
          </cell>
          <cell r="K865">
            <v>5040</v>
          </cell>
          <cell r="L865" t="str">
            <v>MRFX0001</v>
          </cell>
          <cell r="P865" t="str">
            <v>MISS RÔSE</v>
          </cell>
        </row>
        <row r="866">
          <cell r="B866">
            <v>46090.319444444445</v>
          </cell>
          <cell r="C866">
            <v>46090.442361111112</v>
          </cell>
          <cell r="G866" t="str">
            <v>FABIANO 03/02/26</v>
          </cell>
          <cell r="K866">
            <v>2816</v>
          </cell>
          <cell r="L866" t="str">
            <v>MRFX0001</v>
          </cell>
          <cell r="P866" t="str">
            <v>MISS RÔSE</v>
          </cell>
        </row>
        <row r="867">
          <cell r="B867">
            <v>46090.438194444447</v>
          </cell>
          <cell r="C867">
            <v>46090.643055555556</v>
          </cell>
          <cell r="G867" t="str">
            <v>REPOSICAO BRIA 01</v>
          </cell>
          <cell r="K867">
            <v>4400</v>
          </cell>
          <cell r="L867" t="str">
            <v>BBSJBS05-2</v>
          </cell>
          <cell r="P867" t="str">
            <v>BRIA BEAUTY</v>
          </cell>
        </row>
        <row r="868">
          <cell r="B868">
            <v>46090.643750000003</v>
          </cell>
          <cell r="C868">
            <v>46091.493055555555</v>
          </cell>
          <cell r="G868" t="str">
            <v>REPOSICAO BRIA 01</v>
          </cell>
          <cell r="K868">
            <v>4960</v>
          </cell>
          <cell r="L868" t="str">
            <v>BBSJBS05-2</v>
          </cell>
          <cell r="P868" t="str">
            <v>BRIA BEAUTY</v>
          </cell>
        </row>
        <row r="869">
          <cell r="B869">
            <v>46091.479166666664</v>
          </cell>
          <cell r="C869">
            <v>46091.6875</v>
          </cell>
          <cell r="G869" t="str">
            <v>REPOSICAO BRIA 01</v>
          </cell>
          <cell r="K869">
            <v>4000</v>
          </cell>
          <cell r="L869" t="str">
            <v>BBSJBS05-2</v>
          </cell>
          <cell r="P869" t="str">
            <v>BRIA BEAUTY</v>
          </cell>
        </row>
        <row r="870">
          <cell r="B870">
            <v>46091.479166666664</v>
          </cell>
          <cell r="C870">
            <v>46092.381944444445</v>
          </cell>
          <cell r="G870" t="str">
            <v>REPOSICAO BRIA 01</v>
          </cell>
          <cell r="K870">
            <v>4480</v>
          </cell>
          <cell r="L870" t="str">
            <v>BBSJBS05-2</v>
          </cell>
          <cell r="P870" t="str">
            <v>BRIA BEAUTY</v>
          </cell>
        </row>
        <row r="871">
          <cell r="B871">
            <v>46092.340277777781</v>
          </cell>
          <cell r="C871">
            <v>46092.481944444444</v>
          </cell>
          <cell r="G871" t="str">
            <v>MARIO 09/02/26</v>
          </cell>
          <cell r="K871">
            <v>2688</v>
          </cell>
          <cell r="L871" t="str">
            <v>GZLBBS01</v>
          </cell>
          <cell r="P871" t="str">
            <v>GOTA ZEN</v>
          </cell>
        </row>
        <row r="872">
          <cell r="B872">
            <v>46092.384027777778</v>
          </cell>
          <cell r="C872">
            <v>46092.649305555555</v>
          </cell>
          <cell r="G872" t="str">
            <v>REPOSICAO BRIA 01</v>
          </cell>
          <cell r="K872">
            <v>4320</v>
          </cell>
          <cell r="L872" t="str">
            <v>BBSJBS05-2</v>
          </cell>
          <cell r="P872" t="str">
            <v>BRIA BEAUTY</v>
          </cell>
        </row>
        <row r="873">
          <cell r="B873">
            <v>46092.486111111109</v>
          </cell>
          <cell r="C873">
            <v>46092.604166666664</v>
          </cell>
          <cell r="G873" t="str">
            <v>MARIO 09/02/26</v>
          </cell>
          <cell r="K873">
            <v>2680</v>
          </cell>
          <cell r="L873" t="str">
            <v>GZLBBS02</v>
          </cell>
          <cell r="P873" t="str">
            <v>GOTA ZEN</v>
          </cell>
        </row>
        <row r="874">
          <cell r="B874">
            <v>46092.666666666664</v>
          </cell>
          <cell r="C874">
            <v>46093.4375</v>
          </cell>
          <cell r="G874" t="str">
            <v>REPOSICAO BRIA 01</v>
          </cell>
          <cell r="K874">
            <v>3280</v>
          </cell>
          <cell r="L874" t="str">
            <v>BBSJBS05-2</v>
          </cell>
          <cell r="P874" t="str">
            <v>BRIA BEAUTY</v>
          </cell>
        </row>
        <row r="875">
          <cell r="B875">
            <v>46093.305555555555</v>
          </cell>
          <cell r="C875">
            <v>46093.431250000001</v>
          </cell>
          <cell r="G875" t="str">
            <v>MARIO 09/02/26</v>
          </cell>
          <cell r="K875">
            <v>2724</v>
          </cell>
          <cell r="L875" t="str">
            <v>GZLBBS03</v>
          </cell>
          <cell r="P875" t="str">
            <v>GOTA ZEN</v>
          </cell>
        </row>
        <row r="876">
          <cell r="B876">
            <v>46093.440972222219</v>
          </cell>
          <cell r="C876">
            <v>46093.647222222222</v>
          </cell>
          <cell r="G876" t="str">
            <v>MARIO 09/02/26</v>
          </cell>
          <cell r="K876">
            <v>2718</v>
          </cell>
          <cell r="L876" t="str">
            <v>GZLBBS04</v>
          </cell>
          <cell r="P876" t="str">
            <v>GOTA ZEN</v>
          </cell>
        </row>
        <row r="877">
          <cell r="B877">
            <v>46093.440972222219</v>
          </cell>
          <cell r="C877">
            <v>46093.59375</v>
          </cell>
          <cell r="G877" t="str">
            <v>REPOSICAO BRIA 01</v>
          </cell>
          <cell r="K877">
            <v>1654</v>
          </cell>
          <cell r="L877" t="str">
            <v>BBSJBS05-2</v>
          </cell>
          <cell r="P877" t="str">
            <v>BRIA BEAUTY</v>
          </cell>
        </row>
        <row r="878">
          <cell r="B878">
            <v>46093.612500000003</v>
          </cell>
          <cell r="C878">
            <v>46094.458333333336</v>
          </cell>
          <cell r="G878" t="str">
            <v>REPOSICAO BRIA 01</v>
          </cell>
          <cell r="K878">
            <v>4960</v>
          </cell>
          <cell r="L878" t="str">
            <v>BBSJBS04-2</v>
          </cell>
          <cell r="P878" t="str">
            <v>BRIA BEAUTY</v>
          </cell>
        </row>
        <row r="879">
          <cell r="B879">
            <v>46093.666666666664</v>
          </cell>
          <cell r="C879">
            <v>46094.606944444444</v>
          </cell>
          <cell r="G879" t="str">
            <v>REPOSICAO BRIA 01</v>
          </cell>
          <cell r="K879">
            <v>4480</v>
          </cell>
          <cell r="L879" t="str">
            <v>BBSJBS04-2</v>
          </cell>
          <cell r="P879" t="str">
            <v>BRIA BEAUTY</v>
          </cell>
        </row>
        <row r="880">
          <cell r="B880">
            <v>46094.606944444444</v>
          </cell>
          <cell r="C880">
            <v>46097.583333333336</v>
          </cell>
          <cell r="G880" t="str">
            <v>REPOSICAO BRIA 01</v>
          </cell>
          <cell r="K880">
            <v>4320</v>
          </cell>
          <cell r="L880" t="str">
            <v>BBSJBS04-2</v>
          </cell>
          <cell r="P880" t="str">
            <v>BRIA BEAUTY</v>
          </cell>
        </row>
        <row r="881">
          <cell r="B881">
            <v>46097.489583333336</v>
          </cell>
          <cell r="C881">
            <v>46097.661111111112</v>
          </cell>
          <cell r="G881" t="str">
            <v>HABIBI 01</v>
          </cell>
          <cell r="K881">
            <v>1735</v>
          </cell>
          <cell r="L881" t="str">
            <v>HBHD0008</v>
          </cell>
          <cell r="P881" t="str">
            <v>HABIBI PERFUMES</v>
          </cell>
        </row>
        <row r="882">
          <cell r="B882">
            <v>46097.583333333336</v>
          </cell>
          <cell r="C882">
            <v>46098.40625</v>
          </cell>
          <cell r="G882" t="str">
            <v>REPOSICAO BRIA 01</v>
          </cell>
          <cell r="K882">
            <v>3427</v>
          </cell>
          <cell r="L882" t="str">
            <v>BBSJBS04-2</v>
          </cell>
          <cell r="P882" t="str">
            <v>BRIA BEAUTY</v>
          </cell>
        </row>
        <row r="883">
          <cell r="B883">
            <v>46097.635416666664</v>
          </cell>
          <cell r="C883">
            <v>46098.427083333336</v>
          </cell>
          <cell r="G883" t="str">
            <v>HABIBI 01</v>
          </cell>
          <cell r="K883">
            <v>1965</v>
          </cell>
          <cell r="L883" t="str">
            <v>HBHD0002</v>
          </cell>
          <cell r="P883" t="str">
            <v>HABIBI PERFUMES</v>
          </cell>
        </row>
        <row r="884">
          <cell r="B884">
            <v>46098.430555555555</v>
          </cell>
          <cell r="C884">
            <v>46098.638888888891</v>
          </cell>
          <cell r="G884" t="str">
            <v>HABIBI 01</v>
          </cell>
          <cell r="K884">
            <v>1936</v>
          </cell>
          <cell r="L884" t="str">
            <v>HBHD0007</v>
          </cell>
          <cell r="P884" t="str">
            <v>HABIBI PERFUMES</v>
          </cell>
        </row>
        <row r="885">
          <cell r="B885">
            <v>46098.638888888891</v>
          </cell>
          <cell r="C885">
            <v>46099.344444444447</v>
          </cell>
          <cell r="G885" t="str">
            <v>REPOSICAO BRIA 01</v>
          </cell>
          <cell r="K885">
            <v>4320</v>
          </cell>
          <cell r="L885" t="str">
            <v>BBSJBS03-2</v>
          </cell>
          <cell r="P885" t="str">
            <v>BRIA BEAUTY</v>
          </cell>
        </row>
        <row r="886">
          <cell r="B886">
            <v>46098.652777777781</v>
          </cell>
          <cell r="C886">
            <v>46099.398611111108</v>
          </cell>
          <cell r="G886" t="str">
            <v>HABIBI 01</v>
          </cell>
          <cell r="K886">
            <v>1869</v>
          </cell>
          <cell r="L886" t="str">
            <v>HBHD0006</v>
          </cell>
          <cell r="P886" t="str">
            <v>HABIBI PERFUMES</v>
          </cell>
        </row>
        <row r="887">
          <cell r="B887">
            <v>46099.345138888886</v>
          </cell>
          <cell r="C887">
            <v>46099.652777777781</v>
          </cell>
          <cell r="G887" t="str">
            <v>REPOSICAO BRIA 01</v>
          </cell>
          <cell r="K887">
            <v>4409</v>
          </cell>
          <cell r="L887" t="str">
            <v>BBSJBS03-2</v>
          </cell>
          <cell r="P887" t="str">
            <v>BRIA BEAUTY</v>
          </cell>
        </row>
        <row r="888">
          <cell r="B888">
            <v>46099.447916666664</v>
          </cell>
          <cell r="C888">
            <v>46099.620138888888</v>
          </cell>
          <cell r="G888" t="str">
            <v>HABIBI 01</v>
          </cell>
          <cell r="K888">
            <v>1968</v>
          </cell>
          <cell r="L888" t="str">
            <v>HBHD0003</v>
          </cell>
          <cell r="P888" t="str">
            <v>HABIBI PERFUMES</v>
          </cell>
        </row>
        <row r="889">
          <cell r="B889">
            <v>46099.656944444447</v>
          </cell>
          <cell r="C889">
            <v>46100.489583333336</v>
          </cell>
          <cell r="G889" t="str">
            <v>REPOSICAO BRIA 01</v>
          </cell>
          <cell r="K889">
            <v>4320</v>
          </cell>
          <cell r="L889" t="str">
            <v>BBSJBS02-2</v>
          </cell>
          <cell r="P889" t="str">
            <v>BRIA BEAUTY</v>
          </cell>
        </row>
        <row r="890">
          <cell r="B890">
            <v>46100.343055555553</v>
          </cell>
          <cell r="C890">
            <v>46100.554166666669</v>
          </cell>
          <cell r="G890" t="str">
            <v>MARIO 09/02/26</v>
          </cell>
          <cell r="K890">
            <v>2428</v>
          </cell>
          <cell r="L890" t="str">
            <v>GZLBBS06</v>
          </cell>
          <cell r="P890" t="str">
            <v>GOTA ZEN</v>
          </cell>
        </row>
        <row r="891">
          <cell r="B891">
            <v>46100.489583333336</v>
          </cell>
          <cell r="C891">
            <v>46101.426388888889</v>
          </cell>
          <cell r="G891" t="str">
            <v>REPOSICAO BRIA 01</v>
          </cell>
          <cell r="K891">
            <v>4545</v>
          </cell>
          <cell r="L891" t="str">
            <v>BBSJBS02-2</v>
          </cell>
          <cell r="P891" t="str">
            <v>BRIA BEAUTY</v>
          </cell>
        </row>
        <row r="892">
          <cell r="B892">
            <v>46100.583333333336</v>
          </cell>
          <cell r="C892">
            <v>46100.694444444445</v>
          </cell>
          <cell r="G892" t="str">
            <v>HABIBI 01</v>
          </cell>
          <cell r="K892">
            <v>1952</v>
          </cell>
          <cell r="L892" t="str">
            <v>HBHD0005</v>
          </cell>
          <cell r="P892" t="str">
            <v>HABIBI PERFUMES</v>
          </cell>
        </row>
        <row r="893">
          <cell r="B893">
            <v>46101.298611111109</v>
          </cell>
          <cell r="C893">
            <v>46101.484722222223</v>
          </cell>
          <cell r="G893" t="str">
            <v>HABIBI 01</v>
          </cell>
          <cell r="K893">
            <v>1980</v>
          </cell>
          <cell r="L893" t="str">
            <v>HBHD0001</v>
          </cell>
          <cell r="P893" t="str">
            <v>HABIBI PERFUMES</v>
          </cell>
        </row>
        <row r="894">
          <cell r="B894">
            <v>46101.424305555556</v>
          </cell>
          <cell r="C894">
            <v>46104.333333333336</v>
          </cell>
          <cell r="G894" t="str">
            <v>REPOSICAO BRIA 01</v>
          </cell>
          <cell r="K894">
            <v>4240</v>
          </cell>
          <cell r="L894" t="str">
            <v>BBSJBS01-2</v>
          </cell>
          <cell r="P894" t="str">
            <v>BRIA BEAUTY</v>
          </cell>
        </row>
        <row r="895">
          <cell r="B895">
            <v>46101.541666666664</v>
          </cell>
          <cell r="C895">
            <v>46104.316666666666</v>
          </cell>
          <cell r="G895" t="str">
            <v>HABIBI 01</v>
          </cell>
          <cell r="K895">
            <v>1971</v>
          </cell>
          <cell r="L895" t="str">
            <v>HBHD0004</v>
          </cell>
          <cell r="P895" t="str">
            <v>HABIBI PERFUMES</v>
          </cell>
        </row>
        <row r="896">
          <cell r="B896">
            <v>46104.333333333336</v>
          </cell>
          <cell r="C896">
            <v>46104.642361111109</v>
          </cell>
          <cell r="G896" t="str">
            <v>REPOSICAO BRIA 01</v>
          </cell>
          <cell r="K896">
            <v>4480</v>
          </cell>
          <cell r="L896" t="str">
            <v>BBSJBS01-2</v>
          </cell>
          <cell r="P896" t="str">
            <v>BRIA BEAUTY</v>
          </cell>
        </row>
        <row r="897">
          <cell r="B897">
            <v>46104.398611111108</v>
          </cell>
          <cell r="C897">
            <v>46104.473611111112</v>
          </cell>
          <cell r="G897" t="str">
            <v>MARIO 09/02/26</v>
          </cell>
          <cell r="K897">
            <v>1392</v>
          </cell>
          <cell r="L897" t="str">
            <v>GZLBBS05</v>
          </cell>
          <cell r="P897" t="str">
            <v>GOTA ZEN</v>
          </cell>
        </row>
        <row r="898">
          <cell r="B898">
            <v>46104.416666666664</v>
          </cell>
          <cell r="C898">
            <v>46107.340277777781</v>
          </cell>
          <cell r="G898" t="str">
            <v>CAMIE 04/03</v>
          </cell>
          <cell r="K898">
            <v>2919</v>
          </cell>
          <cell r="L898" t="str">
            <v>CMGL0001</v>
          </cell>
          <cell r="P898" t="str">
            <v>CAMIE BEAUTY</v>
          </cell>
        </row>
        <row r="899">
          <cell r="B899">
            <v>46104.470138888886</v>
          </cell>
          <cell r="C899">
            <v>46104.666666666664</v>
          </cell>
          <cell r="G899" t="str">
            <v>MARIO 09/02/26</v>
          </cell>
          <cell r="K899">
            <v>1440</v>
          </cell>
          <cell r="L899" t="str">
            <v>GZLBBS05</v>
          </cell>
          <cell r="P899" t="str">
            <v>GOTA ZEN</v>
          </cell>
        </row>
        <row r="900">
          <cell r="B900">
            <v>46104.642361111109</v>
          </cell>
          <cell r="C900">
            <v>46105.418749999997</v>
          </cell>
          <cell r="G900" t="str">
            <v>REPOSICAO BRIA 01</v>
          </cell>
          <cell r="K900">
            <v>4080</v>
          </cell>
          <cell r="L900" t="str">
            <v>BBSJBS01-2</v>
          </cell>
          <cell r="P900" t="str">
            <v>BRIA BEAUTY</v>
          </cell>
        </row>
        <row r="901">
          <cell r="B901">
            <v>46104.652777777781</v>
          </cell>
          <cell r="C901">
            <v>46104.673611111109</v>
          </cell>
          <cell r="G901" t="str">
            <v>MARIO 09/02/26</v>
          </cell>
          <cell r="K901">
            <v>96</v>
          </cell>
          <cell r="L901" t="str">
            <v>GZLBBS05</v>
          </cell>
          <cell r="P901" t="str">
            <v>GOTA ZEN</v>
          </cell>
        </row>
        <row r="902">
          <cell r="B902">
            <v>46105.341666666667</v>
          </cell>
          <cell r="C902">
            <v>46105.353472222225</v>
          </cell>
          <cell r="G902" t="str">
            <v>MARIO 09/02/26</v>
          </cell>
          <cell r="K902">
            <v>123</v>
          </cell>
          <cell r="L902" t="str">
            <v>GZLBBS06</v>
          </cell>
          <cell r="P902" t="str">
            <v>GOTA ZEN</v>
          </cell>
        </row>
        <row r="903">
          <cell r="B903">
            <v>46105.418055555558</v>
          </cell>
          <cell r="C903">
            <v>46105.669444444444</v>
          </cell>
          <cell r="G903" t="str">
            <v>REPOSICAO BRIA 01</v>
          </cell>
          <cell r="K903">
            <v>4480</v>
          </cell>
          <cell r="L903" t="str">
            <v>BBSJBS01-2</v>
          </cell>
          <cell r="P903" t="str">
            <v>BRIA BEAUTY</v>
          </cell>
        </row>
        <row r="904">
          <cell r="B904">
            <v>46105.541666666664</v>
          </cell>
          <cell r="C904">
            <v>46106.416666666664</v>
          </cell>
          <cell r="G904" t="str">
            <v>CAMIE 04/03</v>
          </cell>
          <cell r="K904">
            <v>3082</v>
          </cell>
          <cell r="L904" t="str">
            <v>CMBS0001</v>
          </cell>
          <cell r="P904" t="str">
            <v>CAMIE BEAUTY</v>
          </cell>
        </row>
        <row r="905">
          <cell r="B905">
            <v>46106.340277777781</v>
          </cell>
          <cell r="C905">
            <v>46107.375</v>
          </cell>
          <cell r="G905" t="str">
            <v>MARIO 09/02/26</v>
          </cell>
          <cell r="K905">
            <v>174</v>
          </cell>
          <cell r="L905" t="str">
            <v>GZLBBS01</v>
          </cell>
          <cell r="P905" t="str">
            <v>GOTA ZEN</v>
          </cell>
        </row>
        <row r="906">
          <cell r="B906">
            <v>46106.416666666664</v>
          </cell>
          <cell r="C906">
            <v>46106.645833333336</v>
          </cell>
          <cell r="G906" t="str">
            <v>CAMIE 04/03</v>
          </cell>
          <cell r="K906">
            <v>2744</v>
          </cell>
          <cell r="L906" t="str">
            <v>CMOC0001</v>
          </cell>
          <cell r="P906" t="str">
            <v>CAMIE BEAUTY</v>
          </cell>
        </row>
        <row r="907">
          <cell r="B907">
            <v>46107.291666666664</v>
          </cell>
          <cell r="C907">
            <v>46107.333333333336</v>
          </cell>
          <cell r="G907" t="str">
            <v>MARIO 09/02/26</v>
          </cell>
          <cell r="K907">
            <v>372</v>
          </cell>
          <cell r="L907" t="str">
            <v>GZLBBS06</v>
          </cell>
          <cell r="P907" t="str">
            <v>GOTA ZEN</v>
          </cell>
        </row>
        <row r="908">
          <cell r="B908">
            <v>46107.385416666664</v>
          </cell>
          <cell r="C908">
            <v>46107.447916666664</v>
          </cell>
          <cell r="G908" t="str">
            <v>AMEERATI 01</v>
          </cell>
          <cell r="K908">
            <v>1305</v>
          </cell>
          <cell r="L908" t="str">
            <v>AMNCBS02</v>
          </cell>
          <cell r="P908" t="str">
            <v>AMEERATI</v>
          </cell>
        </row>
        <row r="909">
          <cell r="B909">
            <v>46107.451388888891</v>
          </cell>
          <cell r="C909">
            <v>46107.604166666664</v>
          </cell>
          <cell r="G909" t="str">
            <v>AMEERATI 01</v>
          </cell>
          <cell r="K909">
            <v>1542</v>
          </cell>
          <cell r="L909" t="str">
            <v>AMNCBS02</v>
          </cell>
          <cell r="P909" t="str">
            <v>AMEERATI</v>
          </cell>
        </row>
        <row r="910">
          <cell r="B910">
            <v>46107.634027777778</v>
          </cell>
          <cell r="C910">
            <v>46108.386805555558</v>
          </cell>
          <cell r="G910" t="str">
            <v>REPOSICAO BRIA 01</v>
          </cell>
          <cell r="K910">
            <v>4400</v>
          </cell>
          <cell r="L910" t="str">
            <v>BBSJBS02-2</v>
          </cell>
          <cell r="P910" t="str">
            <v>BRIA BEAUTY</v>
          </cell>
        </row>
        <row r="911">
          <cell r="B911">
            <v>46108.386805555558</v>
          </cell>
          <cell r="C911">
            <v>46108.555555555555</v>
          </cell>
          <cell r="G911" t="str">
            <v>REPOSICAO BRIA 01</v>
          </cell>
          <cell r="K911">
            <v>4240</v>
          </cell>
          <cell r="L911" t="str">
            <v>BBSJBS02-2</v>
          </cell>
          <cell r="P911" t="str">
            <v>BRIA BEAUTY</v>
          </cell>
        </row>
        <row r="912">
          <cell r="B912">
            <v>46108.555555555555</v>
          </cell>
          <cell r="C912">
            <v>46108.659722222219</v>
          </cell>
          <cell r="G912" t="str">
            <v>REPOSICAO BRIA 01</v>
          </cell>
          <cell r="K912">
            <v>2445</v>
          </cell>
          <cell r="L912" t="str">
            <v>BBSJBS02-2</v>
          </cell>
          <cell r="P912" t="str">
            <v>BRIA BEAUTY</v>
          </cell>
        </row>
        <row r="913">
          <cell r="B913">
            <v>46111.313888888886</v>
          </cell>
          <cell r="C913">
            <v>46111.469444444447</v>
          </cell>
          <cell r="G913" t="str">
            <v>REPOSICAO BRIA 01</v>
          </cell>
          <cell r="K913">
            <v>3920</v>
          </cell>
          <cell r="L913" t="str">
            <v>BBSJBS03-2</v>
          </cell>
          <cell r="P913" t="str">
            <v>BRIA BEAUTY</v>
          </cell>
        </row>
        <row r="914">
          <cell r="B914">
            <v>46111.469444444447</v>
          </cell>
          <cell r="C914">
            <v>46111.645138888889</v>
          </cell>
          <cell r="G914" t="str">
            <v>REPOSICAO BRIA 01</v>
          </cell>
          <cell r="K914">
            <v>3805</v>
          </cell>
          <cell r="L914" t="str">
            <v>BBSJBS03-2</v>
          </cell>
          <cell r="P914" t="str">
            <v>BRIA BEAUTY</v>
          </cell>
        </row>
        <row r="915">
          <cell r="B915">
            <v>46111.626388888886</v>
          </cell>
          <cell r="C915">
            <v>46112.347916666666</v>
          </cell>
          <cell r="G915" t="str">
            <v>PROG 01 25/03/26</v>
          </cell>
          <cell r="K915">
            <v>2592</v>
          </cell>
          <cell r="L915" t="str">
            <v>MRARBS01</v>
          </cell>
          <cell r="P915" t="str">
            <v>MISS RÔSE</v>
          </cell>
        </row>
        <row r="916">
          <cell r="B916">
            <v>46112.347916666666</v>
          </cell>
          <cell r="C916">
            <v>46112.456250000003</v>
          </cell>
          <cell r="G916" t="str">
            <v>PROG 01 25/03/26</v>
          </cell>
          <cell r="K916">
            <v>2880</v>
          </cell>
          <cell r="L916" t="str">
            <v>MRARBS01</v>
          </cell>
          <cell r="P916" t="str">
            <v>MISS RÔSE</v>
          </cell>
        </row>
        <row r="917">
          <cell r="B917">
            <v>46112.456250000003</v>
          </cell>
          <cell r="C917">
            <v>46112.65902777778</v>
          </cell>
          <cell r="G917" t="str">
            <v>PROG 01 25/03/26</v>
          </cell>
          <cell r="K917">
            <v>2832</v>
          </cell>
          <cell r="L917" t="str">
            <v>MRARBS01</v>
          </cell>
          <cell r="P917" t="str">
            <v>MISS RÔSE</v>
          </cell>
        </row>
        <row r="918">
          <cell r="B918">
            <v>46112.541666666664</v>
          </cell>
          <cell r="C918">
            <v>46112.651388888888</v>
          </cell>
          <cell r="G918" t="str">
            <v>AMEERATI 01</v>
          </cell>
          <cell r="K918">
            <v>1392</v>
          </cell>
          <cell r="L918" t="str">
            <v>AMNCBS05</v>
          </cell>
          <cell r="P918" t="str">
            <v>AMEERATI</v>
          </cell>
        </row>
        <row r="919">
          <cell r="B919">
            <v>46112.652083333334</v>
          </cell>
          <cell r="C919">
            <v>46113.363194444442</v>
          </cell>
          <cell r="G919" t="str">
            <v>AMEERATI 01</v>
          </cell>
          <cell r="K919">
            <v>1512</v>
          </cell>
          <cell r="L919" t="str">
            <v>AMNCBS05</v>
          </cell>
          <cell r="P919" t="str">
            <v>AMEERATI</v>
          </cell>
        </row>
        <row r="920">
          <cell r="B920">
            <v>46112.666666666664</v>
          </cell>
          <cell r="C920">
            <v>46112.704861111109</v>
          </cell>
          <cell r="G920" t="str">
            <v>PROG 01 25/03/26</v>
          </cell>
          <cell r="K920">
            <v>624</v>
          </cell>
          <cell r="L920" t="str">
            <v>MRARBS01</v>
          </cell>
          <cell r="P920" t="str">
            <v>MISS RÔSE</v>
          </cell>
        </row>
        <row r="921">
          <cell r="B921">
            <v>46113.384027777778</v>
          </cell>
          <cell r="C921">
            <v>46113.458333333336</v>
          </cell>
          <cell r="G921" t="str">
            <v>AMEERATI 01</v>
          </cell>
          <cell r="K921">
            <v>1152</v>
          </cell>
          <cell r="L921" t="str">
            <v>AMNCBS01</v>
          </cell>
          <cell r="P921" t="str">
            <v>AMEERATI</v>
          </cell>
        </row>
        <row r="922">
          <cell r="B922">
            <v>46113.482638888891</v>
          </cell>
          <cell r="C922">
            <v>46113.607638888891</v>
          </cell>
          <cell r="G922" t="str">
            <v>AMEERATI 01</v>
          </cell>
          <cell r="K922">
            <v>1282</v>
          </cell>
          <cell r="L922" t="str">
            <v>AMNCBS01</v>
          </cell>
          <cell r="P922" t="str">
            <v>AMEERATI</v>
          </cell>
        </row>
        <row r="923">
          <cell r="B923">
            <v>46113.604861111111</v>
          </cell>
          <cell r="C923">
            <v>46113.651388888888</v>
          </cell>
          <cell r="G923" t="str">
            <v>AMEERATI 01</v>
          </cell>
          <cell r="K923">
            <v>1272</v>
          </cell>
          <cell r="L923" t="str">
            <v>AMNCBS06</v>
          </cell>
          <cell r="P923" t="str">
            <v>AMEERATI</v>
          </cell>
        </row>
        <row r="924">
          <cell r="B924">
            <v>46113.671527777777</v>
          </cell>
          <cell r="C924">
            <v>46114.330555555556</v>
          </cell>
          <cell r="G924" t="str">
            <v>AMEERATI 01</v>
          </cell>
          <cell r="K924">
            <v>1180</v>
          </cell>
          <cell r="L924" t="str">
            <v>AMNCBS06</v>
          </cell>
          <cell r="P924" t="str">
            <v>AMEERATI</v>
          </cell>
        </row>
        <row r="925">
          <cell r="B925">
            <v>46114.363194444442</v>
          </cell>
          <cell r="C925">
            <v>46114.446527777778</v>
          </cell>
          <cell r="G925" t="str">
            <v>AMEERATI 01</v>
          </cell>
          <cell r="K925">
            <v>1248</v>
          </cell>
          <cell r="L925" t="str">
            <v>AMABBS02</v>
          </cell>
          <cell r="P925" t="str">
            <v>AMEERATI</v>
          </cell>
        </row>
        <row r="926">
          <cell r="B926">
            <v>46114.425000000003</v>
          </cell>
          <cell r="C926">
            <v>46114.615972222222</v>
          </cell>
          <cell r="G926" t="str">
            <v>AMEERATI 01</v>
          </cell>
          <cell r="K926">
            <v>1310</v>
          </cell>
          <cell r="L926" t="str">
            <v>AMABBS02</v>
          </cell>
          <cell r="P926" t="str">
            <v>AMEERATI</v>
          </cell>
        </row>
        <row r="927">
          <cell r="B927">
            <v>46114.604166666664</v>
          </cell>
          <cell r="C927">
            <v>46114.662499999999</v>
          </cell>
          <cell r="G927" t="str">
            <v>AMEERATI 01</v>
          </cell>
          <cell r="K927">
            <v>1320</v>
          </cell>
          <cell r="L927" t="str">
            <v>AMABBS01</v>
          </cell>
          <cell r="P927" t="str">
            <v>AMEERATI</v>
          </cell>
        </row>
        <row r="928">
          <cell r="B928">
            <v>46114.65625</v>
          </cell>
          <cell r="C928">
            <v>46118.328472222223</v>
          </cell>
          <cell r="G928" t="str">
            <v>AMEERATI 01</v>
          </cell>
          <cell r="K928">
            <v>1253</v>
          </cell>
          <cell r="L928" t="str">
            <v>AMABBS01</v>
          </cell>
          <cell r="P928" t="str">
            <v>AMEERATI</v>
          </cell>
        </row>
        <row r="929">
          <cell r="B929">
            <v>46118.347916666666</v>
          </cell>
          <cell r="C929">
            <v>46118.436111111114</v>
          </cell>
          <cell r="G929" t="str">
            <v>PROG 01 25/03/26</v>
          </cell>
          <cell r="K929">
            <v>2736</v>
          </cell>
          <cell r="L929" t="str">
            <v>MRARBS01</v>
          </cell>
          <cell r="P929" t="str">
            <v>MISS RÔSE</v>
          </cell>
        </row>
        <row r="930">
          <cell r="B930">
            <v>46118.436111111114</v>
          </cell>
          <cell r="C930">
            <v>46118.569444444445</v>
          </cell>
          <cell r="G930" t="str">
            <v>PROG 01 25/03/26</v>
          </cell>
          <cell r="K930">
            <v>2592</v>
          </cell>
          <cell r="L930" t="str">
            <v>MRARBS01</v>
          </cell>
          <cell r="P930" t="str">
            <v>MISS RÔSE</v>
          </cell>
        </row>
        <row r="931">
          <cell r="B931">
            <v>46118.545138888891</v>
          </cell>
          <cell r="C931">
            <v>46118.599305555559</v>
          </cell>
          <cell r="G931" t="str">
            <v>AMEERATI 01</v>
          </cell>
          <cell r="K931">
            <v>1272</v>
          </cell>
          <cell r="L931" t="str">
            <v>AMABBS08</v>
          </cell>
          <cell r="P931" t="str">
            <v>AMEERATI</v>
          </cell>
        </row>
        <row r="932">
          <cell r="B932">
            <v>46118.571527777778</v>
          </cell>
          <cell r="C932">
            <v>46118.690972222219</v>
          </cell>
          <cell r="G932" t="str">
            <v>PROG 01 25/03/26</v>
          </cell>
          <cell r="K932">
            <v>2784</v>
          </cell>
          <cell r="L932" t="str">
            <v>MRARBS01</v>
          </cell>
          <cell r="P932" t="str">
            <v>MISS RÔSE</v>
          </cell>
        </row>
        <row r="933">
          <cell r="B933">
            <v>46118.599305555559</v>
          </cell>
          <cell r="C933">
            <v>46118.68472222222</v>
          </cell>
          <cell r="G933" t="str">
            <v>AMEERATI 01</v>
          </cell>
          <cell r="K933">
            <v>1344</v>
          </cell>
          <cell r="L933" t="str">
            <v>AMABBS08</v>
          </cell>
          <cell r="P933" t="str">
            <v>AMEERATI</v>
          </cell>
        </row>
        <row r="934">
          <cell r="B934">
            <v>46118.692361111112</v>
          </cell>
          <cell r="C934">
            <v>46119.364583333336</v>
          </cell>
          <cell r="G934" t="str">
            <v>PROG 01 25/03/26</v>
          </cell>
          <cell r="K934">
            <v>2640</v>
          </cell>
          <cell r="L934" t="str">
            <v>MRARBS01</v>
          </cell>
          <cell r="P934" t="str">
            <v>MISS RÔSE</v>
          </cell>
        </row>
        <row r="935">
          <cell r="B935">
            <v>46119.364583333336</v>
          </cell>
          <cell r="C935">
            <v>46119.495833333334</v>
          </cell>
          <cell r="G935" t="str">
            <v>PROG 01 25/03/26</v>
          </cell>
          <cell r="K935">
            <v>2669</v>
          </cell>
          <cell r="L935" t="str">
            <v>MRARBS01</v>
          </cell>
          <cell r="P935" t="str">
            <v>MISS RÔSE</v>
          </cell>
        </row>
        <row r="936">
          <cell r="B936">
            <v>46119.367361111108</v>
          </cell>
          <cell r="C936">
            <v>46119.436111111114</v>
          </cell>
          <cell r="G936" t="str">
            <v>AMEERATI 01</v>
          </cell>
          <cell r="K936">
            <v>1176</v>
          </cell>
          <cell r="L936" t="str">
            <v>AMABBS07</v>
          </cell>
          <cell r="P936" t="str">
            <v>AMEERATI</v>
          </cell>
        </row>
        <row r="937">
          <cell r="B937">
            <v>46119.436111111114</v>
          </cell>
          <cell r="C937">
            <v>46119.604166666664</v>
          </cell>
          <cell r="G937" t="str">
            <v>AMEERATI 01</v>
          </cell>
          <cell r="K937">
            <v>1358</v>
          </cell>
          <cell r="L937" t="str">
            <v>AMABBS07</v>
          </cell>
          <cell r="P937" t="str">
            <v>AMEERATI</v>
          </cell>
        </row>
        <row r="938">
          <cell r="B938">
            <v>46119.495833333334</v>
          </cell>
          <cell r="C938">
            <v>46119.666666666664</v>
          </cell>
          <cell r="G938" t="str">
            <v>PROG 01 25/03/26</v>
          </cell>
          <cell r="K938">
            <v>2644</v>
          </cell>
          <cell r="L938" t="str">
            <v>MRARBS01</v>
          </cell>
          <cell r="P938" t="str">
            <v>MISS RÔSE</v>
          </cell>
        </row>
        <row r="939">
          <cell r="B939">
            <v>46119.606944444444</v>
          </cell>
          <cell r="C939">
            <v>46119.674305555556</v>
          </cell>
          <cell r="G939" t="str">
            <v>AMEERATI 01</v>
          </cell>
          <cell r="K939">
            <v>1248</v>
          </cell>
          <cell r="L939" t="str">
            <v>AMABBS06</v>
          </cell>
          <cell r="P939" t="str">
            <v>AMEERATI</v>
          </cell>
        </row>
        <row r="940">
          <cell r="B940">
            <v>46119.674305555556</v>
          </cell>
          <cell r="C940">
            <v>46120.356249999997</v>
          </cell>
          <cell r="G940" t="str">
            <v>AMEERATI 01</v>
          </cell>
          <cell r="K940">
            <v>1279</v>
          </cell>
          <cell r="L940" t="str">
            <v>AMABBS06</v>
          </cell>
          <cell r="P940" t="str">
            <v>AMEERATI</v>
          </cell>
        </row>
        <row r="941">
          <cell r="B941">
            <v>46120.333333333336</v>
          </cell>
          <cell r="C941">
            <v>46120.400694444441</v>
          </cell>
          <cell r="G941" t="str">
            <v>AMEERATI 01</v>
          </cell>
          <cell r="K941">
            <v>1289</v>
          </cell>
          <cell r="L941" t="str">
            <v>AMABBS05</v>
          </cell>
          <cell r="P941" t="str">
            <v>AMEERATI</v>
          </cell>
        </row>
        <row r="942">
          <cell r="B942">
            <v>46120.39166666667</v>
          </cell>
          <cell r="C942">
            <v>46120.458333333336</v>
          </cell>
          <cell r="G942" t="str">
            <v>AMEERATI 01</v>
          </cell>
          <cell r="K942">
            <v>1222</v>
          </cell>
          <cell r="L942" t="str">
            <v>AMABBS05</v>
          </cell>
          <cell r="P942" t="str">
            <v>AMEERATI</v>
          </cell>
        </row>
        <row r="943">
          <cell r="B943">
            <v>46120.444444444445</v>
          </cell>
          <cell r="C943">
            <v>46120.613888888889</v>
          </cell>
          <cell r="G943" t="str">
            <v>PROG 01 25/03/26</v>
          </cell>
          <cell r="K943">
            <v>2688</v>
          </cell>
          <cell r="L943" t="str">
            <v>MRARBS04</v>
          </cell>
          <cell r="P943" t="str">
            <v>MISS RÔSE</v>
          </cell>
        </row>
        <row r="944">
          <cell r="B944">
            <v>46120.458333333336</v>
          </cell>
          <cell r="C944">
            <v>46120.581944444442</v>
          </cell>
          <cell r="G944" t="str">
            <v>AMEERATI 01</v>
          </cell>
          <cell r="K944">
            <v>1200</v>
          </cell>
          <cell r="L944" t="str">
            <v>AMABBS04</v>
          </cell>
          <cell r="P944" t="str">
            <v>AMEERATI</v>
          </cell>
        </row>
        <row r="945">
          <cell r="B945">
            <v>46120.583333333336</v>
          </cell>
          <cell r="C945">
            <v>46120.679166666669</v>
          </cell>
          <cell r="G945" t="str">
            <v>AMEERATI 01</v>
          </cell>
          <cell r="K945">
            <v>1315</v>
          </cell>
          <cell r="L945" t="str">
            <v>AMABBS04</v>
          </cell>
          <cell r="P945" t="str">
            <v>AMEERATI</v>
          </cell>
        </row>
        <row r="946">
          <cell r="B946">
            <v>46120.613888888889</v>
          </cell>
          <cell r="C946">
            <v>46121.333333333336</v>
          </cell>
          <cell r="G946" t="str">
            <v>PROG 01 25/03/26</v>
          </cell>
          <cell r="K946">
            <v>2688</v>
          </cell>
          <cell r="L946" t="str">
            <v>MRARBS04</v>
          </cell>
          <cell r="P946" t="str">
            <v>MISS RÔSE</v>
          </cell>
        </row>
        <row r="947">
          <cell r="B947">
            <v>46121.305555555555</v>
          </cell>
          <cell r="C947">
            <v>46121.5625</v>
          </cell>
          <cell r="G947" t="str">
            <v>COMPLEMENTO PEDIDO 01/25</v>
          </cell>
          <cell r="K947">
            <v>821</v>
          </cell>
          <cell r="L947" t="str">
            <v>FBPF0001</v>
          </cell>
          <cell r="P947" t="str">
            <v>FILATO BENE</v>
          </cell>
        </row>
        <row r="948">
          <cell r="B948">
            <v>46121.340277777781</v>
          </cell>
          <cell r="C948">
            <v>46121.461805555555</v>
          </cell>
          <cell r="G948" t="str">
            <v>PROG 01 25/03/26</v>
          </cell>
          <cell r="K948">
            <v>2544</v>
          </cell>
          <cell r="L948" t="str">
            <v>MRARBS04</v>
          </cell>
          <cell r="P948" t="str">
            <v>MISS RÔSE</v>
          </cell>
        </row>
        <row r="949">
          <cell r="B949">
            <v>46121.361111111109</v>
          </cell>
          <cell r="C949">
            <v>46121.491666666669</v>
          </cell>
          <cell r="G949" t="str">
            <v>PROG 01 25/03/26</v>
          </cell>
          <cell r="K949">
            <v>2496</v>
          </cell>
          <cell r="L949" t="str">
            <v>MRARBS04</v>
          </cell>
          <cell r="P949" t="str">
            <v>MISS RÔSE</v>
          </cell>
        </row>
        <row r="950">
          <cell r="B950">
            <v>46121.458333333336</v>
          </cell>
          <cell r="C950">
            <v>46121.659722222219</v>
          </cell>
          <cell r="G950" t="str">
            <v>PROG 01 25/03/26</v>
          </cell>
          <cell r="K950">
            <v>2304</v>
          </cell>
          <cell r="L950" t="str">
            <v>MRARBS04</v>
          </cell>
          <cell r="P950" t="str">
            <v>MISS RÔSE</v>
          </cell>
        </row>
        <row r="951">
          <cell r="B951">
            <v>46121.545138888891</v>
          </cell>
          <cell r="C951">
            <v>46122.416666666664</v>
          </cell>
          <cell r="G951" t="str">
            <v>REPOSICAO 23/03</v>
          </cell>
          <cell r="K951">
            <v>2928</v>
          </cell>
          <cell r="L951" t="str">
            <v>MRARBS07</v>
          </cell>
          <cell r="P951" t="str">
            <v>MISS RÔSE</v>
          </cell>
        </row>
        <row r="952">
          <cell r="B952">
            <v>46121.5625</v>
          </cell>
          <cell r="C952">
            <v>46122.395833333336</v>
          </cell>
          <cell r="G952" t="str">
            <v>COMPLEMENTO PEDIDO 01/25</v>
          </cell>
          <cell r="K952">
            <v>904</v>
          </cell>
          <cell r="L952" t="str">
            <v>FBPF0002</v>
          </cell>
          <cell r="P952" t="str">
            <v>FILATO BENE</v>
          </cell>
        </row>
        <row r="953">
          <cell r="B953">
            <v>46121.659722222219</v>
          </cell>
          <cell r="C953">
            <v>46122.395833333336</v>
          </cell>
          <cell r="G953" t="str">
            <v>PROG 01 25/03/26</v>
          </cell>
          <cell r="K953">
            <v>2544</v>
          </cell>
          <cell r="L953" t="str">
            <v>MRARBS04</v>
          </cell>
          <cell r="P953" t="str">
            <v>MISS RÔSE</v>
          </cell>
        </row>
        <row r="954">
          <cell r="B954">
            <v>46122.416666666664</v>
          </cell>
          <cell r="C954">
            <v>46122.606249999997</v>
          </cell>
          <cell r="G954" t="str">
            <v>REPOSICAO 23/03</v>
          </cell>
          <cell r="K954">
            <v>2880</v>
          </cell>
          <cell r="L954" t="str">
            <v>MRARBS07</v>
          </cell>
          <cell r="P954" t="str">
            <v>MISS RÔSE</v>
          </cell>
        </row>
        <row r="955">
          <cell r="B955">
            <v>46122.606249999997</v>
          </cell>
          <cell r="C955">
            <v>46125.400694444441</v>
          </cell>
          <cell r="G955" t="str">
            <v>REPOSICAO 23/03</v>
          </cell>
          <cell r="K955">
            <v>2471</v>
          </cell>
          <cell r="L955" t="str">
            <v>MRARBS07</v>
          </cell>
          <cell r="P955" t="str">
            <v>MISS RÔSE</v>
          </cell>
        </row>
        <row r="956">
          <cell r="B956">
            <v>46125.322916666664</v>
          </cell>
          <cell r="C956">
            <v>46125.429166666669</v>
          </cell>
          <cell r="G956" t="str">
            <v>AMEERATI 01</v>
          </cell>
          <cell r="K956">
            <v>1296</v>
          </cell>
          <cell r="L956" t="str">
            <v>AMABBS03</v>
          </cell>
          <cell r="P956" t="str">
            <v>AMEERATI</v>
          </cell>
        </row>
        <row r="957">
          <cell r="B957">
            <v>46125.429166666669</v>
          </cell>
          <cell r="C957">
            <v>46125.541666666664</v>
          </cell>
          <cell r="G957" t="str">
            <v>AMEERATI 01</v>
          </cell>
          <cell r="K957">
            <v>1200</v>
          </cell>
          <cell r="L957" t="str">
            <v>AMABBS03</v>
          </cell>
          <cell r="P957" t="str">
            <v>AMEERATI</v>
          </cell>
        </row>
        <row r="958">
          <cell r="B958">
            <v>46125.541666666664</v>
          </cell>
          <cell r="C958">
            <v>46125.664583333331</v>
          </cell>
          <cell r="G958" t="str">
            <v>REPOSICAO 23/03</v>
          </cell>
          <cell r="K958">
            <v>2448</v>
          </cell>
          <cell r="L958" t="str">
            <v>MRARBS11</v>
          </cell>
          <cell r="P958" t="str">
            <v>MISS RÔSE</v>
          </cell>
        </row>
        <row r="959">
          <cell r="B959">
            <v>46125.567361111112</v>
          </cell>
          <cell r="C959">
            <v>46125.676388888889</v>
          </cell>
          <cell r="G959" t="str">
            <v>PROG 01 25/03/26</v>
          </cell>
          <cell r="K959">
            <v>2496</v>
          </cell>
          <cell r="L959" t="str">
            <v>MRARBS03</v>
          </cell>
          <cell r="P959" t="str">
            <v>MISS RÔSE</v>
          </cell>
        </row>
        <row r="960">
          <cell r="B960">
            <v>46125.664583333331</v>
          </cell>
          <cell r="C960">
            <v>46126.397916666669</v>
          </cell>
          <cell r="G960" t="str">
            <v>REPOSICAO 23/03</v>
          </cell>
          <cell r="K960">
            <v>2574</v>
          </cell>
          <cell r="L960" t="str">
            <v>MRARBS11</v>
          </cell>
          <cell r="P960" t="str">
            <v>MISS RÔSE</v>
          </cell>
        </row>
        <row r="961">
          <cell r="B961">
            <v>46125.676388888889</v>
          </cell>
          <cell r="C961">
            <v>46126.402777777781</v>
          </cell>
          <cell r="G961" t="str">
            <v>PROG 01 25/03/26</v>
          </cell>
          <cell r="K961">
            <v>2592</v>
          </cell>
          <cell r="L961" t="str">
            <v>MRARBS03</v>
          </cell>
          <cell r="P961" t="str">
            <v>MISS RÔSE</v>
          </cell>
        </row>
        <row r="962">
          <cell r="B962">
            <v>46126.397916666669</v>
          </cell>
          <cell r="C962">
            <v>46126.438888888886</v>
          </cell>
          <cell r="G962" t="str">
            <v>REPOSICAO 23/03</v>
          </cell>
          <cell r="K962">
            <v>739</v>
          </cell>
          <cell r="L962" t="str">
            <v>MRARBS11</v>
          </cell>
          <cell r="P962" t="str">
            <v>MISS RÔSE</v>
          </cell>
        </row>
        <row r="963">
          <cell r="B963">
            <v>46126.402777777781</v>
          </cell>
          <cell r="C963">
            <v>46126.579861111109</v>
          </cell>
          <cell r="G963" t="str">
            <v>PROG 01 25/03/26</v>
          </cell>
          <cell r="K963">
            <v>2688</v>
          </cell>
          <cell r="L963" t="str">
            <v>MRARBS03</v>
          </cell>
          <cell r="P963" t="str">
            <v>MISS RÔSE</v>
          </cell>
        </row>
        <row r="964">
          <cell r="B964">
            <v>46126.409722222219</v>
          </cell>
          <cell r="C964">
            <v>46127.423611111109</v>
          </cell>
          <cell r="G964" t="str">
            <v>FABIANO 03/02/26</v>
          </cell>
          <cell r="K964">
            <v>4335</v>
          </cell>
          <cell r="L964" t="str">
            <v>MRBR0001</v>
          </cell>
          <cell r="P964" t="str">
            <v>MISS RÔSE</v>
          </cell>
        </row>
        <row r="965">
          <cell r="B965">
            <v>46126.579861111109</v>
          </cell>
          <cell r="C965">
            <v>46127.684027777781</v>
          </cell>
          <cell r="G965" t="str">
            <v>PROG 01 25/03/26</v>
          </cell>
          <cell r="K965">
            <v>2647</v>
          </cell>
          <cell r="L965" t="str">
            <v>MRARBS03</v>
          </cell>
          <cell r="P965" t="str">
            <v>MISS RÔSE</v>
          </cell>
        </row>
        <row r="966">
          <cell r="B966">
            <v>46126.605555555558</v>
          </cell>
          <cell r="C966">
            <v>46127.427083333336</v>
          </cell>
          <cell r="G966" t="str">
            <v>FABIANO 03/02/26</v>
          </cell>
          <cell r="K966">
            <v>4380</v>
          </cell>
          <cell r="L966" t="str">
            <v>MRBR0001</v>
          </cell>
          <cell r="P966" t="str">
            <v>MISS RÔSE</v>
          </cell>
        </row>
        <row r="967">
          <cell r="B967">
            <v>46128.298611111109</v>
          </cell>
          <cell r="C967">
            <v>46128.493055555555</v>
          </cell>
          <cell r="G967" t="str">
            <v>FABIANO 03/02/26</v>
          </cell>
          <cell r="K967">
            <v>4410</v>
          </cell>
          <cell r="L967" t="str">
            <v>MRBR0001</v>
          </cell>
          <cell r="P967" t="str">
            <v>MISS RÔSE</v>
          </cell>
        </row>
        <row r="968">
          <cell r="B968">
            <v>46128.493055555555</v>
          </cell>
          <cell r="C968">
            <v>46129.396527777775</v>
          </cell>
          <cell r="G968" t="str">
            <v>FABIANO 03/02/26</v>
          </cell>
          <cell r="K968">
            <v>4680</v>
          </cell>
          <cell r="L968" t="str">
            <v>MRBR0001</v>
          </cell>
          <cell r="P968" t="str">
            <v>MISS RÔSE</v>
          </cell>
        </row>
        <row r="969">
          <cell r="B969">
            <v>46129.396527777775</v>
          </cell>
          <cell r="C969">
            <v>46133.320833333331</v>
          </cell>
          <cell r="G969" t="str">
            <v>FABIANO 03/02/26</v>
          </cell>
          <cell r="K969">
            <v>4440</v>
          </cell>
          <cell r="L969" t="str">
            <v>MRBR0001</v>
          </cell>
          <cell r="P969" t="str">
            <v>MISS RÔSE</v>
          </cell>
        </row>
        <row r="970">
          <cell r="B970">
            <v>46133.315972222219</v>
          </cell>
          <cell r="C970">
            <v>46133.468055555553</v>
          </cell>
          <cell r="G970" t="str">
            <v>PROG 01 25/03/26</v>
          </cell>
          <cell r="K970">
            <v>2676</v>
          </cell>
          <cell r="L970" t="str">
            <v>MRARBS03</v>
          </cell>
          <cell r="P970" t="str">
            <v>MISS RÔSE</v>
          </cell>
        </row>
        <row r="971">
          <cell r="B971">
            <v>46133.320833333331</v>
          </cell>
          <cell r="C971">
            <v>46133.613194444442</v>
          </cell>
          <cell r="G971" t="str">
            <v>FABIANO 03/02/26</v>
          </cell>
          <cell r="K971">
            <v>4680</v>
          </cell>
          <cell r="L971" t="str">
            <v>MRBR0001</v>
          </cell>
          <cell r="P971" t="str">
            <v>MISS RÔSE</v>
          </cell>
        </row>
        <row r="972">
          <cell r="B972">
            <v>46133.468055555553</v>
          </cell>
          <cell r="C972">
            <v>46133.626388888886</v>
          </cell>
          <cell r="G972" t="str">
            <v>PROG 01 25/03/26</v>
          </cell>
          <cell r="K972">
            <v>1426</v>
          </cell>
          <cell r="L972" t="str">
            <v>MRARBS03</v>
          </cell>
          <cell r="P972" t="str">
            <v>MISS RÔSE</v>
          </cell>
        </row>
        <row r="973">
          <cell r="B973">
            <v>46133.545138888891</v>
          </cell>
          <cell r="C973">
            <v>46133.586805555555</v>
          </cell>
          <cell r="G973" t="str">
            <v>-</v>
          </cell>
          <cell r="K973">
            <v>98</v>
          </cell>
          <cell r="P973" t="str">
            <v>-</v>
          </cell>
        </row>
        <row r="974">
          <cell r="B974">
            <v>46133.548611111109</v>
          </cell>
          <cell r="C974">
            <v>46133.565972222219</v>
          </cell>
          <cell r="G974" t="str">
            <v>-</v>
          </cell>
          <cell r="K974">
            <v>100</v>
          </cell>
          <cell r="P974" t="str">
            <v>-</v>
          </cell>
        </row>
        <row r="975">
          <cell r="B975">
            <v>46133.565972222219</v>
          </cell>
          <cell r="C975">
            <v>46133.586805555555</v>
          </cell>
          <cell r="G975" t="str">
            <v>-</v>
          </cell>
          <cell r="K975">
            <v>100</v>
          </cell>
          <cell r="P975" t="str">
            <v>-</v>
          </cell>
        </row>
        <row r="976">
          <cell r="B976">
            <v>46133.586805555555</v>
          </cell>
          <cell r="C976">
            <v>46133.607638888891</v>
          </cell>
          <cell r="G976" t="str">
            <v>-</v>
          </cell>
          <cell r="K976">
            <v>100</v>
          </cell>
          <cell r="P976" t="str">
            <v>-</v>
          </cell>
        </row>
        <row r="977">
          <cell r="B977">
            <v>46133.586805555555</v>
          </cell>
          <cell r="C977">
            <v>46133.607638888891</v>
          </cell>
          <cell r="G977" t="str">
            <v>HABIBI 01</v>
          </cell>
          <cell r="K977">
            <v>1626</v>
          </cell>
          <cell r="L977" t="str">
            <v>HBHD0002</v>
          </cell>
          <cell r="P977" t="str">
            <v>HABIBI PERFUMES</v>
          </cell>
        </row>
        <row r="978">
          <cell r="B978">
            <v>46133.607638888891</v>
          </cell>
          <cell r="C978">
            <v>46133.625</v>
          </cell>
          <cell r="G978" t="str">
            <v>-</v>
          </cell>
          <cell r="K978">
            <v>100</v>
          </cell>
          <cell r="P978" t="str">
            <v>-</v>
          </cell>
        </row>
        <row r="979">
          <cell r="B979">
            <v>46133.607638888891</v>
          </cell>
          <cell r="C979">
            <v>46133.625</v>
          </cell>
          <cell r="G979" t="str">
            <v>-</v>
          </cell>
          <cell r="K979">
            <v>98</v>
          </cell>
          <cell r="P979" t="str">
            <v>-</v>
          </cell>
        </row>
        <row r="980">
          <cell r="B980">
            <v>46133.613194444442</v>
          </cell>
          <cell r="C980">
            <v>46134.479166666664</v>
          </cell>
          <cell r="G980" t="str">
            <v>FABIANO 03/02/26</v>
          </cell>
          <cell r="K980">
            <v>4680</v>
          </cell>
          <cell r="L980" t="str">
            <v>MRBR0001</v>
          </cell>
          <cell r="P980" t="str">
            <v>MISS RÔSE</v>
          </cell>
        </row>
        <row r="981">
          <cell r="B981">
            <v>46133.626388888886</v>
          </cell>
          <cell r="C981">
            <v>46134.411111111112</v>
          </cell>
          <cell r="G981" t="str">
            <v>PROG 01 25/03/26</v>
          </cell>
          <cell r="K981">
            <v>1422</v>
          </cell>
          <cell r="L981" t="str">
            <v>MRARBS03</v>
          </cell>
          <cell r="P981" t="str">
            <v>MISS RÔSE</v>
          </cell>
        </row>
        <row r="982">
          <cell r="B982">
            <v>46134.479166666664</v>
          </cell>
          <cell r="C982">
            <v>46135.383333333331</v>
          </cell>
          <cell r="G982" t="str">
            <v>FABIANO 03/02/26</v>
          </cell>
          <cell r="K982">
            <v>4560</v>
          </cell>
          <cell r="L982" t="str">
            <v>MRBR0001</v>
          </cell>
          <cell r="P982" t="str">
            <v>MISS RÔSE</v>
          </cell>
        </row>
        <row r="983">
          <cell r="B983">
            <v>46134.555555555555</v>
          </cell>
          <cell r="C983">
            <v>46135.320833333331</v>
          </cell>
          <cell r="G983" t="str">
            <v>HABIBI 01</v>
          </cell>
          <cell r="K983">
            <v>1885</v>
          </cell>
          <cell r="L983" t="str">
            <v>HBHD0004</v>
          </cell>
          <cell r="P983" t="str">
            <v>HABIBI PERFUMES</v>
          </cell>
        </row>
        <row r="984">
          <cell r="B984">
            <v>46135.383333333331</v>
          </cell>
          <cell r="C984">
            <v>46135.694444444445</v>
          </cell>
          <cell r="G984" t="str">
            <v>FABIANO 03/02/26</v>
          </cell>
          <cell r="K984">
            <v>4800</v>
          </cell>
          <cell r="L984" t="str">
            <v>MRBR0001</v>
          </cell>
          <cell r="P984" t="str">
            <v>MISS RÔSE</v>
          </cell>
        </row>
        <row r="985">
          <cell r="B985">
            <v>46135.694444444445</v>
          </cell>
          <cell r="C985">
            <v>46136.554166666669</v>
          </cell>
          <cell r="G985" t="str">
            <v>FABIANO 03/02/26</v>
          </cell>
          <cell r="K985">
            <v>4365</v>
          </cell>
          <cell r="L985" t="str">
            <v>MRBR0001</v>
          </cell>
          <cell r="P985" t="str">
            <v>MISS RÔSE</v>
          </cell>
        </row>
        <row r="986">
          <cell r="B986">
            <v>46136.541666666664</v>
          </cell>
          <cell r="C986">
            <v>46137.708333333336</v>
          </cell>
          <cell r="G986" t="str">
            <v>REPOSICAO 23/03</v>
          </cell>
          <cell r="K986">
            <v>3014</v>
          </cell>
          <cell r="L986" t="str">
            <v>MRARBS09</v>
          </cell>
          <cell r="P986" t="str">
            <v>MISS RÔSE</v>
          </cell>
        </row>
        <row r="987">
          <cell r="B987">
            <v>46136.554166666669</v>
          </cell>
          <cell r="C987">
            <v>46137.318055555559</v>
          </cell>
          <cell r="G987" t="str">
            <v>FABIANO 03/02/26</v>
          </cell>
          <cell r="K987">
            <v>2550</v>
          </cell>
          <cell r="L987" t="str">
            <v>MRBR0001</v>
          </cell>
          <cell r="P987" t="str">
            <v>MISS RÔSE</v>
          </cell>
        </row>
        <row r="988">
          <cell r="B988">
            <v>46137.348611111112</v>
          </cell>
          <cell r="C988">
            <v>46137.488888888889</v>
          </cell>
          <cell r="G988" t="str">
            <v>REPOSICAO 23/03</v>
          </cell>
          <cell r="K988">
            <v>2916</v>
          </cell>
          <cell r="L988" t="str">
            <v>MRARBS09</v>
          </cell>
          <cell r="P988" t="str">
            <v>MISS RÔSE</v>
          </cell>
        </row>
        <row r="989">
          <cell r="B989">
            <v>46139.306250000001</v>
          </cell>
          <cell r="C989">
            <v>46139.475694444445</v>
          </cell>
          <cell r="G989" t="str">
            <v>REPOSICAO 23/03</v>
          </cell>
          <cell r="K989">
            <v>3600</v>
          </cell>
          <cell r="L989" t="str">
            <v>MRARBS10</v>
          </cell>
          <cell r="P989" t="str">
            <v>MISS RÔSE</v>
          </cell>
        </row>
        <row r="990">
          <cell r="B990">
            <v>46139.427083333336</v>
          </cell>
          <cell r="C990">
            <v>46140.333333333336</v>
          </cell>
          <cell r="G990" t="str">
            <v>HABIBI 01</v>
          </cell>
          <cell r="K990">
            <v>2122</v>
          </cell>
          <cell r="L990" t="str">
            <v>HBHD0004</v>
          </cell>
          <cell r="P990" t="str">
            <v>HABIBI PERFUMES</v>
          </cell>
        </row>
        <row r="991">
          <cell r="B991">
            <v>46139.475694444445</v>
          </cell>
          <cell r="C991">
            <v>46139.479166666664</v>
          </cell>
          <cell r="G991" t="str">
            <v>REPOSICAO 23/03</v>
          </cell>
          <cell r="K991">
            <v>192</v>
          </cell>
          <cell r="L991" t="str">
            <v>MRARBS10</v>
          </cell>
          <cell r="P991" t="str">
            <v>MISS RÔSE</v>
          </cell>
        </row>
        <row r="992">
          <cell r="B992">
            <v>46139.48333333333</v>
          </cell>
          <cell r="C992">
            <v>46140.347222222219</v>
          </cell>
          <cell r="G992" t="str">
            <v>REPOSICAO 23/03</v>
          </cell>
          <cell r="K992">
            <v>3951</v>
          </cell>
          <cell r="L992" t="str">
            <v>MRARBS10</v>
          </cell>
          <cell r="P992" t="str">
            <v>MISS RÔSE</v>
          </cell>
        </row>
        <row r="993">
          <cell r="B993">
            <v>46140.35</v>
          </cell>
          <cell r="C993">
            <v>46140.395138888889</v>
          </cell>
          <cell r="G993" t="str">
            <v>REPOSICAO BRIA 01</v>
          </cell>
          <cell r="K993">
            <v>544</v>
          </cell>
          <cell r="L993" t="str">
            <v>BBPF0004</v>
          </cell>
          <cell r="P993" t="str">
            <v>BRIA BEAUTY</v>
          </cell>
        </row>
        <row r="994">
          <cell r="B994">
            <v>46140.364583333336</v>
          </cell>
          <cell r="C994">
            <v>46140.374305555553</v>
          </cell>
          <cell r="G994" t="str">
            <v>REPOSICAO 23/03</v>
          </cell>
          <cell r="K994">
            <v>240</v>
          </cell>
          <cell r="L994" t="str">
            <v>MRARBS09</v>
          </cell>
          <cell r="P994" t="str">
            <v>MISS RÔSE</v>
          </cell>
        </row>
        <row r="995">
          <cell r="B995">
            <v>46140.381944444445</v>
          </cell>
          <cell r="C995">
            <v>46140.581250000003</v>
          </cell>
          <cell r="G995" t="str">
            <v>PROG 01 25/03/26</v>
          </cell>
          <cell r="K995">
            <v>3216</v>
          </cell>
          <cell r="L995" t="str">
            <v>MRARBS03</v>
          </cell>
          <cell r="P995" t="str">
            <v>MISS RÔSE</v>
          </cell>
        </row>
        <row r="996">
          <cell r="B996">
            <v>46140.395833333336</v>
          </cell>
          <cell r="C996">
            <v>46141.613888888889</v>
          </cell>
          <cell r="G996" t="str">
            <v>REPOSICAO BRIA 01</v>
          </cell>
          <cell r="K996">
            <v>6720</v>
          </cell>
          <cell r="L996" t="str">
            <v>BBPF0004</v>
          </cell>
          <cell r="P996" t="str">
            <v>BRIA BEAUTY</v>
          </cell>
        </row>
        <row r="997">
          <cell r="B997">
            <v>46140.46875</v>
          </cell>
          <cell r="C997">
            <v>46140.701388888891</v>
          </cell>
          <cell r="G997" t="str">
            <v>HABIBI 01</v>
          </cell>
          <cell r="K997">
            <v>1717</v>
          </cell>
          <cell r="L997" t="str">
            <v>HBHD0002</v>
          </cell>
          <cell r="P997" t="str">
            <v>HABIBI PERFUMES</v>
          </cell>
        </row>
        <row r="998">
          <cell r="B998">
            <v>46140.578472222223</v>
          </cell>
          <cell r="C998">
            <v>46141.333333333336</v>
          </cell>
          <cell r="G998" t="str">
            <v>PROG 01 25/03/26</v>
          </cell>
          <cell r="K998">
            <v>3193</v>
          </cell>
          <cell r="L998" t="str">
            <v>MRARBS03</v>
          </cell>
          <cell r="P998" t="str">
            <v>MISS RÔSE</v>
          </cell>
        </row>
        <row r="999">
          <cell r="B999">
            <v>46141.305555555555</v>
          </cell>
          <cell r="C999">
            <v>46141.359722222223</v>
          </cell>
          <cell r="G999" t="str">
            <v>HABIBI 01</v>
          </cell>
          <cell r="K999">
            <v>500</v>
          </cell>
          <cell r="L999" t="str">
            <v>HBHD0002</v>
          </cell>
          <cell r="P999" t="str">
            <v>HABIBI PERFUMES</v>
          </cell>
        </row>
        <row r="1000">
          <cell r="B1000">
            <v>46141.333333333336</v>
          </cell>
          <cell r="C1000">
            <v>46141.5625</v>
          </cell>
          <cell r="G1000" t="str">
            <v>PROG 01 25/03/26</v>
          </cell>
          <cell r="K1000">
            <v>3360</v>
          </cell>
          <cell r="L1000" t="str">
            <v>MRARBS03</v>
          </cell>
          <cell r="P1000" t="str">
            <v>MISS RÔSE</v>
          </cell>
        </row>
        <row r="1001">
          <cell r="B1001">
            <v>46141.381944444445</v>
          </cell>
          <cell r="C1001">
            <v>46141.625694444447</v>
          </cell>
          <cell r="G1001" t="str">
            <v>HABIBI 01</v>
          </cell>
          <cell r="K1001">
            <v>1732</v>
          </cell>
          <cell r="L1001" t="str">
            <v>HBHD0007</v>
          </cell>
          <cell r="P1001" t="str">
            <v>HABIBI PERFUMES</v>
          </cell>
        </row>
        <row r="1002">
          <cell r="B1002">
            <v>46141.563194444447</v>
          </cell>
          <cell r="C1002">
            <v>46142.402777777781</v>
          </cell>
          <cell r="G1002" t="str">
            <v>REPOSICAO 23/03</v>
          </cell>
          <cell r="K1002">
            <v>3696</v>
          </cell>
          <cell r="L1002" t="str">
            <v>MRARBS06</v>
          </cell>
          <cell r="P1002" t="str">
            <v>MISS RÔSE</v>
          </cell>
        </row>
        <row r="1003">
          <cell r="B1003">
            <v>46141.611805555556</v>
          </cell>
          <cell r="C1003">
            <v>46150.633333333331</v>
          </cell>
          <cell r="G1003" t="str">
            <v>REPOSICAO BRIA 01</v>
          </cell>
          <cell r="K1003">
            <v>6783</v>
          </cell>
          <cell r="L1003" t="str">
            <v>BBPF0004</v>
          </cell>
          <cell r="P1003" t="str">
            <v>BRIA BEAUTY</v>
          </cell>
        </row>
        <row r="1004">
          <cell r="B1004">
            <v>46141.628472222219</v>
          </cell>
          <cell r="C1004">
            <v>46142.461805555555</v>
          </cell>
          <cell r="G1004" t="str">
            <v>HABIBI 01</v>
          </cell>
          <cell r="K1004">
            <v>1698</v>
          </cell>
          <cell r="L1004" t="str">
            <v>HBHD0007</v>
          </cell>
          <cell r="P1004" t="str">
            <v>HABIBI PERFUMES</v>
          </cell>
        </row>
        <row r="1005">
          <cell r="B1005">
            <v>46142.402777777781</v>
          </cell>
          <cell r="C1005">
            <v>46146.334722222222</v>
          </cell>
          <cell r="G1005" t="str">
            <v>REPOSICAO 23/03</v>
          </cell>
          <cell r="K1005">
            <v>3984</v>
          </cell>
          <cell r="L1005" t="str">
            <v>MRARBS06</v>
          </cell>
          <cell r="P1005" t="str">
            <v>MISS RÔSE</v>
          </cell>
        </row>
        <row r="1006">
          <cell r="B1006">
            <v>46142.461805555555</v>
          </cell>
          <cell r="C1006">
            <v>46142.59652777778</v>
          </cell>
          <cell r="G1006" t="str">
            <v>HABIBI 01</v>
          </cell>
          <cell r="K1006">
            <v>522</v>
          </cell>
          <cell r="L1006" t="str">
            <v>HBHD0007</v>
          </cell>
          <cell r="P1006" t="str">
            <v>HABIBI PERFUMES</v>
          </cell>
        </row>
        <row r="1007">
          <cell r="B1007">
            <v>46142.604166666664</v>
          </cell>
          <cell r="C1007">
            <v>46146.425694444442</v>
          </cell>
          <cell r="G1007" t="str">
            <v>HABIBI 01</v>
          </cell>
          <cell r="K1007">
            <v>1650</v>
          </cell>
          <cell r="L1007" t="str">
            <v>HBHD0008</v>
          </cell>
          <cell r="P1007" t="str">
            <v>HABIBI PERFUMES</v>
          </cell>
        </row>
        <row r="1008">
          <cell r="B1008">
            <v>46146.416666666664</v>
          </cell>
          <cell r="C1008">
            <v>46146.618055555555</v>
          </cell>
          <cell r="G1008" t="str">
            <v>REPOSICAO 23/03</v>
          </cell>
          <cell r="K1008">
            <v>3744</v>
          </cell>
          <cell r="L1008" t="str">
            <v>MRARBS12</v>
          </cell>
          <cell r="P1008" t="str">
            <v>MISS RÔSE</v>
          </cell>
        </row>
        <row r="1009">
          <cell r="B1009">
            <v>46146.429166666669</v>
          </cell>
          <cell r="C1009">
            <v>46146.676388888889</v>
          </cell>
          <cell r="G1009" t="str">
            <v>HABIBI 01</v>
          </cell>
          <cell r="K1009">
            <v>1776</v>
          </cell>
          <cell r="L1009" t="str">
            <v>HBHD0008</v>
          </cell>
          <cell r="P1009" t="str">
            <v>HABIBI PERFUMES</v>
          </cell>
        </row>
        <row r="1010">
          <cell r="B1010">
            <v>46146.618055555555</v>
          </cell>
          <cell r="C1010">
            <v>46147.35833333333</v>
          </cell>
          <cell r="G1010" t="str">
            <v>REPOSICAO 23/03</v>
          </cell>
          <cell r="K1010">
            <v>3777</v>
          </cell>
          <cell r="L1010" t="str">
            <v>MRARBS12</v>
          </cell>
          <cell r="P1010" t="str">
            <v>MISS RÔSE</v>
          </cell>
        </row>
        <row r="1011">
          <cell r="B1011">
            <v>46146.677083333336</v>
          </cell>
          <cell r="C1011">
            <v>46147.354166666664</v>
          </cell>
          <cell r="G1011" t="str">
            <v>HABIBI 01</v>
          </cell>
          <cell r="K1011">
            <v>506</v>
          </cell>
          <cell r="L1011" t="str">
            <v>HBHD0008</v>
          </cell>
          <cell r="P1011" t="str">
            <v>HABIBI PERFUMES</v>
          </cell>
        </row>
        <row r="1012">
          <cell r="B1012">
            <v>46147.371527777781</v>
          </cell>
          <cell r="C1012">
            <v>46147.555555555555</v>
          </cell>
          <cell r="G1012" t="str">
            <v>HABIBI 01</v>
          </cell>
          <cell r="K1012">
            <v>1707</v>
          </cell>
          <cell r="L1012" t="str">
            <v>HBHD0005</v>
          </cell>
          <cell r="P1012" t="str">
            <v>HABIBI PERFUMES</v>
          </cell>
        </row>
        <row r="1013">
          <cell r="B1013">
            <v>46147.427083333336</v>
          </cell>
          <cell r="C1013">
            <v>46147.555555555555</v>
          </cell>
          <cell r="G1013" t="str">
            <v>FABIANO 06/02/26</v>
          </cell>
          <cell r="K1013">
            <v>1346</v>
          </cell>
          <cell r="L1013" t="str">
            <v>WKBM0001</v>
          </cell>
          <cell r="P1013" t="str">
            <v>WIKE MAKE</v>
          </cell>
        </row>
        <row r="1014">
          <cell r="B1014">
            <v>46147.554166666669</v>
          </cell>
          <cell r="C1014">
            <v>46147.690972222219</v>
          </cell>
          <cell r="G1014" t="str">
            <v>HABIBI 01</v>
          </cell>
          <cell r="K1014">
            <v>1699</v>
          </cell>
          <cell r="L1014" t="str">
            <v>HBHD0005</v>
          </cell>
          <cell r="P1014" t="str">
            <v>HABIBI PERFUMES</v>
          </cell>
        </row>
        <row r="1015">
          <cell r="B1015">
            <v>46147.556250000001</v>
          </cell>
          <cell r="C1015">
            <v>46148.35833333333</v>
          </cell>
          <cell r="G1015" t="str">
            <v>FABIANO 06/02/26</v>
          </cell>
          <cell r="K1015">
            <v>4312</v>
          </cell>
          <cell r="L1015" t="str">
            <v>WKBM0001</v>
          </cell>
          <cell r="P1015" t="str">
            <v>WIKE MAKE</v>
          </cell>
        </row>
        <row r="1016">
          <cell r="B1016">
            <v>46148.359027777777</v>
          </cell>
          <cell r="C1016">
            <v>46148.666666666664</v>
          </cell>
          <cell r="G1016" t="str">
            <v>FABIANO 06/02/26</v>
          </cell>
          <cell r="K1016">
            <v>4248</v>
          </cell>
          <cell r="L1016" t="str">
            <v>WKBM0001</v>
          </cell>
          <cell r="P1016" t="str">
            <v>WIKE MAKE</v>
          </cell>
        </row>
        <row r="1017">
          <cell r="B1017">
            <v>46148.395833333336</v>
          </cell>
          <cell r="C1017">
            <v>46148.567361111112</v>
          </cell>
          <cell r="G1017" t="str">
            <v>HABIBI 01</v>
          </cell>
          <cell r="K1017">
            <v>1794</v>
          </cell>
          <cell r="L1017" t="str">
            <v>HBHD0006</v>
          </cell>
          <cell r="P1017" t="str">
            <v>HABIBI PERFUMES</v>
          </cell>
        </row>
        <row r="1018">
          <cell r="B1018">
            <v>46148.583333333336</v>
          </cell>
          <cell r="C1018">
            <v>46148.631944444445</v>
          </cell>
          <cell r="G1018" t="str">
            <v>HABIBI 01</v>
          </cell>
          <cell r="K1018">
            <v>526</v>
          </cell>
          <cell r="L1018" t="str">
            <v>HBHD0005</v>
          </cell>
          <cell r="P1018" t="str">
            <v>HABIBI PERFUMES</v>
          </cell>
        </row>
        <row r="1019">
          <cell r="B1019">
            <v>46148.640277777777</v>
          </cell>
          <cell r="C1019">
            <v>46149.372916666667</v>
          </cell>
          <cell r="G1019" t="str">
            <v>HABIBI 01</v>
          </cell>
          <cell r="K1019">
            <v>1716</v>
          </cell>
          <cell r="L1019" t="str">
            <v>HBHD0006</v>
          </cell>
          <cell r="P1019" t="str">
            <v>HABIBI PERFUMES</v>
          </cell>
        </row>
        <row r="1020">
          <cell r="B1020">
            <v>46149.291666666664</v>
          </cell>
          <cell r="C1020">
            <v>46149.635416666664</v>
          </cell>
          <cell r="G1020" t="str">
            <v>FABIANO 06/02/26</v>
          </cell>
          <cell r="K1020">
            <v>4104</v>
          </cell>
          <cell r="L1020" t="str">
            <v>WKBM0001</v>
          </cell>
          <cell r="P1020" t="str">
            <v>WIKE MAKE</v>
          </cell>
        </row>
        <row r="1021">
          <cell r="B1021">
            <v>46149.375</v>
          </cell>
          <cell r="C1021">
            <v>46150.348611111112</v>
          </cell>
          <cell r="G1021" t="str">
            <v>HABIBI 01</v>
          </cell>
          <cell r="K1021">
            <v>1572</v>
          </cell>
          <cell r="L1021" t="str">
            <v>HBHD0006</v>
          </cell>
          <cell r="P1021" t="str">
            <v>HABIBI PERFUMES</v>
          </cell>
        </row>
        <row r="1022">
          <cell r="B1022">
            <v>46149.636111111111</v>
          </cell>
          <cell r="C1022">
            <v>46150.458333333336</v>
          </cell>
          <cell r="G1022" t="str">
            <v>FABIANO 06/02/26</v>
          </cell>
          <cell r="K1022">
            <v>4392</v>
          </cell>
          <cell r="L1022" t="str">
            <v>WKBM0001</v>
          </cell>
          <cell r="P1022" t="str">
            <v>WIKE MAKE</v>
          </cell>
        </row>
        <row r="1023">
          <cell r="B1023">
            <v>46150.348611111112</v>
          </cell>
          <cell r="C1023">
            <v>46150.586805555555</v>
          </cell>
          <cell r="G1023" t="str">
            <v>HABIBI 01</v>
          </cell>
          <cell r="K1023">
            <v>1668</v>
          </cell>
          <cell r="L1023" t="str">
            <v>HBHD0001</v>
          </cell>
          <cell r="P1023" t="str">
            <v>HABIBI PERFUMES</v>
          </cell>
        </row>
        <row r="1024">
          <cell r="B1024">
            <v>46150.461805555555</v>
          </cell>
          <cell r="C1024">
            <v>46150.703472222223</v>
          </cell>
          <cell r="G1024" t="str">
            <v>FABIANO 06/02/26</v>
          </cell>
          <cell r="K1024">
            <v>2911</v>
          </cell>
          <cell r="L1024" t="str">
            <v>WKBM0001</v>
          </cell>
          <cell r="P1024" t="str">
            <v>WIKE MAKE</v>
          </cell>
        </row>
        <row r="1025">
          <cell r="B1025">
            <v>46150.590277777781</v>
          </cell>
          <cell r="C1025">
            <v>46153.416666666664</v>
          </cell>
          <cell r="G1025" t="str">
            <v>HABIBI 01</v>
          </cell>
          <cell r="K1025">
            <v>1672</v>
          </cell>
          <cell r="L1025" t="str">
            <v>HBHD0001</v>
          </cell>
          <cell r="P1025" t="str">
            <v>HABIBI PERFUMES</v>
          </cell>
        </row>
        <row r="1026">
          <cell r="B1026">
            <v>46150.62777777778</v>
          </cell>
          <cell r="C1026">
            <v>46153.375</v>
          </cell>
          <cell r="G1026" t="str">
            <v>FABIANO 06/02/26</v>
          </cell>
          <cell r="K1026">
            <v>1080</v>
          </cell>
          <cell r="L1026" t="str">
            <v>WKBM0001</v>
          </cell>
          <cell r="P1026" t="str">
            <v>WIKE MAKE</v>
          </cell>
        </row>
        <row r="1027">
          <cell r="B1027">
            <v>46153.461805555555</v>
          </cell>
          <cell r="C1027">
            <v>46154.319444444445</v>
          </cell>
          <cell r="G1027" t="str">
            <v>HABIBI 01</v>
          </cell>
          <cell r="K1027">
            <v>1755</v>
          </cell>
          <cell r="L1027" t="str">
            <v>HBHD0003</v>
          </cell>
          <cell r="P1027" t="str">
            <v>HABIBI PERFUMES</v>
          </cell>
        </row>
        <row r="1028">
          <cell r="B1028">
            <v>46153.545138888891</v>
          </cell>
          <cell r="C1028">
            <v>46154.32708333333</v>
          </cell>
          <cell r="G1028" t="str">
            <v>REPOSICAO 23/03</v>
          </cell>
          <cell r="K1028">
            <v>2544</v>
          </cell>
          <cell r="L1028" t="str">
            <v>MRARBS08</v>
          </cell>
          <cell r="P1028" t="str">
            <v>MISS RÔSE</v>
          </cell>
        </row>
        <row r="1029">
          <cell r="B1029">
            <v>46154.322916666664</v>
          </cell>
          <cell r="C1029">
            <v>46154.452777777777</v>
          </cell>
          <cell r="G1029" t="str">
            <v>HABIBI 01</v>
          </cell>
          <cell r="K1029">
            <v>1632</v>
          </cell>
          <cell r="L1029" t="str">
            <v>HBHD0003</v>
          </cell>
          <cell r="P1029" t="str">
            <v>HABIBI PERFUMES</v>
          </cell>
        </row>
        <row r="1030">
          <cell r="B1030">
            <v>46154.32916666667</v>
          </cell>
          <cell r="C1030">
            <v>46154.455555555556</v>
          </cell>
          <cell r="G1030" t="str">
            <v>REPOSICAO 23/03</v>
          </cell>
          <cell r="K1030">
            <v>2493</v>
          </cell>
          <cell r="L1030" t="str">
            <v>MRARBS08</v>
          </cell>
          <cell r="P1030" t="str">
            <v>MISS RÔSE</v>
          </cell>
        </row>
        <row r="1031">
          <cell r="B1031">
            <v>46154.453472222223</v>
          </cell>
          <cell r="C1031">
            <v>46154.5625</v>
          </cell>
          <cell r="G1031" t="str">
            <v>HABIBI 01</v>
          </cell>
          <cell r="K1031">
            <v>226</v>
          </cell>
          <cell r="L1031" t="str">
            <v>HBHD0003</v>
          </cell>
          <cell r="P1031" t="str">
            <v>HABIBI PERFUMES</v>
          </cell>
        </row>
        <row r="1032">
          <cell r="B1032">
            <v>46154.541666666664</v>
          </cell>
          <cell r="C1032">
            <v>46155.354166666664</v>
          </cell>
          <cell r="G1032" t="str">
            <v>0005</v>
          </cell>
          <cell r="K1032">
            <v>2823</v>
          </cell>
          <cell r="L1032" t="str">
            <v>SASCES02</v>
          </cell>
          <cell r="P1032" t="str">
            <v>SAFIRA</v>
          </cell>
        </row>
        <row r="1033">
          <cell r="B1033">
            <v>46155.354861111111</v>
          </cell>
          <cell r="C1033">
            <v>46155.479166666664</v>
          </cell>
          <cell r="G1033" t="str">
            <v>0005</v>
          </cell>
          <cell r="K1033">
            <v>1416</v>
          </cell>
          <cell r="L1033" t="str">
            <v>SASCES01</v>
          </cell>
          <cell r="P1033" t="str">
            <v>SAFIRA</v>
          </cell>
        </row>
        <row r="1034">
          <cell r="B1034">
            <v>46155.454861111109</v>
          </cell>
          <cell r="C1034">
            <v>46155.569444444445</v>
          </cell>
          <cell r="G1034" t="str">
            <v>AMEERATI 01</v>
          </cell>
          <cell r="K1034">
            <v>668</v>
          </cell>
          <cell r="L1034" t="str">
            <v>AMNCHD01</v>
          </cell>
          <cell r="P1034" t="str">
            <v>AMEERATI</v>
          </cell>
        </row>
        <row r="1035">
          <cell r="B1035">
            <v>46155.604166666664</v>
          </cell>
          <cell r="C1035">
            <v>46155.65625</v>
          </cell>
          <cell r="G1035" t="str">
            <v>AMEERATI 01</v>
          </cell>
          <cell r="K1035">
            <v>852</v>
          </cell>
          <cell r="L1035" t="str">
            <v>AMNCHD05</v>
          </cell>
          <cell r="P1035" t="str">
            <v>AMEERATI</v>
          </cell>
        </row>
        <row r="1036">
          <cell r="B1036">
            <v>46155.670138888891</v>
          </cell>
          <cell r="C1036">
            <v>46156.413194444445</v>
          </cell>
          <cell r="G1036" t="str">
            <v>0005</v>
          </cell>
          <cell r="K1036">
            <v>2905</v>
          </cell>
          <cell r="L1036" t="str">
            <v>SASCDM01</v>
          </cell>
          <cell r="P1036" t="str">
            <v>SAFIRA</v>
          </cell>
        </row>
        <row r="1037">
          <cell r="B1037">
            <v>46156.302083333336</v>
          </cell>
          <cell r="C1037">
            <v>46156.385416666664</v>
          </cell>
          <cell r="G1037" t="str">
            <v>AMEERATI 01</v>
          </cell>
          <cell r="K1037">
            <v>845</v>
          </cell>
          <cell r="L1037" t="str">
            <v>AMNCHD07</v>
          </cell>
          <cell r="P1037" t="str">
            <v>AMEERATI</v>
          </cell>
        </row>
        <row r="1038">
          <cell r="B1038">
            <v>46156.402777777781</v>
          </cell>
          <cell r="C1038">
            <v>46156.486805555556</v>
          </cell>
          <cell r="G1038" t="str">
            <v>AMEERATI 01</v>
          </cell>
          <cell r="K1038">
            <v>785</v>
          </cell>
          <cell r="L1038" t="str">
            <v>AMNCHD04</v>
          </cell>
          <cell r="P1038" t="str">
            <v>AMEERATI</v>
          </cell>
        </row>
        <row r="1039">
          <cell r="B1039">
            <v>46156.479166666664</v>
          </cell>
          <cell r="C1039">
            <v>46156.559027777781</v>
          </cell>
          <cell r="G1039" t="str">
            <v>AMEERATI 01</v>
          </cell>
          <cell r="K1039">
            <v>709</v>
          </cell>
          <cell r="L1039" t="str">
            <v>AMABHD05</v>
          </cell>
          <cell r="P1039" t="str">
            <v>AMEERATI</v>
          </cell>
        </row>
        <row r="1040">
          <cell r="B1040">
            <v>46156.5625</v>
          </cell>
          <cell r="C1040">
            <v>46156.634722222225</v>
          </cell>
          <cell r="G1040" t="str">
            <v>AMEERATI 01</v>
          </cell>
          <cell r="K1040">
            <v>847</v>
          </cell>
          <cell r="L1040" t="str">
            <v>AMNCHD03</v>
          </cell>
          <cell r="P1040" t="str">
            <v>AMEERATI</v>
          </cell>
        </row>
        <row r="1041">
          <cell r="B1041">
            <v>46156.635416666664</v>
          </cell>
          <cell r="C1041">
            <v>46156.652777777781</v>
          </cell>
          <cell r="G1041" t="str">
            <v>AMEERATI 01</v>
          </cell>
          <cell r="K1041">
            <v>816</v>
          </cell>
          <cell r="L1041" t="str">
            <v>AMNCHD08</v>
          </cell>
          <cell r="P1041" t="str">
            <v>AMEERATI</v>
          </cell>
        </row>
        <row r="1042">
          <cell r="B1042">
            <v>46156.692361111112</v>
          </cell>
          <cell r="C1042">
            <v>46157.356249999997</v>
          </cell>
          <cell r="G1042" t="str">
            <v>AMEERATI 01</v>
          </cell>
          <cell r="K1042">
            <v>1048</v>
          </cell>
          <cell r="L1042" t="str">
            <v>AMABHD06</v>
          </cell>
          <cell r="P1042" t="str">
            <v>AMEERATI</v>
          </cell>
        </row>
        <row r="1043">
          <cell r="B1043">
            <v>46157.362500000003</v>
          </cell>
          <cell r="C1043">
            <v>46157.420138888891</v>
          </cell>
          <cell r="G1043" t="str">
            <v>AMEERATI 01</v>
          </cell>
          <cell r="K1043">
            <v>949</v>
          </cell>
          <cell r="L1043" t="str">
            <v>AMNCHD06</v>
          </cell>
          <cell r="P1043" t="str">
            <v>AMEERATI</v>
          </cell>
        </row>
        <row r="1044">
          <cell r="B1044">
            <v>46157.388888888891</v>
          </cell>
          <cell r="C1044">
            <v>46157.594444444447</v>
          </cell>
          <cell r="G1044" t="str">
            <v>0005</v>
          </cell>
          <cell r="K1044">
            <v>3251</v>
          </cell>
          <cell r="L1044" t="str">
            <v>SASCDM02</v>
          </cell>
          <cell r="P1044" t="str">
            <v>SAFIRA</v>
          </cell>
        </row>
        <row r="1045">
          <cell r="B1045">
            <v>46157.427083333336</v>
          </cell>
          <cell r="C1045">
            <v>46157.552777777775</v>
          </cell>
          <cell r="G1045" t="str">
            <v>AMEERATI 01</v>
          </cell>
          <cell r="K1045">
            <v>1440</v>
          </cell>
          <cell r="L1045" t="str">
            <v>AMABHD07</v>
          </cell>
          <cell r="P1045" t="str">
            <v>AMEERATI</v>
          </cell>
        </row>
        <row r="1046">
          <cell r="B1046">
            <v>46157.554166666669</v>
          </cell>
          <cell r="C1046">
            <v>46157.701388888891</v>
          </cell>
          <cell r="G1046" t="str">
            <v>AMEERATI 01</v>
          </cell>
          <cell r="K1046">
            <v>1353</v>
          </cell>
          <cell r="L1046" t="str">
            <v>AMABHD04</v>
          </cell>
          <cell r="P1046" t="str">
            <v>AMEERATI</v>
          </cell>
        </row>
        <row r="1047">
          <cell r="B1047">
            <v>46157.638888888891</v>
          </cell>
          <cell r="C1047">
            <v>46160.704861111109</v>
          </cell>
          <cell r="G1047" t="str">
            <v>0006</v>
          </cell>
          <cell r="K1047">
            <v>4738</v>
          </cell>
          <cell r="L1047" t="str">
            <v>MRARBS05</v>
          </cell>
          <cell r="P1047" t="str">
            <v>MISS RÔSE</v>
          </cell>
        </row>
        <row r="1048">
          <cell r="B1048">
            <v>46160.315972222219</v>
          </cell>
          <cell r="C1048">
            <v>46161.388888888891</v>
          </cell>
          <cell r="G1048" t="str">
            <v>0006</v>
          </cell>
          <cell r="K1048">
            <v>4464</v>
          </cell>
          <cell r="L1048" t="str">
            <v>MRARBS05</v>
          </cell>
          <cell r="P1048" t="str">
            <v>MISS RÔSE</v>
          </cell>
        </row>
        <row r="1049">
          <cell r="B1049">
            <v>46160.325694444444</v>
          </cell>
          <cell r="C1049">
            <v>46160.418055555558</v>
          </cell>
          <cell r="G1049" t="str">
            <v>AMEERATI 01</v>
          </cell>
          <cell r="K1049">
            <v>1395</v>
          </cell>
          <cell r="L1049" t="str">
            <v>AMABHD08</v>
          </cell>
          <cell r="P1049" t="str">
            <v>AMEERATI</v>
          </cell>
        </row>
        <row r="1050">
          <cell r="B1050">
            <v>46160.42083333333</v>
          </cell>
          <cell r="C1050">
            <v>46160.565972222219</v>
          </cell>
          <cell r="G1050" t="str">
            <v>AMEERATI 01</v>
          </cell>
          <cell r="K1050">
            <v>1366</v>
          </cell>
          <cell r="L1050" t="str">
            <v>AMABHD01</v>
          </cell>
          <cell r="P1050" t="str">
            <v>AMEERATI</v>
          </cell>
        </row>
        <row r="1051">
          <cell r="B1051">
            <v>46160.56527777778</v>
          </cell>
          <cell r="C1051">
            <v>46160.701388888891</v>
          </cell>
          <cell r="G1051" t="str">
            <v>AMEERATI 01</v>
          </cell>
          <cell r="K1051">
            <v>1470</v>
          </cell>
          <cell r="L1051" t="str">
            <v>AMABHD03</v>
          </cell>
          <cell r="P1051" t="str">
            <v>AMEERATI</v>
          </cell>
        </row>
        <row r="1052">
          <cell r="B1052">
            <v>46161.306944444441</v>
          </cell>
          <cell r="C1052">
            <v>46161.613194444442</v>
          </cell>
          <cell r="G1052" t="str">
            <v>AMEERATI 01</v>
          </cell>
          <cell r="K1052">
            <v>1330</v>
          </cell>
          <cell r="L1052" t="str">
            <v>AMABHD02</v>
          </cell>
          <cell r="P1052" t="str">
            <v>AMEERATI</v>
          </cell>
        </row>
        <row r="1053">
          <cell r="B1053">
            <v>46161.416666666664</v>
          </cell>
          <cell r="C1053">
            <v>46161.652777777781</v>
          </cell>
          <cell r="G1053" t="str">
            <v>PROG 01 25/03/26</v>
          </cell>
          <cell r="K1053">
            <v>2830</v>
          </cell>
          <cell r="L1053" t="str">
            <v>MRARBS01</v>
          </cell>
          <cell r="P1053" t="str">
            <v>MISS RÔSE</v>
          </cell>
        </row>
        <row r="1054">
          <cell r="B1054">
            <v>46161.606944444444</v>
          </cell>
          <cell r="C1054">
            <v>46162.395833333336</v>
          </cell>
          <cell r="G1054" t="str">
            <v>AMEERATI 01</v>
          </cell>
          <cell r="K1054">
            <v>984</v>
          </cell>
          <cell r="L1054" t="str">
            <v>AMNCHD02</v>
          </cell>
          <cell r="P1054" t="str">
            <v>AMEERATI</v>
          </cell>
        </row>
        <row r="1055">
          <cell r="B1055">
            <v>46162.318055555559</v>
          </cell>
          <cell r="C1055">
            <v>46162.353472222225</v>
          </cell>
          <cell r="G1055" t="str">
            <v>05</v>
          </cell>
          <cell r="K1055">
            <v>912</v>
          </cell>
          <cell r="L1055" t="str">
            <v>FBBS0003</v>
          </cell>
          <cell r="P1055" t="str">
            <v>FEBELLA BEAUTY</v>
          </cell>
        </row>
        <row r="1056">
          <cell r="B1056">
            <v>46162.355555555558</v>
          </cell>
          <cell r="C1056">
            <v>46162.618055555555</v>
          </cell>
          <cell r="G1056" t="str">
            <v>05</v>
          </cell>
          <cell r="K1056">
            <v>4550</v>
          </cell>
          <cell r="L1056" t="str">
            <v>FBBS0003</v>
          </cell>
          <cell r="P1056" t="str">
            <v>FEBELLA BEAUTY</v>
          </cell>
        </row>
        <row r="1057">
          <cell r="B1057">
            <v>46162.640277777777</v>
          </cell>
          <cell r="C1057">
            <v>46163.493055555555</v>
          </cell>
          <cell r="G1057" t="str">
            <v>05</v>
          </cell>
          <cell r="K1057">
            <v>3645</v>
          </cell>
          <cell r="L1057" t="str">
            <v>FBBS0003</v>
          </cell>
          <cell r="P1057" t="str">
            <v>FEBELLA BEAUTY</v>
          </cell>
        </row>
        <row r="1058">
          <cell r="B1058">
            <v>46162.642361111109</v>
          </cell>
          <cell r="C1058">
            <v>46162.694444444445</v>
          </cell>
          <cell r="G1058" t="str">
            <v>REPOSICAO BRIA 01</v>
          </cell>
          <cell r="K1058">
            <v>802</v>
          </cell>
          <cell r="L1058" t="str">
            <v>bbpf0004</v>
          </cell>
          <cell r="P1058" t="str">
            <v>BRIA BEAUTY</v>
          </cell>
        </row>
        <row r="1059">
          <cell r="B1059">
            <v>46163.298611111109</v>
          </cell>
          <cell r="C1059">
            <v>46163.640277777777</v>
          </cell>
          <cell r="G1059" t="str">
            <v>0008</v>
          </cell>
          <cell r="K1059">
            <v>5120</v>
          </cell>
          <cell r="L1059" t="str">
            <v>MRARBS07</v>
          </cell>
          <cell r="P1059" t="str">
            <v>MISS RÔSE</v>
          </cell>
        </row>
        <row r="1060">
          <cell r="B1060">
            <v>46163.611111111109</v>
          </cell>
          <cell r="C1060">
            <v>46164.4375</v>
          </cell>
          <cell r="G1060" t="str">
            <v>05</v>
          </cell>
          <cell r="K1060">
            <v>4368</v>
          </cell>
          <cell r="L1060" t="str">
            <v>FBBS0004</v>
          </cell>
          <cell r="P1060" t="str">
            <v>FEBELLA BEAUTY</v>
          </cell>
        </row>
        <row r="1061">
          <cell r="B1061">
            <v>46163.672222222223</v>
          </cell>
          <cell r="C1061">
            <v>46164.583333333336</v>
          </cell>
          <cell r="G1061" t="str">
            <v>0008</v>
          </cell>
          <cell r="K1061">
            <v>5184</v>
          </cell>
          <cell r="L1061" t="str">
            <v>MRARBS07</v>
          </cell>
          <cell r="P1061" t="str">
            <v>MISS RÔSE</v>
          </cell>
        </row>
        <row r="1062">
          <cell r="B1062">
            <v>46164.477777777778</v>
          </cell>
          <cell r="C1062">
            <v>46167.336111111108</v>
          </cell>
          <cell r="G1062" t="str">
            <v>05</v>
          </cell>
          <cell r="K1062">
            <v>5040</v>
          </cell>
          <cell r="L1062" t="str">
            <v>FBBS0004</v>
          </cell>
          <cell r="P1062" t="str">
            <v>FEBELLA BEAUTY</v>
          </cell>
        </row>
        <row r="1063">
          <cell r="B1063">
            <v>46164.618055555555</v>
          </cell>
          <cell r="C1063">
            <v>46167.493055555555</v>
          </cell>
          <cell r="G1063" t="str">
            <v>0008</v>
          </cell>
          <cell r="K1063">
            <v>4641</v>
          </cell>
          <cell r="L1063" t="str">
            <v>MRARBS07</v>
          </cell>
          <cell r="P1063" t="str">
            <v>MISS RÔSE</v>
          </cell>
        </row>
        <row r="1064">
          <cell r="B1064">
            <v>46167.340277777781</v>
          </cell>
          <cell r="C1064">
            <v>46167.347222222219</v>
          </cell>
          <cell r="G1064" t="str">
            <v>05</v>
          </cell>
          <cell r="K1064">
            <v>192</v>
          </cell>
          <cell r="L1064" t="str">
            <v>FBBS0005</v>
          </cell>
          <cell r="P1064" t="str">
            <v>FEBELLA BEAUTY</v>
          </cell>
        </row>
        <row r="1065">
          <cell r="B1065">
            <v>46167.379166666666</v>
          </cell>
          <cell r="C1065">
            <v>46167.674305555556</v>
          </cell>
          <cell r="G1065" t="str">
            <v>05</v>
          </cell>
          <cell r="K1065">
            <v>4944</v>
          </cell>
          <cell r="L1065" t="str">
            <v>FBBS0005</v>
          </cell>
          <cell r="P1065" t="str">
            <v>FEBELLA BEAUTY</v>
          </cell>
        </row>
        <row r="1066">
          <cell r="B1066">
            <v>46167.496527777781</v>
          </cell>
          <cell r="C1066">
            <v>46168.352777777778</v>
          </cell>
          <cell r="G1066" t="str">
            <v>0008</v>
          </cell>
          <cell r="K1066">
            <v>4560</v>
          </cell>
          <cell r="L1066" t="str">
            <v>MRARBS07</v>
          </cell>
          <cell r="P1066" t="str">
            <v>MISS RÔSE</v>
          </cell>
        </row>
        <row r="1067">
          <cell r="B1067">
            <v>46167.674305555556</v>
          </cell>
          <cell r="C1067">
            <v>46168.435416666667</v>
          </cell>
          <cell r="G1067" t="str">
            <v>05</v>
          </cell>
          <cell r="K1067">
            <v>3827</v>
          </cell>
          <cell r="L1067" t="str">
            <v>FBBS0005</v>
          </cell>
          <cell r="P1067" t="str">
            <v>FEBELLA BEAUTY</v>
          </cell>
        </row>
        <row r="1068">
          <cell r="B1068">
            <v>46168.352777777778</v>
          </cell>
          <cell r="C1068">
            <v>46168.444444444445</v>
          </cell>
          <cell r="G1068" t="str">
            <v>0008</v>
          </cell>
          <cell r="K1068">
            <v>1581</v>
          </cell>
          <cell r="L1068" t="str">
            <v>MRARBS07</v>
          </cell>
          <cell r="P1068" t="str">
            <v>MISS RÔSE</v>
          </cell>
        </row>
        <row r="1069">
          <cell r="B1069">
            <v>46168.459027777775</v>
          </cell>
          <cell r="C1069">
            <v>46168.704861111109</v>
          </cell>
          <cell r="G1069" t="str">
            <v>0008</v>
          </cell>
          <cell r="K1069">
            <v>4512</v>
          </cell>
          <cell r="L1069" t="str">
            <v>MRARBS06</v>
          </cell>
          <cell r="P1069" t="str">
            <v>MISS RÔSE</v>
          </cell>
        </row>
        <row r="1070">
          <cell r="B1070">
            <v>46168.541666666664</v>
          </cell>
          <cell r="C1070">
            <v>46169.3125</v>
          </cell>
          <cell r="G1070" t="str">
            <v>05</v>
          </cell>
          <cell r="K1070">
            <v>4368</v>
          </cell>
          <cell r="L1070" t="str">
            <v>FBBS0006</v>
          </cell>
          <cell r="P1070" t="str">
            <v>FEBELLA BEAUTY</v>
          </cell>
        </row>
        <row r="1071">
          <cell r="B1071">
            <v>46169.3125</v>
          </cell>
          <cell r="C1071">
            <v>46169.425000000003</v>
          </cell>
          <cell r="G1071" t="str">
            <v>0008</v>
          </cell>
          <cell r="K1071">
            <v>2016</v>
          </cell>
          <cell r="L1071" t="str">
            <v>MRARBS06</v>
          </cell>
          <cell r="P1071" t="str">
            <v>MISS RÔSE</v>
          </cell>
        </row>
        <row r="1072">
          <cell r="B1072">
            <v>46169.3125</v>
          </cell>
          <cell r="C1072">
            <v>46169.572916666664</v>
          </cell>
          <cell r="G1072" t="str">
            <v>05</v>
          </cell>
          <cell r="K1072">
            <v>4869</v>
          </cell>
          <cell r="L1072" t="str">
            <v>FBBS0006</v>
          </cell>
          <cell r="P1072" t="str">
            <v>FEBELLA BEAUTY</v>
          </cell>
        </row>
        <row r="1073">
          <cell r="B1073">
            <v>46169.425694444442</v>
          </cell>
          <cell r="C1073">
            <v>46169.673611111109</v>
          </cell>
          <cell r="G1073" t="str">
            <v>0008</v>
          </cell>
          <cell r="K1073">
            <v>4464</v>
          </cell>
          <cell r="L1073" t="str">
            <v>MRARBS06</v>
          </cell>
          <cell r="P1073" t="str">
            <v>MISS RÔSE</v>
          </cell>
        </row>
        <row r="1074">
          <cell r="B1074">
            <v>46169.586805555555</v>
          </cell>
          <cell r="C1074">
            <v>46170.352083333331</v>
          </cell>
          <cell r="G1074" t="str">
            <v>0006</v>
          </cell>
          <cell r="K1074">
            <v>4896</v>
          </cell>
          <cell r="L1074" t="str">
            <v>MRARBS05</v>
          </cell>
          <cell r="P1074" t="str">
            <v>MISS RÔSE</v>
          </cell>
        </row>
        <row r="1075">
          <cell r="B1075">
            <v>46169.682638888888</v>
          </cell>
          <cell r="C1075">
            <v>46170.427083333336</v>
          </cell>
          <cell r="G1075" t="str">
            <v>0008</v>
          </cell>
          <cell r="K1075">
            <v>4347</v>
          </cell>
          <cell r="L1075" t="str">
            <v>MRARBS06</v>
          </cell>
          <cell r="P1075" t="str">
            <v>MISS RÔSE</v>
          </cell>
        </row>
        <row r="1076">
          <cell r="B1076">
            <v>46170.361111111109</v>
          </cell>
          <cell r="C1076">
            <v>46170.645833333336</v>
          </cell>
          <cell r="G1076" t="str">
            <v>0006</v>
          </cell>
          <cell r="K1076">
            <v>4617</v>
          </cell>
          <cell r="L1076" t="str">
            <v>MRARBS05</v>
          </cell>
          <cell r="P1076" t="str">
            <v>MISS RÔSE</v>
          </cell>
        </row>
        <row r="1077">
          <cell r="B1077">
            <v>46170.423611111109</v>
          </cell>
          <cell r="C1077">
            <v>46170.729166666664</v>
          </cell>
          <cell r="G1077" t="str">
            <v>0008</v>
          </cell>
          <cell r="K1077">
            <v>4416</v>
          </cell>
          <cell r="L1077" t="str">
            <v>MRARBS10</v>
          </cell>
          <cell r="P1077" t="str">
            <v>MISS RÔSE</v>
          </cell>
        </row>
        <row r="1078">
          <cell r="B1078">
            <v>46170.649305555555</v>
          </cell>
          <cell r="C1078">
            <v>46171.788194444445</v>
          </cell>
          <cell r="G1078" t="str">
            <v>0008</v>
          </cell>
          <cell r="K1078">
            <v>2494</v>
          </cell>
          <cell r="L1078" t="str">
            <v>MRARBS10</v>
          </cell>
          <cell r="P1078" t="str">
            <v>MISS RÔSE</v>
          </cell>
        </row>
        <row r="1079">
          <cell r="B1079">
            <v>46170.649305555555</v>
          </cell>
          <cell r="C1079">
            <v>46171.284722222219</v>
          </cell>
          <cell r="G1079" t="str">
            <v>0006</v>
          </cell>
          <cell r="K1079">
            <v>4752</v>
          </cell>
          <cell r="L1079" t="str">
            <v>MRARBS05</v>
          </cell>
          <cell r="P1079" t="str">
            <v>MISS RÔSE</v>
          </cell>
        </row>
        <row r="1080">
          <cell r="B1080">
            <v>46171.387499999997</v>
          </cell>
          <cell r="C1080">
            <v>46171.632638888892</v>
          </cell>
          <cell r="G1080" t="str">
            <v>0008</v>
          </cell>
          <cell r="K1080">
            <v>4258</v>
          </cell>
          <cell r="L1080" t="str">
            <v>MRARBS10</v>
          </cell>
          <cell r="P1080" t="str">
            <v>MISS RÔSE</v>
          </cell>
        </row>
        <row r="1081">
          <cell r="B1081">
            <v>46171.650694444441</v>
          </cell>
          <cell r="C1081">
            <v>46171.706944444442</v>
          </cell>
          <cell r="G1081" t="str">
            <v>0006</v>
          </cell>
          <cell r="K1081">
            <v>934</v>
          </cell>
          <cell r="L1081" t="str">
            <v>MRARBS05</v>
          </cell>
          <cell r="P1081" t="str">
            <v>MISS RÔSE</v>
          </cell>
        </row>
        <row r="1082">
          <cell r="B1082">
            <v>46171.729166666664</v>
          </cell>
          <cell r="C1082">
            <v>46171.789583333331</v>
          </cell>
          <cell r="G1082" t="str">
            <v>FABIANO 22/01/26</v>
          </cell>
          <cell r="K1082">
            <v>449</v>
          </cell>
          <cell r="L1082" t="str">
            <v>WKBS0005</v>
          </cell>
          <cell r="P1082" t="str">
            <v>WIKE MAKE</v>
          </cell>
        </row>
        <row r="1083">
          <cell r="B1083">
            <v>46171.865972222222</v>
          </cell>
          <cell r="C1083">
            <v>46174.444444444445</v>
          </cell>
          <cell r="G1083" t="str">
            <v>0008</v>
          </cell>
          <cell r="K1083">
            <v>4560</v>
          </cell>
          <cell r="L1083" t="str">
            <v>MRARBS08</v>
          </cell>
          <cell r="P1083" t="str">
            <v>MISS RÔSE</v>
          </cell>
        </row>
        <row r="1084">
          <cell r="B1084">
            <v>46174.444444444445</v>
          </cell>
          <cell r="C1084">
            <v>46174.738194444442</v>
          </cell>
          <cell r="G1084" t="str">
            <v>0008</v>
          </cell>
          <cell r="K1084">
            <v>4608</v>
          </cell>
          <cell r="L1084" t="str">
            <v>MRARBS08</v>
          </cell>
          <cell r="P1084" t="str">
            <v>MISS RÔSE</v>
          </cell>
        </row>
        <row r="1085">
          <cell r="B1085">
            <v>46174.552777777775</v>
          </cell>
          <cell r="C1085">
            <v>46176.568749999999</v>
          </cell>
          <cell r="G1085" t="str">
            <v>FABIANO 22/01/26</v>
          </cell>
          <cell r="K1085">
            <v>240</v>
          </cell>
          <cell r="L1085" t="str">
            <v>WKBS0006</v>
          </cell>
          <cell r="P1085" t="str">
            <v>WIKE MAKE</v>
          </cell>
        </row>
        <row r="1086">
          <cell r="B1086">
            <v>46174.652777777781</v>
          </cell>
          <cell r="C1086">
            <v>46175.362500000003</v>
          </cell>
          <cell r="G1086" t="str">
            <v>FABIANO 22/01/26</v>
          </cell>
          <cell r="K1086">
            <v>6688</v>
          </cell>
          <cell r="L1086" t="str">
            <v>WKBS0005</v>
          </cell>
          <cell r="P1086" t="str">
            <v>WIKE MAKE</v>
          </cell>
        </row>
        <row r="1087">
          <cell r="B1087">
            <v>46174.743055555555</v>
          </cell>
          <cell r="C1087">
            <v>46174.885416666664</v>
          </cell>
          <cell r="G1087" t="str">
            <v>0008</v>
          </cell>
          <cell r="K1087">
            <v>1661</v>
          </cell>
          <cell r="L1087" t="str">
            <v>MRARBS08</v>
          </cell>
          <cell r="P1087" t="str">
            <v>MISS RÔSE</v>
          </cell>
        </row>
        <row r="1088">
          <cell r="B1088">
            <v>46174.890277777777</v>
          </cell>
          <cell r="C1088">
            <v>46175.418749999997</v>
          </cell>
          <cell r="G1088" t="str">
            <v>0008</v>
          </cell>
          <cell r="K1088">
            <v>4224</v>
          </cell>
          <cell r="L1088" t="str">
            <v>MRARBS12</v>
          </cell>
          <cell r="P1088" t="str">
            <v>MISS RÔSE</v>
          </cell>
        </row>
        <row r="1089">
          <cell r="B1089">
            <v>46175.378472222219</v>
          </cell>
          <cell r="C1089">
            <v>46175.390277777777</v>
          </cell>
          <cell r="G1089" t="str">
            <v>FABIANO 22/01/26</v>
          </cell>
          <cell r="K1089">
            <v>240</v>
          </cell>
          <cell r="L1089" t="str">
            <v>WKBS0001</v>
          </cell>
          <cell r="P1089" t="str">
            <v>WIKE MAKE</v>
          </cell>
        </row>
        <row r="1090">
          <cell r="B1090">
            <v>46175.395833333336</v>
          </cell>
          <cell r="C1090">
            <v>46175.584027777775</v>
          </cell>
          <cell r="G1090" t="str">
            <v>FABIANO 22/01/26</v>
          </cell>
          <cell r="K1090">
            <v>8064</v>
          </cell>
          <cell r="L1090" t="str">
            <v>WKBS0001</v>
          </cell>
          <cell r="P1090" t="str">
            <v>WIKE MAKE</v>
          </cell>
        </row>
        <row r="1091">
          <cell r="B1091">
            <v>46175.420138888891</v>
          </cell>
          <cell r="C1091">
            <v>46175.55972222222</v>
          </cell>
          <cell r="G1091" t="str">
            <v>0008</v>
          </cell>
          <cell r="K1091">
            <v>4512</v>
          </cell>
          <cell r="L1091" t="str">
            <v>MRARBS12</v>
          </cell>
          <cell r="P1091" t="str">
            <v>MISS RÔSE</v>
          </cell>
        </row>
        <row r="1092">
          <cell r="B1092">
            <v>46175.590277777781</v>
          </cell>
          <cell r="C1092">
            <v>46175.787499999999</v>
          </cell>
          <cell r="G1092" t="str">
            <v>0008</v>
          </cell>
          <cell r="K1092">
            <v>3186</v>
          </cell>
          <cell r="L1092" t="str">
            <v>MRARBS09</v>
          </cell>
          <cell r="P1092" t="str">
            <v>MISS RÔSE</v>
          </cell>
        </row>
        <row r="1093">
          <cell r="B1093">
            <v>46175.878472222219</v>
          </cell>
          <cell r="C1093">
            <v>46176.701388888891</v>
          </cell>
          <cell r="G1093" t="str">
            <v>FABIANO 22/01/26</v>
          </cell>
          <cell r="K1093">
            <v>9990</v>
          </cell>
          <cell r="L1093" t="str">
            <v>WKBS0001</v>
          </cell>
          <cell r="P1093" t="str">
            <v>WIKE MAKE</v>
          </cell>
        </row>
        <row r="1094">
          <cell r="B1094">
            <v>46176.368055555555</v>
          </cell>
          <cell r="C1094">
            <v>46176.548611111109</v>
          </cell>
          <cell r="G1094" t="str">
            <v>0008</v>
          </cell>
          <cell r="K1094">
            <v>2409</v>
          </cell>
          <cell r="L1094" t="str">
            <v>MRARBS09</v>
          </cell>
          <cell r="P1094" t="str">
            <v>MISS RÔSE</v>
          </cell>
        </row>
        <row r="1095">
          <cell r="B1095">
            <v>46176.570138888892</v>
          </cell>
          <cell r="C1095">
            <v>46178.570138888892</v>
          </cell>
          <cell r="G1095" t="str">
            <v>FABIANO 22/01/26</v>
          </cell>
          <cell r="K1095">
            <v>7008</v>
          </cell>
          <cell r="L1095" t="str">
            <v>WKBS0006</v>
          </cell>
          <cell r="P1095" t="str">
            <v>WIKE MAKE</v>
          </cell>
        </row>
        <row r="1096">
          <cell r="B1096">
            <v>46176.712500000001</v>
          </cell>
          <cell r="C1096">
            <v>46178.4375</v>
          </cell>
          <cell r="G1096" t="str">
            <v>FABIANO 22/01/26</v>
          </cell>
          <cell r="K1096">
            <v>7776</v>
          </cell>
          <cell r="L1096" t="str">
            <v>WKBS0002</v>
          </cell>
          <cell r="P1096" t="str">
            <v>WIKE MAKE</v>
          </cell>
        </row>
        <row r="1097">
          <cell r="B1097">
            <v>46178.361111111109</v>
          </cell>
          <cell r="C1097">
            <v>46178.867361111108</v>
          </cell>
          <cell r="G1097" t="str">
            <v>FABIANO 22/01/26</v>
          </cell>
          <cell r="K1097">
            <v>8304</v>
          </cell>
          <cell r="L1097" t="str">
            <v>WKBS0006</v>
          </cell>
          <cell r="P1097" t="str">
            <v>WIKE MAKE</v>
          </cell>
        </row>
        <row r="1098">
          <cell r="B1098">
            <v>46178.868750000001</v>
          </cell>
          <cell r="G1098" t="str">
            <v>FABIANO 22/01/26</v>
          </cell>
          <cell r="K1098">
            <v>983</v>
          </cell>
          <cell r="L1098" t="str">
            <v>WKBS0006</v>
          </cell>
          <cell r="P1098" t="str">
            <v>WIKE MAKE</v>
          </cell>
        </row>
        <row r="1099">
          <cell r="B1099">
            <v>46183.302083333336</v>
          </cell>
          <cell r="C1099">
            <v>46183.459027777775</v>
          </cell>
          <cell r="G1099" t="str">
            <v>FABIANO 22/01/26</v>
          </cell>
          <cell r="K1099">
            <v>3792</v>
          </cell>
          <cell r="L1099" t="str">
            <v>WKBS0002</v>
          </cell>
          <cell r="P1099" t="str">
            <v>WIKE MAKE</v>
          </cell>
        </row>
        <row r="1100">
          <cell r="B1100">
            <v>46183.459027777775</v>
          </cell>
          <cell r="C1100">
            <v>46183.583333333336</v>
          </cell>
          <cell r="G1100" t="str">
            <v>FABIANO 22/01/26</v>
          </cell>
          <cell r="K1100">
            <v>2073</v>
          </cell>
          <cell r="L1100" t="str">
            <v>WKBS0006</v>
          </cell>
          <cell r="P1100" t="str">
            <v>WIKE MAKE</v>
          </cell>
        </row>
        <row r="1101">
          <cell r="B1101">
            <v>46183.552083333336</v>
          </cell>
          <cell r="C1101">
            <v>46183.597222222219</v>
          </cell>
          <cell r="G1101" t="str">
            <v>FABIANO 22/01/26</v>
          </cell>
          <cell r="K1101">
            <v>835</v>
          </cell>
          <cell r="L1101" t="str">
            <v>WKBS0002</v>
          </cell>
          <cell r="P1101" t="str">
            <v>WIKE MAKE</v>
          </cell>
        </row>
        <row r="1102">
          <cell r="B1102">
            <v>46183.586805555555</v>
          </cell>
          <cell r="C1102">
            <v>46183.600694444445</v>
          </cell>
          <cell r="G1102" t="str">
            <v>FABIANO 22/01/26</v>
          </cell>
          <cell r="K1102">
            <v>240</v>
          </cell>
          <cell r="L1102" t="str">
            <v>WKBS0003</v>
          </cell>
          <cell r="P1102" t="str">
            <v>WIKE MAKE</v>
          </cell>
        </row>
        <row r="1103">
          <cell r="B1103">
            <v>46183.600694444445</v>
          </cell>
          <cell r="C1103">
            <v>46184.569444444445</v>
          </cell>
          <cell r="G1103" t="str">
            <v>FABIANO 22/01/26</v>
          </cell>
          <cell r="K1103">
            <v>7920</v>
          </cell>
          <cell r="L1103" t="str">
            <v>WKBS0003</v>
          </cell>
          <cell r="P1103" t="str">
            <v>WIKE MAKE</v>
          </cell>
        </row>
        <row r="1104">
          <cell r="B1104">
            <v>46183.602083333331</v>
          </cell>
          <cell r="C1104">
            <v>46184.582638888889</v>
          </cell>
          <cell r="G1104" t="str">
            <v>FABIANO 22/01/26</v>
          </cell>
          <cell r="K1104">
            <v>7968</v>
          </cell>
          <cell r="L1104" t="str">
            <v>WKBS0003</v>
          </cell>
          <cell r="P1104" t="str">
            <v>WIKE MAKE</v>
          </cell>
        </row>
        <row r="1105">
          <cell r="B1105">
            <v>46184.561111111114</v>
          </cell>
          <cell r="C1105">
            <v>46184.673611111109</v>
          </cell>
          <cell r="G1105" t="str">
            <v>FABIANO 22/01/26</v>
          </cell>
          <cell r="K1105">
            <v>2880</v>
          </cell>
          <cell r="L1105" t="str">
            <v>WKBS0003</v>
          </cell>
          <cell r="P1105" t="str">
            <v>WIKE MAKE</v>
          </cell>
        </row>
        <row r="1106">
          <cell r="B1106">
            <v>46184.682638888888</v>
          </cell>
          <cell r="C1106">
            <v>46186.322916666664</v>
          </cell>
          <cell r="G1106" t="str">
            <v>FABIANO 22/01/26</v>
          </cell>
          <cell r="K1106">
            <v>838</v>
          </cell>
          <cell r="L1106" t="str">
            <v>WKBS0003</v>
          </cell>
          <cell r="P1106" t="str">
            <v>WIKE MAKE</v>
          </cell>
        </row>
        <row r="1107">
          <cell r="B1107">
            <v>46185.331250000003</v>
          </cell>
          <cell r="C1107">
            <v>46185.581250000003</v>
          </cell>
          <cell r="G1107" t="str">
            <v>0006</v>
          </cell>
          <cell r="K1107">
            <v>4224</v>
          </cell>
          <cell r="L1107" t="str">
            <v>MRARBS05</v>
          </cell>
          <cell r="P1107" t="str">
            <v>MISS RÔSE</v>
          </cell>
        </row>
        <row r="1108">
          <cell r="B1108">
            <v>46185.49722222222</v>
          </cell>
          <cell r="G1108" t="str">
            <v>0008</v>
          </cell>
          <cell r="K1108">
            <v>4360</v>
          </cell>
          <cell r="L1108" t="str">
            <v>MRARBS09</v>
          </cell>
          <cell r="P1108" t="str">
            <v>MISS RÔSE</v>
          </cell>
        </row>
        <row r="1109">
          <cell r="B1109">
            <v>46185.582638888889</v>
          </cell>
          <cell r="C1109">
            <v>46188.333333333336</v>
          </cell>
          <cell r="G1109" t="str">
            <v>0006</v>
          </cell>
          <cell r="K1109">
            <v>4656</v>
          </cell>
          <cell r="L1109" t="str">
            <v>MRARBS05</v>
          </cell>
          <cell r="P1109" t="str">
            <v>MISS RÔSE</v>
          </cell>
        </row>
        <row r="1110">
          <cell r="B1110">
            <v>46188.263888888891</v>
          </cell>
          <cell r="C1110">
            <v>46188.5</v>
          </cell>
          <cell r="G1110" t="str">
            <v>0008</v>
          </cell>
          <cell r="K1110">
            <v>4686</v>
          </cell>
          <cell r="L1110" t="str">
            <v>MRARBS09</v>
          </cell>
          <cell r="P1110" t="str">
            <v>MISS RÔSE</v>
          </cell>
        </row>
        <row r="1111">
          <cell r="B1111">
            <v>46188.631944444445</v>
          </cell>
          <cell r="C1111">
            <v>46188.845138888886</v>
          </cell>
          <cell r="G1111" t="str">
            <v>0006</v>
          </cell>
          <cell r="K1111">
            <v>3243</v>
          </cell>
          <cell r="L1111" t="str">
            <v>MRARBS05</v>
          </cell>
          <cell r="P1111" t="str">
            <v>MISS RÔSE</v>
          </cell>
        </row>
        <row r="1112">
          <cell r="B1112">
            <v>46188.715277777781</v>
          </cell>
          <cell r="C1112">
            <v>46188.743055555555</v>
          </cell>
          <cell r="G1112" t="str">
            <v>FABIANO 22/01/26</v>
          </cell>
          <cell r="K1112">
            <v>240</v>
          </cell>
          <cell r="L1112" t="str">
            <v>WKBS0004</v>
          </cell>
          <cell r="P1112" t="str">
            <v>WIKE MAKE</v>
          </cell>
        </row>
        <row r="1113">
          <cell r="B1113">
            <v>46188.857638888891</v>
          </cell>
          <cell r="C1113">
            <v>46189.344444444447</v>
          </cell>
          <cell r="G1113" t="str">
            <v>FABIANO 22/01/26</v>
          </cell>
          <cell r="K1113">
            <v>7632</v>
          </cell>
          <cell r="L1113" t="str">
            <v>WKBS0004</v>
          </cell>
          <cell r="P1113" t="str">
            <v>WIKE MAKE</v>
          </cell>
        </row>
        <row r="1114">
          <cell r="B1114">
            <v>46189.344444444447</v>
          </cell>
          <cell r="C1114">
            <v>46189.652777777781</v>
          </cell>
          <cell r="G1114" t="str">
            <v>FABIANO 22/01/26</v>
          </cell>
          <cell r="K1114">
            <v>8304</v>
          </cell>
          <cell r="L1114" t="str">
            <v>WKBS0004</v>
          </cell>
          <cell r="P1114" t="str">
            <v>WIKE MAKE</v>
          </cell>
        </row>
        <row r="1115">
          <cell r="B1115">
            <v>46189.548611111109</v>
          </cell>
          <cell r="C1115">
            <v>46190.388888888891</v>
          </cell>
          <cell r="G1115" t="str">
            <v>FABIANO 03/02/26</v>
          </cell>
          <cell r="K1115">
            <v>8704</v>
          </cell>
          <cell r="L1115" t="str">
            <v>MRFX0001</v>
          </cell>
          <cell r="P1115" t="str">
            <v>MISS RÔSE</v>
          </cell>
        </row>
        <row r="1116">
          <cell r="B1116">
            <v>46189.65625</v>
          </cell>
          <cell r="C1116">
            <v>46189.902777777781</v>
          </cell>
          <cell r="G1116" t="str">
            <v>FABIANO 22/01/26</v>
          </cell>
          <cell r="K1116">
            <v>3608</v>
          </cell>
          <cell r="L1116" t="str">
            <v>WKBS0004</v>
          </cell>
          <cell r="P1116" t="str">
            <v>WIKE MAKE</v>
          </cell>
        </row>
        <row r="1117">
          <cell r="B1117">
            <v>46190.364583333336</v>
          </cell>
          <cell r="C1117">
            <v>46191.425000000003</v>
          </cell>
          <cell r="G1117" t="str">
            <v>FABIANO 03/02/26</v>
          </cell>
          <cell r="K1117">
            <v>8704</v>
          </cell>
          <cell r="L1117" t="str">
            <v>MRFX0001</v>
          </cell>
          <cell r="P1117" t="str">
            <v>MISS RÔSE</v>
          </cell>
        </row>
        <row r="1118">
          <cell r="B1118">
            <v>46190.506249999999</v>
          </cell>
          <cell r="C1118">
            <v>46190.527777777781</v>
          </cell>
          <cell r="G1118" t="str">
            <v>FABIANO 22/01/26</v>
          </cell>
          <cell r="K1118">
            <v>382</v>
          </cell>
          <cell r="L1118" t="str">
            <v>WKBS0004</v>
          </cell>
          <cell r="P1118" t="str">
            <v>WIKE MAKE</v>
          </cell>
        </row>
        <row r="1119">
          <cell r="B1119">
            <v>46190.604166666664</v>
          </cell>
          <cell r="C1119">
            <v>46190.659722222219</v>
          </cell>
          <cell r="G1119" t="str">
            <v>0007</v>
          </cell>
          <cell r="K1119">
            <v>420</v>
          </cell>
          <cell r="L1119" t="str">
            <v>DPMTBS02</v>
          </cell>
          <cell r="P1119" t="str">
            <v>DAPOP</v>
          </cell>
        </row>
        <row r="1120">
          <cell r="B1120">
            <v>46190.660416666666</v>
          </cell>
          <cell r="C1120">
            <v>46191.520833333336</v>
          </cell>
          <cell r="G1120" t="str">
            <v>0007</v>
          </cell>
          <cell r="K1120">
            <v>7080</v>
          </cell>
          <cell r="L1120" t="str">
            <v>DPMTBS02</v>
          </cell>
          <cell r="P1120" t="str">
            <v>DAPOP</v>
          </cell>
        </row>
        <row r="1121">
          <cell r="B1121">
            <v>46191.425694444442</v>
          </cell>
          <cell r="C1121">
            <v>46192.425694444442</v>
          </cell>
          <cell r="G1121" t="str">
            <v>FABIANO 03/02/26</v>
          </cell>
          <cell r="K1121">
            <v>8704</v>
          </cell>
          <cell r="L1121" t="str">
            <v>MRFX0001</v>
          </cell>
          <cell r="P1121" t="str">
            <v>MISS RÔSE</v>
          </cell>
        </row>
        <row r="1122">
          <cell r="B1122">
            <v>46191.522222222222</v>
          </cell>
          <cell r="G1122" t="str">
            <v>0007</v>
          </cell>
          <cell r="K1122">
            <v>6540</v>
          </cell>
          <cell r="L1122" t="str">
            <v>DPMTBS02</v>
          </cell>
          <cell r="P1122" t="str">
            <v>DAPOP</v>
          </cell>
        </row>
        <row r="1123">
          <cell r="B1123">
            <v>46192.270833333336</v>
          </cell>
          <cell r="C1123">
            <v>46192.777777777781</v>
          </cell>
          <cell r="G1123" t="str">
            <v>0007</v>
          </cell>
          <cell r="K1123">
            <v>8012</v>
          </cell>
          <cell r="L1123" t="str">
            <v>DPMTBS01</v>
          </cell>
          <cell r="P1123" t="str">
            <v>DAPOP</v>
          </cell>
        </row>
        <row r="1124">
          <cell r="B1124">
            <v>46192.697916666664</v>
          </cell>
          <cell r="C1124">
            <v>46161</v>
          </cell>
          <cell r="G1124" t="str">
            <v>FABIANO 03/02/26</v>
          </cell>
          <cell r="K1124">
            <v>1664</v>
          </cell>
          <cell r="L1124" t="str">
            <v>MRFX0001</v>
          </cell>
          <cell r="P1124" t="str">
            <v>MISS RÔSE</v>
          </cell>
        </row>
        <row r="1125">
          <cell r="B1125">
            <v>46195.671527777777</v>
          </cell>
          <cell r="C1125">
            <v>46196.44027777778</v>
          </cell>
          <cell r="G1125" t="str">
            <v>0006</v>
          </cell>
          <cell r="K1125">
            <v>4560</v>
          </cell>
          <cell r="L1125" t="str">
            <v>MRARBS05</v>
          </cell>
          <cell r="P1125" t="str">
            <v>MISS RÔSE</v>
          </cell>
        </row>
        <row r="1126">
          <cell r="B1126">
            <v>46196.42083333333</v>
          </cell>
          <cell r="C1126">
            <v>46196.694444444445</v>
          </cell>
          <cell r="G1126" t="str">
            <v>0007</v>
          </cell>
          <cell r="K1126">
            <v>5207</v>
          </cell>
          <cell r="L1126" t="str">
            <v>DPMTBS03</v>
          </cell>
          <cell r="P1126" t="str">
            <v>DAPOP</v>
          </cell>
        </row>
        <row r="1127">
          <cell r="B1127">
            <v>46196.444444444445</v>
          </cell>
          <cell r="C1127">
            <v>46196.666666666664</v>
          </cell>
          <cell r="G1127" t="str">
            <v>0006</v>
          </cell>
          <cell r="K1127">
            <v>4308</v>
          </cell>
          <cell r="L1127" t="str">
            <v>MRARBS05</v>
          </cell>
          <cell r="P1127" t="str">
            <v>MISS RÔSE</v>
          </cell>
        </row>
        <row r="1128">
          <cell r="B1128">
            <v>46196.668055555558</v>
          </cell>
          <cell r="C1128">
            <v>46197.357638888891</v>
          </cell>
          <cell r="G1128" t="str">
            <v>0006</v>
          </cell>
          <cell r="K1128">
            <v>2512</v>
          </cell>
          <cell r="L1128" t="str">
            <v>MRARBS05</v>
          </cell>
          <cell r="P1128" t="str">
            <v>MISS RÔSE</v>
          </cell>
        </row>
        <row r="1129">
          <cell r="B1129">
            <v>46197.29583333333</v>
          </cell>
          <cell r="C1129">
            <v>46197.541666666664</v>
          </cell>
          <cell r="G1129" t="str">
            <v>0011</v>
          </cell>
          <cell r="K1129">
            <v>4512</v>
          </cell>
          <cell r="L1129" t="str">
            <v>MRARBS07</v>
          </cell>
          <cell r="P1129" t="str">
            <v>MISS RÔSE</v>
          </cell>
        </row>
        <row r="1130">
          <cell r="B1130">
            <v>46197.3125</v>
          </cell>
          <cell r="C1130">
            <v>46197.46875</v>
          </cell>
          <cell r="G1130" t="str">
            <v>HABIBI 01</v>
          </cell>
          <cell r="K1130">
            <v>1615</v>
          </cell>
          <cell r="L1130" t="str">
            <v>HBHD0004</v>
          </cell>
          <cell r="P1130" t="str">
            <v>HABIBI PERFUMES</v>
          </cell>
        </row>
        <row r="1131">
          <cell r="B1131">
            <v>46197.361111111109</v>
          </cell>
          <cell r="C1131">
            <v>46197.552777777775</v>
          </cell>
          <cell r="G1131" t="str">
            <v>0008</v>
          </cell>
          <cell r="K1131">
            <v>4560</v>
          </cell>
          <cell r="L1131" t="str">
            <v>MRARBS11</v>
          </cell>
          <cell r="P1131" t="str">
            <v>MISS RÔSE</v>
          </cell>
        </row>
        <row r="1132">
          <cell r="B1132">
            <v>46197.469444444447</v>
          </cell>
          <cell r="C1132">
            <v>46197.670138888891</v>
          </cell>
          <cell r="G1132" t="str">
            <v>HABIBI 01</v>
          </cell>
          <cell r="K1132">
            <v>1776</v>
          </cell>
          <cell r="L1132" t="str">
            <v>HBHD0004</v>
          </cell>
          <cell r="P1132" t="str">
            <v>HABIBI PERFUMES</v>
          </cell>
        </row>
        <row r="1133">
          <cell r="B1133">
            <v>46197.550694444442</v>
          </cell>
          <cell r="C1133">
            <v>46198.31527777778</v>
          </cell>
          <cell r="G1133" t="str">
            <v>0011</v>
          </cell>
          <cell r="K1133">
            <v>4656</v>
          </cell>
          <cell r="L1133" t="str">
            <v>MRARBS07</v>
          </cell>
          <cell r="P1133" t="str">
            <v>MISS RÔSE</v>
          </cell>
        </row>
        <row r="1134">
          <cell r="B1134">
            <v>46197.555555555555</v>
          </cell>
          <cell r="C1134">
            <v>46198.333333333336</v>
          </cell>
          <cell r="G1134" t="str">
            <v>0008</v>
          </cell>
          <cell r="K1134" t="str">
            <v>4608</v>
          </cell>
          <cell r="L1134" t="str">
            <v>MRARBS11</v>
          </cell>
          <cell r="P1134" t="str">
            <v>MISS RÔSE</v>
          </cell>
        </row>
        <row r="1135">
          <cell r="B1135">
            <v>46197.67083333333</v>
          </cell>
          <cell r="C1135">
            <v>46198.3125</v>
          </cell>
          <cell r="G1135" t="str">
            <v>HABIBI 01</v>
          </cell>
          <cell r="K1135">
            <v>528</v>
          </cell>
          <cell r="L1135" t="str">
            <v>HBHD0004</v>
          </cell>
          <cell r="P1135" t="str">
            <v>HABIBI PERFUMES</v>
          </cell>
        </row>
        <row r="1136">
          <cell r="B1136">
            <v>46198.3125</v>
          </cell>
          <cell r="C1136">
            <v>46198.515972222223</v>
          </cell>
          <cell r="G1136" t="str">
            <v>HABIBI 01</v>
          </cell>
          <cell r="K1136">
            <v>1747</v>
          </cell>
          <cell r="L1136" t="str">
            <v>HBHD0002</v>
          </cell>
          <cell r="P1136" t="str">
            <v>HABIBI PERFUMES</v>
          </cell>
        </row>
        <row r="1137">
          <cell r="B1137">
            <v>46198.316666666666</v>
          </cell>
          <cell r="C1137">
            <v>46198.498611111114</v>
          </cell>
          <cell r="G1137" t="str">
            <v>0011</v>
          </cell>
          <cell r="K1137">
            <v>4608</v>
          </cell>
          <cell r="L1137" t="str">
            <v>MRARBS07</v>
          </cell>
          <cell r="P1137" t="str">
            <v>MISS RÔSE</v>
          </cell>
        </row>
        <row r="1138">
          <cell r="B1138">
            <v>46198.334027777775</v>
          </cell>
          <cell r="C1138">
            <v>46198.468055555553</v>
          </cell>
          <cell r="G1138" t="str">
            <v>0008</v>
          </cell>
          <cell r="K1138">
            <v>2867</v>
          </cell>
          <cell r="L1138" t="str">
            <v>MRARBS11</v>
          </cell>
          <cell r="P1138" t="str">
            <v>MISS RÔSE</v>
          </cell>
        </row>
        <row r="1139">
          <cell r="B1139">
            <v>46198.472222222219</v>
          </cell>
          <cell r="C1139">
            <v>46199.339583333334</v>
          </cell>
          <cell r="G1139" t="str">
            <v>0011</v>
          </cell>
          <cell r="K1139">
            <v>4560</v>
          </cell>
          <cell r="L1139" t="str">
            <v>MRARBS07</v>
          </cell>
          <cell r="P1139" t="str">
            <v>MISS RÔSE</v>
          </cell>
        </row>
        <row r="1140">
          <cell r="B1140">
            <v>46198.520833333336</v>
          </cell>
          <cell r="C1140">
            <v>46199.302083333336</v>
          </cell>
          <cell r="G1140" t="str">
            <v>HABIBI 01</v>
          </cell>
          <cell r="K1140">
            <v>1365</v>
          </cell>
          <cell r="L1140" t="str">
            <v>HBHD0002</v>
          </cell>
          <cell r="P1140" t="str">
            <v>HABIBI PERFUMES</v>
          </cell>
        </row>
        <row r="1141">
          <cell r="B1141">
            <v>46198.543749999997</v>
          </cell>
          <cell r="C1141">
            <v>46199.350694444445</v>
          </cell>
          <cell r="G1141" t="str">
            <v>05</v>
          </cell>
          <cell r="K1141">
            <v>4896</v>
          </cell>
          <cell r="L1141" t="str">
            <v>FBBS0006</v>
          </cell>
          <cell r="P1141" t="str">
            <v>FEBELLA BEAUTY</v>
          </cell>
        </row>
        <row r="1142">
          <cell r="B1142">
            <v>46199.309027777781</v>
          </cell>
          <cell r="C1142">
            <v>46199.465277777781</v>
          </cell>
          <cell r="G1142" t="str">
            <v>HABIBI 01</v>
          </cell>
          <cell r="K1142">
            <v>1334</v>
          </cell>
          <cell r="L1142" t="str">
            <v>HBHD0002</v>
          </cell>
          <cell r="P1142" t="str">
            <v>HABIBI PERFUMES</v>
          </cell>
        </row>
        <row r="1143">
          <cell r="B1143">
            <v>46199.340277777781</v>
          </cell>
          <cell r="C1143">
            <v>46199.583333333336</v>
          </cell>
          <cell r="G1143" t="str">
            <v>0011</v>
          </cell>
          <cell r="K1143">
            <v>4464</v>
          </cell>
          <cell r="L1143" t="str">
            <v>MRARBS07</v>
          </cell>
          <cell r="P1143" t="str">
            <v>MISS RÔSE</v>
          </cell>
        </row>
        <row r="1144">
          <cell r="B1144">
            <v>46199.463888888888</v>
          </cell>
          <cell r="C1144">
            <v>46202.340277777781</v>
          </cell>
          <cell r="G1144" t="str">
            <v>HABIBI 01</v>
          </cell>
          <cell r="K1144">
            <v>1745</v>
          </cell>
          <cell r="L1144" t="str">
            <v>HBHD0003</v>
          </cell>
          <cell r="P1144" t="str">
            <v>HABIBI PERFUMES</v>
          </cell>
        </row>
        <row r="1145">
          <cell r="B1145">
            <v>46199.581250000003</v>
          </cell>
          <cell r="C1145">
            <v>46202.40902777778</v>
          </cell>
          <cell r="G1145" t="str">
            <v>0011</v>
          </cell>
          <cell r="K1145">
            <v>5088</v>
          </cell>
          <cell r="L1145" t="str">
            <v>MRARBS07</v>
          </cell>
          <cell r="P1145" t="str">
            <v>MISS RÔSE</v>
          </cell>
        </row>
        <row r="1146">
          <cell r="B1146">
            <v>46202.304861111108</v>
          </cell>
          <cell r="C1146">
            <v>46202.484722222223</v>
          </cell>
          <cell r="G1146" t="str">
            <v>PROG 01 25/03/26</v>
          </cell>
          <cell r="K1146">
            <v>4752</v>
          </cell>
          <cell r="L1146" t="str">
            <v>MRARBS01</v>
          </cell>
          <cell r="P1146" t="str">
            <v>MISS RÔSE</v>
          </cell>
        </row>
        <row r="1147">
          <cell r="B1147">
            <v>46202.34097222222</v>
          </cell>
          <cell r="C1147">
            <v>46203.3125</v>
          </cell>
          <cell r="G1147" t="str">
            <v>HABIBI 01</v>
          </cell>
          <cell r="K1147">
            <v>1682</v>
          </cell>
          <cell r="L1147" t="str">
            <v>HBHD0003</v>
          </cell>
          <cell r="P1147" t="str">
            <v>HABIBI PERFUMES</v>
          </cell>
        </row>
        <row r="1148">
          <cell r="G1148" t="str">
            <v>0006</v>
          </cell>
          <cell r="K1148">
            <v>4752</v>
          </cell>
          <cell r="L1148" t="str">
            <v>MRARBS05</v>
          </cell>
          <cell r="P1148" t="str">
            <v>MISS RÔSE</v>
          </cell>
        </row>
        <row r="1149">
          <cell r="G1149" t="str">
            <v>0008</v>
          </cell>
          <cell r="K1149">
            <v>3324</v>
          </cell>
          <cell r="L1149" t="str">
            <v>MRARBS12</v>
          </cell>
          <cell r="P1149" t="str">
            <v>MISS RÔSE</v>
          </cell>
        </row>
        <row r="1150">
          <cell r="B1150">
            <v>46206.454861111109</v>
          </cell>
          <cell r="C1150">
            <v>46206.645833333336</v>
          </cell>
          <cell r="G1150" t="str">
            <v>0011</v>
          </cell>
          <cell r="K1150">
            <v>2797</v>
          </cell>
          <cell r="L1150" t="str">
            <v>MRARBS07</v>
          </cell>
          <cell r="P1150" t="str">
            <v>MISS RÔSE</v>
          </cell>
        </row>
        <row r="1151">
          <cell r="B1151">
            <v>46202.409722222219</v>
          </cell>
          <cell r="C1151">
            <v>46203.388888888891</v>
          </cell>
          <cell r="G1151" t="str">
            <v>0011</v>
          </cell>
          <cell r="K1151">
            <v>5184</v>
          </cell>
          <cell r="L1151" t="str">
            <v>MRARBS07</v>
          </cell>
          <cell r="P1151" t="str">
            <v>MISS RÔSE</v>
          </cell>
        </row>
        <row r="1152">
          <cell r="B1152">
            <v>46202.48541666667</v>
          </cell>
          <cell r="C1152">
            <v>46203.4375</v>
          </cell>
          <cell r="G1152" t="str">
            <v>PROG 01 25/03/26</v>
          </cell>
          <cell r="K1152">
            <v>3342</v>
          </cell>
          <cell r="L1152" t="str">
            <v>MRARBS01</v>
          </cell>
          <cell r="P1152" t="str">
            <v>MISS RÔSE</v>
          </cell>
        </row>
        <row r="1153">
          <cell r="B1153">
            <v>46199.352083333331</v>
          </cell>
          <cell r="C1153">
            <v>46199.583333333336</v>
          </cell>
          <cell r="G1153" t="str">
            <v>FABIANO 22/01/26</v>
          </cell>
          <cell r="K1153">
            <v>4368</v>
          </cell>
          <cell r="L1153" t="str">
            <v>FBBS0006</v>
          </cell>
          <cell r="P1153" t="str">
            <v>FEBELLA BEAUTY</v>
          </cell>
        </row>
        <row r="1154">
          <cell r="B1154">
            <v>46199.625694444447</v>
          </cell>
          <cell r="C1154">
            <v>46199.650694444441</v>
          </cell>
          <cell r="G1154" t="str">
            <v>FABIANO 22/01/26</v>
          </cell>
          <cell r="K1154">
            <v>780</v>
          </cell>
          <cell r="L1154" t="str">
            <v>FBBS0006</v>
          </cell>
          <cell r="P1154" t="str">
            <v>FEBELLA BEAUTY</v>
          </cell>
        </row>
        <row r="1155">
          <cell r="B1155">
            <v>46203.313888888886</v>
          </cell>
          <cell r="C1155">
            <v>46203.541666666664</v>
          </cell>
          <cell r="G1155" t="str">
            <v>HABIBI 01</v>
          </cell>
          <cell r="K1155">
            <v>1580</v>
          </cell>
          <cell r="L1155" t="str">
            <v>HBHD0008</v>
          </cell>
          <cell r="P1155" t="str">
            <v>HABIBI PERFUMES</v>
          </cell>
        </row>
        <row r="1156">
          <cell r="B1156">
            <v>46174.359027777777</v>
          </cell>
          <cell r="C1156">
            <v>46174.370138888888</v>
          </cell>
          <cell r="G1156" t="str">
            <v>05</v>
          </cell>
          <cell r="K1156">
            <v>120</v>
          </cell>
          <cell r="L1156" t="str">
            <v>FBBS0002</v>
          </cell>
          <cell r="P1156" t="str">
            <v>FEBELLA BEAUTY</v>
          </cell>
        </row>
        <row r="1157">
          <cell r="B1157">
            <v>46205.311111111114</v>
          </cell>
          <cell r="C1157">
            <v>46205.375</v>
          </cell>
          <cell r="G1157" t="str">
            <v>05</v>
          </cell>
          <cell r="K1157">
            <v>1320</v>
          </cell>
          <cell r="L1157" t="str">
            <v>FBBS0002</v>
          </cell>
          <cell r="P1157" t="str">
            <v>FEBELLA BEAUTY</v>
          </cell>
        </row>
        <row r="1158">
          <cell r="B1158">
            <v>46204.378472222219</v>
          </cell>
          <cell r="C1158">
            <v>46205.404861111114</v>
          </cell>
          <cell r="G1158" t="str">
            <v>0011</v>
          </cell>
          <cell r="K1158">
            <v>4848</v>
          </cell>
          <cell r="L1158" t="str">
            <v>MRARBS07</v>
          </cell>
          <cell r="P1158" t="str">
            <v>MISS RÔSE</v>
          </cell>
        </row>
        <row r="1159">
          <cell r="B1159">
            <v>46204.361111111109</v>
          </cell>
          <cell r="C1159">
            <v>46205.30972222222</v>
          </cell>
          <cell r="G1159" t="str">
            <v>05</v>
          </cell>
          <cell r="K1159">
            <v>6780</v>
          </cell>
          <cell r="L1159" t="str">
            <v>FBBS0002</v>
          </cell>
          <cell r="P1159" t="str">
            <v>FEBELLA BEAUTY</v>
          </cell>
        </row>
        <row r="1160">
          <cell r="B1160">
            <v>46205.408333333333</v>
          </cell>
          <cell r="C1160">
            <v>46205.65</v>
          </cell>
          <cell r="G1160" t="str">
            <v>0011</v>
          </cell>
          <cell r="K1160">
            <v>4656</v>
          </cell>
          <cell r="L1160" t="str">
            <v>MRARBS07</v>
          </cell>
          <cell r="P1160" t="str">
            <v>MISS RÔSE</v>
          </cell>
        </row>
        <row r="1161">
          <cell r="B1161">
            <v>46205.503472222219</v>
          </cell>
          <cell r="C1161">
            <v>46206.365277777775</v>
          </cell>
          <cell r="G1161" t="str">
            <v>0011</v>
          </cell>
          <cell r="K1161">
            <v>5040</v>
          </cell>
          <cell r="L1161" t="str">
            <v>MRARBS10</v>
          </cell>
          <cell r="P1161" t="str">
            <v>MISS RÔSE</v>
          </cell>
        </row>
        <row r="1162">
          <cell r="B1162">
            <v>46203.583333333336</v>
          </cell>
          <cell r="C1162">
            <v>46205.368055555555</v>
          </cell>
          <cell r="G1162" t="str">
            <v>HABIBI 01</v>
          </cell>
          <cell r="K1162">
            <v>2803</v>
          </cell>
          <cell r="L1162" t="str">
            <v>HBHD0008</v>
          </cell>
          <cell r="P1162" t="str">
            <v>HABIBI PERFUMES</v>
          </cell>
        </row>
        <row r="1163">
          <cell r="B1163">
            <v>46205.651388888888</v>
          </cell>
          <cell r="C1163">
            <v>46206.455555555556</v>
          </cell>
          <cell r="G1163" t="str">
            <v>0011</v>
          </cell>
          <cell r="K1163">
            <v>4656</v>
          </cell>
          <cell r="L1163" t="str">
            <v>MRARBS07</v>
          </cell>
          <cell r="P1163" t="str">
            <v>MISS RÔSE</v>
          </cell>
        </row>
        <row r="1164">
          <cell r="B1164">
            <v>46205.361111111109</v>
          </cell>
          <cell r="C1164">
            <v>46206.585416666669</v>
          </cell>
          <cell r="G1164" t="str">
            <v>HABIBI 01</v>
          </cell>
          <cell r="K1164">
            <v>1695</v>
          </cell>
          <cell r="L1164" t="str">
            <v>HBHD0005</v>
          </cell>
          <cell r="P1164" t="str">
            <v>HABIBI PERFUMES</v>
          </cell>
        </row>
        <row r="1165">
          <cell r="B1165">
            <v>46208.59097222222</v>
          </cell>
          <cell r="C1165">
            <v>46209.385416666664</v>
          </cell>
          <cell r="G1165" t="str">
            <v>HABIBI 01</v>
          </cell>
          <cell r="K1165">
            <v>1008</v>
          </cell>
          <cell r="L1165" t="str">
            <v>HBHD0005</v>
          </cell>
          <cell r="P1165" t="str">
            <v>HABIBI PERFUMES</v>
          </cell>
        </row>
        <row r="1166">
          <cell r="B1166">
            <v>46206.367361111108</v>
          </cell>
          <cell r="C1166">
            <v>46209.541666666664</v>
          </cell>
          <cell r="G1166" t="str">
            <v>0011</v>
          </cell>
          <cell r="K1166">
            <v>4368</v>
          </cell>
          <cell r="L1166" t="str">
            <v>MRARBS10</v>
          </cell>
          <cell r="P1166" t="str">
            <v>MISS RÔSE</v>
          </cell>
        </row>
        <row r="1167">
          <cell r="P1167" t="str">
            <v>-</v>
          </cell>
        </row>
        <row r="1168">
          <cell r="P1168" t="str">
            <v>-</v>
          </cell>
        </row>
        <row r="1169">
          <cell r="P1169" t="str">
            <v>-</v>
          </cell>
        </row>
        <row r="1170">
          <cell r="P1170" t="str">
            <v>-</v>
          </cell>
        </row>
        <row r="1171">
          <cell r="P1171" t="str">
            <v>-</v>
          </cell>
        </row>
        <row r="1172">
          <cell r="P1172" t="str">
            <v>-</v>
          </cell>
        </row>
        <row r="1173">
          <cell r="P1173" t="str">
            <v>-</v>
          </cell>
        </row>
        <row r="1174">
          <cell r="P1174" t="str">
            <v>-</v>
          </cell>
        </row>
        <row r="1175">
          <cell r="P1175" t="str">
            <v>-</v>
          </cell>
        </row>
        <row r="1176">
          <cell r="P1176" t="str">
            <v>-</v>
          </cell>
        </row>
        <row r="1177">
          <cell r="P1177" t="str">
            <v>-</v>
          </cell>
        </row>
        <row r="1178">
          <cell r="P1178" t="str">
            <v>-</v>
          </cell>
        </row>
        <row r="1179">
          <cell r="P1179" t="str">
            <v>-</v>
          </cell>
        </row>
        <row r="1180">
          <cell r="P1180" t="str">
            <v>-</v>
          </cell>
        </row>
        <row r="1181">
          <cell r="P1181" t="str">
            <v>-</v>
          </cell>
        </row>
        <row r="1182">
          <cell r="P1182" t="str">
            <v>-</v>
          </cell>
        </row>
        <row r="1183">
          <cell r="P1183" t="str">
            <v>-</v>
          </cell>
        </row>
        <row r="1184">
          <cell r="P1184" t="str">
            <v>-</v>
          </cell>
        </row>
        <row r="1185">
          <cell r="P1185" t="str">
            <v>-</v>
          </cell>
        </row>
        <row r="1186">
          <cell r="P1186" t="str">
            <v>-</v>
          </cell>
        </row>
        <row r="1187">
          <cell r="P1187" t="str">
            <v>-</v>
          </cell>
        </row>
        <row r="1188">
          <cell r="P1188" t="str">
            <v>-</v>
          </cell>
        </row>
        <row r="1189">
          <cell r="P1189" t="str">
            <v>-</v>
          </cell>
        </row>
        <row r="1190">
          <cell r="P1190" t="str">
            <v>-</v>
          </cell>
        </row>
        <row r="1191">
          <cell r="P1191" t="str">
            <v>-</v>
          </cell>
        </row>
        <row r="1192">
          <cell r="P1192" t="str">
            <v>-</v>
          </cell>
        </row>
        <row r="1193">
          <cell r="P1193" t="str">
            <v>-</v>
          </cell>
        </row>
        <row r="1194">
          <cell r="P1194" t="str">
            <v>-</v>
          </cell>
        </row>
        <row r="1195">
          <cell r="P1195" t="str">
            <v>-</v>
          </cell>
        </row>
        <row r="1196">
          <cell r="P1196" t="str">
            <v>-</v>
          </cell>
        </row>
        <row r="1197">
          <cell r="P1197" t="str">
            <v>-</v>
          </cell>
        </row>
        <row r="1198">
          <cell r="P1198" t="str">
            <v>-</v>
          </cell>
        </row>
        <row r="1199">
          <cell r="P1199" t="str">
            <v>-</v>
          </cell>
        </row>
        <row r="1200">
          <cell r="P1200" t="str">
            <v>-</v>
          </cell>
        </row>
        <row r="1201">
          <cell r="P1201" t="str">
            <v>-</v>
          </cell>
        </row>
        <row r="1202">
          <cell r="P1202" t="str">
            <v>-</v>
          </cell>
        </row>
        <row r="1203">
          <cell r="P1203" t="str">
            <v>-</v>
          </cell>
        </row>
        <row r="1204">
          <cell r="P1204" t="str">
            <v>-</v>
          </cell>
        </row>
        <row r="1205">
          <cell r="P1205" t="str">
            <v>-</v>
          </cell>
        </row>
        <row r="1206">
          <cell r="P1206" t="str">
            <v>-</v>
          </cell>
        </row>
        <row r="1207">
          <cell r="P1207" t="str">
            <v>-</v>
          </cell>
        </row>
        <row r="1208">
          <cell r="P1208" t="str">
            <v>-</v>
          </cell>
        </row>
        <row r="1209">
          <cell r="P1209" t="str">
            <v>-</v>
          </cell>
        </row>
        <row r="1210">
          <cell r="P1210" t="str">
            <v>-</v>
          </cell>
        </row>
        <row r="1211">
          <cell r="P1211" t="str">
            <v>-</v>
          </cell>
        </row>
        <row r="1212">
          <cell r="P1212" t="str">
            <v>-</v>
          </cell>
        </row>
        <row r="1213">
          <cell r="P1213" t="str">
            <v>-</v>
          </cell>
        </row>
        <row r="1214">
          <cell r="P1214" t="str">
            <v>-</v>
          </cell>
        </row>
        <row r="1215">
          <cell r="P1215" t="str">
            <v>-</v>
          </cell>
        </row>
        <row r="1216">
          <cell r="P1216" t="str">
            <v>-</v>
          </cell>
        </row>
        <row r="1217">
          <cell r="P1217" t="str">
            <v>-</v>
          </cell>
        </row>
        <row r="1218">
          <cell r="P1218" t="str">
            <v>-</v>
          </cell>
        </row>
        <row r="1219">
          <cell r="P1219" t="str">
            <v>-</v>
          </cell>
        </row>
        <row r="1220">
          <cell r="P1220" t="str">
            <v>-</v>
          </cell>
        </row>
        <row r="1221">
          <cell r="P1221" t="str">
            <v>-</v>
          </cell>
        </row>
        <row r="1222">
          <cell r="P1222" t="str">
            <v>-</v>
          </cell>
        </row>
        <row r="1223">
          <cell r="P1223" t="str">
            <v>-</v>
          </cell>
        </row>
        <row r="1224">
          <cell r="P1224" t="str">
            <v>-</v>
          </cell>
        </row>
        <row r="1225">
          <cell r="P1225" t="str">
            <v>-</v>
          </cell>
        </row>
        <row r="1226">
          <cell r="P1226" t="str">
            <v>-</v>
          </cell>
        </row>
        <row r="1227">
          <cell r="P1227" t="str">
            <v>-</v>
          </cell>
        </row>
        <row r="1228">
          <cell r="P1228" t="str">
            <v>-</v>
          </cell>
        </row>
        <row r="1229">
          <cell r="P1229" t="str">
            <v>-</v>
          </cell>
        </row>
        <row r="1230">
          <cell r="P1230" t="str">
            <v>-</v>
          </cell>
        </row>
        <row r="1231">
          <cell r="P1231" t="str">
            <v>-</v>
          </cell>
        </row>
        <row r="1232">
          <cell r="P1232" t="str">
            <v>-</v>
          </cell>
        </row>
        <row r="1233">
          <cell r="P1233" t="str">
            <v>-</v>
          </cell>
        </row>
        <row r="1234">
          <cell r="P1234" t="str">
            <v>-</v>
          </cell>
        </row>
        <row r="1235">
          <cell r="P1235" t="str">
            <v>-</v>
          </cell>
        </row>
        <row r="1236">
          <cell r="P1236" t="str">
            <v>-</v>
          </cell>
        </row>
        <row r="1237">
          <cell r="P1237" t="str">
            <v>-</v>
          </cell>
        </row>
        <row r="1238">
          <cell r="P1238" t="str">
            <v>-</v>
          </cell>
        </row>
        <row r="1239">
          <cell r="P1239" t="str">
            <v>-</v>
          </cell>
        </row>
        <row r="1240">
          <cell r="P1240" t="str">
            <v>-</v>
          </cell>
        </row>
        <row r="1241">
          <cell r="P1241" t="str">
            <v>-</v>
          </cell>
        </row>
        <row r="1242">
          <cell r="P1242" t="str">
            <v>-</v>
          </cell>
        </row>
        <row r="1243">
          <cell r="P1243" t="str">
            <v>-</v>
          </cell>
        </row>
        <row r="1244">
          <cell r="P1244" t="str">
            <v>-</v>
          </cell>
        </row>
        <row r="1245">
          <cell r="P1245" t="str">
            <v>-</v>
          </cell>
        </row>
        <row r="1246">
          <cell r="P1246" t="str">
            <v>-</v>
          </cell>
        </row>
        <row r="1247">
          <cell r="P1247" t="str">
            <v>-</v>
          </cell>
        </row>
        <row r="1248">
          <cell r="P1248" t="str">
            <v>-</v>
          </cell>
        </row>
        <row r="1249">
          <cell r="P1249" t="str">
            <v>-</v>
          </cell>
        </row>
        <row r="1250">
          <cell r="P1250" t="str">
            <v>-</v>
          </cell>
        </row>
        <row r="1251">
          <cell r="P1251" t="str">
            <v>-</v>
          </cell>
        </row>
        <row r="1252">
          <cell r="P1252" t="str">
            <v>-</v>
          </cell>
        </row>
        <row r="1253">
          <cell r="P1253" t="str">
            <v>-</v>
          </cell>
        </row>
        <row r="1254">
          <cell r="P1254" t="str">
            <v>-</v>
          </cell>
        </row>
        <row r="1255">
          <cell r="P1255" t="str">
            <v>-</v>
          </cell>
        </row>
        <row r="1256">
          <cell r="P1256" t="str">
            <v>-</v>
          </cell>
        </row>
        <row r="1257">
          <cell r="P1257" t="str">
            <v>-</v>
          </cell>
        </row>
        <row r="1258">
          <cell r="P1258" t="str">
            <v>-</v>
          </cell>
        </row>
        <row r="1259">
          <cell r="P1259" t="str">
            <v>-</v>
          </cell>
        </row>
        <row r="1260">
          <cell r="P1260" t="str">
            <v>-</v>
          </cell>
        </row>
        <row r="1261">
          <cell r="P1261" t="str">
            <v>-</v>
          </cell>
        </row>
        <row r="1262">
          <cell r="P1262" t="str">
            <v>-</v>
          </cell>
        </row>
        <row r="1263">
          <cell r="P1263" t="str">
            <v>-</v>
          </cell>
        </row>
        <row r="1264">
          <cell r="P1264" t="str">
            <v>-</v>
          </cell>
        </row>
        <row r="1265">
          <cell r="P1265" t="str">
            <v>-</v>
          </cell>
        </row>
        <row r="1266">
          <cell r="P1266" t="str">
            <v>-</v>
          </cell>
        </row>
        <row r="1267">
          <cell r="P1267" t="str">
            <v>-</v>
          </cell>
        </row>
        <row r="1268">
          <cell r="P1268" t="str">
            <v>-</v>
          </cell>
        </row>
        <row r="1269">
          <cell r="P1269" t="str">
            <v>-</v>
          </cell>
        </row>
        <row r="1270">
          <cell r="P1270" t="str">
            <v>-</v>
          </cell>
        </row>
        <row r="1271">
          <cell r="P1271" t="str">
            <v>-</v>
          </cell>
        </row>
        <row r="1272">
          <cell r="P1272" t="str">
            <v>-</v>
          </cell>
        </row>
        <row r="1273">
          <cell r="P1273" t="str">
            <v>-</v>
          </cell>
        </row>
        <row r="1274">
          <cell r="P1274" t="str">
            <v>-</v>
          </cell>
        </row>
        <row r="1275">
          <cell r="P1275" t="str">
            <v>-</v>
          </cell>
        </row>
        <row r="1276">
          <cell r="P1276" t="str">
            <v>-</v>
          </cell>
        </row>
        <row r="1277">
          <cell r="P1277" t="str">
            <v>-</v>
          </cell>
        </row>
        <row r="1278">
          <cell r="P1278" t="str">
            <v>-</v>
          </cell>
        </row>
        <row r="1279">
          <cell r="P1279" t="str">
            <v>-</v>
          </cell>
        </row>
        <row r="1280">
          <cell r="P1280" t="str">
            <v>-</v>
          </cell>
        </row>
        <row r="1281">
          <cell r="P1281" t="str">
            <v>-</v>
          </cell>
        </row>
        <row r="1282">
          <cell r="P1282" t="str">
            <v>-</v>
          </cell>
        </row>
        <row r="1283">
          <cell r="P1283" t="str">
            <v>-</v>
          </cell>
        </row>
        <row r="1284">
          <cell r="P1284" t="str">
            <v>-</v>
          </cell>
        </row>
        <row r="1285">
          <cell r="P1285" t="str">
            <v>-</v>
          </cell>
        </row>
        <row r="1286">
          <cell r="P1286" t="str">
            <v>-</v>
          </cell>
        </row>
        <row r="1287">
          <cell r="P1287" t="str">
            <v>-</v>
          </cell>
        </row>
        <row r="1288">
          <cell r="P1288" t="str">
            <v>-</v>
          </cell>
        </row>
        <row r="1289">
          <cell r="P1289" t="str">
            <v>-</v>
          </cell>
        </row>
        <row r="1290">
          <cell r="P1290" t="str">
            <v>-</v>
          </cell>
        </row>
        <row r="1291">
          <cell r="P1291" t="str">
            <v>-</v>
          </cell>
        </row>
        <row r="1292">
          <cell r="P1292" t="str">
            <v>-</v>
          </cell>
        </row>
        <row r="1293">
          <cell r="P1293" t="str">
            <v>-</v>
          </cell>
        </row>
        <row r="1294">
          <cell r="P1294" t="str">
            <v>-</v>
          </cell>
        </row>
        <row r="1295">
          <cell r="P1295" t="str">
            <v>-</v>
          </cell>
        </row>
        <row r="1296">
          <cell r="P1296" t="str">
            <v>-</v>
          </cell>
        </row>
        <row r="1297">
          <cell r="P1297" t="str">
            <v>-</v>
          </cell>
        </row>
        <row r="1298">
          <cell r="P1298" t="str">
            <v>-</v>
          </cell>
        </row>
        <row r="1299">
          <cell r="P1299" t="str">
            <v>-</v>
          </cell>
        </row>
        <row r="1300">
          <cell r="P1300" t="str">
            <v>-</v>
          </cell>
        </row>
        <row r="1301">
          <cell r="P1301" t="str">
            <v>-</v>
          </cell>
        </row>
        <row r="1302">
          <cell r="P1302" t="str">
            <v>-</v>
          </cell>
        </row>
        <row r="1303">
          <cell r="P1303" t="str">
            <v>-</v>
          </cell>
        </row>
        <row r="1304">
          <cell r="P1304" t="str">
            <v>-</v>
          </cell>
        </row>
        <row r="1305">
          <cell r="P1305" t="str">
            <v>-</v>
          </cell>
        </row>
        <row r="1306">
          <cell r="P1306" t="str">
            <v>-</v>
          </cell>
        </row>
        <row r="1307">
          <cell r="P1307" t="str">
            <v>-</v>
          </cell>
        </row>
        <row r="1308">
          <cell r="P1308" t="str">
            <v>-</v>
          </cell>
        </row>
        <row r="1309">
          <cell r="P1309" t="str">
            <v>-</v>
          </cell>
        </row>
        <row r="1310">
          <cell r="P1310" t="str">
            <v>-</v>
          </cell>
        </row>
        <row r="1311">
          <cell r="P1311" t="str">
            <v>-</v>
          </cell>
        </row>
        <row r="1312">
          <cell r="P1312" t="str">
            <v>-</v>
          </cell>
        </row>
        <row r="1313">
          <cell r="P1313" t="str">
            <v>-</v>
          </cell>
        </row>
        <row r="1314">
          <cell r="P1314" t="str">
            <v>-</v>
          </cell>
        </row>
        <row r="1315">
          <cell r="P1315" t="str">
            <v>-</v>
          </cell>
        </row>
        <row r="1316">
          <cell r="P1316" t="str">
            <v>-</v>
          </cell>
        </row>
        <row r="1317">
          <cell r="P1317" t="str">
            <v>-</v>
          </cell>
        </row>
        <row r="1318">
          <cell r="P1318" t="str">
            <v>-</v>
          </cell>
        </row>
        <row r="1319">
          <cell r="P1319" t="str">
            <v>-</v>
          </cell>
        </row>
        <row r="1320">
          <cell r="P1320" t="str">
            <v>-</v>
          </cell>
        </row>
        <row r="1321">
          <cell r="P1321" t="str">
            <v>-</v>
          </cell>
        </row>
        <row r="1322">
          <cell r="P1322" t="str">
            <v>-</v>
          </cell>
        </row>
        <row r="1323">
          <cell r="P1323" t="str">
            <v>-</v>
          </cell>
        </row>
        <row r="1324">
          <cell r="P1324" t="str">
            <v>-</v>
          </cell>
        </row>
        <row r="1325">
          <cell r="P1325" t="str">
            <v>-</v>
          </cell>
        </row>
        <row r="1326">
          <cell r="P1326" t="str">
            <v>-</v>
          </cell>
        </row>
        <row r="1327">
          <cell r="P1327" t="str">
            <v>-</v>
          </cell>
        </row>
        <row r="1328">
          <cell r="P1328" t="str">
            <v>-</v>
          </cell>
        </row>
        <row r="1329">
          <cell r="P1329" t="str">
            <v>-</v>
          </cell>
        </row>
        <row r="1330">
          <cell r="P1330" t="str">
            <v>-</v>
          </cell>
        </row>
        <row r="1331">
          <cell r="P1331" t="str">
            <v>-</v>
          </cell>
        </row>
        <row r="1332">
          <cell r="P1332" t="str">
            <v>-</v>
          </cell>
        </row>
        <row r="1333">
          <cell r="P1333" t="str">
            <v>-</v>
          </cell>
        </row>
        <row r="1334">
          <cell r="P1334" t="str">
            <v>-</v>
          </cell>
        </row>
        <row r="1335">
          <cell r="P1335" t="str">
            <v>-</v>
          </cell>
        </row>
        <row r="1336">
          <cell r="P1336" t="str">
            <v>-</v>
          </cell>
        </row>
        <row r="1337">
          <cell r="P1337" t="str">
            <v>-</v>
          </cell>
        </row>
        <row r="1338">
          <cell r="P1338" t="str">
            <v>-</v>
          </cell>
        </row>
        <row r="1339">
          <cell r="P1339" t="str">
            <v>-</v>
          </cell>
        </row>
        <row r="1340">
          <cell r="P1340" t="str">
            <v>-</v>
          </cell>
        </row>
        <row r="1341">
          <cell r="P1341" t="str">
            <v>-</v>
          </cell>
        </row>
        <row r="1342">
          <cell r="P1342" t="str">
            <v>-</v>
          </cell>
        </row>
        <row r="1343">
          <cell r="P1343" t="str">
            <v>-</v>
          </cell>
        </row>
        <row r="1344">
          <cell r="P1344" t="str">
            <v>-</v>
          </cell>
        </row>
        <row r="1345">
          <cell r="P1345" t="str">
            <v>-</v>
          </cell>
        </row>
        <row r="1346">
          <cell r="P1346" t="str">
            <v>-</v>
          </cell>
        </row>
        <row r="1347">
          <cell r="P1347" t="str">
            <v>-</v>
          </cell>
        </row>
        <row r="1348">
          <cell r="P1348" t="str">
            <v>-</v>
          </cell>
        </row>
        <row r="1349">
          <cell r="P1349" t="str">
            <v>-</v>
          </cell>
        </row>
        <row r="1350">
          <cell r="P1350" t="str">
            <v>-</v>
          </cell>
        </row>
        <row r="1351">
          <cell r="P1351" t="str">
            <v>-</v>
          </cell>
        </row>
        <row r="1352">
          <cell r="P1352" t="str">
            <v>-</v>
          </cell>
        </row>
        <row r="1353">
          <cell r="P1353" t="str">
            <v>-</v>
          </cell>
        </row>
        <row r="1354">
          <cell r="P1354" t="str">
            <v>-</v>
          </cell>
        </row>
        <row r="1355">
          <cell r="P1355" t="str">
            <v>-</v>
          </cell>
        </row>
        <row r="1356">
          <cell r="P1356" t="str">
            <v>-</v>
          </cell>
        </row>
        <row r="1357">
          <cell r="P1357" t="str">
            <v>-</v>
          </cell>
        </row>
        <row r="1358">
          <cell r="P1358" t="str">
            <v>-</v>
          </cell>
        </row>
        <row r="1359">
          <cell r="P1359" t="str">
            <v>-</v>
          </cell>
        </row>
        <row r="1360">
          <cell r="P1360" t="str">
            <v>-</v>
          </cell>
        </row>
        <row r="1361">
          <cell r="P1361" t="str">
            <v>-</v>
          </cell>
        </row>
        <row r="1362">
          <cell r="P1362" t="str">
            <v>-</v>
          </cell>
        </row>
        <row r="1363">
          <cell r="P1363" t="str">
            <v>-</v>
          </cell>
        </row>
        <row r="1364">
          <cell r="P1364" t="str">
            <v>-</v>
          </cell>
        </row>
        <row r="1365">
          <cell r="P1365" t="str">
            <v>-</v>
          </cell>
        </row>
        <row r="1366">
          <cell r="P1366" t="str">
            <v>-</v>
          </cell>
        </row>
        <row r="1367">
          <cell r="P1367" t="str">
            <v>-</v>
          </cell>
        </row>
        <row r="1368">
          <cell r="P1368" t="str">
            <v>-</v>
          </cell>
        </row>
        <row r="1369">
          <cell r="P1369" t="str">
            <v>-</v>
          </cell>
        </row>
        <row r="1370">
          <cell r="P1370" t="str">
            <v>-</v>
          </cell>
        </row>
        <row r="1371">
          <cell r="P1371" t="str">
            <v>-</v>
          </cell>
        </row>
        <row r="1372">
          <cell r="P1372" t="str">
            <v>-</v>
          </cell>
        </row>
        <row r="1373">
          <cell r="P1373" t="str">
            <v>-</v>
          </cell>
        </row>
        <row r="1374">
          <cell r="P1374" t="str">
            <v>-</v>
          </cell>
        </row>
        <row r="1375">
          <cell r="P1375" t="str">
            <v>-</v>
          </cell>
        </row>
        <row r="1376">
          <cell r="P1376" t="str">
            <v>-</v>
          </cell>
        </row>
        <row r="1377">
          <cell r="P1377" t="str">
            <v>-</v>
          </cell>
        </row>
        <row r="1378">
          <cell r="P1378" t="str">
            <v>-</v>
          </cell>
        </row>
        <row r="1379">
          <cell r="P1379" t="str">
            <v>-</v>
          </cell>
        </row>
        <row r="1380">
          <cell r="P1380" t="str">
            <v>-</v>
          </cell>
        </row>
        <row r="1381">
          <cell r="P1381" t="str">
            <v>-</v>
          </cell>
        </row>
        <row r="1382">
          <cell r="P1382" t="str">
            <v>-</v>
          </cell>
        </row>
        <row r="1383">
          <cell r="P1383" t="str">
            <v>-</v>
          </cell>
        </row>
        <row r="1384">
          <cell r="P1384" t="str">
            <v>-</v>
          </cell>
        </row>
        <row r="1385">
          <cell r="P1385" t="str">
            <v>-</v>
          </cell>
        </row>
        <row r="1386">
          <cell r="P1386" t="str">
            <v>-</v>
          </cell>
        </row>
        <row r="1387">
          <cell r="P1387" t="str">
            <v>-</v>
          </cell>
        </row>
        <row r="1388">
          <cell r="P1388" t="str">
            <v>-</v>
          </cell>
        </row>
        <row r="1389">
          <cell r="P1389" t="str">
            <v>-</v>
          </cell>
        </row>
        <row r="1390">
          <cell r="P1390" t="str">
            <v>-</v>
          </cell>
        </row>
        <row r="1391">
          <cell r="P1391" t="str">
            <v>-</v>
          </cell>
        </row>
        <row r="1392">
          <cell r="P1392" t="str">
            <v>-</v>
          </cell>
        </row>
        <row r="1393">
          <cell r="P1393" t="str">
            <v>-</v>
          </cell>
        </row>
        <row r="1394">
          <cell r="P1394" t="str">
            <v>-</v>
          </cell>
        </row>
        <row r="1395">
          <cell r="P1395" t="str">
            <v>-</v>
          </cell>
        </row>
        <row r="1396">
          <cell r="P1396" t="str">
            <v>-</v>
          </cell>
        </row>
        <row r="1397">
          <cell r="P1397" t="str">
            <v>-</v>
          </cell>
        </row>
        <row r="1398">
          <cell r="P1398" t="str">
            <v>-</v>
          </cell>
        </row>
        <row r="1399">
          <cell r="P1399" t="str">
            <v>-</v>
          </cell>
        </row>
        <row r="1400">
          <cell r="P1400" t="str">
            <v>-</v>
          </cell>
        </row>
        <row r="1401">
          <cell r="P1401" t="str">
            <v>-</v>
          </cell>
        </row>
        <row r="1402">
          <cell r="P1402" t="str">
            <v>-</v>
          </cell>
        </row>
        <row r="1403">
          <cell r="P1403" t="str">
            <v>-</v>
          </cell>
        </row>
        <row r="1404">
          <cell r="P1404" t="str">
            <v>-</v>
          </cell>
        </row>
        <row r="1405">
          <cell r="P1405" t="str">
            <v>-</v>
          </cell>
        </row>
        <row r="1406">
          <cell r="P1406" t="str">
            <v>-</v>
          </cell>
        </row>
        <row r="1407">
          <cell r="P1407" t="str">
            <v>-</v>
          </cell>
        </row>
        <row r="1408">
          <cell r="P1408" t="str">
            <v>-</v>
          </cell>
        </row>
        <row r="1409">
          <cell r="P1409" t="str">
            <v>-</v>
          </cell>
        </row>
        <row r="1410">
          <cell r="P1410" t="str">
            <v>-</v>
          </cell>
        </row>
        <row r="1411">
          <cell r="P1411" t="str">
            <v>-</v>
          </cell>
        </row>
        <row r="1412">
          <cell r="P1412" t="str">
            <v>-</v>
          </cell>
        </row>
        <row r="1413">
          <cell r="P1413" t="str">
            <v>-</v>
          </cell>
        </row>
        <row r="1414">
          <cell r="P1414" t="str">
            <v>-</v>
          </cell>
        </row>
        <row r="1415">
          <cell r="P1415" t="str">
            <v>-</v>
          </cell>
        </row>
        <row r="1416">
          <cell r="P1416" t="str">
            <v>-</v>
          </cell>
        </row>
        <row r="1417">
          <cell r="P1417" t="str">
            <v>-</v>
          </cell>
        </row>
        <row r="1418">
          <cell r="P1418" t="str">
            <v>-</v>
          </cell>
        </row>
        <row r="1419">
          <cell r="P1419" t="str">
            <v>-</v>
          </cell>
        </row>
        <row r="1420">
          <cell r="P1420" t="str">
            <v>-</v>
          </cell>
        </row>
        <row r="1421">
          <cell r="P1421" t="str">
            <v>-</v>
          </cell>
        </row>
        <row r="1422">
          <cell r="P1422" t="str">
            <v>-</v>
          </cell>
        </row>
        <row r="1423">
          <cell r="P1423" t="str">
            <v>-</v>
          </cell>
        </row>
        <row r="1424">
          <cell r="P1424" t="str">
            <v>-</v>
          </cell>
        </row>
        <row r="1425">
          <cell r="P1425" t="str">
            <v>-</v>
          </cell>
        </row>
        <row r="1426">
          <cell r="P1426" t="str">
            <v>-</v>
          </cell>
        </row>
        <row r="1427">
          <cell r="P1427" t="str">
            <v>-</v>
          </cell>
        </row>
        <row r="1428">
          <cell r="P1428" t="str">
            <v>-</v>
          </cell>
        </row>
        <row r="1429">
          <cell r="P1429" t="str">
            <v>-</v>
          </cell>
        </row>
        <row r="1430">
          <cell r="P1430" t="str">
            <v>-</v>
          </cell>
        </row>
        <row r="1431">
          <cell r="P1431" t="str">
            <v>-</v>
          </cell>
        </row>
        <row r="1432">
          <cell r="P1432" t="str">
            <v>-</v>
          </cell>
        </row>
        <row r="1433">
          <cell r="P1433" t="str">
            <v>-</v>
          </cell>
        </row>
        <row r="1434">
          <cell r="P1434" t="str">
            <v>-</v>
          </cell>
        </row>
        <row r="1435">
          <cell r="P1435" t="str">
            <v>-</v>
          </cell>
        </row>
        <row r="1436">
          <cell r="P1436" t="str">
            <v>-</v>
          </cell>
        </row>
        <row r="1437">
          <cell r="P1437" t="str">
            <v>-</v>
          </cell>
        </row>
        <row r="1438">
          <cell r="P1438" t="str">
            <v>-</v>
          </cell>
        </row>
        <row r="1439">
          <cell r="P1439" t="str">
            <v>-</v>
          </cell>
        </row>
        <row r="1440">
          <cell r="P1440" t="str">
            <v>-</v>
          </cell>
        </row>
        <row r="1441">
          <cell r="P1441" t="str">
            <v>-</v>
          </cell>
        </row>
        <row r="1442">
          <cell r="P1442" t="str">
            <v>-</v>
          </cell>
        </row>
        <row r="1443">
          <cell r="P1443" t="str">
            <v>-</v>
          </cell>
        </row>
        <row r="1444">
          <cell r="P1444" t="str">
            <v>-</v>
          </cell>
        </row>
        <row r="1445">
          <cell r="P1445" t="str">
            <v>-</v>
          </cell>
        </row>
        <row r="1446">
          <cell r="P1446" t="str">
            <v>-</v>
          </cell>
        </row>
        <row r="1447">
          <cell r="P1447" t="str">
            <v>-</v>
          </cell>
        </row>
        <row r="1448">
          <cell r="P1448" t="str">
            <v>-</v>
          </cell>
        </row>
        <row r="1449">
          <cell r="P1449" t="str">
            <v>-</v>
          </cell>
        </row>
        <row r="1450">
          <cell r="P1450" t="str">
            <v>-</v>
          </cell>
        </row>
        <row r="1451">
          <cell r="P1451" t="str">
            <v>-</v>
          </cell>
        </row>
        <row r="1452">
          <cell r="P1452" t="str">
            <v>-</v>
          </cell>
        </row>
        <row r="1453">
          <cell r="P1453" t="str">
            <v>-</v>
          </cell>
        </row>
        <row r="1454">
          <cell r="P1454" t="str">
            <v>-</v>
          </cell>
        </row>
        <row r="1455">
          <cell r="P1455" t="str">
            <v>-</v>
          </cell>
        </row>
        <row r="1456">
          <cell r="P1456" t="str">
            <v>-</v>
          </cell>
        </row>
        <row r="1457">
          <cell r="P1457" t="str">
            <v>-</v>
          </cell>
        </row>
        <row r="1458">
          <cell r="P1458" t="str">
            <v>-</v>
          </cell>
        </row>
        <row r="1459">
          <cell r="P1459" t="str">
            <v>-</v>
          </cell>
        </row>
        <row r="1460">
          <cell r="P1460" t="str">
            <v>-</v>
          </cell>
        </row>
        <row r="1461">
          <cell r="P1461" t="str">
            <v>-</v>
          </cell>
        </row>
        <row r="1462">
          <cell r="P1462" t="str">
            <v>-</v>
          </cell>
        </row>
        <row r="1463">
          <cell r="P1463" t="str">
            <v>-</v>
          </cell>
        </row>
        <row r="1464">
          <cell r="P1464" t="str">
            <v>-</v>
          </cell>
        </row>
        <row r="1465">
          <cell r="P1465" t="str">
            <v>-</v>
          </cell>
        </row>
        <row r="1466">
          <cell r="P1466" t="str">
            <v>-</v>
          </cell>
        </row>
        <row r="1467">
          <cell r="P1467" t="str">
            <v>-</v>
          </cell>
        </row>
        <row r="1468">
          <cell r="P1468" t="str">
            <v>-</v>
          </cell>
        </row>
        <row r="1469">
          <cell r="P1469" t="str">
            <v>-</v>
          </cell>
        </row>
        <row r="1470">
          <cell r="P1470" t="str">
            <v>-</v>
          </cell>
        </row>
        <row r="1471">
          <cell r="P1471" t="str">
            <v>-</v>
          </cell>
        </row>
        <row r="1472">
          <cell r="P1472" t="str">
            <v>-</v>
          </cell>
        </row>
        <row r="1473">
          <cell r="P1473" t="str">
            <v>-</v>
          </cell>
        </row>
        <row r="1474">
          <cell r="P1474" t="str">
            <v>-</v>
          </cell>
        </row>
        <row r="1475">
          <cell r="P1475" t="str">
            <v>-</v>
          </cell>
        </row>
        <row r="1476">
          <cell r="P1476" t="str">
            <v>-</v>
          </cell>
        </row>
        <row r="1477">
          <cell r="P1477" t="str">
            <v>-</v>
          </cell>
        </row>
        <row r="1478">
          <cell r="P1478" t="str">
            <v>-</v>
          </cell>
        </row>
        <row r="1479">
          <cell r="P1479" t="str">
            <v>-</v>
          </cell>
        </row>
        <row r="1480">
          <cell r="P1480" t="str">
            <v>-</v>
          </cell>
        </row>
        <row r="1481">
          <cell r="P1481" t="str">
            <v>-</v>
          </cell>
        </row>
        <row r="1482">
          <cell r="P1482" t="str">
            <v>-</v>
          </cell>
        </row>
        <row r="1483">
          <cell r="P1483" t="str">
            <v>-</v>
          </cell>
        </row>
        <row r="1484">
          <cell r="P1484" t="str">
            <v>-</v>
          </cell>
        </row>
        <row r="1485">
          <cell r="P1485" t="str">
            <v>-</v>
          </cell>
        </row>
        <row r="1486">
          <cell r="P1486" t="str">
            <v>-</v>
          </cell>
        </row>
        <row r="1487">
          <cell r="P1487" t="str">
            <v>-</v>
          </cell>
        </row>
        <row r="1488">
          <cell r="P1488" t="str">
            <v>-</v>
          </cell>
        </row>
        <row r="1489">
          <cell r="P1489" t="str">
            <v>-</v>
          </cell>
        </row>
        <row r="1490">
          <cell r="P1490" t="str">
            <v>-</v>
          </cell>
        </row>
        <row r="1491">
          <cell r="P1491" t="str">
            <v>-</v>
          </cell>
        </row>
        <row r="1492">
          <cell r="P1492" t="str">
            <v>-</v>
          </cell>
        </row>
        <row r="1493">
          <cell r="P1493" t="str">
            <v>-</v>
          </cell>
        </row>
        <row r="1494">
          <cell r="P1494" t="str">
            <v>-</v>
          </cell>
        </row>
        <row r="1495">
          <cell r="P1495" t="str">
            <v>-</v>
          </cell>
        </row>
        <row r="1496">
          <cell r="P1496" t="str">
            <v>-</v>
          </cell>
        </row>
        <row r="1497">
          <cell r="P1497" t="str">
            <v>-</v>
          </cell>
        </row>
        <row r="1498">
          <cell r="P1498" t="str">
            <v>-</v>
          </cell>
        </row>
        <row r="1499">
          <cell r="P1499" t="str">
            <v>-</v>
          </cell>
        </row>
        <row r="1500">
          <cell r="P1500" t="str">
            <v>-</v>
          </cell>
        </row>
        <row r="1501">
          <cell r="P1501" t="str">
            <v>-</v>
          </cell>
        </row>
        <row r="1502">
          <cell r="P1502" t="str">
            <v>-</v>
          </cell>
        </row>
        <row r="1503">
          <cell r="P1503" t="str">
            <v>-</v>
          </cell>
        </row>
        <row r="1504">
          <cell r="P1504" t="str">
            <v>-</v>
          </cell>
        </row>
        <row r="1505">
          <cell r="P1505" t="str">
            <v>-</v>
          </cell>
        </row>
        <row r="1506">
          <cell r="P1506" t="str">
            <v>-</v>
          </cell>
        </row>
        <row r="1507">
          <cell r="P1507" t="str">
            <v>-</v>
          </cell>
        </row>
        <row r="1508">
          <cell r="P1508" t="str">
            <v>-</v>
          </cell>
        </row>
        <row r="1509">
          <cell r="P1509" t="str">
            <v>-</v>
          </cell>
        </row>
        <row r="1510">
          <cell r="P1510" t="str">
            <v>-</v>
          </cell>
        </row>
        <row r="1511">
          <cell r="P1511" t="str">
            <v>-</v>
          </cell>
        </row>
        <row r="1512">
          <cell r="P1512" t="str">
            <v>-</v>
          </cell>
        </row>
        <row r="1513">
          <cell r="P1513" t="str">
            <v>-</v>
          </cell>
        </row>
        <row r="1514">
          <cell r="P1514" t="str">
            <v>-</v>
          </cell>
        </row>
        <row r="1515">
          <cell r="P1515" t="str">
            <v>-</v>
          </cell>
        </row>
        <row r="1516">
          <cell r="P1516" t="str">
            <v>-</v>
          </cell>
        </row>
        <row r="1517">
          <cell r="P1517" t="str">
            <v>-</v>
          </cell>
        </row>
        <row r="1518">
          <cell r="P1518" t="str">
            <v>-</v>
          </cell>
        </row>
        <row r="1519">
          <cell r="P1519" t="str">
            <v>-</v>
          </cell>
        </row>
        <row r="1520">
          <cell r="P1520" t="str">
            <v>-</v>
          </cell>
        </row>
        <row r="1521">
          <cell r="P1521" t="str">
            <v>-</v>
          </cell>
        </row>
        <row r="1522">
          <cell r="P1522" t="str">
            <v>-</v>
          </cell>
        </row>
        <row r="1523">
          <cell r="P1523" t="str">
            <v>-</v>
          </cell>
        </row>
        <row r="1524">
          <cell r="P1524" t="str">
            <v>-</v>
          </cell>
        </row>
        <row r="1525">
          <cell r="P1525" t="str">
            <v>-</v>
          </cell>
        </row>
        <row r="1526">
          <cell r="P1526" t="str">
            <v>-</v>
          </cell>
        </row>
        <row r="1527">
          <cell r="P1527" t="str">
            <v>-</v>
          </cell>
        </row>
        <row r="1528">
          <cell r="P1528" t="str">
            <v>-</v>
          </cell>
        </row>
        <row r="1529">
          <cell r="P1529" t="str">
            <v>-</v>
          </cell>
        </row>
        <row r="1530">
          <cell r="P1530" t="str">
            <v>-</v>
          </cell>
        </row>
        <row r="1531">
          <cell r="P1531" t="str">
            <v>-</v>
          </cell>
        </row>
        <row r="1532">
          <cell r="P1532" t="str">
            <v>-</v>
          </cell>
        </row>
        <row r="1533">
          <cell r="P1533" t="str">
            <v>-</v>
          </cell>
        </row>
        <row r="1534">
          <cell r="P1534" t="str">
            <v>-</v>
          </cell>
        </row>
        <row r="1535">
          <cell r="P1535" t="str">
            <v>-</v>
          </cell>
        </row>
        <row r="1536">
          <cell r="P1536" t="str">
            <v>-</v>
          </cell>
        </row>
        <row r="1537">
          <cell r="P1537" t="str">
            <v>-</v>
          </cell>
        </row>
        <row r="1538">
          <cell r="P1538" t="str">
            <v>-</v>
          </cell>
        </row>
        <row r="1539">
          <cell r="P1539" t="str">
            <v>-</v>
          </cell>
        </row>
        <row r="1540">
          <cell r="P1540" t="str">
            <v>-</v>
          </cell>
        </row>
        <row r="1541">
          <cell r="P1541" t="str">
            <v>-</v>
          </cell>
        </row>
        <row r="1542">
          <cell r="P1542" t="str">
            <v>-</v>
          </cell>
        </row>
        <row r="1543">
          <cell r="P1543" t="str">
            <v>-</v>
          </cell>
        </row>
        <row r="1544">
          <cell r="P1544" t="str">
            <v>-</v>
          </cell>
        </row>
        <row r="1545">
          <cell r="P1545" t="str">
            <v>-</v>
          </cell>
        </row>
        <row r="1546">
          <cell r="P1546" t="str">
            <v>-</v>
          </cell>
        </row>
        <row r="1547">
          <cell r="P1547" t="str">
            <v>-</v>
          </cell>
        </row>
        <row r="1548">
          <cell r="P1548" t="str">
            <v>-</v>
          </cell>
        </row>
        <row r="1549">
          <cell r="P1549" t="str">
            <v>-</v>
          </cell>
        </row>
        <row r="1550">
          <cell r="P1550" t="str">
            <v>-</v>
          </cell>
        </row>
        <row r="1551">
          <cell r="P1551" t="str">
            <v>-</v>
          </cell>
        </row>
        <row r="1552">
          <cell r="P1552" t="str">
            <v>-</v>
          </cell>
        </row>
        <row r="1553">
          <cell r="P1553" t="str">
            <v>-</v>
          </cell>
        </row>
        <row r="1554">
          <cell r="P1554" t="str">
            <v>-</v>
          </cell>
        </row>
        <row r="1555">
          <cell r="P1555" t="str">
            <v>-</v>
          </cell>
        </row>
        <row r="1556">
          <cell r="P1556" t="str">
            <v>-</v>
          </cell>
        </row>
        <row r="1557">
          <cell r="P1557" t="str">
            <v>-</v>
          </cell>
        </row>
        <row r="1558">
          <cell r="P1558" t="str">
            <v>-</v>
          </cell>
        </row>
        <row r="1559">
          <cell r="P1559" t="str">
            <v>-</v>
          </cell>
        </row>
        <row r="1560">
          <cell r="P1560" t="str">
            <v>-</v>
          </cell>
        </row>
        <row r="1561">
          <cell r="P1561" t="str">
            <v>-</v>
          </cell>
        </row>
        <row r="1562">
          <cell r="P1562" t="str">
            <v>-</v>
          </cell>
        </row>
        <row r="1563">
          <cell r="P1563" t="str">
            <v>-</v>
          </cell>
        </row>
        <row r="1564">
          <cell r="P1564" t="str">
            <v>-</v>
          </cell>
        </row>
        <row r="1565">
          <cell r="P1565" t="str">
            <v>-</v>
          </cell>
        </row>
        <row r="1566">
          <cell r="P1566" t="str">
            <v>-</v>
          </cell>
        </row>
        <row r="1567">
          <cell r="P1567" t="str">
            <v>-</v>
          </cell>
        </row>
        <row r="1568">
          <cell r="P1568" t="str">
            <v>-</v>
          </cell>
        </row>
        <row r="1569">
          <cell r="P1569" t="str">
            <v>-</v>
          </cell>
        </row>
        <row r="1570">
          <cell r="P1570" t="str">
            <v>-</v>
          </cell>
        </row>
        <row r="1571">
          <cell r="P1571" t="str">
            <v>-</v>
          </cell>
        </row>
        <row r="1572">
          <cell r="P1572" t="str">
            <v>-</v>
          </cell>
        </row>
        <row r="1573">
          <cell r="P1573" t="str">
            <v>-</v>
          </cell>
        </row>
        <row r="1574">
          <cell r="P1574" t="str">
            <v>-</v>
          </cell>
        </row>
        <row r="1575">
          <cell r="P1575" t="str">
            <v>-</v>
          </cell>
        </row>
        <row r="1576">
          <cell r="P1576" t="str">
            <v>-</v>
          </cell>
        </row>
        <row r="1577">
          <cell r="P1577" t="str">
            <v>-</v>
          </cell>
        </row>
        <row r="1578">
          <cell r="P1578" t="str">
            <v>-</v>
          </cell>
        </row>
        <row r="1579">
          <cell r="P1579" t="str">
            <v>-</v>
          </cell>
        </row>
        <row r="1580">
          <cell r="P1580" t="str">
            <v>-</v>
          </cell>
        </row>
        <row r="1581">
          <cell r="P1581" t="str">
            <v>-</v>
          </cell>
        </row>
        <row r="1582">
          <cell r="P1582" t="str">
            <v>-</v>
          </cell>
        </row>
        <row r="1583">
          <cell r="P1583" t="str">
            <v>-</v>
          </cell>
        </row>
        <row r="1584">
          <cell r="P1584" t="str">
            <v>-</v>
          </cell>
        </row>
        <row r="1585">
          <cell r="P1585" t="str">
            <v>-</v>
          </cell>
        </row>
        <row r="1586">
          <cell r="P1586" t="str">
            <v>-</v>
          </cell>
        </row>
        <row r="1587">
          <cell r="P1587" t="str">
            <v>-</v>
          </cell>
        </row>
        <row r="1588">
          <cell r="P1588" t="str">
            <v>-</v>
          </cell>
        </row>
        <row r="1589">
          <cell r="P1589" t="str">
            <v>-</v>
          </cell>
        </row>
        <row r="1590">
          <cell r="P1590" t="str">
            <v>-</v>
          </cell>
        </row>
        <row r="1591">
          <cell r="P1591" t="str">
            <v>-</v>
          </cell>
        </row>
        <row r="1592">
          <cell r="P1592" t="str">
            <v>-</v>
          </cell>
        </row>
        <row r="1593">
          <cell r="P1593" t="str">
            <v>-</v>
          </cell>
        </row>
        <row r="1594">
          <cell r="P1594" t="str">
            <v>-</v>
          </cell>
        </row>
        <row r="1595">
          <cell r="P1595" t="str">
            <v>-</v>
          </cell>
        </row>
        <row r="1596">
          <cell r="P1596" t="str">
            <v>-</v>
          </cell>
        </row>
        <row r="1597">
          <cell r="P1597" t="str">
            <v>-</v>
          </cell>
        </row>
        <row r="1598">
          <cell r="P1598" t="str">
            <v>-</v>
          </cell>
        </row>
        <row r="1599">
          <cell r="P1599" t="str">
            <v>-</v>
          </cell>
        </row>
        <row r="1600">
          <cell r="P1600" t="str">
            <v>-</v>
          </cell>
        </row>
        <row r="1601">
          <cell r="P1601" t="str">
            <v>-</v>
          </cell>
        </row>
        <row r="1602">
          <cell r="P1602" t="str">
            <v>-</v>
          </cell>
        </row>
        <row r="1603">
          <cell r="P1603" t="str">
            <v>-</v>
          </cell>
        </row>
        <row r="1604">
          <cell r="P1604" t="str">
            <v>-</v>
          </cell>
        </row>
        <row r="1605">
          <cell r="P1605" t="str">
            <v>-</v>
          </cell>
        </row>
        <row r="1606">
          <cell r="P1606" t="str">
            <v>-</v>
          </cell>
        </row>
        <row r="1607">
          <cell r="P1607" t="str">
            <v>-</v>
          </cell>
        </row>
        <row r="1608">
          <cell r="P1608" t="str">
            <v>-</v>
          </cell>
        </row>
        <row r="1609">
          <cell r="P1609" t="str">
            <v>-</v>
          </cell>
        </row>
        <row r="1610">
          <cell r="P1610" t="str">
            <v>-</v>
          </cell>
        </row>
        <row r="1611">
          <cell r="P1611" t="str">
            <v>-</v>
          </cell>
        </row>
        <row r="1612">
          <cell r="P1612" t="str">
            <v>-</v>
          </cell>
        </row>
        <row r="1613">
          <cell r="P1613" t="str">
            <v>-</v>
          </cell>
        </row>
        <row r="1614">
          <cell r="P1614" t="str">
            <v>-</v>
          </cell>
        </row>
        <row r="1615">
          <cell r="P1615" t="str">
            <v>-</v>
          </cell>
        </row>
        <row r="1616">
          <cell r="P1616" t="str">
            <v>-</v>
          </cell>
        </row>
        <row r="1617">
          <cell r="P1617" t="str">
            <v>-</v>
          </cell>
        </row>
        <row r="1618">
          <cell r="P1618" t="str">
            <v>-</v>
          </cell>
        </row>
        <row r="1619">
          <cell r="P1619" t="str">
            <v>-</v>
          </cell>
        </row>
        <row r="1620">
          <cell r="P1620" t="str">
            <v>-</v>
          </cell>
        </row>
        <row r="1621">
          <cell r="P1621" t="str">
            <v>-</v>
          </cell>
        </row>
        <row r="1622">
          <cell r="P1622" t="str">
            <v>-</v>
          </cell>
        </row>
        <row r="1623">
          <cell r="P1623" t="str">
            <v>-</v>
          </cell>
        </row>
        <row r="1624">
          <cell r="P1624" t="str">
            <v>-</v>
          </cell>
        </row>
        <row r="1625">
          <cell r="P1625" t="str">
            <v>-</v>
          </cell>
        </row>
        <row r="1626">
          <cell r="P1626" t="str">
            <v>-</v>
          </cell>
        </row>
        <row r="1627">
          <cell r="P1627" t="str">
            <v>-</v>
          </cell>
        </row>
        <row r="1628">
          <cell r="P1628" t="str">
            <v>-</v>
          </cell>
        </row>
        <row r="1629">
          <cell r="P1629" t="str">
            <v>-</v>
          </cell>
        </row>
        <row r="1630">
          <cell r="P1630" t="str">
            <v>-</v>
          </cell>
        </row>
        <row r="1631">
          <cell r="P1631" t="str">
            <v>-</v>
          </cell>
        </row>
        <row r="1632">
          <cell r="P1632" t="str">
            <v>-</v>
          </cell>
        </row>
        <row r="1633">
          <cell r="P1633" t="str">
            <v>-</v>
          </cell>
        </row>
        <row r="1634">
          <cell r="P1634" t="str">
            <v>-</v>
          </cell>
        </row>
        <row r="1635">
          <cell r="P1635" t="str">
            <v>-</v>
          </cell>
        </row>
        <row r="1636">
          <cell r="P1636" t="str">
            <v>-</v>
          </cell>
        </row>
        <row r="1637">
          <cell r="P1637" t="str">
            <v>-</v>
          </cell>
        </row>
        <row r="1638">
          <cell r="P1638" t="str">
            <v>-</v>
          </cell>
        </row>
        <row r="1639">
          <cell r="P1639" t="str">
            <v>-</v>
          </cell>
        </row>
        <row r="1640">
          <cell r="P1640" t="str">
            <v>-</v>
          </cell>
        </row>
        <row r="1641">
          <cell r="P1641" t="str">
            <v>-</v>
          </cell>
        </row>
        <row r="1642">
          <cell r="P1642" t="str">
            <v>-</v>
          </cell>
        </row>
        <row r="1643">
          <cell r="P1643" t="str">
            <v>-</v>
          </cell>
        </row>
        <row r="1644">
          <cell r="P1644" t="str">
            <v>-</v>
          </cell>
        </row>
        <row r="1645">
          <cell r="P1645" t="str">
            <v>-</v>
          </cell>
        </row>
        <row r="1646">
          <cell r="P1646" t="str">
            <v>-</v>
          </cell>
        </row>
        <row r="1647">
          <cell r="P1647" t="str">
            <v>-</v>
          </cell>
        </row>
        <row r="1648">
          <cell r="P1648" t="str">
            <v>-</v>
          </cell>
        </row>
        <row r="1649">
          <cell r="P1649" t="str">
            <v>-</v>
          </cell>
        </row>
        <row r="1650">
          <cell r="P1650" t="str">
            <v>-</v>
          </cell>
        </row>
        <row r="1651">
          <cell r="P1651" t="str">
            <v>-</v>
          </cell>
        </row>
        <row r="1652">
          <cell r="P1652" t="str">
            <v>-</v>
          </cell>
        </row>
        <row r="1653">
          <cell r="P1653" t="str">
            <v>-</v>
          </cell>
        </row>
        <row r="1654">
          <cell r="P1654" t="str">
            <v>-</v>
          </cell>
        </row>
        <row r="1655">
          <cell r="P1655" t="str">
            <v>-</v>
          </cell>
        </row>
        <row r="1656">
          <cell r="P1656" t="str">
            <v>-</v>
          </cell>
        </row>
        <row r="1657">
          <cell r="P1657" t="str">
            <v>-</v>
          </cell>
        </row>
        <row r="1658">
          <cell r="P1658" t="str">
            <v>-</v>
          </cell>
        </row>
        <row r="1659">
          <cell r="P1659" t="str">
            <v>-</v>
          </cell>
        </row>
        <row r="1660">
          <cell r="P1660" t="str">
            <v>-</v>
          </cell>
        </row>
        <row r="1661">
          <cell r="P1661" t="str">
            <v>-</v>
          </cell>
        </row>
        <row r="1662">
          <cell r="P1662" t="str">
            <v>-</v>
          </cell>
        </row>
        <row r="1663">
          <cell r="P1663" t="str">
            <v>-</v>
          </cell>
        </row>
        <row r="1664">
          <cell r="P1664" t="str">
            <v>-</v>
          </cell>
        </row>
        <row r="1665">
          <cell r="P1665" t="str">
            <v>-</v>
          </cell>
        </row>
        <row r="1666">
          <cell r="P1666" t="str">
            <v>-</v>
          </cell>
        </row>
        <row r="1667">
          <cell r="P1667" t="str">
            <v>-</v>
          </cell>
        </row>
        <row r="1668">
          <cell r="P1668" t="str">
            <v>-</v>
          </cell>
        </row>
        <row r="1669">
          <cell r="P1669" t="str">
            <v>-</v>
          </cell>
        </row>
        <row r="1670">
          <cell r="P1670" t="str">
            <v>-</v>
          </cell>
        </row>
        <row r="1671">
          <cell r="P1671" t="str">
            <v>-</v>
          </cell>
        </row>
        <row r="1672">
          <cell r="P1672" t="str">
            <v>-</v>
          </cell>
        </row>
        <row r="1673">
          <cell r="P1673" t="str">
            <v>-</v>
          </cell>
        </row>
        <row r="1674">
          <cell r="P1674" t="str">
            <v>-</v>
          </cell>
        </row>
        <row r="1675">
          <cell r="P1675" t="str">
            <v>-</v>
          </cell>
        </row>
        <row r="1676">
          <cell r="P1676" t="str">
            <v>-</v>
          </cell>
        </row>
        <row r="1677">
          <cell r="P1677" t="str">
            <v>-</v>
          </cell>
        </row>
        <row r="1678">
          <cell r="P1678" t="str">
            <v>-</v>
          </cell>
        </row>
        <row r="1679">
          <cell r="P1679" t="str">
            <v>-</v>
          </cell>
        </row>
        <row r="1680">
          <cell r="P1680" t="str">
            <v>-</v>
          </cell>
        </row>
        <row r="1681">
          <cell r="P1681" t="str">
            <v>-</v>
          </cell>
        </row>
        <row r="1682">
          <cell r="P1682" t="str">
            <v>-</v>
          </cell>
        </row>
        <row r="1683">
          <cell r="P1683" t="str">
            <v>-</v>
          </cell>
        </row>
        <row r="1684">
          <cell r="P1684" t="str">
            <v>-</v>
          </cell>
        </row>
        <row r="1685">
          <cell r="P1685" t="str">
            <v>-</v>
          </cell>
        </row>
        <row r="1686">
          <cell r="P1686" t="str">
            <v>-</v>
          </cell>
        </row>
        <row r="1687">
          <cell r="P1687" t="str">
            <v>-</v>
          </cell>
        </row>
        <row r="1688">
          <cell r="P1688" t="str">
            <v>-</v>
          </cell>
        </row>
        <row r="1689">
          <cell r="P1689" t="str">
            <v>-</v>
          </cell>
        </row>
        <row r="1690">
          <cell r="P1690" t="str">
            <v>-</v>
          </cell>
        </row>
        <row r="1691">
          <cell r="P1691" t="str">
            <v>-</v>
          </cell>
        </row>
        <row r="1692">
          <cell r="P1692" t="str">
            <v>-</v>
          </cell>
        </row>
        <row r="1693">
          <cell r="P1693" t="str">
            <v>-</v>
          </cell>
        </row>
        <row r="1694">
          <cell r="P1694" t="str">
            <v>-</v>
          </cell>
        </row>
        <row r="1695">
          <cell r="P1695" t="str">
            <v>-</v>
          </cell>
        </row>
        <row r="1696">
          <cell r="P1696" t="str">
            <v>-</v>
          </cell>
        </row>
        <row r="1697">
          <cell r="P1697" t="str">
            <v>-</v>
          </cell>
        </row>
        <row r="1698">
          <cell r="P1698" t="str">
            <v>-</v>
          </cell>
        </row>
        <row r="1699">
          <cell r="P1699" t="str">
            <v>-</v>
          </cell>
        </row>
        <row r="1700">
          <cell r="P1700" t="str">
            <v>-</v>
          </cell>
        </row>
        <row r="1701">
          <cell r="P1701" t="str">
            <v>-</v>
          </cell>
        </row>
        <row r="1702">
          <cell r="P1702" t="str">
            <v>-</v>
          </cell>
        </row>
        <row r="1703">
          <cell r="P1703" t="str">
            <v>-</v>
          </cell>
        </row>
        <row r="1704">
          <cell r="P1704" t="str">
            <v>-</v>
          </cell>
        </row>
        <row r="1705">
          <cell r="P1705" t="str">
            <v>-</v>
          </cell>
        </row>
        <row r="1706">
          <cell r="P1706" t="str">
            <v>-</v>
          </cell>
        </row>
        <row r="1707">
          <cell r="P1707" t="str">
            <v>-</v>
          </cell>
        </row>
        <row r="1708">
          <cell r="P1708" t="str">
            <v>-</v>
          </cell>
        </row>
        <row r="1709">
          <cell r="P1709" t="str">
            <v>-</v>
          </cell>
        </row>
        <row r="1710">
          <cell r="P1710" t="str">
            <v>-</v>
          </cell>
        </row>
        <row r="1711">
          <cell r="P1711" t="str">
            <v>-</v>
          </cell>
        </row>
        <row r="1712">
          <cell r="P1712" t="str">
            <v>-</v>
          </cell>
        </row>
        <row r="1713">
          <cell r="P1713" t="str">
            <v>-</v>
          </cell>
        </row>
        <row r="1714">
          <cell r="P1714" t="str">
            <v>-</v>
          </cell>
        </row>
        <row r="1715">
          <cell r="P1715" t="str">
            <v>-</v>
          </cell>
        </row>
        <row r="1716">
          <cell r="P1716" t="str">
            <v>-</v>
          </cell>
        </row>
        <row r="1717">
          <cell r="P1717" t="str">
            <v>-</v>
          </cell>
        </row>
        <row r="1718">
          <cell r="P1718" t="str">
            <v>-</v>
          </cell>
        </row>
        <row r="1719">
          <cell r="P1719" t="str">
            <v>-</v>
          </cell>
        </row>
        <row r="1720">
          <cell r="P1720" t="str">
            <v>-</v>
          </cell>
        </row>
        <row r="1721">
          <cell r="P1721" t="str">
            <v>-</v>
          </cell>
        </row>
        <row r="1722">
          <cell r="P1722" t="str">
            <v>-</v>
          </cell>
        </row>
        <row r="1723">
          <cell r="P1723" t="str">
            <v>-</v>
          </cell>
        </row>
        <row r="1724">
          <cell r="P1724" t="str">
            <v>-</v>
          </cell>
        </row>
        <row r="1725">
          <cell r="P1725" t="str">
            <v>-</v>
          </cell>
        </row>
        <row r="1726">
          <cell r="P1726" t="str">
            <v>-</v>
          </cell>
        </row>
        <row r="1727">
          <cell r="P1727" t="str">
            <v>-</v>
          </cell>
        </row>
        <row r="1728">
          <cell r="P1728" t="str">
            <v>-</v>
          </cell>
        </row>
        <row r="1729">
          <cell r="P1729" t="str">
            <v>-</v>
          </cell>
        </row>
        <row r="1730">
          <cell r="P1730" t="str">
            <v>-</v>
          </cell>
        </row>
        <row r="1731">
          <cell r="P1731" t="str">
            <v>-</v>
          </cell>
        </row>
        <row r="1732">
          <cell r="P1732" t="str">
            <v>-</v>
          </cell>
        </row>
        <row r="1733">
          <cell r="P1733" t="str">
            <v>-</v>
          </cell>
        </row>
        <row r="1734">
          <cell r="P1734" t="str">
            <v>-</v>
          </cell>
        </row>
        <row r="1735">
          <cell r="P1735" t="str">
            <v>-</v>
          </cell>
        </row>
        <row r="1736">
          <cell r="P1736" t="str">
            <v>-</v>
          </cell>
        </row>
        <row r="1737">
          <cell r="P1737" t="str">
            <v>-</v>
          </cell>
        </row>
        <row r="1738">
          <cell r="P1738" t="str">
            <v>-</v>
          </cell>
        </row>
        <row r="1739">
          <cell r="P1739" t="str">
            <v>-</v>
          </cell>
        </row>
        <row r="1740">
          <cell r="P1740" t="str">
            <v>-</v>
          </cell>
        </row>
        <row r="1741">
          <cell r="P1741" t="str">
            <v>-</v>
          </cell>
        </row>
        <row r="1742">
          <cell r="P1742" t="str">
            <v>-</v>
          </cell>
        </row>
        <row r="1743">
          <cell r="P1743" t="str">
            <v>-</v>
          </cell>
        </row>
        <row r="1744">
          <cell r="P1744" t="str">
            <v>-</v>
          </cell>
        </row>
        <row r="1745">
          <cell r="P1745" t="str">
            <v>-</v>
          </cell>
        </row>
        <row r="1746">
          <cell r="P1746" t="str">
            <v>-</v>
          </cell>
        </row>
        <row r="1747">
          <cell r="P1747" t="str">
            <v>-</v>
          </cell>
        </row>
        <row r="1748">
          <cell r="P1748" t="str">
            <v>-</v>
          </cell>
        </row>
        <row r="1749">
          <cell r="P1749" t="str">
            <v>-</v>
          </cell>
        </row>
        <row r="1750">
          <cell r="P1750" t="str">
            <v>-</v>
          </cell>
        </row>
        <row r="1751">
          <cell r="P1751" t="str">
            <v>-</v>
          </cell>
        </row>
        <row r="1752">
          <cell r="P1752" t="str">
            <v>-</v>
          </cell>
        </row>
        <row r="1753">
          <cell r="P1753" t="str">
            <v>-</v>
          </cell>
        </row>
        <row r="1754">
          <cell r="P1754" t="str">
            <v>-</v>
          </cell>
        </row>
        <row r="1755">
          <cell r="P1755" t="str">
            <v>-</v>
          </cell>
        </row>
        <row r="1756">
          <cell r="P1756" t="str">
            <v>-</v>
          </cell>
        </row>
        <row r="1757">
          <cell r="P1757" t="str">
            <v>-</v>
          </cell>
        </row>
        <row r="1758">
          <cell r="P1758" t="str">
            <v>-</v>
          </cell>
        </row>
        <row r="1759">
          <cell r="P1759" t="str">
            <v>-</v>
          </cell>
        </row>
        <row r="1760">
          <cell r="P1760" t="str">
            <v>-</v>
          </cell>
        </row>
        <row r="1761">
          <cell r="P1761" t="str">
            <v>-</v>
          </cell>
        </row>
        <row r="1762">
          <cell r="P1762" t="str">
            <v>-</v>
          </cell>
        </row>
        <row r="1763">
          <cell r="P1763" t="str">
            <v>-</v>
          </cell>
        </row>
        <row r="1764">
          <cell r="P1764" t="str">
            <v>-</v>
          </cell>
        </row>
        <row r="1765">
          <cell r="P1765" t="str">
            <v>-</v>
          </cell>
        </row>
        <row r="1766">
          <cell r="P1766" t="str">
            <v>-</v>
          </cell>
        </row>
        <row r="1767">
          <cell r="P1767" t="str">
            <v>-</v>
          </cell>
        </row>
        <row r="1768">
          <cell r="P1768" t="str">
            <v>-</v>
          </cell>
        </row>
        <row r="1769">
          <cell r="P1769" t="str">
            <v>-</v>
          </cell>
        </row>
        <row r="1770">
          <cell r="P1770" t="str">
            <v>-</v>
          </cell>
        </row>
        <row r="1771">
          <cell r="P1771" t="str">
            <v>-</v>
          </cell>
        </row>
        <row r="1772">
          <cell r="P1772" t="str">
            <v>-</v>
          </cell>
        </row>
        <row r="1773">
          <cell r="P1773" t="str">
            <v>-</v>
          </cell>
        </row>
        <row r="1774">
          <cell r="P1774" t="str">
            <v>-</v>
          </cell>
        </row>
        <row r="1775">
          <cell r="P1775" t="str">
            <v>-</v>
          </cell>
        </row>
        <row r="1776">
          <cell r="P1776" t="str">
            <v>-</v>
          </cell>
        </row>
        <row r="1777">
          <cell r="P1777" t="str">
            <v>-</v>
          </cell>
        </row>
        <row r="1778">
          <cell r="P1778" t="str">
            <v>-</v>
          </cell>
        </row>
        <row r="1779">
          <cell r="P1779" t="str">
            <v>-</v>
          </cell>
        </row>
        <row r="1780">
          <cell r="P1780" t="str">
            <v>-</v>
          </cell>
        </row>
        <row r="1781">
          <cell r="P1781" t="str">
            <v>-</v>
          </cell>
        </row>
        <row r="1782">
          <cell r="P1782" t="str">
            <v>-</v>
          </cell>
        </row>
        <row r="1783">
          <cell r="P1783" t="str">
            <v>-</v>
          </cell>
        </row>
        <row r="1784">
          <cell r="P1784" t="str">
            <v>-</v>
          </cell>
        </row>
        <row r="1785">
          <cell r="P1785" t="str">
            <v>-</v>
          </cell>
        </row>
        <row r="1786">
          <cell r="P1786" t="str">
            <v>-</v>
          </cell>
        </row>
        <row r="1787">
          <cell r="P1787" t="str">
            <v>-</v>
          </cell>
        </row>
        <row r="1788">
          <cell r="P1788" t="str">
            <v>-</v>
          </cell>
        </row>
        <row r="1789">
          <cell r="P1789" t="str">
            <v>-</v>
          </cell>
        </row>
        <row r="1790">
          <cell r="P1790" t="str">
            <v>-</v>
          </cell>
        </row>
        <row r="1791">
          <cell r="P1791" t="str">
            <v>-</v>
          </cell>
        </row>
        <row r="1792">
          <cell r="P1792" t="str">
            <v>-</v>
          </cell>
        </row>
        <row r="1793">
          <cell r="P1793" t="str">
            <v>-</v>
          </cell>
        </row>
        <row r="1794">
          <cell r="P1794" t="str">
            <v>-</v>
          </cell>
        </row>
        <row r="1795">
          <cell r="P1795" t="str">
            <v>-</v>
          </cell>
        </row>
        <row r="1796">
          <cell r="P1796" t="str">
            <v>-</v>
          </cell>
        </row>
        <row r="1797">
          <cell r="P1797" t="str">
            <v>-</v>
          </cell>
        </row>
        <row r="1798">
          <cell r="P1798" t="str">
            <v>-</v>
          </cell>
        </row>
        <row r="1799">
          <cell r="P1799" t="str">
            <v>-</v>
          </cell>
        </row>
        <row r="1800">
          <cell r="P1800" t="str">
            <v>-</v>
          </cell>
        </row>
        <row r="1801">
          <cell r="P1801" t="str">
            <v>-</v>
          </cell>
        </row>
        <row r="1802">
          <cell r="P1802" t="str">
            <v>-</v>
          </cell>
        </row>
        <row r="1803">
          <cell r="P1803" t="str">
            <v>-</v>
          </cell>
        </row>
        <row r="1804">
          <cell r="P1804" t="str">
            <v>-</v>
          </cell>
        </row>
        <row r="1805">
          <cell r="P1805" t="str">
            <v>-</v>
          </cell>
        </row>
        <row r="1806">
          <cell r="P1806" t="str">
            <v>-</v>
          </cell>
        </row>
        <row r="1807">
          <cell r="P1807" t="str">
            <v>-</v>
          </cell>
        </row>
        <row r="1808">
          <cell r="P1808" t="str">
            <v>-</v>
          </cell>
        </row>
        <row r="1809">
          <cell r="P1809" t="str">
            <v>-</v>
          </cell>
        </row>
        <row r="1810">
          <cell r="P1810" t="str">
            <v>-</v>
          </cell>
        </row>
        <row r="1811">
          <cell r="P1811" t="str">
            <v>-</v>
          </cell>
        </row>
        <row r="1812">
          <cell r="P1812" t="str">
            <v>-</v>
          </cell>
        </row>
        <row r="1813">
          <cell r="P1813" t="str">
            <v>-</v>
          </cell>
        </row>
        <row r="1814">
          <cell r="P1814" t="str">
            <v>-</v>
          </cell>
        </row>
        <row r="1815">
          <cell r="P1815" t="str">
            <v>-</v>
          </cell>
        </row>
        <row r="1816">
          <cell r="P1816" t="str">
            <v>-</v>
          </cell>
        </row>
        <row r="1817">
          <cell r="P1817" t="str">
            <v>-</v>
          </cell>
        </row>
        <row r="1818">
          <cell r="P1818" t="str">
            <v>-</v>
          </cell>
        </row>
        <row r="1819">
          <cell r="P1819" t="str">
            <v>-</v>
          </cell>
        </row>
        <row r="1820">
          <cell r="P1820" t="str">
            <v>-</v>
          </cell>
        </row>
        <row r="1821">
          <cell r="P1821" t="str">
            <v>-</v>
          </cell>
        </row>
        <row r="1822">
          <cell r="P1822" t="str">
            <v>-</v>
          </cell>
        </row>
        <row r="1823">
          <cell r="P1823" t="str">
            <v>-</v>
          </cell>
        </row>
        <row r="1824">
          <cell r="P1824" t="str">
            <v>-</v>
          </cell>
        </row>
        <row r="1825">
          <cell r="P1825" t="str">
            <v>-</v>
          </cell>
        </row>
        <row r="1826">
          <cell r="P1826" t="str">
            <v>-</v>
          </cell>
        </row>
        <row r="1827">
          <cell r="P1827" t="str">
            <v>-</v>
          </cell>
        </row>
        <row r="1828">
          <cell r="P1828" t="str">
            <v>-</v>
          </cell>
        </row>
        <row r="1829">
          <cell r="P1829" t="str">
            <v>-</v>
          </cell>
        </row>
        <row r="1830">
          <cell r="P1830" t="str">
            <v>-</v>
          </cell>
        </row>
        <row r="1831">
          <cell r="P1831" t="str">
            <v>-</v>
          </cell>
        </row>
        <row r="1832">
          <cell r="P1832" t="str">
            <v>-</v>
          </cell>
        </row>
        <row r="1833">
          <cell r="P1833" t="str">
            <v>-</v>
          </cell>
        </row>
        <row r="1834">
          <cell r="P1834" t="str">
            <v>-</v>
          </cell>
        </row>
        <row r="1835">
          <cell r="P1835" t="str">
            <v>-</v>
          </cell>
        </row>
        <row r="1836">
          <cell r="P1836" t="str">
            <v>-</v>
          </cell>
        </row>
        <row r="1837">
          <cell r="P1837" t="str">
            <v>-</v>
          </cell>
        </row>
        <row r="1838">
          <cell r="P1838" t="str">
            <v>-</v>
          </cell>
        </row>
        <row r="1839">
          <cell r="P1839" t="str">
            <v>-</v>
          </cell>
        </row>
        <row r="1840">
          <cell r="P1840" t="str">
            <v>-</v>
          </cell>
        </row>
        <row r="1841">
          <cell r="P1841" t="str">
            <v>-</v>
          </cell>
        </row>
        <row r="1842">
          <cell r="P1842" t="str">
            <v>-</v>
          </cell>
        </row>
        <row r="1843">
          <cell r="P1843" t="str">
            <v>-</v>
          </cell>
        </row>
        <row r="1844">
          <cell r="P1844" t="str">
            <v>-</v>
          </cell>
        </row>
        <row r="1845">
          <cell r="P1845" t="str">
            <v>-</v>
          </cell>
        </row>
        <row r="1846">
          <cell r="P1846" t="str">
            <v>-</v>
          </cell>
        </row>
        <row r="1847">
          <cell r="P1847" t="str">
            <v>-</v>
          </cell>
        </row>
        <row r="1848">
          <cell r="P1848" t="str">
            <v>-</v>
          </cell>
        </row>
        <row r="1849">
          <cell r="P1849" t="str">
            <v>-</v>
          </cell>
        </row>
        <row r="1850">
          <cell r="P1850" t="str">
            <v>-</v>
          </cell>
        </row>
        <row r="1851">
          <cell r="P1851" t="str">
            <v>-</v>
          </cell>
        </row>
        <row r="1852">
          <cell r="P1852" t="str">
            <v>-</v>
          </cell>
        </row>
        <row r="1853">
          <cell r="P1853" t="str">
            <v>-</v>
          </cell>
        </row>
        <row r="1854">
          <cell r="P1854" t="str">
            <v>-</v>
          </cell>
        </row>
        <row r="1855">
          <cell r="P1855" t="str">
            <v>-</v>
          </cell>
        </row>
        <row r="1856">
          <cell r="P1856" t="str">
            <v>-</v>
          </cell>
        </row>
        <row r="1857">
          <cell r="P1857" t="str">
            <v>-</v>
          </cell>
        </row>
        <row r="1858">
          <cell r="P1858" t="str">
            <v>-</v>
          </cell>
        </row>
        <row r="1859">
          <cell r="P1859" t="str">
            <v>-</v>
          </cell>
        </row>
        <row r="1860">
          <cell r="P1860" t="str">
            <v>-</v>
          </cell>
        </row>
        <row r="1861">
          <cell r="P1861" t="str">
            <v>-</v>
          </cell>
        </row>
        <row r="1862">
          <cell r="P1862" t="str">
            <v>-</v>
          </cell>
        </row>
        <row r="1863">
          <cell r="P1863" t="str">
            <v>-</v>
          </cell>
        </row>
        <row r="1864">
          <cell r="P1864" t="str">
            <v>-</v>
          </cell>
        </row>
        <row r="1865">
          <cell r="P1865" t="str">
            <v>-</v>
          </cell>
        </row>
        <row r="1866">
          <cell r="P1866" t="str">
            <v>-</v>
          </cell>
        </row>
        <row r="1867">
          <cell r="P1867" t="str">
            <v>-</v>
          </cell>
        </row>
        <row r="1868">
          <cell r="P1868" t="str">
            <v>-</v>
          </cell>
        </row>
        <row r="1869">
          <cell r="P1869" t="str">
            <v>-</v>
          </cell>
        </row>
        <row r="1870">
          <cell r="P1870" t="str">
            <v>-</v>
          </cell>
        </row>
        <row r="1871">
          <cell r="P1871" t="str">
            <v>-</v>
          </cell>
        </row>
        <row r="1872">
          <cell r="P1872" t="str">
            <v>-</v>
          </cell>
        </row>
        <row r="1873">
          <cell r="P1873" t="str">
            <v>-</v>
          </cell>
        </row>
        <row r="1874">
          <cell r="P1874" t="str">
            <v>-</v>
          </cell>
        </row>
        <row r="1875">
          <cell r="P1875" t="str">
            <v>-</v>
          </cell>
        </row>
        <row r="1876">
          <cell r="P1876" t="str">
            <v>-</v>
          </cell>
        </row>
        <row r="1877">
          <cell r="P1877" t="str">
            <v>-</v>
          </cell>
        </row>
        <row r="1878">
          <cell r="P1878" t="str">
            <v>-</v>
          </cell>
        </row>
        <row r="1879">
          <cell r="P1879" t="str">
            <v>-</v>
          </cell>
        </row>
        <row r="1880">
          <cell r="P1880" t="str">
            <v>-</v>
          </cell>
        </row>
        <row r="1881">
          <cell r="P1881" t="str">
            <v>-</v>
          </cell>
        </row>
        <row r="1882">
          <cell r="P1882" t="str">
            <v>-</v>
          </cell>
        </row>
        <row r="1883">
          <cell r="P1883" t="str">
            <v>-</v>
          </cell>
        </row>
        <row r="1884">
          <cell r="P1884" t="str">
            <v>-</v>
          </cell>
        </row>
        <row r="1885">
          <cell r="P1885" t="str">
            <v>-</v>
          </cell>
        </row>
        <row r="1886">
          <cell r="P1886" t="str">
            <v>-</v>
          </cell>
        </row>
        <row r="1887">
          <cell r="P1887" t="str">
            <v>-</v>
          </cell>
        </row>
        <row r="1888">
          <cell r="P1888" t="str">
            <v>-</v>
          </cell>
        </row>
        <row r="1889">
          <cell r="P1889" t="str">
            <v>-</v>
          </cell>
        </row>
        <row r="1890">
          <cell r="P1890" t="str">
            <v>-</v>
          </cell>
        </row>
        <row r="1891">
          <cell r="P1891" t="str">
            <v>-</v>
          </cell>
        </row>
        <row r="1892">
          <cell r="P1892" t="str">
            <v>-</v>
          </cell>
        </row>
        <row r="1893">
          <cell r="P1893" t="str">
            <v>-</v>
          </cell>
        </row>
        <row r="1894">
          <cell r="P1894" t="str">
            <v>-</v>
          </cell>
        </row>
        <row r="1895">
          <cell r="P1895" t="str">
            <v>-</v>
          </cell>
        </row>
        <row r="1896">
          <cell r="P1896" t="str">
            <v>-</v>
          </cell>
        </row>
        <row r="1897">
          <cell r="P1897" t="str">
            <v>-</v>
          </cell>
        </row>
        <row r="1898">
          <cell r="P1898" t="str">
            <v>-</v>
          </cell>
        </row>
        <row r="1899">
          <cell r="P1899" t="str">
            <v>-</v>
          </cell>
        </row>
        <row r="1900">
          <cell r="P1900" t="str">
            <v>-</v>
          </cell>
        </row>
        <row r="1901">
          <cell r="P1901" t="str">
            <v>-</v>
          </cell>
        </row>
        <row r="1902">
          <cell r="P1902" t="str">
            <v>-</v>
          </cell>
        </row>
        <row r="1903">
          <cell r="P1903" t="str">
            <v>-</v>
          </cell>
        </row>
        <row r="1904">
          <cell r="P1904" t="str">
            <v>-</v>
          </cell>
        </row>
        <row r="1905">
          <cell r="P1905" t="str">
            <v>-</v>
          </cell>
        </row>
        <row r="1906">
          <cell r="P1906" t="str">
            <v>-</v>
          </cell>
        </row>
        <row r="1907">
          <cell r="P1907" t="str">
            <v>-</v>
          </cell>
        </row>
        <row r="1908">
          <cell r="P1908" t="str">
            <v>-</v>
          </cell>
        </row>
        <row r="1909">
          <cell r="P1909" t="str">
            <v>-</v>
          </cell>
        </row>
        <row r="1910">
          <cell r="P1910" t="str">
            <v>-</v>
          </cell>
        </row>
        <row r="1911">
          <cell r="P1911" t="str">
            <v>-</v>
          </cell>
        </row>
        <row r="1912">
          <cell r="P1912" t="str">
            <v>-</v>
          </cell>
        </row>
        <row r="1913">
          <cell r="P1913" t="str">
            <v>-</v>
          </cell>
        </row>
        <row r="1914">
          <cell r="P1914" t="str">
            <v>-</v>
          </cell>
        </row>
        <row r="1915">
          <cell r="P1915" t="str">
            <v>-</v>
          </cell>
        </row>
        <row r="1916">
          <cell r="P1916" t="str">
            <v>-</v>
          </cell>
        </row>
        <row r="1917">
          <cell r="P1917" t="str">
            <v>-</v>
          </cell>
        </row>
        <row r="1918">
          <cell r="P1918" t="str">
            <v>-</v>
          </cell>
        </row>
        <row r="1919">
          <cell r="P1919" t="str">
            <v>-</v>
          </cell>
        </row>
        <row r="1920">
          <cell r="P1920" t="str">
            <v>-</v>
          </cell>
        </row>
        <row r="1921">
          <cell r="P1921" t="str">
            <v>-</v>
          </cell>
        </row>
        <row r="1922">
          <cell r="P1922" t="str">
            <v>-</v>
          </cell>
        </row>
        <row r="1923">
          <cell r="P1923" t="str">
            <v>-</v>
          </cell>
        </row>
        <row r="1924">
          <cell r="P1924" t="str">
            <v>-</v>
          </cell>
        </row>
        <row r="1925">
          <cell r="P1925" t="str">
            <v>-</v>
          </cell>
        </row>
        <row r="1926">
          <cell r="P1926" t="str">
            <v>-</v>
          </cell>
        </row>
        <row r="1927">
          <cell r="P1927" t="str">
            <v>-</v>
          </cell>
        </row>
        <row r="1928">
          <cell r="P1928" t="str">
            <v>-</v>
          </cell>
        </row>
        <row r="1929">
          <cell r="P1929" t="str">
            <v>-</v>
          </cell>
        </row>
        <row r="1930">
          <cell r="P1930" t="str">
            <v>-</v>
          </cell>
        </row>
        <row r="1931">
          <cell r="P1931" t="str">
            <v>-</v>
          </cell>
        </row>
        <row r="1932">
          <cell r="P1932" t="str">
            <v>-</v>
          </cell>
        </row>
        <row r="1933">
          <cell r="P1933" t="str">
            <v>-</v>
          </cell>
        </row>
        <row r="1934">
          <cell r="P1934" t="str">
            <v>-</v>
          </cell>
        </row>
        <row r="1935">
          <cell r="P1935" t="str">
            <v>-</v>
          </cell>
        </row>
        <row r="1936">
          <cell r="P1936" t="str">
            <v>-</v>
          </cell>
        </row>
        <row r="1937">
          <cell r="P1937" t="str">
            <v>-</v>
          </cell>
        </row>
        <row r="1938">
          <cell r="P1938" t="str">
            <v>-</v>
          </cell>
        </row>
        <row r="1939">
          <cell r="P1939" t="str">
            <v>-</v>
          </cell>
        </row>
        <row r="1940">
          <cell r="P1940" t="str">
            <v>-</v>
          </cell>
        </row>
        <row r="1941">
          <cell r="P1941" t="str">
            <v>-</v>
          </cell>
        </row>
        <row r="1942">
          <cell r="P1942" t="str">
            <v>-</v>
          </cell>
        </row>
        <row r="1943">
          <cell r="P1943" t="str">
            <v>-</v>
          </cell>
        </row>
        <row r="1944">
          <cell r="P1944" t="str">
            <v>-</v>
          </cell>
        </row>
        <row r="1945">
          <cell r="P1945" t="str">
            <v>-</v>
          </cell>
        </row>
        <row r="1946">
          <cell r="P1946" t="str">
            <v>-</v>
          </cell>
        </row>
        <row r="1947">
          <cell r="P1947" t="str">
            <v>-</v>
          </cell>
        </row>
        <row r="1948">
          <cell r="P1948" t="str">
            <v>-</v>
          </cell>
        </row>
        <row r="1949">
          <cell r="P1949" t="str">
            <v>-</v>
          </cell>
        </row>
        <row r="1950">
          <cell r="P1950" t="str">
            <v>-</v>
          </cell>
        </row>
        <row r="1951">
          <cell r="P1951" t="str">
            <v>-</v>
          </cell>
        </row>
        <row r="1952">
          <cell r="P1952" t="str">
            <v>-</v>
          </cell>
        </row>
        <row r="1953">
          <cell r="P1953" t="str">
            <v>-</v>
          </cell>
        </row>
        <row r="1954">
          <cell r="P1954" t="str">
            <v>-</v>
          </cell>
        </row>
        <row r="1955">
          <cell r="P1955" t="str">
            <v>-</v>
          </cell>
        </row>
        <row r="1956">
          <cell r="P1956" t="str">
            <v>-</v>
          </cell>
        </row>
        <row r="1957">
          <cell r="P1957" t="str">
            <v>-</v>
          </cell>
        </row>
        <row r="1958">
          <cell r="P1958" t="str">
            <v>-</v>
          </cell>
        </row>
        <row r="1959">
          <cell r="P1959" t="str">
            <v>-</v>
          </cell>
        </row>
        <row r="1960">
          <cell r="P1960" t="str">
            <v>-</v>
          </cell>
        </row>
        <row r="1961">
          <cell r="P1961" t="str">
            <v>-</v>
          </cell>
        </row>
        <row r="1962">
          <cell r="P1962" t="str">
            <v>-</v>
          </cell>
        </row>
        <row r="1963">
          <cell r="P1963" t="str">
            <v>-</v>
          </cell>
        </row>
        <row r="1964">
          <cell r="P1964" t="str">
            <v>-</v>
          </cell>
        </row>
        <row r="1965">
          <cell r="P1965" t="str">
            <v>-</v>
          </cell>
        </row>
        <row r="1966">
          <cell r="P1966" t="str">
            <v>-</v>
          </cell>
        </row>
        <row r="1967">
          <cell r="P1967" t="str">
            <v>-</v>
          </cell>
        </row>
        <row r="1968">
          <cell r="P1968" t="str">
            <v>-</v>
          </cell>
        </row>
        <row r="1969">
          <cell r="P1969" t="str">
            <v>-</v>
          </cell>
        </row>
        <row r="1970">
          <cell r="P1970" t="str">
            <v>-</v>
          </cell>
        </row>
        <row r="1971">
          <cell r="P1971" t="str">
            <v>-</v>
          </cell>
        </row>
        <row r="1972">
          <cell r="P1972" t="str">
            <v>-</v>
          </cell>
        </row>
        <row r="1973">
          <cell r="P1973" t="str">
            <v>-</v>
          </cell>
        </row>
        <row r="1974">
          <cell r="P1974" t="str">
            <v>-</v>
          </cell>
        </row>
        <row r="1975">
          <cell r="P1975" t="str">
            <v>-</v>
          </cell>
        </row>
        <row r="1976">
          <cell r="P1976" t="str">
            <v>-</v>
          </cell>
        </row>
        <row r="1977">
          <cell r="P1977" t="str">
            <v>-</v>
          </cell>
        </row>
        <row r="1978">
          <cell r="P1978" t="str">
            <v>-</v>
          </cell>
        </row>
        <row r="1979">
          <cell r="P1979" t="str">
            <v>-</v>
          </cell>
        </row>
        <row r="1980">
          <cell r="P1980" t="str">
            <v>-</v>
          </cell>
        </row>
        <row r="1981">
          <cell r="P1981" t="str">
            <v>-</v>
          </cell>
        </row>
        <row r="1982">
          <cell r="P1982" t="str">
            <v>-</v>
          </cell>
        </row>
        <row r="1983">
          <cell r="P1983" t="str">
            <v>-</v>
          </cell>
        </row>
        <row r="1984">
          <cell r="P1984" t="str">
            <v>-</v>
          </cell>
        </row>
        <row r="1985">
          <cell r="P1985" t="str">
            <v>-</v>
          </cell>
        </row>
        <row r="1986">
          <cell r="P1986" t="str">
            <v>-</v>
          </cell>
        </row>
        <row r="1987">
          <cell r="P1987" t="str">
            <v>-</v>
          </cell>
        </row>
        <row r="1988">
          <cell r="P1988" t="str">
            <v>-</v>
          </cell>
        </row>
        <row r="1989">
          <cell r="P1989" t="str">
            <v>-</v>
          </cell>
        </row>
        <row r="1990">
          <cell r="P1990" t="str">
            <v>-</v>
          </cell>
        </row>
        <row r="1991">
          <cell r="P1991" t="str">
            <v>-</v>
          </cell>
        </row>
        <row r="1992">
          <cell r="P1992" t="str">
            <v>-</v>
          </cell>
        </row>
        <row r="1993">
          <cell r="P1993" t="str">
            <v>-</v>
          </cell>
        </row>
        <row r="1994">
          <cell r="P1994" t="str">
            <v>-</v>
          </cell>
        </row>
        <row r="1995">
          <cell r="P1995" t="str">
            <v>-</v>
          </cell>
        </row>
        <row r="1996">
          <cell r="P1996" t="str">
            <v>-</v>
          </cell>
        </row>
        <row r="1997">
          <cell r="P1997" t="str">
            <v>-</v>
          </cell>
        </row>
        <row r="1998">
          <cell r="P1998" t="str">
            <v>-</v>
          </cell>
        </row>
        <row r="1999">
          <cell r="P1999" t="str">
            <v>-</v>
          </cell>
        </row>
        <row r="2000">
          <cell r="P2000" t="str">
            <v>-</v>
          </cell>
        </row>
        <row r="2001">
          <cell r="P2001" t="str">
            <v>-</v>
          </cell>
        </row>
        <row r="2002">
          <cell r="P2002" t="str">
            <v>-</v>
          </cell>
        </row>
        <row r="2003">
          <cell r="P2003" t="str">
            <v>-</v>
          </cell>
        </row>
        <row r="2004">
          <cell r="P2004" t="str">
            <v>-</v>
          </cell>
        </row>
        <row r="2005">
          <cell r="P2005" t="str">
            <v>-</v>
          </cell>
        </row>
        <row r="2006">
          <cell r="P2006" t="str">
            <v>-</v>
          </cell>
        </row>
        <row r="2007">
          <cell r="P2007" t="str">
            <v>-</v>
          </cell>
        </row>
        <row r="2008">
          <cell r="P2008" t="str">
            <v>-</v>
          </cell>
        </row>
        <row r="2009">
          <cell r="P2009" t="str">
            <v>-</v>
          </cell>
        </row>
        <row r="2010">
          <cell r="P2010" t="str">
            <v>-</v>
          </cell>
        </row>
        <row r="2011">
          <cell r="P2011" t="str">
            <v>-</v>
          </cell>
        </row>
        <row r="2012">
          <cell r="P2012" t="str">
            <v>-</v>
          </cell>
        </row>
        <row r="2013">
          <cell r="P2013" t="str">
            <v>-</v>
          </cell>
        </row>
        <row r="2014">
          <cell r="P2014" t="str">
            <v>-</v>
          </cell>
        </row>
        <row r="2015">
          <cell r="P2015" t="str">
            <v>-</v>
          </cell>
        </row>
        <row r="2016">
          <cell r="P2016" t="str">
            <v>-</v>
          </cell>
        </row>
        <row r="2017">
          <cell r="P2017" t="str">
            <v>-</v>
          </cell>
        </row>
        <row r="2018">
          <cell r="P2018" t="str">
            <v>-</v>
          </cell>
        </row>
        <row r="2019">
          <cell r="P2019" t="str">
            <v>-</v>
          </cell>
        </row>
        <row r="2020">
          <cell r="P2020" t="str">
            <v>-</v>
          </cell>
        </row>
        <row r="2021">
          <cell r="P2021" t="str">
            <v>-</v>
          </cell>
        </row>
        <row r="2022">
          <cell r="P2022" t="str">
            <v>-</v>
          </cell>
        </row>
        <row r="2023">
          <cell r="P2023" t="str">
            <v>-</v>
          </cell>
        </row>
        <row r="2024">
          <cell r="P2024" t="str">
            <v>-</v>
          </cell>
        </row>
        <row r="2025">
          <cell r="P2025" t="str">
            <v>-</v>
          </cell>
        </row>
        <row r="2026">
          <cell r="P2026" t="str">
            <v>-</v>
          </cell>
        </row>
        <row r="2027">
          <cell r="P2027" t="str">
            <v>-</v>
          </cell>
        </row>
        <row r="2028">
          <cell r="P2028" t="str">
            <v>-</v>
          </cell>
        </row>
        <row r="2029">
          <cell r="P2029" t="str">
            <v>-</v>
          </cell>
        </row>
        <row r="2030">
          <cell r="P2030" t="str">
            <v>-</v>
          </cell>
        </row>
        <row r="2031">
          <cell r="P2031" t="str">
            <v>-</v>
          </cell>
        </row>
        <row r="2032">
          <cell r="P2032" t="str">
            <v>-</v>
          </cell>
        </row>
        <row r="2033">
          <cell r="P2033" t="str">
            <v>-</v>
          </cell>
        </row>
        <row r="2034">
          <cell r="P2034" t="str">
            <v>-</v>
          </cell>
        </row>
        <row r="2035">
          <cell r="P2035" t="str">
            <v>-</v>
          </cell>
        </row>
        <row r="2036">
          <cell r="P2036" t="str">
            <v>-</v>
          </cell>
        </row>
        <row r="2037">
          <cell r="P2037" t="str">
            <v>-</v>
          </cell>
        </row>
        <row r="2038">
          <cell r="P2038" t="str">
            <v>-</v>
          </cell>
        </row>
        <row r="2039">
          <cell r="P2039" t="str">
            <v>-</v>
          </cell>
        </row>
        <row r="2040">
          <cell r="P2040" t="str">
            <v>-</v>
          </cell>
        </row>
        <row r="2041">
          <cell r="P2041" t="str">
            <v>-</v>
          </cell>
        </row>
        <row r="2042">
          <cell r="P2042" t="str">
            <v>-</v>
          </cell>
        </row>
        <row r="2043">
          <cell r="P2043" t="str">
            <v>-</v>
          </cell>
        </row>
        <row r="2044">
          <cell r="P2044" t="str">
            <v>-</v>
          </cell>
        </row>
        <row r="2045">
          <cell r="P2045" t="str">
            <v>-</v>
          </cell>
        </row>
        <row r="2046">
          <cell r="P2046" t="str">
            <v>-</v>
          </cell>
        </row>
        <row r="2047">
          <cell r="P2047" t="str">
            <v>-</v>
          </cell>
        </row>
        <row r="2048">
          <cell r="P2048" t="str">
            <v>-</v>
          </cell>
        </row>
        <row r="2049">
          <cell r="P2049" t="str">
            <v>-</v>
          </cell>
        </row>
        <row r="2050">
          <cell r="P2050" t="str">
            <v>-</v>
          </cell>
        </row>
        <row r="2051">
          <cell r="P2051" t="str">
            <v>-</v>
          </cell>
        </row>
        <row r="2052">
          <cell r="P2052" t="str">
            <v>-</v>
          </cell>
        </row>
        <row r="2053">
          <cell r="P2053" t="str">
            <v>-</v>
          </cell>
        </row>
        <row r="2054">
          <cell r="P2054" t="str">
            <v>-</v>
          </cell>
        </row>
        <row r="2055">
          <cell r="P2055" t="str">
            <v>-</v>
          </cell>
        </row>
        <row r="2056">
          <cell r="P2056" t="str">
            <v>-</v>
          </cell>
        </row>
        <row r="2057">
          <cell r="P2057" t="str">
            <v>-</v>
          </cell>
        </row>
        <row r="2058">
          <cell r="P2058" t="str">
            <v>-</v>
          </cell>
        </row>
        <row r="2059">
          <cell r="P2059" t="str">
            <v>-</v>
          </cell>
        </row>
        <row r="2060">
          <cell r="P2060" t="str">
            <v>-</v>
          </cell>
        </row>
        <row r="2061">
          <cell r="P2061" t="str">
            <v>-</v>
          </cell>
        </row>
        <row r="2062">
          <cell r="P2062" t="str">
            <v>-</v>
          </cell>
        </row>
        <row r="2063">
          <cell r="P2063" t="str">
            <v>-</v>
          </cell>
        </row>
        <row r="2064">
          <cell r="P2064" t="str">
            <v>-</v>
          </cell>
        </row>
        <row r="2065">
          <cell r="P2065" t="str">
            <v>-</v>
          </cell>
        </row>
        <row r="2066">
          <cell r="P2066" t="str">
            <v>-</v>
          </cell>
        </row>
        <row r="2067">
          <cell r="P2067" t="str">
            <v>-</v>
          </cell>
        </row>
        <row r="2068">
          <cell r="P2068" t="str">
            <v>-</v>
          </cell>
        </row>
        <row r="2069">
          <cell r="P2069" t="str">
            <v>-</v>
          </cell>
        </row>
        <row r="2070">
          <cell r="P2070" t="str">
            <v>-</v>
          </cell>
        </row>
        <row r="2071">
          <cell r="P2071" t="str">
            <v>-</v>
          </cell>
        </row>
        <row r="2072">
          <cell r="P2072" t="str">
            <v>-</v>
          </cell>
        </row>
        <row r="2073">
          <cell r="P2073" t="str">
            <v>-</v>
          </cell>
        </row>
        <row r="2074">
          <cell r="P2074" t="str">
            <v>-</v>
          </cell>
        </row>
        <row r="2075">
          <cell r="P2075" t="str">
            <v>-</v>
          </cell>
        </row>
        <row r="2076">
          <cell r="P2076" t="str">
            <v>-</v>
          </cell>
        </row>
        <row r="2077">
          <cell r="P2077" t="str">
            <v>-</v>
          </cell>
        </row>
        <row r="2078">
          <cell r="P2078" t="str">
            <v>-</v>
          </cell>
        </row>
        <row r="2079">
          <cell r="P2079" t="str">
            <v>-</v>
          </cell>
        </row>
        <row r="2080">
          <cell r="P2080" t="str">
            <v>-</v>
          </cell>
        </row>
        <row r="2081">
          <cell r="P2081" t="str">
            <v>-</v>
          </cell>
        </row>
        <row r="2082">
          <cell r="P2082" t="str">
            <v>-</v>
          </cell>
        </row>
        <row r="2083">
          <cell r="P2083" t="str">
            <v>-</v>
          </cell>
        </row>
        <row r="2084">
          <cell r="P2084" t="str">
            <v>-</v>
          </cell>
        </row>
        <row r="2085">
          <cell r="P2085" t="str">
            <v>-</v>
          </cell>
        </row>
        <row r="2086">
          <cell r="P2086" t="str">
            <v>-</v>
          </cell>
        </row>
        <row r="2087">
          <cell r="P2087" t="str">
            <v>-</v>
          </cell>
        </row>
        <row r="2088">
          <cell r="P2088" t="str">
            <v>-</v>
          </cell>
        </row>
        <row r="2089">
          <cell r="P2089" t="str">
            <v>-</v>
          </cell>
        </row>
        <row r="2090">
          <cell r="P2090" t="str">
            <v>-</v>
          </cell>
        </row>
        <row r="2091">
          <cell r="P2091" t="str">
            <v>-</v>
          </cell>
        </row>
        <row r="2092">
          <cell r="P2092" t="str">
            <v>-</v>
          </cell>
        </row>
        <row r="2093">
          <cell r="P2093" t="str">
            <v>-</v>
          </cell>
        </row>
        <row r="2094">
          <cell r="P2094" t="str">
            <v>-</v>
          </cell>
        </row>
        <row r="2095">
          <cell r="P2095" t="str">
            <v>-</v>
          </cell>
        </row>
        <row r="2096">
          <cell r="P2096" t="str">
            <v>-</v>
          </cell>
        </row>
        <row r="2097">
          <cell r="P2097" t="str">
            <v>-</v>
          </cell>
        </row>
        <row r="2098">
          <cell r="P2098" t="str">
            <v>-</v>
          </cell>
        </row>
        <row r="2099">
          <cell r="P2099" t="str">
            <v>-</v>
          </cell>
        </row>
        <row r="2100">
          <cell r="P2100" t="str">
            <v>-</v>
          </cell>
        </row>
        <row r="2101">
          <cell r="P2101" t="str">
            <v>-</v>
          </cell>
        </row>
        <row r="2102">
          <cell r="P2102" t="str">
            <v>-</v>
          </cell>
        </row>
        <row r="2103">
          <cell r="P2103" t="str">
            <v>-</v>
          </cell>
        </row>
        <row r="2104">
          <cell r="P2104" t="str">
            <v>-</v>
          </cell>
        </row>
        <row r="2105">
          <cell r="P2105" t="str">
            <v>-</v>
          </cell>
        </row>
        <row r="2106">
          <cell r="P2106" t="str">
            <v>-</v>
          </cell>
        </row>
        <row r="2107">
          <cell r="P2107" t="str">
            <v>-</v>
          </cell>
        </row>
        <row r="2108">
          <cell r="P2108" t="str">
            <v>-</v>
          </cell>
        </row>
        <row r="2109">
          <cell r="P2109" t="str">
            <v>-</v>
          </cell>
        </row>
        <row r="2110">
          <cell r="P2110" t="str">
            <v>-</v>
          </cell>
        </row>
        <row r="2111">
          <cell r="P2111" t="str">
            <v>-</v>
          </cell>
        </row>
        <row r="2112">
          <cell r="P2112" t="str">
            <v>-</v>
          </cell>
        </row>
        <row r="2113">
          <cell r="P2113" t="str">
            <v>-</v>
          </cell>
        </row>
        <row r="2114">
          <cell r="P2114" t="str">
            <v>-</v>
          </cell>
        </row>
        <row r="2115">
          <cell r="P2115" t="str">
            <v>-</v>
          </cell>
        </row>
        <row r="2116">
          <cell r="P2116" t="str">
            <v>-</v>
          </cell>
        </row>
        <row r="2117">
          <cell r="P2117" t="str">
            <v>-</v>
          </cell>
        </row>
        <row r="2118">
          <cell r="P2118" t="str">
            <v>-</v>
          </cell>
        </row>
        <row r="2119">
          <cell r="P2119" t="str">
            <v>-</v>
          </cell>
        </row>
        <row r="2120">
          <cell r="P2120" t="str">
            <v>-</v>
          </cell>
        </row>
        <row r="2121">
          <cell r="P2121" t="str">
            <v>-</v>
          </cell>
        </row>
        <row r="2122">
          <cell r="P2122" t="str">
            <v>-</v>
          </cell>
        </row>
        <row r="2123">
          <cell r="P2123" t="str">
            <v>-</v>
          </cell>
        </row>
        <row r="2124">
          <cell r="P2124" t="str">
            <v>-</v>
          </cell>
        </row>
        <row r="2125">
          <cell r="P2125" t="str">
            <v>-</v>
          </cell>
        </row>
        <row r="2126">
          <cell r="P2126" t="str">
            <v>-</v>
          </cell>
        </row>
        <row r="2127">
          <cell r="P2127" t="str">
            <v>-</v>
          </cell>
        </row>
        <row r="2128">
          <cell r="P2128" t="str">
            <v>-</v>
          </cell>
        </row>
        <row r="2129">
          <cell r="P2129" t="str">
            <v>-</v>
          </cell>
        </row>
        <row r="2130">
          <cell r="P2130" t="str">
            <v>-</v>
          </cell>
        </row>
        <row r="2131">
          <cell r="P2131" t="str">
            <v>-</v>
          </cell>
        </row>
        <row r="2132">
          <cell r="P2132" t="str">
            <v>-</v>
          </cell>
        </row>
        <row r="2133">
          <cell r="P2133" t="str">
            <v>-</v>
          </cell>
        </row>
        <row r="2134">
          <cell r="P2134" t="str">
            <v>-</v>
          </cell>
        </row>
        <row r="2135">
          <cell r="P2135" t="str">
            <v>-</v>
          </cell>
        </row>
        <row r="2136">
          <cell r="P2136" t="str">
            <v>-</v>
          </cell>
        </row>
        <row r="2137">
          <cell r="P2137" t="str">
            <v>-</v>
          </cell>
        </row>
        <row r="2138">
          <cell r="P2138" t="str">
            <v>-</v>
          </cell>
        </row>
        <row r="2139">
          <cell r="P2139" t="str">
            <v>-</v>
          </cell>
        </row>
        <row r="2140">
          <cell r="P2140" t="str">
            <v>-</v>
          </cell>
        </row>
        <row r="2141">
          <cell r="P2141" t="str">
            <v>-</v>
          </cell>
        </row>
        <row r="2142">
          <cell r="P2142" t="str">
            <v>-</v>
          </cell>
        </row>
        <row r="2143">
          <cell r="P2143" t="str">
            <v>-</v>
          </cell>
        </row>
        <row r="2144">
          <cell r="P2144" t="str">
            <v>-</v>
          </cell>
        </row>
        <row r="2145">
          <cell r="P2145" t="str">
            <v>-</v>
          </cell>
        </row>
        <row r="2146">
          <cell r="P2146" t="str">
            <v>-</v>
          </cell>
        </row>
        <row r="2147">
          <cell r="P2147" t="str">
            <v>-</v>
          </cell>
        </row>
        <row r="2148">
          <cell r="P2148" t="str">
            <v>-</v>
          </cell>
        </row>
        <row r="2149">
          <cell r="P2149" t="str">
            <v>-</v>
          </cell>
        </row>
        <row r="2150">
          <cell r="P2150" t="str">
            <v>-</v>
          </cell>
        </row>
        <row r="2151">
          <cell r="P2151" t="str">
            <v>-</v>
          </cell>
        </row>
        <row r="2152">
          <cell r="P2152" t="str">
            <v>-</v>
          </cell>
        </row>
        <row r="2153">
          <cell r="P2153" t="str">
            <v>-</v>
          </cell>
        </row>
        <row r="2154">
          <cell r="P2154" t="str">
            <v>-</v>
          </cell>
        </row>
        <row r="2155">
          <cell r="P2155" t="str">
            <v>-</v>
          </cell>
        </row>
        <row r="2156">
          <cell r="P2156" t="str">
            <v>-</v>
          </cell>
        </row>
        <row r="2157">
          <cell r="P2157" t="str">
            <v>-</v>
          </cell>
        </row>
        <row r="2158">
          <cell r="P2158" t="str">
            <v>-</v>
          </cell>
        </row>
        <row r="2159">
          <cell r="P2159" t="str">
            <v>-</v>
          </cell>
        </row>
        <row r="2160">
          <cell r="P2160" t="str">
            <v>-</v>
          </cell>
        </row>
        <row r="2161">
          <cell r="P2161" t="str">
            <v>-</v>
          </cell>
        </row>
        <row r="2162">
          <cell r="P2162" t="str">
            <v>-</v>
          </cell>
        </row>
        <row r="2163">
          <cell r="P2163" t="str">
            <v>-</v>
          </cell>
        </row>
        <row r="2164">
          <cell r="P2164" t="str">
            <v>-</v>
          </cell>
        </row>
        <row r="2165">
          <cell r="P2165" t="str">
            <v>-</v>
          </cell>
        </row>
        <row r="2166">
          <cell r="P2166" t="str">
            <v>-</v>
          </cell>
        </row>
        <row r="2167">
          <cell r="P2167" t="str">
            <v>-</v>
          </cell>
        </row>
        <row r="2168">
          <cell r="P2168" t="str">
            <v>-</v>
          </cell>
        </row>
        <row r="2169">
          <cell r="P2169" t="str">
            <v>-</v>
          </cell>
        </row>
        <row r="2170">
          <cell r="P2170" t="str">
            <v>-</v>
          </cell>
        </row>
        <row r="2171">
          <cell r="P2171" t="str">
            <v>-</v>
          </cell>
        </row>
        <row r="2172">
          <cell r="P2172" t="str">
            <v>-</v>
          </cell>
        </row>
        <row r="2173">
          <cell r="P2173" t="str">
            <v>-</v>
          </cell>
        </row>
        <row r="2174">
          <cell r="P2174" t="str">
            <v>-</v>
          </cell>
        </row>
        <row r="2175">
          <cell r="P2175" t="str">
            <v>-</v>
          </cell>
        </row>
        <row r="2176">
          <cell r="P2176" t="str">
            <v>-</v>
          </cell>
        </row>
        <row r="2177">
          <cell r="P2177" t="str">
            <v>-</v>
          </cell>
        </row>
        <row r="2178">
          <cell r="P2178" t="str">
            <v>-</v>
          </cell>
        </row>
        <row r="2179">
          <cell r="P2179" t="str">
            <v>-</v>
          </cell>
        </row>
        <row r="2180">
          <cell r="P2180" t="str">
            <v>-</v>
          </cell>
        </row>
        <row r="2181">
          <cell r="P2181" t="str">
            <v>-</v>
          </cell>
        </row>
        <row r="2182">
          <cell r="P2182" t="str">
            <v>-</v>
          </cell>
        </row>
        <row r="2183">
          <cell r="P2183" t="str">
            <v>-</v>
          </cell>
        </row>
        <row r="2184">
          <cell r="P2184" t="str">
            <v>-</v>
          </cell>
        </row>
        <row r="2185">
          <cell r="P2185" t="str">
            <v>-</v>
          </cell>
        </row>
        <row r="2186">
          <cell r="P2186" t="str">
            <v>-</v>
          </cell>
        </row>
        <row r="2187">
          <cell r="P2187" t="str">
            <v>-</v>
          </cell>
        </row>
        <row r="2188">
          <cell r="P2188" t="str">
            <v>-</v>
          </cell>
        </row>
        <row r="2189">
          <cell r="P2189" t="str">
            <v>-</v>
          </cell>
        </row>
        <row r="2190">
          <cell r="P2190" t="str">
            <v>-</v>
          </cell>
        </row>
        <row r="2191">
          <cell r="P2191" t="str">
            <v>-</v>
          </cell>
        </row>
        <row r="2192">
          <cell r="P2192" t="str">
            <v>-</v>
          </cell>
        </row>
        <row r="2193">
          <cell r="P2193" t="str">
            <v>-</v>
          </cell>
        </row>
        <row r="2194">
          <cell r="P2194" t="str">
            <v>-</v>
          </cell>
        </row>
        <row r="2195">
          <cell r="P2195" t="str">
            <v>-</v>
          </cell>
        </row>
        <row r="2196">
          <cell r="P2196" t="str">
            <v>-</v>
          </cell>
        </row>
        <row r="2197">
          <cell r="P2197" t="str">
            <v>-</v>
          </cell>
        </row>
        <row r="2198">
          <cell r="P2198" t="str">
            <v>-</v>
          </cell>
        </row>
        <row r="2199">
          <cell r="P2199" t="str">
            <v>-</v>
          </cell>
        </row>
        <row r="2200">
          <cell r="P2200" t="str">
            <v>-</v>
          </cell>
        </row>
        <row r="2201">
          <cell r="P2201" t="str">
            <v>-</v>
          </cell>
        </row>
        <row r="2202">
          <cell r="P2202" t="str">
            <v>-</v>
          </cell>
        </row>
        <row r="2203">
          <cell r="P2203" t="str">
            <v>-</v>
          </cell>
        </row>
        <row r="2204">
          <cell r="P2204" t="str">
            <v>-</v>
          </cell>
        </row>
        <row r="2205">
          <cell r="P2205" t="str">
            <v>-</v>
          </cell>
        </row>
        <row r="2206">
          <cell r="P2206" t="str">
            <v>-</v>
          </cell>
        </row>
        <row r="2207">
          <cell r="P2207" t="str">
            <v>-</v>
          </cell>
        </row>
        <row r="2208">
          <cell r="P2208" t="str">
            <v>-</v>
          </cell>
        </row>
        <row r="2209">
          <cell r="P2209" t="str">
            <v>-</v>
          </cell>
        </row>
        <row r="2210">
          <cell r="P2210" t="str">
            <v>-</v>
          </cell>
        </row>
        <row r="2211">
          <cell r="P2211" t="str">
            <v>-</v>
          </cell>
        </row>
        <row r="2212">
          <cell r="P2212" t="str">
            <v>-</v>
          </cell>
        </row>
        <row r="2213">
          <cell r="P2213" t="str">
            <v>-</v>
          </cell>
        </row>
        <row r="2214">
          <cell r="P2214" t="str">
            <v>-</v>
          </cell>
        </row>
        <row r="2215">
          <cell r="P2215" t="str">
            <v>-</v>
          </cell>
        </row>
        <row r="2216">
          <cell r="P2216" t="str">
            <v>-</v>
          </cell>
        </row>
        <row r="2217">
          <cell r="P2217" t="str">
            <v>-</v>
          </cell>
        </row>
        <row r="2218">
          <cell r="P2218" t="str">
            <v>-</v>
          </cell>
        </row>
        <row r="2219">
          <cell r="P2219" t="str">
            <v>-</v>
          </cell>
        </row>
        <row r="2220">
          <cell r="P2220" t="str">
            <v>-</v>
          </cell>
        </row>
        <row r="2221">
          <cell r="P2221" t="str">
            <v>-</v>
          </cell>
        </row>
        <row r="2222">
          <cell r="P2222" t="str">
            <v>-</v>
          </cell>
        </row>
        <row r="2223">
          <cell r="P2223" t="str">
            <v>-</v>
          </cell>
        </row>
        <row r="2224">
          <cell r="P2224" t="str">
            <v>-</v>
          </cell>
        </row>
        <row r="2225">
          <cell r="P2225" t="str">
            <v>-</v>
          </cell>
        </row>
        <row r="2226">
          <cell r="P2226" t="str">
            <v>-</v>
          </cell>
        </row>
        <row r="2227">
          <cell r="P2227" t="str">
            <v>-</v>
          </cell>
        </row>
        <row r="2228">
          <cell r="P2228" t="str">
            <v>-</v>
          </cell>
        </row>
        <row r="2229">
          <cell r="P2229" t="str">
            <v>-</v>
          </cell>
        </row>
        <row r="2230">
          <cell r="P2230" t="str">
            <v>-</v>
          </cell>
        </row>
        <row r="2231">
          <cell r="P2231" t="str">
            <v>-</v>
          </cell>
        </row>
        <row r="2232">
          <cell r="P2232" t="str">
            <v>-</v>
          </cell>
        </row>
        <row r="2233">
          <cell r="P2233" t="str">
            <v>-</v>
          </cell>
        </row>
        <row r="2234">
          <cell r="P2234" t="str">
            <v>-</v>
          </cell>
        </row>
        <row r="2235">
          <cell r="P2235" t="str">
            <v>-</v>
          </cell>
        </row>
        <row r="2236">
          <cell r="P2236" t="str">
            <v>-</v>
          </cell>
        </row>
        <row r="2237">
          <cell r="P2237" t="str">
            <v>-</v>
          </cell>
        </row>
        <row r="2238">
          <cell r="P2238" t="str">
            <v>-</v>
          </cell>
        </row>
        <row r="2239">
          <cell r="P2239" t="str">
            <v>-</v>
          </cell>
        </row>
        <row r="2240">
          <cell r="P2240" t="str">
            <v>-</v>
          </cell>
        </row>
        <row r="2241">
          <cell r="P2241" t="str">
            <v>-</v>
          </cell>
        </row>
        <row r="2242">
          <cell r="P2242" t="str">
            <v>-</v>
          </cell>
        </row>
        <row r="2243">
          <cell r="P2243" t="str">
            <v>-</v>
          </cell>
        </row>
        <row r="2244">
          <cell r="P2244" t="str">
            <v>-</v>
          </cell>
        </row>
        <row r="2245">
          <cell r="P2245" t="str">
            <v>-</v>
          </cell>
        </row>
        <row r="2246">
          <cell r="P2246" t="str">
            <v>-</v>
          </cell>
        </row>
        <row r="2247">
          <cell r="P2247" t="str">
            <v>-</v>
          </cell>
        </row>
        <row r="2248">
          <cell r="P2248" t="str">
            <v>-</v>
          </cell>
        </row>
        <row r="2249">
          <cell r="P2249" t="str">
            <v>-</v>
          </cell>
        </row>
        <row r="2250">
          <cell r="P2250" t="str">
            <v>-</v>
          </cell>
        </row>
        <row r="2251">
          <cell r="P2251" t="str">
            <v>-</v>
          </cell>
        </row>
        <row r="2252">
          <cell r="P2252" t="str">
            <v>-</v>
          </cell>
        </row>
        <row r="2253">
          <cell r="P2253" t="str">
            <v>-</v>
          </cell>
        </row>
        <row r="2254">
          <cell r="P2254" t="str">
            <v>-</v>
          </cell>
        </row>
        <row r="2255">
          <cell r="P2255" t="str">
            <v>-</v>
          </cell>
        </row>
        <row r="2256">
          <cell r="P2256" t="str">
            <v>-</v>
          </cell>
        </row>
        <row r="2257">
          <cell r="P2257" t="str">
            <v>-</v>
          </cell>
        </row>
        <row r="2258">
          <cell r="P2258" t="str">
            <v>-</v>
          </cell>
        </row>
        <row r="2259">
          <cell r="P2259" t="str">
            <v>-</v>
          </cell>
        </row>
        <row r="2260">
          <cell r="P2260" t="str">
            <v>-</v>
          </cell>
        </row>
        <row r="2261">
          <cell r="P2261" t="str">
            <v>-</v>
          </cell>
        </row>
        <row r="2262">
          <cell r="P2262" t="str">
            <v>-</v>
          </cell>
        </row>
        <row r="2263">
          <cell r="P2263" t="str">
            <v>-</v>
          </cell>
        </row>
        <row r="2264">
          <cell r="P2264" t="str">
            <v>-</v>
          </cell>
        </row>
        <row r="2265">
          <cell r="P2265" t="str">
            <v>-</v>
          </cell>
        </row>
        <row r="2266">
          <cell r="P2266" t="str">
            <v>-</v>
          </cell>
        </row>
        <row r="2267">
          <cell r="P2267" t="str">
            <v>-</v>
          </cell>
        </row>
        <row r="2268">
          <cell r="P2268" t="str">
            <v>-</v>
          </cell>
        </row>
        <row r="2269">
          <cell r="P2269" t="str">
            <v>-</v>
          </cell>
        </row>
        <row r="2270">
          <cell r="P2270" t="str">
            <v>-</v>
          </cell>
        </row>
        <row r="2271">
          <cell r="P2271" t="str">
            <v>-</v>
          </cell>
        </row>
        <row r="2272">
          <cell r="P2272" t="str">
            <v>-</v>
          </cell>
        </row>
        <row r="2273">
          <cell r="P2273" t="str">
            <v>-</v>
          </cell>
        </row>
        <row r="2274">
          <cell r="P2274" t="str">
            <v>-</v>
          </cell>
        </row>
        <row r="2275">
          <cell r="P2275" t="str">
            <v>-</v>
          </cell>
        </row>
        <row r="2276">
          <cell r="P2276" t="str">
            <v>-</v>
          </cell>
        </row>
        <row r="2277">
          <cell r="P2277" t="str">
            <v>-</v>
          </cell>
        </row>
        <row r="2278">
          <cell r="P2278" t="str">
            <v>-</v>
          </cell>
        </row>
        <row r="2279">
          <cell r="P2279" t="str">
            <v>-</v>
          </cell>
        </row>
        <row r="2280">
          <cell r="P2280" t="str">
            <v>-</v>
          </cell>
        </row>
        <row r="2281">
          <cell r="P2281" t="str">
            <v>-</v>
          </cell>
        </row>
        <row r="2282">
          <cell r="P2282" t="str">
            <v>-</v>
          </cell>
        </row>
        <row r="2283">
          <cell r="P2283" t="str">
            <v>-</v>
          </cell>
        </row>
        <row r="2284">
          <cell r="P2284" t="str">
            <v>-</v>
          </cell>
        </row>
        <row r="2285">
          <cell r="P2285" t="str">
            <v>-</v>
          </cell>
        </row>
        <row r="2286">
          <cell r="P2286" t="str">
            <v>-</v>
          </cell>
        </row>
        <row r="2287">
          <cell r="P2287" t="str">
            <v>-</v>
          </cell>
        </row>
        <row r="2288">
          <cell r="P2288" t="str">
            <v>-</v>
          </cell>
        </row>
        <row r="2289">
          <cell r="P2289" t="str">
            <v>-</v>
          </cell>
        </row>
        <row r="2290">
          <cell r="P2290" t="str">
            <v>-</v>
          </cell>
        </row>
        <row r="2291">
          <cell r="P2291" t="str">
            <v>-</v>
          </cell>
        </row>
        <row r="2292">
          <cell r="P2292" t="str">
            <v>-</v>
          </cell>
        </row>
        <row r="2293">
          <cell r="P2293" t="str">
            <v>-</v>
          </cell>
        </row>
        <row r="2294">
          <cell r="P2294" t="str">
            <v>-</v>
          </cell>
        </row>
        <row r="2295">
          <cell r="P2295" t="str">
            <v>-</v>
          </cell>
        </row>
        <row r="2296">
          <cell r="P2296" t="str">
            <v>-</v>
          </cell>
        </row>
        <row r="2297">
          <cell r="P2297" t="str">
            <v>-</v>
          </cell>
        </row>
        <row r="2298">
          <cell r="P2298" t="str">
            <v>-</v>
          </cell>
        </row>
        <row r="2299">
          <cell r="P2299" t="str">
            <v>-</v>
          </cell>
        </row>
        <row r="2300">
          <cell r="P2300" t="str">
            <v>-</v>
          </cell>
        </row>
        <row r="2301">
          <cell r="P2301" t="str">
            <v>-</v>
          </cell>
        </row>
        <row r="2302">
          <cell r="P2302" t="str">
            <v>-</v>
          </cell>
        </row>
        <row r="2303">
          <cell r="P2303" t="str">
            <v>-</v>
          </cell>
        </row>
        <row r="2304">
          <cell r="P2304" t="str">
            <v>-</v>
          </cell>
        </row>
        <row r="2305">
          <cell r="P2305" t="str">
            <v>-</v>
          </cell>
        </row>
        <row r="2306">
          <cell r="P2306" t="str">
            <v>-</v>
          </cell>
        </row>
        <row r="2307">
          <cell r="P2307" t="str">
            <v>-</v>
          </cell>
        </row>
        <row r="2308">
          <cell r="P2308" t="str">
            <v>-</v>
          </cell>
        </row>
        <row r="2309">
          <cell r="P2309" t="str">
            <v>-</v>
          </cell>
        </row>
        <row r="2310">
          <cell r="P2310" t="str">
            <v>-</v>
          </cell>
        </row>
        <row r="2311">
          <cell r="P2311" t="str">
            <v>-</v>
          </cell>
        </row>
        <row r="2312">
          <cell r="P2312" t="str">
            <v>-</v>
          </cell>
        </row>
        <row r="2313">
          <cell r="P2313" t="str">
            <v>-</v>
          </cell>
        </row>
        <row r="2314">
          <cell r="P2314" t="str">
            <v>-</v>
          </cell>
        </row>
        <row r="2315">
          <cell r="P2315" t="str">
            <v>-</v>
          </cell>
        </row>
        <row r="2316">
          <cell r="P2316" t="str">
            <v>-</v>
          </cell>
        </row>
        <row r="2317">
          <cell r="P2317" t="str">
            <v>-</v>
          </cell>
        </row>
        <row r="2318">
          <cell r="P2318" t="str">
            <v>-</v>
          </cell>
        </row>
        <row r="2319">
          <cell r="P2319" t="str">
            <v>-</v>
          </cell>
        </row>
        <row r="2320">
          <cell r="P2320" t="str">
            <v>-</v>
          </cell>
        </row>
        <row r="2321">
          <cell r="P2321" t="str">
            <v>-</v>
          </cell>
        </row>
        <row r="2322">
          <cell r="P2322" t="str">
            <v>-</v>
          </cell>
        </row>
        <row r="2323">
          <cell r="P2323" t="str">
            <v>-</v>
          </cell>
        </row>
        <row r="2324">
          <cell r="P2324" t="str">
            <v>-</v>
          </cell>
        </row>
        <row r="2325">
          <cell r="P2325" t="str">
            <v>-</v>
          </cell>
        </row>
        <row r="2326">
          <cell r="P2326" t="str">
            <v>-</v>
          </cell>
        </row>
        <row r="2327">
          <cell r="P2327" t="str">
            <v>-</v>
          </cell>
        </row>
        <row r="2328">
          <cell r="P2328" t="str">
            <v>-</v>
          </cell>
        </row>
        <row r="2329">
          <cell r="P2329" t="str">
            <v>-</v>
          </cell>
        </row>
        <row r="2330">
          <cell r="P2330" t="str">
            <v>-</v>
          </cell>
        </row>
        <row r="2331">
          <cell r="P2331" t="str">
            <v>-</v>
          </cell>
        </row>
        <row r="2332">
          <cell r="P2332" t="str">
            <v>-</v>
          </cell>
        </row>
        <row r="2333">
          <cell r="P2333" t="str">
            <v>-</v>
          </cell>
        </row>
        <row r="2334">
          <cell r="P2334" t="str">
            <v>-</v>
          </cell>
        </row>
        <row r="2335">
          <cell r="P2335" t="str">
            <v>-</v>
          </cell>
        </row>
        <row r="2336">
          <cell r="P2336" t="str">
            <v>-</v>
          </cell>
        </row>
        <row r="2337">
          <cell r="P2337" t="str">
            <v>-</v>
          </cell>
        </row>
        <row r="2338">
          <cell r="P2338" t="str">
            <v>-</v>
          </cell>
        </row>
        <row r="2339">
          <cell r="P2339" t="str">
            <v>-</v>
          </cell>
        </row>
        <row r="2340">
          <cell r="P2340" t="str">
            <v>-</v>
          </cell>
        </row>
        <row r="2341">
          <cell r="P2341" t="str">
            <v>-</v>
          </cell>
        </row>
        <row r="2342">
          <cell r="P2342" t="str">
            <v>-</v>
          </cell>
        </row>
        <row r="2343">
          <cell r="P2343" t="str">
            <v>-</v>
          </cell>
        </row>
        <row r="2344">
          <cell r="P2344" t="str">
            <v>-</v>
          </cell>
        </row>
        <row r="2345">
          <cell r="P2345" t="str">
            <v>-</v>
          </cell>
        </row>
        <row r="2346">
          <cell r="P2346" t="str">
            <v>-</v>
          </cell>
        </row>
        <row r="2347">
          <cell r="P2347" t="str">
            <v>-</v>
          </cell>
        </row>
        <row r="2348">
          <cell r="P2348" t="str">
            <v>-</v>
          </cell>
        </row>
        <row r="2349">
          <cell r="P2349" t="str">
            <v>-</v>
          </cell>
        </row>
        <row r="2350">
          <cell r="P2350" t="str">
            <v>-</v>
          </cell>
        </row>
        <row r="2351">
          <cell r="P2351" t="str">
            <v>-</v>
          </cell>
        </row>
        <row r="2352">
          <cell r="P2352" t="str">
            <v>-</v>
          </cell>
        </row>
        <row r="2353">
          <cell r="P2353" t="str">
            <v>-</v>
          </cell>
        </row>
        <row r="2354">
          <cell r="P2354" t="str">
            <v>-</v>
          </cell>
        </row>
        <row r="2355">
          <cell r="P2355" t="str">
            <v>-</v>
          </cell>
        </row>
        <row r="2356">
          <cell r="P2356" t="str">
            <v>-</v>
          </cell>
        </row>
        <row r="2357">
          <cell r="P2357" t="str">
            <v>-</v>
          </cell>
        </row>
        <row r="2358">
          <cell r="P2358" t="str">
            <v>-</v>
          </cell>
        </row>
        <row r="2359">
          <cell r="P2359" t="str">
            <v>-</v>
          </cell>
        </row>
        <row r="2360">
          <cell r="P2360" t="str">
            <v>-</v>
          </cell>
        </row>
        <row r="2361">
          <cell r="P2361" t="str">
            <v>-</v>
          </cell>
        </row>
        <row r="2362">
          <cell r="P2362" t="str">
            <v>-</v>
          </cell>
        </row>
        <row r="2363">
          <cell r="P2363" t="str">
            <v>-</v>
          </cell>
        </row>
        <row r="2364">
          <cell r="P2364" t="str">
            <v>-</v>
          </cell>
        </row>
        <row r="2365">
          <cell r="P2365" t="str">
            <v>-</v>
          </cell>
        </row>
        <row r="2366">
          <cell r="P2366" t="str">
            <v>-</v>
          </cell>
        </row>
        <row r="2367">
          <cell r="P2367" t="str">
            <v>-</v>
          </cell>
        </row>
        <row r="2368">
          <cell r="P2368" t="str">
            <v>-</v>
          </cell>
        </row>
        <row r="2369">
          <cell r="P2369" t="str">
            <v>-</v>
          </cell>
        </row>
        <row r="2370">
          <cell r="P2370" t="str">
            <v>-</v>
          </cell>
        </row>
        <row r="2371">
          <cell r="P2371" t="str">
            <v>-</v>
          </cell>
        </row>
        <row r="2372">
          <cell r="P2372" t="str">
            <v>-</v>
          </cell>
        </row>
        <row r="2373">
          <cell r="P2373" t="str">
            <v>-</v>
          </cell>
        </row>
        <row r="2374">
          <cell r="P2374" t="str">
            <v>-</v>
          </cell>
        </row>
        <row r="2375">
          <cell r="P2375" t="str">
            <v>-</v>
          </cell>
        </row>
        <row r="2376">
          <cell r="P2376" t="str">
            <v>-</v>
          </cell>
        </row>
        <row r="2377">
          <cell r="P2377" t="str">
            <v>-</v>
          </cell>
        </row>
        <row r="2378">
          <cell r="P2378" t="str">
            <v>-</v>
          </cell>
        </row>
        <row r="2379">
          <cell r="P2379" t="str">
            <v>-</v>
          </cell>
        </row>
        <row r="2380">
          <cell r="P2380" t="str">
            <v>-</v>
          </cell>
        </row>
        <row r="2381">
          <cell r="P2381" t="str">
            <v>-</v>
          </cell>
        </row>
        <row r="2382">
          <cell r="P2382" t="str">
            <v>-</v>
          </cell>
        </row>
        <row r="2383">
          <cell r="P2383" t="str">
            <v>-</v>
          </cell>
        </row>
        <row r="2384">
          <cell r="P2384" t="str">
            <v>-</v>
          </cell>
        </row>
        <row r="2385">
          <cell r="P2385" t="str">
            <v>-</v>
          </cell>
        </row>
        <row r="2386">
          <cell r="P2386" t="str">
            <v>-</v>
          </cell>
        </row>
        <row r="2387">
          <cell r="P2387" t="str">
            <v>-</v>
          </cell>
        </row>
        <row r="2388">
          <cell r="P2388" t="str">
            <v>-</v>
          </cell>
        </row>
        <row r="2389">
          <cell r="P2389" t="str">
            <v>-</v>
          </cell>
        </row>
        <row r="2390">
          <cell r="P2390" t="str">
            <v>-</v>
          </cell>
        </row>
        <row r="2391">
          <cell r="P2391" t="str">
            <v>-</v>
          </cell>
        </row>
        <row r="2392">
          <cell r="P2392" t="str">
            <v>-</v>
          </cell>
        </row>
        <row r="2393">
          <cell r="P2393" t="str">
            <v>-</v>
          </cell>
        </row>
        <row r="2394">
          <cell r="P2394" t="str">
            <v>-</v>
          </cell>
        </row>
        <row r="2395">
          <cell r="P2395" t="str">
            <v>-</v>
          </cell>
        </row>
        <row r="2396">
          <cell r="P2396" t="str">
            <v>-</v>
          </cell>
        </row>
        <row r="2397">
          <cell r="P2397" t="str">
            <v>-</v>
          </cell>
        </row>
        <row r="2398">
          <cell r="P2398" t="str">
            <v>-</v>
          </cell>
        </row>
        <row r="2399">
          <cell r="P2399" t="str">
            <v>-</v>
          </cell>
        </row>
        <row r="2400">
          <cell r="P2400" t="str">
            <v>-</v>
          </cell>
        </row>
        <row r="2401">
          <cell r="P2401" t="str">
            <v>-</v>
          </cell>
        </row>
        <row r="2402">
          <cell r="P2402" t="str">
            <v>-</v>
          </cell>
        </row>
        <row r="2403">
          <cell r="P2403" t="str">
            <v>-</v>
          </cell>
        </row>
        <row r="2404">
          <cell r="P2404" t="str">
            <v>-</v>
          </cell>
        </row>
        <row r="2405">
          <cell r="P2405" t="str">
            <v>-</v>
          </cell>
        </row>
        <row r="2406">
          <cell r="P2406" t="str">
            <v>-</v>
          </cell>
        </row>
        <row r="2407">
          <cell r="P2407" t="str">
            <v>-</v>
          </cell>
        </row>
        <row r="2408">
          <cell r="P2408" t="str">
            <v>-</v>
          </cell>
        </row>
        <row r="2409">
          <cell r="P2409" t="str">
            <v>-</v>
          </cell>
        </row>
        <row r="2410">
          <cell r="P2410" t="str">
            <v>-</v>
          </cell>
        </row>
        <row r="2411">
          <cell r="P2411" t="str">
            <v>-</v>
          </cell>
        </row>
        <row r="2412">
          <cell r="P2412" t="str">
            <v>-</v>
          </cell>
        </row>
        <row r="2413">
          <cell r="P2413" t="str">
            <v>-</v>
          </cell>
        </row>
        <row r="2414">
          <cell r="P2414" t="str">
            <v>-</v>
          </cell>
        </row>
        <row r="2415">
          <cell r="P2415" t="str">
            <v>-</v>
          </cell>
        </row>
        <row r="2416">
          <cell r="P2416" t="str">
            <v>-</v>
          </cell>
        </row>
        <row r="2417">
          <cell r="P2417" t="str">
            <v>-</v>
          </cell>
        </row>
        <row r="2418">
          <cell r="P2418" t="str">
            <v>-</v>
          </cell>
        </row>
        <row r="2419">
          <cell r="P2419" t="str">
            <v>-</v>
          </cell>
        </row>
        <row r="2420">
          <cell r="P2420" t="str">
            <v>-</v>
          </cell>
        </row>
        <row r="2421">
          <cell r="P2421" t="str">
            <v>-</v>
          </cell>
        </row>
        <row r="2422">
          <cell r="P2422" t="str">
            <v>-</v>
          </cell>
        </row>
        <row r="2423">
          <cell r="P2423" t="str">
            <v>-</v>
          </cell>
        </row>
        <row r="2424">
          <cell r="P2424" t="str">
            <v>-</v>
          </cell>
        </row>
        <row r="2425">
          <cell r="P2425" t="str">
            <v>-</v>
          </cell>
        </row>
        <row r="2426">
          <cell r="P2426" t="str">
            <v>-</v>
          </cell>
        </row>
        <row r="2427">
          <cell r="P2427" t="str">
            <v>-</v>
          </cell>
        </row>
        <row r="2428">
          <cell r="P2428" t="str">
            <v>-</v>
          </cell>
        </row>
        <row r="2429">
          <cell r="P2429" t="str">
            <v>-</v>
          </cell>
        </row>
        <row r="2430">
          <cell r="P2430" t="str">
            <v>-</v>
          </cell>
        </row>
        <row r="2431">
          <cell r="P2431" t="str">
            <v>-</v>
          </cell>
        </row>
        <row r="2432">
          <cell r="P2432" t="str">
            <v>-</v>
          </cell>
        </row>
        <row r="2433">
          <cell r="P2433" t="str">
            <v>-</v>
          </cell>
        </row>
        <row r="2434">
          <cell r="P2434" t="str">
            <v>-</v>
          </cell>
        </row>
        <row r="2435">
          <cell r="P2435" t="str">
            <v>-</v>
          </cell>
        </row>
        <row r="2436">
          <cell r="P2436" t="str">
            <v>-</v>
          </cell>
        </row>
        <row r="2437">
          <cell r="P2437" t="str">
            <v>-</v>
          </cell>
        </row>
        <row r="2438">
          <cell r="P2438" t="str">
            <v>-</v>
          </cell>
        </row>
        <row r="2439">
          <cell r="P2439" t="str">
            <v>-</v>
          </cell>
        </row>
        <row r="2440">
          <cell r="P2440" t="str">
            <v>-</v>
          </cell>
        </row>
        <row r="2441">
          <cell r="P2441" t="str">
            <v>-</v>
          </cell>
        </row>
        <row r="2442">
          <cell r="P2442" t="str">
            <v>-</v>
          </cell>
        </row>
        <row r="2443">
          <cell r="P2443" t="str">
            <v>-</v>
          </cell>
        </row>
        <row r="2444">
          <cell r="P2444" t="str">
            <v>-</v>
          </cell>
        </row>
        <row r="2445">
          <cell r="P2445" t="str">
            <v>-</v>
          </cell>
        </row>
        <row r="2446">
          <cell r="P2446" t="str">
            <v>-</v>
          </cell>
        </row>
        <row r="2447">
          <cell r="P2447" t="str">
            <v>-</v>
          </cell>
        </row>
        <row r="2448">
          <cell r="P2448" t="str">
            <v>-</v>
          </cell>
        </row>
        <row r="2449">
          <cell r="P2449" t="str">
            <v>-</v>
          </cell>
        </row>
        <row r="2450">
          <cell r="P2450" t="str">
            <v>-</v>
          </cell>
        </row>
        <row r="2451">
          <cell r="P2451" t="str">
            <v>-</v>
          </cell>
        </row>
        <row r="2452">
          <cell r="P2452" t="str">
            <v>-</v>
          </cell>
        </row>
        <row r="2453">
          <cell r="P2453" t="str">
            <v>-</v>
          </cell>
        </row>
        <row r="2454">
          <cell r="P2454" t="str">
            <v>-</v>
          </cell>
        </row>
        <row r="2455">
          <cell r="P2455" t="str">
            <v>-</v>
          </cell>
        </row>
        <row r="2456">
          <cell r="P2456" t="str">
            <v>-</v>
          </cell>
        </row>
        <row r="2457">
          <cell r="P2457" t="str">
            <v>-</v>
          </cell>
        </row>
        <row r="2458">
          <cell r="P2458" t="str">
            <v>-</v>
          </cell>
        </row>
        <row r="2459">
          <cell r="P2459" t="str">
            <v>-</v>
          </cell>
        </row>
        <row r="2460">
          <cell r="P2460" t="str">
            <v>-</v>
          </cell>
        </row>
        <row r="2461">
          <cell r="P2461" t="str">
            <v>-</v>
          </cell>
        </row>
        <row r="2462">
          <cell r="P2462" t="str">
            <v>-</v>
          </cell>
        </row>
        <row r="2463">
          <cell r="P2463" t="str">
            <v>-</v>
          </cell>
        </row>
        <row r="2464">
          <cell r="P2464" t="str">
            <v>-</v>
          </cell>
        </row>
        <row r="2465">
          <cell r="P2465" t="str">
            <v>-</v>
          </cell>
        </row>
        <row r="2466">
          <cell r="P2466" t="str">
            <v>-</v>
          </cell>
        </row>
        <row r="2467">
          <cell r="P2467" t="str">
            <v>-</v>
          </cell>
        </row>
        <row r="2468">
          <cell r="P2468" t="str">
            <v>-</v>
          </cell>
        </row>
        <row r="2469">
          <cell r="P2469" t="str">
            <v>-</v>
          </cell>
        </row>
        <row r="2470">
          <cell r="P2470" t="str">
            <v>-</v>
          </cell>
        </row>
        <row r="2471">
          <cell r="P2471" t="str">
            <v>-</v>
          </cell>
        </row>
        <row r="2472">
          <cell r="P2472" t="str">
            <v>-</v>
          </cell>
        </row>
        <row r="2473">
          <cell r="P2473" t="str">
            <v>-</v>
          </cell>
        </row>
        <row r="2474">
          <cell r="P2474" t="str">
            <v>-</v>
          </cell>
        </row>
        <row r="2475">
          <cell r="P2475" t="str">
            <v>-</v>
          </cell>
        </row>
        <row r="2476">
          <cell r="P2476" t="str">
            <v>-</v>
          </cell>
        </row>
        <row r="2477">
          <cell r="P2477" t="str">
            <v>-</v>
          </cell>
        </row>
        <row r="2478">
          <cell r="P2478" t="str">
            <v>-</v>
          </cell>
        </row>
        <row r="2479">
          <cell r="P2479" t="str">
            <v>-</v>
          </cell>
        </row>
        <row r="2480">
          <cell r="P2480" t="str">
            <v>-</v>
          </cell>
        </row>
        <row r="2481">
          <cell r="P2481" t="str">
            <v>-</v>
          </cell>
        </row>
        <row r="2482">
          <cell r="P2482" t="str">
            <v>-</v>
          </cell>
        </row>
        <row r="2483">
          <cell r="P2483" t="str">
            <v>-</v>
          </cell>
        </row>
        <row r="2484">
          <cell r="P2484" t="str">
            <v>-</v>
          </cell>
        </row>
        <row r="2485">
          <cell r="P2485" t="str">
            <v>-</v>
          </cell>
        </row>
        <row r="2486">
          <cell r="P2486" t="str">
            <v>-</v>
          </cell>
        </row>
        <row r="2487">
          <cell r="P2487" t="str">
            <v>-</v>
          </cell>
        </row>
        <row r="2488">
          <cell r="P2488" t="str">
            <v>-</v>
          </cell>
        </row>
        <row r="2489">
          <cell r="P2489" t="str">
            <v>-</v>
          </cell>
        </row>
        <row r="2490">
          <cell r="P2490" t="str">
            <v>-</v>
          </cell>
        </row>
        <row r="2491">
          <cell r="P2491" t="str">
            <v>-</v>
          </cell>
        </row>
        <row r="2492">
          <cell r="P2492" t="str">
            <v>-</v>
          </cell>
        </row>
        <row r="2493">
          <cell r="P2493" t="str">
            <v>-</v>
          </cell>
        </row>
        <row r="2494">
          <cell r="P2494" t="str">
            <v>-</v>
          </cell>
        </row>
        <row r="2495">
          <cell r="P2495" t="str">
            <v>-</v>
          </cell>
        </row>
        <row r="2496">
          <cell r="P2496" t="str">
            <v>-</v>
          </cell>
        </row>
        <row r="2497">
          <cell r="P2497" t="str">
            <v>-</v>
          </cell>
        </row>
        <row r="2498">
          <cell r="P2498" t="str">
            <v>-</v>
          </cell>
        </row>
        <row r="2499">
          <cell r="P2499" t="str">
            <v>-</v>
          </cell>
        </row>
        <row r="2500">
          <cell r="P2500" t="str">
            <v>-</v>
          </cell>
        </row>
        <row r="2501">
          <cell r="P2501" t="str">
            <v>-</v>
          </cell>
        </row>
        <row r="2502">
          <cell r="P2502" t="str">
            <v>-</v>
          </cell>
        </row>
        <row r="2503">
          <cell r="P2503" t="str">
            <v>-</v>
          </cell>
        </row>
        <row r="2504">
          <cell r="P2504" t="str">
            <v>-</v>
          </cell>
        </row>
        <row r="2505">
          <cell r="P2505" t="str">
            <v>-</v>
          </cell>
        </row>
        <row r="2506">
          <cell r="P2506" t="str">
            <v>-</v>
          </cell>
        </row>
        <row r="2507">
          <cell r="P2507" t="str">
            <v>-</v>
          </cell>
        </row>
        <row r="2508">
          <cell r="P2508" t="str">
            <v>-</v>
          </cell>
        </row>
        <row r="2509">
          <cell r="P2509" t="str">
            <v>-</v>
          </cell>
        </row>
        <row r="2510">
          <cell r="P2510" t="str">
            <v>-</v>
          </cell>
        </row>
        <row r="2511">
          <cell r="P2511" t="str">
            <v>-</v>
          </cell>
        </row>
        <row r="2512">
          <cell r="P2512" t="str">
            <v>-</v>
          </cell>
        </row>
        <row r="2513">
          <cell r="P2513" t="str">
            <v>-</v>
          </cell>
        </row>
        <row r="2514">
          <cell r="P2514" t="str">
            <v>-</v>
          </cell>
        </row>
        <row r="2515">
          <cell r="P2515" t="str">
            <v>-</v>
          </cell>
        </row>
        <row r="2516">
          <cell r="P2516" t="str">
            <v>-</v>
          </cell>
        </row>
        <row r="2517">
          <cell r="P2517" t="str">
            <v>-</v>
          </cell>
        </row>
        <row r="2518">
          <cell r="P2518" t="str">
            <v>-</v>
          </cell>
        </row>
        <row r="2519">
          <cell r="P2519" t="str">
            <v>-</v>
          </cell>
        </row>
        <row r="2520">
          <cell r="P2520" t="str">
            <v>-</v>
          </cell>
        </row>
        <row r="2521">
          <cell r="P2521" t="str">
            <v>-</v>
          </cell>
        </row>
        <row r="2522">
          <cell r="P2522" t="str">
            <v>-</v>
          </cell>
        </row>
        <row r="2523">
          <cell r="P2523" t="str">
            <v>-</v>
          </cell>
        </row>
        <row r="2524">
          <cell r="P2524" t="str">
            <v>-</v>
          </cell>
        </row>
        <row r="2525">
          <cell r="P2525" t="str">
            <v>-</v>
          </cell>
        </row>
        <row r="2526">
          <cell r="P2526" t="str">
            <v>-</v>
          </cell>
        </row>
        <row r="2527">
          <cell r="P2527" t="str">
            <v>-</v>
          </cell>
        </row>
        <row r="2528">
          <cell r="P2528" t="str">
            <v>-</v>
          </cell>
        </row>
        <row r="2529">
          <cell r="P2529" t="str">
            <v>-</v>
          </cell>
        </row>
        <row r="2530">
          <cell r="P2530" t="str">
            <v>-</v>
          </cell>
        </row>
        <row r="2531">
          <cell r="P2531" t="str">
            <v>-</v>
          </cell>
        </row>
        <row r="2532">
          <cell r="P2532" t="str">
            <v>-</v>
          </cell>
        </row>
        <row r="2533">
          <cell r="P2533" t="str">
            <v>-</v>
          </cell>
        </row>
        <row r="2534">
          <cell r="P2534" t="str">
            <v>-</v>
          </cell>
        </row>
        <row r="2535">
          <cell r="P2535" t="str">
            <v>-</v>
          </cell>
        </row>
        <row r="2536">
          <cell r="P2536" t="str">
            <v>-</v>
          </cell>
        </row>
        <row r="2537">
          <cell r="P2537" t="str">
            <v>-</v>
          </cell>
        </row>
        <row r="2538">
          <cell r="P2538" t="str">
            <v>-</v>
          </cell>
        </row>
        <row r="2539">
          <cell r="P2539" t="str">
            <v>-</v>
          </cell>
        </row>
        <row r="2540">
          <cell r="P2540" t="str">
            <v>-</v>
          </cell>
        </row>
        <row r="2541">
          <cell r="P2541" t="str">
            <v>-</v>
          </cell>
        </row>
        <row r="2542">
          <cell r="P2542" t="str">
            <v>-</v>
          </cell>
        </row>
        <row r="2543">
          <cell r="P2543" t="str">
            <v>-</v>
          </cell>
        </row>
        <row r="2544">
          <cell r="P2544" t="str">
            <v>-</v>
          </cell>
        </row>
        <row r="2545">
          <cell r="P2545" t="str">
            <v>-</v>
          </cell>
        </row>
        <row r="2546">
          <cell r="P2546" t="str">
            <v>-</v>
          </cell>
        </row>
        <row r="2547">
          <cell r="P2547" t="str">
            <v>-</v>
          </cell>
        </row>
        <row r="2548">
          <cell r="P2548" t="str">
            <v>-</v>
          </cell>
        </row>
        <row r="2549">
          <cell r="P2549" t="str">
            <v>-</v>
          </cell>
        </row>
        <row r="2550">
          <cell r="P2550" t="str">
            <v>-</v>
          </cell>
        </row>
        <row r="2551">
          <cell r="P2551" t="str">
            <v>-</v>
          </cell>
        </row>
        <row r="2552">
          <cell r="P2552" t="str">
            <v>-</v>
          </cell>
        </row>
        <row r="2553">
          <cell r="P2553" t="str">
            <v>-</v>
          </cell>
        </row>
        <row r="2554">
          <cell r="P2554" t="str">
            <v>-</v>
          </cell>
        </row>
        <row r="2555">
          <cell r="P2555" t="str">
            <v>-</v>
          </cell>
        </row>
        <row r="2556">
          <cell r="P2556" t="str">
            <v>-</v>
          </cell>
        </row>
        <row r="2557">
          <cell r="P2557" t="str">
            <v>-</v>
          </cell>
        </row>
        <row r="2558">
          <cell r="P2558" t="str">
            <v>-</v>
          </cell>
        </row>
        <row r="2559">
          <cell r="P2559" t="str">
            <v>-</v>
          </cell>
        </row>
        <row r="2560">
          <cell r="P2560" t="str">
            <v>-</v>
          </cell>
        </row>
        <row r="2561">
          <cell r="P2561" t="str">
            <v>-</v>
          </cell>
        </row>
        <row r="2562">
          <cell r="P2562" t="str">
            <v>-</v>
          </cell>
        </row>
        <row r="2563">
          <cell r="P2563" t="str">
            <v>-</v>
          </cell>
        </row>
        <row r="2564">
          <cell r="P2564" t="str">
            <v>-</v>
          </cell>
        </row>
        <row r="2565">
          <cell r="P2565" t="str">
            <v>-</v>
          </cell>
        </row>
        <row r="2566">
          <cell r="P2566" t="str">
            <v>-</v>
          </cell>
        </row>
        <row r="2567">
          <cell r="P2567" t="str">
            <v>-</v>
          </cell>
        </row>
        <row r="2568">
          <cell r="P2568" t="str">
            <v>-</v>
          </cell>
        </row>
        <row r="2569">
          <cell r="P2569" t="str">
            <v>-</v>
          </cell>
        </row>
        <row r="2570">
          <cell r="P2570" t="str">
            <v>-</v>
          </cell>
        </row>
        <row r="2571">
          <cell r="P2571" t="str">
            <v>-</v>
          </cell>
        </row>
        <row r="2572">
          <cell r="P2572" t="str">
            <v>-</v>
          </cell>
        </row>
        <row r="2573">
          <cell r="P2573" t="str">
            <v>-</v>
          </cell>
        </row>
        <row r="2574">
          <cell r="P2574" t="str">
            <v>-</v>
          </cell>
        </row>
        <row r="2575">
          <cell r="P2575" t="str">
            <v>-</v>
          </cell>
        </row>
        <row r="2576">
          <cell r="P2576" t="str">
            <v>-</v>
          </cell>
        </row>
        <row r="2577">
          <cell r="P2577" t="str">
            <v>-</v>
          </cell>
        </row>
        <row r="2578">
          <cell r="P2578" t="str">
            <v>-</v>
          </cell>
        </row>
        <row r="2579">
          <cell r="P2579" t="str">
            <v>-</v>
          </cell>
        </row>
        <row r="2580">
          <cell r="P2580" t="str">
            <v>-</v>
          </cell>
        </row>
        <row r="2581">
          <cell r="P2581" t="str">
            <v>-</v>
          </cell>
        </row>
        <row r="2582">
          <cell r="P2582" t="str">
            <v>-</v>
          </cell>
        </row>
        <row r="2583">
          <cell r="P2583" t="str">
            <v>-</v>
          </cell>
        </row>
        <row r="2584">
          <cell r="P2584" t="str">
            <v>-</v>
          </cell>
        </row>
        <row r="2585">
          <cell r="P2585" t="str">
            <v>-</v>
          </cell>
        </row>
        <row r="2586">
          <cell r="P2586" t="str">
            <v>-</v>
          </cell>
        </row>
        <row r="2587">
          <cell r="P2587" t="str">
            <v>-</v>
          </cell>
        </row>
        <row r="2588">
          <cell r="P2588" t="str">
            <v>-</v>
          </cell>
        </row>
        <row r="2589">
          <cell r="P2589" t="str">
            <v>-</v>
          </cell>
        </row>
        <row r="2590">
          <cell r="P2590" t="str">
            <v>-</v>
          </cell>
        </row>
        <row r="2591">
          <cell r="P2591" t="str">
            <v>-</v>
          </cell>
        </row>
        <row r="2592">
          <cell r="P2592" t="str">
            <v>-</v>
          </cell>
        </row>
        <row r="2593">
          <cell r="P2593" t="str">
            <v>-</v>
          </cell>
        </row>
        <row r="2594">
          <cell r="P2594" t="str">
            <v>-</v>
          </cell>
        </row>
        <row r="2595">
          <cell r="P2595" t="str">
            <v>-</v>
          </cell>
        </row>
        <row r="2596">
          <cell r="P2596" t="str">
            <v>-</v>
          </cell>
        </row>
        <row r="2597">
          <cell r="P2597" t="str">
            <v>-</v>
          </cell>
        </row>
        <row r="2598">
          <cell r="P2598" t="str">
            <v>-</v>
          </cell>
        </row>
        <row r="2599">
          <cell r="P2599" t="str">
            <v>-</v>
          </cell>
        </row>
        <row r="2600">
          <cell r="P2600" t="str">
            <v>-</v>
          </cell>
        </row>
        <row r="2601">
          <cell r="P2601" t="str">
            <v>-</v>
          </cell>
        </row>
        <row r="2602">
          <cell r="P2602" t="str">
            <v>-</v>
          </cell>
        </row>
        <row r="2603">
          <cell r="P2603" t="str">
            <v>-</v>
          </cell>
        </row>
        <row r="2604">
          <cell r="P2604" t="str">
            <v>-</v>
          </cell>
        </row>
        <row r="2605">
          <cell r="P2605" t="str">
            <v>-</v>
          </cell>
        </row>
        <row r="2606">
          <cell r="P2606" t="str">
            <v>-</v>
          </cell>
        </row>
        <row r="2607">
          <cell r="P2607" t="str">
            <v>-</v>
          </cell>
        </row>
        <row r="2608">
          <cell r="P2608" t="str">
            <v>-</v>
          </cell>
        </row>
        <row r="2609">
          <cell r="P2609" t="str">
            <v>-</v>
          </cell>
        </row>
        <row r="2610">
          <cell r="P2610" t="str">
            <v>-</v>
          </cell>
        </row>
        <row r="2611">
          <cell r="P2611" t="str">
            <v>-</v>
          </cell>
        </row>
        <row r="2612">
          <cell r="P2612" t="str">
            <v>-</v>
          </cell>
        </row>
        <row r="2613">
          <cell r="P2613" t="str">
            <v>-</v>
          </cell>
        </row>
        <row r="2614">
          <cell r="P2614" t="str">
            <v>-</v>
          </cell>
        </row>
        <row r="2615">
          <cell r="P2615" t="str">
            <v>-</v>
          </cell>
        </row>
        <row r="2616">
          <cell r="P2616" t="str">
            <v>-</v>
          </cell>
        </row>
        <row r="2617">
          <cell r="P2617" t="str">
            <v>-</v>
          </cell>
        </row>
        <row r="2618">
          <cell r="P2618" t="str">
            <v>-</v>
          </cell>
        </row>
        <row r="2619">
          <cell r="P2619" t="str">
            <v>-</v>
          </cell>
        </row>
        <row r="2620">
          <cell r="P2620" t="str">
            <v>-</v>
          </cell>
        </row>
        <row r="2621">
          <cell r="P2621" t="str">
            <v>-</v>
          </cell>
        </row>
        <row r="2622">
          <cell r="P2622" t="str">
            <v>-</v>
          </cell>
        </row>
        <row r="2623">
          <cell r="P2623" t="str">
            <v>-</v>
          </cell>
        </row>
        <row r="2624">
          <cell r="P2624" t="str">
            <v>-</v>
          </cell>
        </row>
        <row r="2625">
          <cell r="P2625" t="str">
            <v>-</v>
          </cell>
        </row>
        <row r="2626">
          <cell r="P2626" t="str">
            <v>-</v>
          </cell>
        </row>
        <row r="2627">
          <cell r="P2627" t="str">
            <v>-</v>
          </cell>
        </row>
        <row r="2628">
          <cell r="P2628" t="str">
            <v>-</v>
          </cell>
        </row>
        <row r="2629">
          <cell r="P2629" t="str">
            <v>-</v>
          </cell>
        </row>
        <row r="2630">
          <cell r="P2630" t="str">
            <v>-</v>
          </cell>
        </row>
        <row r="2631">
          <cell r="P2631" t="str">
            <v>-</v>
          </cell>
        </row>
        <row r="2632">
          <cell r="P2632" t="str">
            <v>-</v>
          </cell>
        </row>
        <row r="2633">
          <cell r="P2633" t="str">
            <v>-</v>
          </cell>
        </row>
        <row r="2634">
          <cell r="P2634" t="str">
            <v>-</v>
          </cell>
        </row>
        <row r="2635">
          <cell r="P2635" t="str">
            <v>-</v>
          </cell>
        </row>
        <row r="2636">
          <cell r="P2636" t="str">
            <v>-</v>
          </cell>
        </row>
        <row r="2637">
          <cell r="P2637" t="str">
            <v>-</v>
          </cell>
        </row>
        <row r="2638">
          <cell r="P2638" t="str">
            <v>-</v>
          </cell>
        </row>
        <row r="2639">
          <cell r="P2639" t="str">
            <v>-</v>
          </cell>
        </row>
        <row r="2640">
          <cell r="P2640" t="str">
            <v>-</v>
          </cell>
        </row>
        <row r="2641">
          <cell r="P2641" t="str">
            <v>-</v>
          </cell>
        </row>
        <row r="2642">
          <cell r="P2642" t="str">
            <v>-</v>
          </cell>
        </row>
        <row r="2643">
          <cell r="P2643" t="str">
            <v>-</v>
          </cell>
        </row>
        <row r="2644">
          <cell r="P2644" t="str">
            <v>-</v>
          </cell>
        </row>
        <row r="2645">
          <cell r="P2645" t="str">
            <v>-</v>
          </cell>
        </row>
        <row r="2646">
          <cell r="P2646" t="str">
            <v>-</v>
          </cell>
        </row>
        <row r="2647">
          <cell r="P2647" t="str">
            <v>-</v>
          </cell>
        </row>
        <row r="2648">
          <cell r="P2648" t="str">
            <v>-</v>
          </cell>
        </row>
        <row r="2649">
          <cell r="P2649" t="str">
            <v>-</v>
          </cell>
        </row>
        <row r="2650">
          <cell r="P2650" t="str">
            <v>-</v>
          </cell>
        </row>
        <row r="2651">
          <cell r="P2651" t="str">
            <v>-</v>
          </cell>
        </row>
        <row r="2652">
          <cell r="P2652" t="str">
            <v>-</v>
          </cell>
        </row>
        <row r="2653">
          <cell r="P2653" t="str">
            <v>-</v>
          </cell>
        </row>
        <row r="2654">
          <cell r="P2654" t="str">
            <v>-</v>
          </cell>
        </row>
        <row r="2655">
          <cell r="P2655" t="str">
            <v>-</v>
          </cell>
        </row>
        <row r="2656">
          <cell r="P2656" t="str">
            <v>-</v>
          </cell>
        </row>
        <row r="2657">
          <cell r="P2657" t="str">
            <v>-</v>
          </cell>
        </row>
        <row r="2658">
          <cell r="P2658" t="str">
            <v>-</v>
          </cell>
        </row>
        <row r="2659">
          <cell r="P2659" t="str">
            <v>-</v>
          </cell>
        </row>
        <row r="2660">
          <cell r="P2660" t="str">
            <v>-</v>
          </cell>
        </row>
        <row r="2661">
          <cell r="P2661" t="str">
            <v>-</v>
          </cell>
        </row>
        <row r="2662">
          <cell r="P2662" t="str">
            <v>-</v>
          </cell>
        </row>
        <row r="2663">
          <cell r="P2663" t="str">
            <v>-</v>
          </cell>
        </row>
        <row r="2664">
          <cell r="P2664" t="str">
            <v>-</v>
          </cell>
        </row>
        <row r="2665">
          <cell r="P2665" t="str">
            <v>-</v>
          </cell>
        </row>
        <row r="2666">
          <cell r="P2666" t="str">
            <v>-</v>
          </cell>
        </row>
        <row r="2667">
          <cell r="P2667" t="str">
            <v>-</v>
          </cell>
        </row>
        <row r="2668">
          <cell r="P2668" t="str">
            <v>-</v>
          </cell>
        </row>
        <row r="2669">
          <cell r="P2669" t="str">
            <v>-</v>
          </cell>
        </row>
        <row r="2670">
          <cell r="P2670" t="str">
            <v>-</v>
          </cell>
        </row>
        <row r="2671">
          <cell r="P2671" t="str">
            <v>-</v>
          </cell>
        </row>
        <row r="2672">
          <cell r="P2672" t="str">
            <v>-</v>
          </cell>
        </row>
        <row r="2673">
          <cell r="P2673" t="str">
            <v>-</v>
          </cell>
        </row>
        <row r="2674">
          <cell r="P2674" t="str">
            <v>-</v>
          </cell>
        </row>
        <row r="2675">
          <cell r="P2675" t="str">
            <v>-</v>
          </cell>
        </row>
        <row r="2676">
          <cell r="P2676" t="str">
            <v>-</v>
          </cell>
        </row>
        <row r="2677">
          <cell r="P2677" t="str">
            <v>-</v>
          </cell>
        </row>
        <row r="2678">
          <cell r="P2678" t="str">
            <v>-</v>
          </cell>
        </row>
        <row r="2679">
          <cell r="P2679" t="str">
            <v>-</v>
          </cell>
        </row>
        <row r="2680">
          <cell r="P2680" t="str">
            <v>-</v>
          </cell>
        </row>
        <row r="2681">
          <cell r="P2681" t="str">
            <v>-</v>
          </cell>
        </row>
        <row r="2682">
          <cell r="P2682" t="str">
            <v>-</v>
          </cell>
        </row>
        <row r="2683">
          <cell r="P2683" t="str">
            <v>-</v>
          </cell>
        </row>
        <row r="2684">
          <cell r="P2684" t="str">
            <v>-</v>
          </cell>
        </row>
        <row r="2685">
          <cell r="P2685" t="str">
            <v>-</v>
          </cell>
        </row>
        <row r="2686">
          <cell r="P2686" t="str">
            <v>-</v>
          </cell>
        </row>
        <row r="2687">
          <cell r="P2687" t="str">
            <v>-</v>
          </cell>
        </row>
        <row r="2688">
          <cell r="P2688" t="str">
            <v>-</v>
          </cell>
        </row>
        <row r="2689">
          <cell r="P2689" t="str">
            <v>-</v>
          </cell>
        </row>
        <row r="2690">
          <cell r="P2690" t="str">
            <v>-</v>
          </cell>
        </row>
        <row r="2691">
          <cell r="P2691" t="str">
            <v>-</v>
          </cell>
        </row>
        <row r="2692">
          <cell r="P2692" t="str">
            <v>-</v>
          </cell>
        </row>
        <row r="2693">
          <cell r="P2693" t="str">
            <v>-</v>
          </cell>
        </row>
        <row r="2694">
          <cell r="P2694" t="str">
            <v>-</v>
          </cell>
        </row>
        <row r="2695">
          <cell r="P2695" t="str">
            <v>-</v>
          </cell>
        </row>
        <row r="2696">
          <cell r="P2696" t="str">
            <v>-</v>
          </cell>
        </row>
        <row r="2697">
          <cell r="P2697" t="str">
            <v>-</v>
          </cell>
        </row>
        <row r="2698">
          <cell r="P2698" t="str">
            <v>-</v>
          </cell>
        </row>
        <row r="2699">
          <cell r="P2699" t="str">
            <v>-</v>
          </cell>
        </row>
        <row r="2700">
          <cell r="P2700" t="str">
            <v>-</v>
          </cell>
        </row>
        <row r="2701">
          <cell r="P2701" t="str">
            <v>-</v>
          </cell>
        </row>
        <row r="2702">
          <cell r="P2702" t="str">
            <v>-</v>
          </cell>
        </row>
        <row r="2703">
          <cell r="P2703" t="str">
            <v>-</v>
          </cell>
        </row>
        <row r="2704">
          <cell r="P2704" t="str">
            <v>-</v>
          </cell>
        </row>
        <row r="2705">
          <cell r="P2705" t="str">
            <v>-</v>
          </cell>
        </row>
        <row r="2706">
          <cell r="P2706" t="str">
            <v>-</v>
          </cell>
        </row>
        <row r="2707">
          <cell r="P2707" t="str">
            <v>-</v>
          </cell>
        </row>
        <row r="2708">
          <cell r="P2708" t="str">
            <v>-</v>
          </cell>
        </row>
        <row r="2709">
          <cell r="P2709" t="str">
            <v>-</v>
          </cell>
        </row>
        <row r="2710">
          <cell r="P2710" t="str">
            <v>-</v>
          </cell>
        </row>
        <row r="2711">
          <cell r="P2711" t="str">
            <v>-</v>
          </cell>
        </row>
        <row r="2712">
          <cell r="P2712" t="str">
            <v>-</v>
          </cell>
        </row>
        <row r="2713">
          <cell r="P2713" t="str">
            <v>-</v>
          </cell>
        </row>
        <row r="2714">
          <cell r="P2714" t="str">
            <v>-</v>
          </cell>
        </row>
        <row r="2715">
          <cell r="P2715" t="str">
            <v>-</v>
          </cell>
        </row>
        <row r="2716">
          <cell r="P2716" t="str">
            <v>-</v>
          </cell>
        </row>
        <row r="2717">
          <cell r="P2717" t="str">
            <v>-</v>
          </cell>
        </row>
        <row r="2718">
          <cell r="P2718" t="str">
            <v>-</v>
          </cell>
        </row>
        <row r="2719">
          <cell r="P2719" t="str">
            <v>-</v>
          </cell>
        </row>
        <row r="2720">
          <cell r="P2720" t="str">
            <v>-</v>
          </cell>
        </row>
        <row r="2721">
          <cell r="P2721" t="str">
            <v>-</v>
          </cell>
        </row>
        <row r="2722">
          <cell r="P2722" t="str">
            <v>-</v>
          </cell>
        </row>
        <row r="2723">
          <cell r="P2723" t="str">
            <v>-</v>
          </cell>
        </row>
        <row r="2724">
          <cell r="P2724" t="str">
            <v>-</v>
          </cell>
        </row>
        <row r="2725">
          <cell r="P2725" t="str">
            <v>-</v>
          </cell>
        </row>
        <row r="2726">
          <cell r="P2726" t="str">
            <v>-</v>
          </cell>
        </row>
        <row r="2727">
          <cell r="P2727" t="str">
            <v>-</v>
          </cell>
        </row>
        <row r="2728">
          <cell r="P2728" t="str">
            <v>-</v>
          </cell>
        </row>
        <row r="2729">
          <cell r="P2729" t="str">
            <v>-</v>
          </cell>
        </row>
        <row r="2730">
          <cell r="P2730" t="str">
            <v>-</v>
          </cell>
        </row>
        <row r="2731">
          <cell r="P2731" t="str">
            <v>-</v>
          </cell>
        </row>
        <row r="2732">
          <cell r="P2732" t="str">
            <v>-</v>
          </cell>
        </row>
        <row r="2733">
          <cell r="P2733" t="str">
            <v>-</v>
          </cell>
        </row>
        <row r="2734">
          <cell r="P2734" t="str">
            <v>-</v>
          </cell>
        </row>
        <row r="2735">
          <cell r="P2735" t="str">
            <v>-</v>
          </cell>
        </row>
        <row r="2736">
          <cell r="P2736" t="str">
            <v>-</v>
          </cell>
        </row>
        <row r="2737">
          <cell r="P2737" t="str">
            <v>-</v>
          </cell>
        </row>
        <row r="2738">
          <cell r="P2738" t="str">
            <v>-</v>
          </cell>
        </row>
        <row r="2739">
          <cell r="P2739" t="str">
            <v>-</v>
          </cell>
        </row>
        <row r="2740">
          <cell r="P2740" t="str">
            <v>-</v>
          </cell>
        </row>
        <row r="2741">
          <cell r="P2741" t="str">
            <v>-</v>
          </cell>
        </row>
        <row r="2742">
          <cell r="P2742" t="str">
            <v>-</v>
          </cell>
        </row>
        <row r="2743">
          <cell r="P2743" t="str">
            <v>-</v>
          </cell>
        </row>
        <row r="2744">
          <cell r="P2744" t="str">
            <v>-</v>
          </cell>
        </row>
        <row r="2745">
          <cell r="P2745" t="str">
            <v>-</v>
          </cell>
        </row>
        <row r="2746">
          <cell r="P2746" t="str">
            <v>-</v>
          </cell>
        </row>
        <row r="2747">
          <cell r="P2747" t="str">
            <v>-</v>
          </cell>
        </row>
        <row r="2748">
          <cell r="P2748" t="str">
            <v>-</v>
          </cell>
        </row>
        <row r="2749">
          <cell r="P2749" t="str">
            <v>-</v>
          </cell>
        </row>
        <row r="2750">
          <cell r="P2750" t="str">
            <v>-</v>
          </cell>
        </row>
        <row r="2751">
          <cell r="P2751" t="str">
            <v>-</v>
          </cell>
        </row>
        <row r="2752">
          <cell r="P2752" t="str">
            <v>-</v>
          </cell>
        </row>
        <row r="2753">
          <cell r="P2753" t="str">
            <v>-</v>
          </cell>
        </row>
        <row r="2754">
          <cell r="P2754" t="str">
            <v>-</v>
          </cell>
        </row>
        <row r="2755">
          <cell r="P2755" t="str">
            <v>-</v>
          </cell>
        </row>
        <row r="2756">
          <cell r="P2756" t="str">
            <v>-</v>
          </cell>
        </row>
        <row r="2757">
          <cell r="P2757" t="str">
            <v>-</v>
          </cell>
        </row>
        <row r="2758">
          <cell r="P2758" t="str">
            <v>-</v>
          </cell>
        </row>
        <row r="2759">
          <cell r="P2759" t="str">
            <v>-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9">
        <row r="1">
          <cell r="F1" t="str">
            <v>Horas Prod.</v>
          </cell>
          <cell r="H1" t="str">
            <v>Produto</v>
          </cell>
        </row>
        <row r="2">
          <cell r="F2">
            <v>11.854130641336384</v>
          </cell>
          <cell r="G2">
            <v>1.3171256268151539</v>
          </cell>
          <cell r="H2" t="str">
            <v>BODY SPLASH ROSA RAINHA 200ml &gt; 0011</v>
          </cell>
        </row>
        <row r="4">
          <cell r="F4" t="str">
            <v>Envase 1</v>
          </cell>
          <cell r="G4" t="str">
            <v>Envase 2</v>
          </cell>
          <cell r="H4" t="str">
            <v>Envase 3</v>
          </cell>
        </row>
        <row r="8">
          <cell r="D8">
            <v>46160</v>
          </cell>
        </row>
        <row r="9">
          <cell r="D9">
            <v>46160</v>
          </cell>
          <cell r="F9" t="str">
            <v>BODY SPLASH FORÇA DO LEAO 200mL &gt; 0006</v>
          </cell>
          <cell r="G9" t="str">
            <v>BODY CREAM RARO ELIXIR - 2 &gt; AMEERATI 01</v>
          </cell>
        </row>
        <row r="10">
          <cell r="D10">
            <v>46160</v>
          </cell>
          <cell r="F10" t="str">
            <v>BODY SPLASH FORÇA DO LEAO 200mL &gt; 0006</v>
          </cell>
          <cell r="G10" t="str">
            <v>BODY CREAM RARO ELIXIR - 2 &gt; AMEERATI 01</v>
          </cell>
        </row>
        <row r="11">
          <cell r="D11">
            <v>46160</v>
          </cell>
          <cell r="F11" t="str">
            <v>BODY SPLASH FORÇA DO LEAO 200mL &gt; 0006</v>
          </cell>
          <cell r="G11" t="str">
            <v>BODY CREAM RARO ELIXIR - 2 &gt; AMEERATI 01</v>
          </cell>
        </row>
        <row r="12">
          <cell r="D12">
            <v>46160</v>
          </cell>
          <cell r="F12" t="str">
            <v>BODY SPLASH FORÇA DO LEAO 200mL &gt; 0006</v>
          </cell>
          <cell r="G12" t="str">
            <v>BODY CREAM TESOURO DO OASIS - 2 &gt; AMEERATI 01</v>
          </cell>
        </row>
        <row r="13">
          <cell r="D13">
            <v>46160</v>
          </cell>
          <cell r="F13" t="str">
            <v>BODY SPLASH FORÇA DO LEAO 200mL &gt; 0006</v>
          </cell>
          <cell r="G13" t="str">
            <v>BODY CREAM TESOURO DO OASIS - 2 &gt; AMEERATI 01</v>
          </cell>
        </row>
        <row r="14">
          <cell r="D14">
            <v>46160</v>
          </cell>
        </row>
        <row r="15">
          <cell r="D15">
            <v>46160</v>
          </cell>
          <cell r="F15" t="str">
            <v>BODY SPLASH FORÇA DO LEAO 200mL &gt; 0006</v>
          </cell>
          <cell r="G15" t="str">
            <v>BODY CREAM TESOURO DO OASIS - 2 &gt; AMEERATI 01</v>
          </cell>
        </row>
        <row r="16">
          <cell r="D16">
            <v>46160</v>
          </cell>
          <cell r="F16" t="str">
            <v>BODY SPLASH FORÇA DO LEAO 200mL &gt; 0006</v>
          </cell>
          <cell r="G16" t="str">
            <v>BODY CREAM FLOR DO DESERTO - 2 &gt; AMEERATI 01</v>
          </cell>
        </row>
        <row r="17">
          <cell r="D17">
            <v>46160</v>
          </cell>
          <cell r="F17" t="str">
            <v>BODY SPLASH FORÇA DO LEAO 200mL &gt; 0006</v>
          </cell>
          <cell r="G17" t="str">
            <v>BODY CREAM FLOR DO DESERTO - 2 &gt; AMEERATI 01</v>
          </cell>
        </row>
        <row r="18">
          <cell r="D18">
            <v>46160</v>
          </cell>
          <cell r="F18" t="str">
            <v>BODY SPLASH FORÇA DO LEAO 200mL &gt; 0006</v>
          </cell>
          <cell r="G18" t="str">
            <v>BODY CREAM FLOR DO DESERTO - 2 &gt; AMEERATI 01</v>
          </cell>
        </row>
        <row r="19">
          <cell r="D19">
            <v>46160</v>
          </cell>
        </row>
        <row r="20">
          <cell r="D20">
            <v>46160</v>
          </cell>
        </row>
        <row r="21">
          <cell r="D21">
            <v>46160</v>
          </cell>
        </row>
        <row r="22">
          <cell r="D22">
            <v>46160</v>
          </cell>
        </row>
        <row r="23">
          <cell r="D23">
            <v>46160</v>
          </cell>
        </row>
        <row r="26">
          <cell r="D26">
            <v>46161</v>
          </cell>
        </row>
        <row r="27">
          <cell r="D27">
            <v>46161</v>
          </cell>
          <cell r="F27" t="str">
            <v>BODY SPLASH FORÇA DO LEAO 200mL &gt; 0006</v>
          </cell>
          <cell r="G27" t="str">
            <v>BODY CREAM JARDINS DO ORIENTE - 2 &gt; AMEERATI 01</v>
          </cell>
        </row>
        <row r="28">
          <cell r="D28">
            <v>46161</v>
          </cell>
          <cell r="F28" t="str">
            <v>BODY SPLASH FORÇA DO LEAO 200mL &gt; 0006</v>
          </cell>
          <cell r="G28" t="str">
            <v>BODY CREAM JARDINS DO ORIENTE - 2 &gt; AMEERATI 01</v>
          </cell>
        </row>
        <row r="29">
          <cell r="D29">
            <v>46161</v>
          </cell>
          <cell r="F29" t="str">
            <v>BODY SPLASH AURORA IMPERIAL &gt; PROG 01 25/03/26</v>
          </cell>
          <cell r="G29" t="str">
            <v>BODY CREAM JARDINS DO ORIENTE - 2 &gt; AMEERATI 01</v>
          </cell>
        </row>
        <row r="30">
          <cell r="D30">
            <v>46161</v>
          </cell>
          <cell r="F30" t="str">
            <v>BODY SPLASH AURORA IMPERIAL &gt; PROG 01 25/03/26</v>
          </cell>
          <cell r="G30" t="str">
            <v>BODY CREAM JARDINS DO ORIENTE - 2 &gt; AMEERATI 01</v>
          </cell>
        </row>
        <row r="31">
          <cell r="D31">
            <v>46161</v>
          </cell>
          <cell r="F31" t="str">
            <v>BODY SPLASH AURORA IMPERIAL &gt; PROG 01 25/03/26</v>
          </cell>
          <cell r="G31" t="str">
            <v>BODY CREAM JARDINS DO ORIENTE - 2 &gt; AMEERATI 01</v>
          </cell>
        </row>
        <row r="32">
          <cell r="D32">
            <v>46161</v>
          </cell>
        </row>
        <row r="33">
          <cell r="D33">
            <v>46161</v>
          </cell>
          <cell r="F33" t="str">
            <v>BODY SPLASH AURORA IMPERIAL &gt; PROG 01 25/03/26</v>
          </cell>
          <cell r="G33" t="str">
            <v>BODY CREAM JARDINS DO ORIENTE - 2 &gt; AMEERATI 01</v>
          </cell>
        </row>
        <row r="34">
          <cell r="D34">
            <v>46161</v>
          </cell>
          <cell r="F34" t="str">
            <v>BODY SPLASH AURORA IMPERIAL &gt; PROG 01 25/03/26</v>
          </cell>
          <cell r="G34" t="str">
            <v>BODY CREAM JARDINS DO ORIENTE - 2 &gt; AMEERATI 01</v>
          </cell>
        </row>
        <row r="35">
          <cell r="D35">
            <v>46161</v>
          </cell>
          <cell r="F35" t="str">
            <v>BODY SPLASH AURORA IMPERIAL &gt; PROG 01 25/03/26</v>
          </cell>
          <cell r="G35" t="str">
            <v>BODY CREAM VERDE SUPREMO - 2 &gt; AMEERATI 01</v>
          </cell>
        </row>
        <row r="36">
          <cell r="D36">
            <v>46161</v>
          </cell>
          <cell r="F36" t="str">
            <v>BODY SPLASH AURORA IMPERIAL &gt; PROG 01 25/03/26</v>
          </cell>
          <cell r="G36" t="str">
            <v>BODY CREAM VERDE SUPREMO - 2 &gt; AMEERATI 01</v>
          </cell>
        </row>
        <row r="37">
          <cell r="D37">
            <v>46161</v>
          </cell>
        </row>
        <row r="38">
          <cell r="D38">
            <v>46161</v>
          </cell>
        </row>
        <row r="39">
          <cell r="D39">
            <v>46161</v>
          </cell>
        </row>
        <row r="40">
          <cell r="D40">
            <v>46161</v>
          </cell>
        </row>
        <row r="41">
          <cell r="D41">
            <v>46161</v>
          </cell>
        </row>
        <row r="44">
          <cell r="D44">
            <v>46162</v>
          </cell>
        </row>
        <row r="45">
          <cell r="D45">
            <v>46162</v>
          </cell>
          <cell r="F45" t="str">
            <v>BODY SPLASH AMBER BLOOM 200ML -  &gt; 05</v>
          </cell>
          <cell r="G45" t="str">
            <v>BODY CREAM VERDE SUPREMO - 2 &gt; AMEERATI 01</v>
          </cell>
        </row>
        <row r="46">
          <cell r="D46">
            <v>46162</v>
          </cell>
          <cell r="F46" t="str">
            <v>BODY SPLASH AMBER BLOOM 200ML -  &gt; 05</v>
          </cell>
          <cell r="G46" t="str">
            <v>BODY CREAM VERDE SUPREMO - 2 &gt; AMEERATI 01</v>
          </cell>
        </row>
        <row r="47">
          <cell r="D47">
            <v>46162</v>
          </cell>
          <cell r="F47" t="str">
            <v>BODY SPLASH AMBER BLOOM 200ML -  &gt; 05</v>
          </cell>
          <cell r="G47" t="str">
            <v>BODY CREAM VERDE SUPREMO - 2 &gt; AMEERATI 01</v>
          </cell>
        </row>
        <row r="48">
          <cell r="D48">
            <v>46162</v>
          </cell>
          <cell r="F48" t="str">
            <v>BODY SPLASH AMBER BLOOM 200ML -  &gt; 05</v>
          </cell>
        </row>
        <row r="49">
          <cell r="D49">
            <v>46162</v>
          </cell>
          <cell r="F49" t="str">
            <v>BODY SPLASH AMBER BLOOM 200ML -  &gt; 05</v>
          </cell>
        </row>
        <row r="50">
          <cell r="D50">
            <v>46162</v>
          </cell>
        </row>
        <row r="51">
          <cell r="D51">
            <v>46162</v>
          </cell>
          <cell r="F51" t="str">
            <v>BODY SPLASH AMBER BLOOM 200ML -  &gt; 05</v>
          </cell>
        </row>
        <row r="52">
          <cell r="D52">
            <v>46162</v>
          </cell>
          <cell r="F52" t="str">
            <v>BODY SPLASH AMBER BLOOM 200ML -  &gt; 05</v>
          </cell>
        </row>
        <row r="53">
          <cell r="D53">
            <v>46162</v>
          </cell>
          <cell r="F53" t="str">
            <v>BODY SPLASH AMBER BLOOM 200ML -  &gt; 05</v>
          </cell>
        </row>
        <row r="54">
          <cell r="D54">
            <v>46162</v>
          </cell>
          <cell r="F54" t="str">
            <v>BODY SPLASH AMBER BLOOM 200ML -  &gt; 05</v>
          </cell>
        </row>
        <row r="55">
          <cell r="D55">
            <v>46162</v>
          </cell>
        </row>
        <row r="56">
          <cell r="D56">
            <v>46162</v>
          </cell>
        </row>
        <row r="57">
          <cell r="D57">
            <v>46162</v>
          </cell>
        </row>
        <row r="58">
          <cell r="D58">
            <v>46162</v>
          </cell>
        </row>
        <row r="59">
          <cell r="D59">
            <v>46162</v>
          </cell>
        </row>
        <row r="62">
          <cell r="D62">
            <v>46163</v>
          </cell>
        </row>
        <row r="63">
          <cell r="D63">
            <v>46163</v>
          </cell>
          <cell r="F63" t="str">
            <v>BODY SPLASH AMBER BLOOM 200ML -  &gt; 05</v>
          </cell>
          <cell r="G63" t="str">
            <v>BODY SPLASH LEAO DO DESERTO BOURBON 200ml &gt; 0008</v>
          </cell>
        </row>
        <row r="64">
          <cell r="D64">
            <v>46163</v>
          </cell>
          <cell r="F64" t="str">
            <v>BODY SPLASH AMBER BLOOM 200ML -  &gt; 05</v>
          </cell>
          <cell r="G64" t="str">
            <v>BODY SPLASH LEAO DO DESERTO BOURBON 200ml &gt; 0008</v>
          </cell>
        </row>
        <row r="65">
          <cell r="D65">
            <v>46163</v>
          </cell>
          <cell r="F65" t="str">
            <v>BODY SPLASH AMBER BLOOM 200ML -  &gt; 05</v>
          </cell>
          <cell r="G65" t="str">
            <v>BODY SPLASH LEAO DO DESERTO BOURBON 200ml &gt; 0008</v>
          </cell>
        </row>
        <row r="66">
          <cell r="D66">
            <v>46163</v>
          </cell>
          <cell r="F66" t="str">
            <v>BODY SPLASH AMBER BLOOM 200ML -  &gt; 05</v>
          </cell>
          <cell r="G66" t="str">
            <v>BODY SPLASH LEAO DO DESERTO BOURBON 200ml &gt; 0008</v>
          </cell>
        </row>
        <row r="67">
          <cell r="D67">
            <v>46163</v>
          </cell>
          <cell r="F67" t="str">
            <v>BODY SPLASH AMBER BLOOM 200ML -  &gt; 05</v>
          </cell>
          <cell r="G67" t="str">
            <v>BODY SPLASH LEAO DO DESERTO BOURBON 200ml &gt; 0008</v>
          </cell>
        </row>
        <row r="68">
          <cell r="D68">
            <v>46163</v>
          </cell>
        </row>
        <row r="69">
          <cell r="D69">
            <v>46163</v>
          </cell>
          <cell r="F69" t="str">
            <v>BODY SPLASH OUD NIGHT 200ML -  &gt; 05</v>
          </cell>
          <cell r="G69" t="str">
            <v>BODY SPLASH LEAO DO DESERTO BOURBON 200ml &gt; 0008</v>
          </cell>
        </row>
        <row r="70">
          <cell r="D70">
            <v>46163</v>
          </cell>
          <cell r="F70" t="str">
            <v>BODY SPLASH OUD NIGHT 200ML -  &gt; 05</v>
          </cell>
          <cell r="G70" t="str">
            <v>BODY SPLASH LEAO DO DESERTO BOURBON 200ml &gt; 0008</v>
          </cell>
        </row>
        <row r="71">
          <cell r="D71">
            <v>46163</v>
          </cell>
          <cell r="F71" t="str">
            <v>BODY SPLASH OUD NIGHT 200ML -  &gt; 05</v>
          </cell>
          <cell r="G71" t="str">
            <v>BODY SPLASH LEAO DO DESERTO BOURBON 200ml &gt; 0008</v>
          </cell>
        </row>
        <row r="72">
          <cell r="D72">
            <v>46163</v>
          </cell>
          <cell r="F72" t="str">
            <v>BODY SPLASH OUD NIGHT 200ML -  &gt; 05</v>
          </cell>
          <cell r="G72" t="str">
            <v>BODY SPLASH LEAO DO DESERTO BOURBON 200ml &gt; 0008</v>
          </cell>
        </row>
        <row r="73">
          <cell r="D73">
            <v>46163</v>
          </cell>
        </row>
        <row r="74">
          <cell r="D74">
            <v>46163</v>
          </cell>
        </row>
        <row r="75">
          <cell r="D75">
            <v>46163</v>
          </cell>
        </row>
        <row r="76">
          <cell r="D76">
            <v>46163</v>
          </cell>
        </row>
        <row r="77">
          <cell r="D77">
            <v>46163</v>
          </cell>
        </row>
        <row r="79">
          <cell r="D79">
            <v>58046.12</v>
          </cell>
        </row>
        <row r="80">
          <cell r="D80">
            <v>46164</v>
          </cell>
        </row>
        <row r="81">
          <cell r="D81">
            <v>46164</v>
          </cell>
          <cell r="F81" t="str">
            <v>BODY SPLASH OUD NIGHT 200ML -  &gt; 05</v>
          </cell>
          <cell r="G81" t="str">
            <v>BODY SPLASH LEAO DO DESERTO BOURBON 200ml &gt; 0008</v>
          </cell>
        </row>
        <row r="82">
          <cell r="D82">
            <v>46164</v>
          </cell>
          <cell r="F82" t="str">
            <v>BODY SPLASH OUD NIGHT 200ML -  &gt; 05</v>
          </cell>
          <cell r="G82" t="str">
            <v>BODY SPLASH LEAO DO DESERTO BOURBON 200ml &gt; 0008</v>
          </cell>
        </row>
        <row r="83">
          <cell r="D83">
            <v>46164</v>
          </cell>
          <cell r="F83" t="str">
            <v>BODY SPLASH OUD NIGHT 200ML -  &gt; 05</v>
          </cell>
          <cell r="G83" t="str">
            <v>BODY SPLASH LEAO DO DESERTO BOURBON 200ml &gt; 0008</v>
          </cell>
        </row>
        <row r="84">
          <cell r="D84">
            <v>46164</v>
          </cell>
          <cell r="F84" t="str">
            <v>BODY SPLASH OUD NIGHT 200ML -  &gt; 05</v>
          </cell>
          <cell r="G84" t="str">
            <v>BODY SPLASH LEAO DO DESERTO BOURBON 200ml &gt; 0008</v>
          </cell>
        </row>
        <row r="85">
          <cell r="D85">
            <v>46164</v>
          </cell>
          <cell r="F85" t="str">
            <v>BODY SPLASH OUD NIGHT 200ML -  &gt; 05</v>
          </cell>
          <cell r="G85" t="str">
            <v>BODY SPLASH LEAO DO DESERTO BOURBON 200ml &gt; 0008</v>
          </cell>
        </row>
        <row r="86">
          <cell r="D86">
            <v>46164</v>
          </cell>
        </row>
        <row r="87">
          <cell r="D87">
            <v>46164</v>
          </cell>
          <cell r="F87" t="str">
            <v>BODY SPLASH OUD NIGHT 200ML -  &gt; 05</v>
          </cell>
          <cell r="G87" t="str">
            <v>BODY SPLASH LEAO DO DESERTO BOURBON 200ml &gt; 0008</v>
          </cell>
        </row>
        <row r="88">
          <cell r="D88">
            <v>46164</v>
          </cell>
          <cell r="F88" t="str">
            <v>BODY SPLASH OUD NIGHT 200ML -  &gt; 05</v>
          </cell>
          <cell r="G88" t="str">
            <v>BODY SPLASH LEAO DO DESERTO BOURBON 200ml &gt; 0008</v>
          </cell>
        </row>
        <row r="89">
          <cell r="D89">
            <v>46164</v>
          </cell>
          <cell r="F89" t="str">
            <v>BODY SPLASH OUD NIGHT 200ML -  &gt; 05</v>
          </cell>
          <cell r="G89" t="str">
            <v>BODY SPLASH LEAO DO DESERTO BOURBON 200ml &gt; 0008</v>
          </cell>
        </row>
        <row r="90">
          <cell r="D90">
            <v>46164</v>
          </cell>
        </row>
        <row r="91">
          <cell r="D91">
            <v>46164</v>
          </cell>
        </row>
        <row r="92">
          <cell r="D92">
            <v>46164</v>
          </cell>
        </row>
        <row r="93">
          <cell r="D93">
            <v>46164</v>
          </cell>
        </row>
        <row r="94">
          <cell r="D94">
            <v>46164</v>
          </cell>
        </row>
        <row r="95">
          <cell r="D95">
            <v>46164</v>
          </cell>
        </row>
        <row r="98">
          <cell r="D98">
            <v>46165</v>
          </cell>
        </row>
        <row r="99">
          <cell r="D99">
            <v>46165</v>
          </cell>
        </row>
        <row r="100">
          <cell r="D100">
            <v>46165</v>
          </cell>
        </row>
        <row r="101">
          <cell r="D101">
            <v>46165</v>
          </cell>
        </row>
        <row r="102">
          <cell r="D102">
            <v>46165</v>
          </cell>
        </row>
        <row r="103">
          <cell r="D103">
            <v>46165</v>
          </cell>
        </row>
        <row r="104">
          <cell r="D104">
            <v>46165</v>
          </cell>
        </row>
        <row r="105">
          <cell r="D105">
            <v>46165</v>
          </cell>
        </row>
        <row r="106">
          <cell r="D106">
            <v>46165</v>
          </cell>
        </row>
        <row r="107">
          <cell r="D107">
            <v>46165</v>
          </cell>
        </row>
        <row r="108">
          <cell r="D108">
            <v>46165</v>
          </cell>
        </row>
        <row r="109">
          <cell r="D109">
            <v>46165</v>
          </cell>
        </row>
        <row r="110">
          <cell r="D110">
            <v>46165</v>
          </cell>
        </row>
        <row r="111">
          <cell r="D111">
            <v>46165</v>
          </cell>
        </row>
        <row r="112">
          <cell r="D112">
            <v>46165</v>
          </cell>
        </row>
        <row r="113">
          <cell r="D113">
            <v>46165</v>
          </cell>
        </row>
        <row r="116">
          <cell r="D116">
            <v>46166</v>
          </cell>
        </row>
        <row r="117">
          <cell r="D117">
            <v>46166</v>
          </cell>
        </row>
        <row r="118">
          <cell r="D118">
            <v>46166</v>
          </cell>
        </row>
        <row r="119">
          <cell r="D119">
            <v>46166</v>
          </cell>
        </row>
        <row r="120">
          <cell r="D120">
            <v>46166</v>
          </cell>
        </row>
        <row r="121">
          <cell r="D121">
            <v>46166</v>
          </cell>
        </row>
        <row r="122">
          <cell r="D122">
            <v>46166</v>
          </cell>
        </row>
        <row r="123">
          <cell r="D123">
            <v>46166</v>
          </cell>
        </row>
        <row r="124">
          <cell r="D124">
            <v>46166</v>
          </cell>
        </row>
        <row r="125">
          <cell r="D125">
            <v>46166</v>
          </cell>
        </row>
        <row r="126">
          <cell r="D126">
            <v>46166</v>
          </cell>
        </row>
        <row r="127">
          <cell r="D127">
            <v>46166</v>
          </cell>
        </row>
        <row r="128">
          <cell r="D128">
            <v>46166</v>
          </cell>
        </row>
        <row r="129">
          <cell r="D129">
            <v>46166</v>
          </cell>
        </row>
        <row r="130">
          <cell r="D130">
            <v>46166</v>
          </cell>
        </row>
        <row r="131">
          <cell r="D131">
            <v>46166</v>
          </cell>
        </row>
        <row r="134">
          <cell r="D134">
            <v>46167</v>
          </cell>
        </row>
        <row r="135">
          <cell r="D135">
            <v>46167</v>
          </cell>
          <cell r="F135" t="str">
            <v>BODY SPLASH ROSE MIRAGE 200ML -  &gt; 05</v>
          </cell>
          <cell r="G135" t="str">
            <v>BODY SPLASH LEAO DO DESERTO BOURBON 200ml &gt; 0008</v>
          </cell>
        </row>
        <row r="136">
          <cell r="D136">
            <v>46167</v>
          </cell>
          <cell r="F136" t="str">
            <v>BODY SPLASH ROSE MIRAGE 200ML -  &gt; 05</v>
          </cell>
          <cell r="G136" t="str">
            <v>BODY SPLASH LEAO DO DESERTO BOURBON 200ml &gt; 0008</v>
          </cell>
        </row>
        <row r="137">
          <cell r="D137">
            <v>46167</v>
          </cell>
          <cell r="F137" t="str">
            <v>BODY SPLASH ROSE MIRAGE 200ML -  &gt; 05</v>
          </cell>
          <cell r="G137" t="str">
            <v>BODY SPLASH LEAO DO DESERTO BOURBON 200ml &gt; 0008</v>
          </cell>
        </row>
        <row r="138">
          <cell r="D138">
            <v>46167</v>
          </cell>
          <cell r="F138" t="str">
            <v>BODY SPLASH ROSE MIRAGE 200ML -  &gt; 05</v>
          </cell>
          <cell r="G138" t="str">
            <v>BODY SPLASH LEAO DO DESERTO BOURBON 200ml &gt; 0008</v>
          </cell>
        </row>
        <row r="139">
          <cell r="D139">
            <v>46167</v>
          </cell>
          <cell r="F139" t="str">
            <v>BODY SPLASH ROSE MIRAGE 200ML -  &gt; 05</v>
          </cell>
          <cell r="G139" t="str">
            <v>BODY SPLASH LEAO DO DESERTO BOURBON 200ml &gt; 0008</v>
          </cell>
        </row>
        <row r="140">
          <cell r="D140">
            <v>46167</v>
          </cell>
        </row>
        <row r="141">
          <cell r="D141">
            <v>46167</v>
          </cell>
          <cell r="F141" t="str">
            <v>BODY SPLASH ROSE MIRAGE 200ML -  &gt; 05</v>
          </cell>
          <cell r="G141" t="str">
            <v>BODY SPLASH LEAO DO DESERTO BOURBON 200ml &gt; 0008</v>
          </cell>
        </row>
        <row r="142">
          <cell r="D142">
            <v>46167</v>
          </cell>
          <cell r="F142" t="str">
            <v>BODY SPLASH ROSE MIRAGE 200ML -  &gt; 05</v>
          </cell>
          <cell r="G142" t="str">
            <v>BODY SPLASH LEAO DO DESERTO BOURBON 200ml &gt; 0008</v>
          </cell>
        </row>
        <row r="143">
          <cell r="D143">
            <v>46167</v>
          </cell>
          <cell r="F143" t="str">
            <v>BODY SPLASH ROSE MIRAGE 200ML -  &gt; 05</v>
          </cell>
          <cell r="G143" t="str">
            <v>BODY SPLASH LEAO DO DESERTO BOURBON 200ml &gt; 0008</v>
          </cell>
        </row>
        <row r="144">
          <cell r="D144">
            <v>46167</v>
          </cell>
          <cell r="F144" t="str">
            <v>BODY SPLASH ROSE MIRAGE 200ML -  &gt; 05</v>
          </cell>
          <cell r="G144" t="str">
            <v>BODY SPLASH LEAO DO DESERTO BOURBON 200ml &gt; 0008</v>
          </cell>
        </row>
        <row r="145">
          <cell r="D145">
            <v>46167</v>
          </cell>
        </row>
        <row r="146">
          <cell r="D146">
            <v>46167</v>
          </cell>
        </row>
        <row r="147">
          <cell r="D147">
            <v>46167</v>
          </cell>
        </row>
        <row r="148">
          <cell r="D148">
            <v>46167</v>
          </cell>
        </row>
        <row r="149">
          <cell r="D149">
            <v>46167</v>
          </cell>
        </row>
        <row r="152">
          <cell r="D152">
            <v>46168</v>
          </cell>
        </row>
        <row r="153">
          <cell r="D153">
            <v>46168</v>
          </cell>
          <cell r="F153" t="str">
            <v>BODY SPLASH ROSE MIRAGE 200ML -  &gt; 05</v>
          </cell>
          <cell r="G153" t="str">
            <v>BODY SPLASH CEU INFINITO 200ml &gt; 0008</v>
          </cell>
        </row>
        <row r="154">
          <cell r="D154">
            <v>46168</v>
          </cell>
          <cell r="F154" t="str">
            <v>BODY SPLASH ROSE MIRAGE 200ML -  &gt; 05</v>
          </cell>
          <cell r="G154" t="str">
            <v>BODY SPLASH CEU INFINITO 200ml &gt; 0008</v>
          </cell>
        </row>
        <row r="155">
          <cell r="D155">
            <v>46168</v>
          </cell>
          <cell r="F155" t="str">
            <v>BODY SPLASH ROSE MIRAGE 200ML -  &gt; 05</v>
          </cell>
          <cell r="G155" t="str">
            <v>BODY SPLASH CEU INFINITO 200ml &gt; 0008</v>
          </cell>
        </row>
        <row r="156">
          <cell r="D156">
            <v>46168</v>
          </cell>
          <cell r="F156" t="str">
            <v>BODY SPLASH ROSE MIRAGE 200ML -  &gt; 05</v>
          </cell>
          <cell r="G156" t="str">
            <v>BODY SPLASH CEU INFINITO 200ml &gt; 0008</v>
          </cell>
        </row>
        <row r="157">
          <cell r="D157">
            <v>46168</v>
          </cell>
          <cell r="F157" t="str">
            <v>BODY SPLASH ROUGE OUT 200ML -  &gt; 05</v>
          </cell>
          <cell r="G157" t="str">
            <v>BODY SPLASH CEU INFINITO 200ml &gt; 0008</v>
          </cell>
        </row>
        <row r="158">
          <cell r="D158">
            <v>46168</v>
          </cell>
        </row>
        <row r="159">
          <cell r="D159">
            <v>46168</v>
          </cell>
          <cell r="F159" t="str">
            <v>BODY SPLASH ROUGE OUT 200ML -  &gt; 05</v>
          </cell>
          <cell r="G159" t="str">
            <v>BODY SPLASH CEU INFINITO 200ml &gt; 0008</v>
          </cell>
        </row>
        <row r="160">
          <cell r="D160">
            <v>46168</v>
          </cell>
          <cell r="F160" t="str">
            <v>BODY SPLASH ROUGE OUT 200ML -  &gt; 05</v>
          </cell>
          <cell r="G160" t="str">
            <v>BODY SPLASH CEU INFINITO 200ml &gt; 0008</v>
          </cell>
        </row>
        <row r="161">
          <cell r="D161">
            <v>46168</v>
          </cell>
          <cell r="F161" t="str">
            <v>BODY SPLASH ROUGE OUT 200ML -  &gt; 05</v>
          </cell>
          <cell r="G161" t="str">
            <v>BODY SPLASH CEU INFINITO 200ml &gt; 0008</v>
          </cell>
        </row>
        <row r="162">
          <cell r="D162">
            <v>46168</v>
          </cell>
          <cell r="F162" t="str">
            <v>BODY SPLASH ROUGE OUT 200ML -  &gt; 05</v>
          </cell>
          <cell r="G162" t="str">
            <v>BODY SPLASH CEU INFINITO 200ml &gt; 0008</v>
          </cell>
        </row>
        <row r="163">
          <cell r="D163">
            <v>46168</v>
          </cell>
        </row>
        <row r="164">
          <cell r="D164">
            <v>46168</v>
          </cell>
        </row>
        <row r="165">
          <cell r="D165">
            <v>46168</v>
          </cell>
        </row>
        <row r="166">
          <cell r="D166">
            <v>46168</v>
          </cell>
        </row>
        <row r="167">
          <cell r="D167">
            <v>46168</v>
          </cell>
        </row>
        <row r="170">
          <cell r="D170">
            <v>46169</v>
          </cell>
        </row>
        <row r="171">
          <cell r="D171">
            <v>46169</v>
          </cell>
          <cell r="F171" t="str">
            <v>BODY SPLASH ROUGE OUT 200ML -  &gt; 05</v>
          </cell>
          <cell r="G171" t="str">
            <v>BODY SPLASH CEU INFINITO 200ml &gt; 0008</v>
          </cell>
        </row>
        <row r="172">
          <cell r="D172">
            <v>46169</v>
          </cell>
          <cell r="F172" t="str">
            <v>BODY SPLASH ROUGE OUT 200ML -  &gt; 05</v>
          </cell>
          <cell r="G172" t="str">
            <v>BODY SPLASH CEU INFINITO 200ml &gt; 0008</v>
          </cell>
        </row>
        <row r="173">
          <cell r="D173">
            <v>46169</v>
          </cell>
          <cell r="F173" t="str">
            <v>BODY SPLASH ROUGE OUT 200ML -  &gt; 05</v>
          </cell>
          <cell r="G173" t="str">
            <v>BODY SPLASH CEU INFINITO 200ml &gt; 0008</v>
          </cell>
        </row>
        <row r="174">
          <cell r="D174">
            <v>46169</v>
          </cell>
          <cell r="F174" t="str">
            <v>BODY SPLASH ROUGE OUT 200ML -  &gt; 05</v>
          </cell>
          <cell r="G174" t="str">
            <v>BODY SPLASH CEU INFINITO 200ml &gt; 0008</v>
          </cell>
        </row>
        <row r="175">
          <cell r="D175">
            <v>46169</v>
          </cell>
          <cell r="F175" t="str">
            <v>BODY SPLASH ROUGE OUT 200ML -  &gt; 05</v>
          </cell>
          <cell r="G175" t="str">
            <v>BODY SPLASH CEU INFINITO 200ml &gt; 0008</v>
          </cell>
        </row>
        <row r="176">
          <cell r="D176">
            <v>46169</v>
          </cell>
        </row>
        <row r="177">
          <cell r="D177">
            <v>46169</v>
          </cell>
          <cell r="G177" t="str">
            <v>BODY SPLASH CEU INFINITO 200ml &gt; 0008</v>
          </cell>
        </row>
        <row r="178">
          <cell r="D178">
            <v>46169</v>
          </cell>
          <cell r="G178" t="str">
            <v>BODY SPLASH CEU INFINITO 200ml &gt; 0008</v>
          </cell>
        </row>
        <row r="179">
          <cell r="D179">
            <v>46169</v>
          </cell>
          <cell r="G179" t="str">
            <v>BODY SPLASH CEU INFINITO 200ml &gt; 0008</v>
          </cell>
        </row>
        <row r="180">
          <cell r="D180">
            <v>46169</v>
          </cell>
          <cell r="G180" t="str">
            <v>BODY SPLASH CEU INFINITO 200ml &gt; 0008</v>
          </cell>
        </row>
        <row r="181">
          <cell r="D181">
            <v>46169</v>
          </cell>
        </row>
        <row r="182">
          <cell r="D182">
            <v>46169</v>
          </cell>
        </row>
        <row r="183">
          <cell r="D183">
            <v>46169</v>
          </cell>
        </row>
        <row r="184">
          <cell r="D184">
            <v>46169</v>
          </cell>
        </row>
        <row r="185">
          <cell r="D185">
            <v>46169</v>
          </cell>
        </row>
        <row r="188">
          <cell r="D188">
            <v>46170</v>
          </cell>
          <cell r="G188" t="str">
            <v>BODY SPLASH CEU INFINITO 200ml &gt; 0008</v>
          </cell>
        </row>
        <row r="189">
          <cell r="D189">
            <v>46170</v>
          </cell>
          <cell r="G189" t="str">
            <v>BODY SPLASH CEU INFINITO 200ml &gt; 0008</v>
          </cell>
        </row>
        <row r="190">
          <cell r="D190">
            <v>46170</v>
          </cell>
          <cell r="G190" t="str">
            <v>BODY SPLASH CEU INFINITO 200ml &gt; 0008</v>
          </cell>
        </row>
        <row r="191">
          <cell r="D191">
            <v>46170</v>
          </cell>
          <cell r="G191" t="str">
            <v>BODY SPLASH CEU INFINITO 200ml &gt; 0008</v>
          </cell>
        </row>
        <row r="192">
          <cell r="D192">
            <v>46170</v>
          </cell>
          <cell r="G192" t="str">
            <v>BODY SPLASH CEU INFINITO 200ml &gt; 0008</v>
          </cell>
        </row>
        <row r="193">
          <cell r="D193">
            <v>46170</v>
          </cell>
        </row>
        <row r="194">
          <cell r="D194">
            <v>46170</v>
          </cell>
          <cell r="G194" t="str">
            <v>BODY SPLASH CEU INFINITO 200ml &gt; 0008</v>
          </cell>
        </row>
        <row r="195">
          <cell r="D195">
            <v>46170</v>
          </cell>
          <cell r="G195" t="str">
            <v>BODY SPLASH CEU INFINITO 200ml &gt; 0008</v>
          </cell>
        </row>
        <row r="196">
          <cell r="D196">
            <v>46170</v>
          </cell>
          <cell r="G196" t="str">
            <v>BODY SPLASH CEU INFINITO 200ml &gt; 0008</v>
          </cell>
        </row>
        <row r="197">
          <cell r="D197">
            <v>46170</v>
          </cell>
          <cell r="G197" t="str">
            <v>BODY SPLASH CEU INFINITO 200ml &gt; 0008</v>
          </cell>
        </row>
        <row r="198">
          <cell r="D198">
            <v>46170</v>
          </cell>
          <cell r="G198" t="str">
            <v>BODY SPLASH CEU INFINITO 200ml &gt; 0008</v>
          </cell>
        </row>
        <row r="199">
          <cell r="D199">
            <v>46170</v>
          </cell>
          <cell r="G199" t="str">
            <v>BODY SPLASH CEU INFINITO 200ml &gt; 0008</v>
          </cell>
        </row>
        <row r="200">
          <cell r="D200">
            <v>46170</v>
          </cell>
        </row>
        <row r="201">
          <cell r="D201">
            <v>46170</v>
          </cell>
          <cell r="G201" t="str">
            <v>BODY SPLASH CEU INFINITO 200ml &gt; 0008</v>
          </cell>
        </row>
        <row r="202">
          <cell r="D202">
            <v>46170</v>
          </cell>
          <cell r="G202" t="str">
            <v>BODY SPLASH CEU INFINITO 200ml &gt; 0008</v>
          </cell>
        </row>
        <row r="203">
          <cell r="D203">
            <v>46170</v>
          </cell>
          <cell r="G203" t="str">
            <v>BODY SPLASH CEU INFINITO 200ml &gt; 0008</v>
          </cell>
        </row>
        <row r="205">
          <cell r="D205">
            <v>43816.666666666664</v>
          </cell>
        </row>
        <row r="206">
          <cell r="D206">
            <v>46171</v>
          </cell>
          <cell r="G206" t="str">
            <v>BODY SPLASH AMBAR REAL 200ml &gt; 0008</v>
          </cell>
        </row>
        <row r="207">
          <cell r="D207">
            <v>46171</v>
          </cell>
          <cell r="G207" t="str">
            <v>BODY SPLASH AMBAR REAL 200ml &gt; 0008</v>
          </cell>
        </row>
        <row r="208">
          <cell r="D208">
            <v>46171</v>
          </cell>
          <cell r="G208" t="str">
            <v>BODY SPLASH AMBAR REAL 200ml &gt; 0008</v>
          </cell>
        </row>
        <row r="209">
          <cell r="D209">
            <v>46171</v>
          </cell>
          <cell r="G209" t="str">
            <v>BODY SPLASH AMBAR REAL 200ml &gt; 0008</v>
          </cell>
        </row>
        <row r="210">
          <cell r="D210">
            <v>46171</v>
          </cell>
          <cell r="G210" t="str">
            <v>BODY SPLASH AMBAR REAL 200ml &gt; 0008</v>
          </cell>
        </row>
        <row r="211">
          <cell r="D211">
            <v>46171</v>
          </cell>
        </row>
        <row r="212">
          <cell r="D212">
            <v>46171</v>
          </cell>
          <cell r="G212" t="str">
            <v>BODY SPLASH AMBAR REAL 200ml &gt; 0008</v>
          </cell>
        </row>
        <row r="213">
          <cell r="D213">
            <v>46171</v>
          </cell>
          <cell r="G213" t="str">
            <v>BODY SPLASH AMBAR REAL 200ml &gt; 0008</v>
          </cell>
        </row>
        <row r="214">
          <cell r="D214">
            <v>46171</v>
          </cell>
          <cell r="G214" t="str">
            <v>BODY SPLASH AMBAR REAL 200ml &gt; 0008</v>
          </cell>
        </row>
        <row r="215">
          <cell r="D215">
            <v>46171</v>
          </cell>
          <cell r="G215" t="str">
            <v>BODY SPLASH AMBAR REAL 200ml &gt; 0008</v>
          </cell>
        </row>
        <row r="216">
          <cell r="D216">
            <v>46171</v>
          </cell>
          <cell r="G216" t="str">
            <v>BODY SPLASH AMBAR REAL 200ml &gt; 0008</v>
          </cell>
        </row>
        <row r="217">
          <cell r="D217">
            <v>46171</v>
          </cell>
          <cell r="G217" t="str">
            <v>BODY SPLASH AMBAR REAL 200ml &gt; 0008</v>
          </cell>
        </row>
        <row r="218">
          <cell r="D218">
            <v>46171</v>
          </cell>
        </row>
        <row r="219">
          <cell r="D219">
            <v>46171</v>
          </cell>
          <cell r="G219" t="str">
            <v>BODY SPLASH AMBAR REAL 200ml &gt; 0008</v>
          </cell>
        </row>
        <row r="220">
          <cell r="D220">
            <v>46171</v>
          </cell>
          <cell r="G220" t="str">
            <v>BODY SPLASH AMBAR REAL 200ml &gt; 0008</v>
          </cell>
        </row>
        <row r="221">
          <cell r="D221">
            <v>46171</v>
          </cell>
          <cell r="G221" t="str">
            <v>BODY SPLASH AMBAR REAL 200ml &gt; 0008</v>
          </cell>
        </row>
        <row r="224">
          <cell r="D224">
            <v>46172</v>
          </cell>
        </row>
        <row r="225">
          <cell r="D225">
            <v>46172</v>
          </cell>
        </row>
        <row r="226">
          <cell r="D226">
            <v>46172</v>
          </cell>
        </row>
        <row r="227">
          <cell r="D227">
            <v>46172</v>
          </cell>
        </row>
        <row r="228">
          <cell r="D228">
            <v>46172</v>
          </cell>
        </row>
        <row r="229">
          <cell r="D229">
            <v>46172</v>
          </cell>
        </row>
        <row r="230">
          <cell r="D230">
            <v>46172</v>
          </cell>
        </row>
        <row r="231">
          <cell r="D231">
            <v>46172</v>
          </cell>
        </row>
        <row r="232">
          <cell r="D232">
            <v>46172</v>
          </cell>
        </row>
        <row r="233">
          <cell r="D233">
            <v>46172</v>
          </cell>
        </row>
        <row r="234">
          <cell r="D234">
            <v>46172</v>
          </cell>
        </row>
        <row r="235">
          <cell r="D235">
            <v>46172</v>
          </cell>
        </row>
        <row r="236">
          <cell r="D236">
            <v>46172</v>
          </cell>
        </row>
        <row r="237">
          <cell r="D237">
            <v>46172</v>
          </cell>
        </row>
        <row r="238">
          <cell r="D238">
            <v>46172</v>
          </cell>
        </row>
        <row r="239">
          <cell r="D239">
            <v>46172</v>
          </cell>
        </row>
        <row r="242">
          <cell r="D242">
            <v>46173</v>
          </cell>
        </row>
        <row r="243">
          <cell r="D243">
            <v>46173</v>
          </cell>
        </row>
        <row r="244">
          <cell r="D244">
            <v>46173</v>
          </cell>
        </row>
        <row r="245">
          <cell r="D245">
            <v>46173</v>
          </cell>
        </row>
        <row r="246">
          <cell r="D246">
            <v>46173</v>
          </cell>
        </row>
        <row r="247">
          <cell r="D247">
            <v>46173</v>
          </cell>
        </row>
        <row r="248">
          <cell r="D248">
            <v>46173</v>
          </cell>
        </row>
        <row r="249">
          <cell r="D249">
            <v>46173</v>
          </cell>
        </row>
        <row r="250">
          <cell r="D250">
            <v>46173</v>
          </cell>
        </row>
        <row r="251">
          <cell r="D251">
            <v>46173</v>
          </cell>
        </row>
        <row r="252">
          <cell r="D252">
            <v>46173</v>
          </cell>
        </row>
        <row r="253">
          <cell r="D253">
            <v>46173</v>
          </cell>
        </row>
        <row r="254">
          <cell r="D254">
            <v>46173</v>
          </cell>
        </row>
        <row r="255">
          <cell r="D255">
            <v>46173</v>
          </cell>
        </row>
        <row r="256">
          <cell r="D256">
            <v>46173</v>
          </cell>
        </row>
        <row r="257">
          <cell r="D257">
            <v>46173</v>
          </cell>
        </row>
        <row r="260">
          <cell r="D260">
            <v>46174</v>
          </cell>
          <cell r="F260" t="str">
            <v>BODY SPLASH CLAIRE 120ml &gt; FABIANO 22/01/26</v>
          </cell>
          <cell r="G260" t="str">
            <v>BODY SPLASH AMBAR REAL 200ml &gt; 0008</v>
          </cell>
        </row>
        <row r="261">
          <cell r="D261">
            <v>46174</v>
          </cell>
          <cell r="F261" t="str">
            <v>BODY SPLASH CLAIRE 120ml &gt; FABIANO 22/01/26</v>
          </cell>
          <cell r="G261" t="str">
            <v>BODY SPLASH AMBAR REAL 200ml &gt; 0008</v>
          </cell>
        </row>
        <row r="262">
          <cell r="D262">
            <v>46174</v>
          </cell>
          <cell r="F262" t="str">
            <v>BODY SPLASH CLAIRE 120ml &gt; FABIANO 22/01/26</v>
          </cell>
          <cell r="G262" t="str">
            <v>BODY SPLASH AMBAR REAL 200ml &gt; 0008</v>
          </cell>
        </row>
        <row r="263">
          <cell r="D263">
            <v>46174</v>
          </cell>
          <cell r="F263" t="str">
            <v>BODY SPLASH CLAIRE 120ml &gt; FABIANO 22/01/26</v>
          </cell>
          <cell r="G263" t="str">
            <v>BODY SPLASH AMBAR REAL 200ml &gt; 0008</v>
          </cell>
        </row>
        <row r="264">
          <cell r="D264">
            <v>46174</v>
          </cell>
          <cell r="F264" t="str">
            <v>BODY SPLASH CLAIRE 120ml &gt; FABIANO 22/01/26</v>
          </cell>
          <cell r="G264" t="str">
            <v>BODY SPLASH AMBAR REAL 200ml &gt; 0008</v>
          </cell>
        </row>
        <row r="265">
          <cell r="D265">
            <v>46174</v>
          </cell>
        </row>
        <row r="266">
          <cell r="D266">
            <v>46174</v>
          </cell>
          <cell r="F266" t="str">
            <v>BODY SPLASH CLAIRE 120ml &gt; FABIANO 22/01/26</v>
          </cell>
          <cell r="G266" t="str">
            <v>BODY SPLASH AMBAR REAL 200ml &gt; 0008</v>
          </cell>
        </row>
        <row r="267">
          <cell r="D267">
            <v>46174</v>
          </cell>
          <cell r="F267" t="str">
            <v>BODY SPLASH CLAIRE 120ml &gt; FABIANO 22/01/26</v>
          </cell>
          <cell r="G267" t="str">
            <v>BODY SPLASH AMBAR REAL 200ml &gt; 0008</v>
          </cell>
        </row>
        <row r="268">
          <cell r="D268">
            <v>46174</v>
          </cell>
          <cell r="F268" t="str">
            <v>BODY SPLASH CLAIRE 120ml &gt; FABIANO 22/01/26</v>
          </cell>
          <cell r="G268" t="str">
            <v>BODY SPLASH CEU CELESTE 200ml &gt; 0008</v>
          </cell>
        </row>
        <row r="269">
          <cell r="D269">
            <v>46174</v>
          </cell>
          <cell r="F269" t="str">
            <v>BODY SPLASH CLAIRE 120ml &gt; FABIANO 22/01/26</v>
          </cell>
          <cell r="G269" t="str">
            <v>BODY SPLASH CEU CELESTE 200ml &gt; 0008</v>
          </cell>
        </row>
        <row r="270">
          <cell r="D270">
            <v>46174</v>
          </cell>
          <cell r="F270" t="str">
            <v>BODY SPLASH CLAIRE 120ml &gt; FABIANO 22/01/26</v>
          </cell>
          <cell r="G270" t="str">
            <v>BODY SPLASH CEU CELESTE 200ml &gt; 0008</v>
          </cell>
        </row>
        <row r="271">
          <cell r="D271">
            <v>46174</v>
          </cell>
          <cell r="F271" t="str">
            <v>BODY SPLASH CLAIRE 120ml &gt; FABIANO 22/01/26</v>
          </cell>
          <cell r="G271" t="str">
            <v>BODY SPLASH CEU CELESTE 200ml &gt; 0008</v>
          </cell>
        </row>
        <row r="272">
          <cell r="D272">
            <v>46174</v>
          </cell>
        </row>
        <row r="273">
          <cell r="D273">
            <v>46174</v>
          </cell>
          <cell r="F273" t="str">
            <v>BODY SPLASH CLAIRE 120ml &gt; FABIANO 22/01/26</v>
          </cell>
          <cell r="G273" t="str">
            <v>BODY SPLASH CEU CELESTE 200ml &gt; 0008</v>
          </cell>
        </row>
        <row r="274">
          <cell r="D274">
            <v>46174</v>
          </cell>
          <cell r="F274" t="str">
            <v>BODY SPLASH CLAIRE 120ml &gt; FABIANO 22/01/26</v>
          </cell>
          <cell r="G274" t="str">
            <v>BODY SPLASH CEU CELESTE 200ml &gt; 0008</v>
          </cell>
        </row>
        <row r="275">
          <cell r="D275">
            <v>46174</v>
          </cell>
          <cell r="F275" t="str">
            <v>BODY SPLASH CLAIRE 120ml &gt; FABIANO 22/01/26</v>
          </cell>
          <cell r="G275" t="str">
            <v>BODY SPLASH CEU CELESTE 200ml &gt; 0008</v>
          </cell>
        </row>
        <row r="278">
          <cell r="D278">
            <v>46175</v>
          </cell>
          <cell r="F278" t="str">
            <v>BODY SPLASH CLAIRE 120ml &gt; FABIANO 22/01/26</v>
          </cell>
          <cell r="G278" t="str">
            <v>BODY SPLASH CEU CELESTE 200ml &gt; 0008</v>
          </cell>
        </row>
        <row r="279">
          <cell r="D279">
            <v>46175</v>
          </cell>
          <cell r="F279" t="str">
            <v>BODY SPLASH CLAIRE 120ml &gt; FABIANO 22/01/26</v>
          </cell>
          <cell r="G279" t="str">
            <v>BODY SPLASH CEU CELESTE 200ml &gt; 0008</v>
          </cell>
        </row>
        <row r="280">
          <cell r="D280">
            <v>46175</v>
          </cell>
          <cell r="F280" t="str">
            <v>BODY SPLASH CLAIRE 120ml &gt; FABIANO 22/01/26</v>
          </cell>
          <cell r="G280" t="str">
            <v>BODY SPLASH CEU CELESTE 200ml &gt; 0008</v>
          </cell>
        </row>
        <row r="281">
          <cell r="D281">
            <v>46175</v>
          </cell>
          <cell r="F281" t="str">
            <v>BODY SPLASH CLAIRE 120ml &gt; FABIANO 22/01/26</v>
          </cell>
          <cell r="G281" t="str">
            <v>BODY SPLASH CEU CELESTE 200ml &gt; 0008</v>
          </cell>
        </row>
        <row r="282">
          <cell r="D282">
            <v>46175</v>
          </cell>
          <cell r="F282" t="str">
            <v>BODY SPLASH CLAIRE 120ml &gt; FABIANO 22/01/26</v>
          </cell>
          <cell r="G282" t="str">
            <v>BODY SPLASH CEU CELESTE 200ml &gt; 0008</v>
          </cell>
        </row>
        <row r="283">
          <cell r="D283">
            <v>46175</v>
          </cell>
        </row>
        <row r="284">
          <cell r="D284">
            <v>46175</v>
          </cell>
          <cell r="F284" t="str">
            <v>BODY SPLASH CLAIRE 120ml &gt; FABIANO 22/01/26</v>
          </cell>
          <cell r="G284" t="str">
            <v>BODY SPLASH CEU CELESTE 200ml &gt; 0008</v>
          </cell>
        </row>
        <row r="285">
          <cell r="D285">
            <v>46175</v>
          </cell>
          <cell r="F285" t="str">
            <v>BODY SPLASH CLAIRE 120ml &gt; FABIANO 22/01/26</v>
          </cell>
          <cell r="G285" t="str">
            <v>BODY SPLASH CEU CELESTE 200ml &gt; 0008</v>
          </cell>
        </row>
        <row r="286">
          <cell r="D286">
            <v>46175</v>
          </cell>
          <cell r="F286" t="str">
            <v>BODY SPLASH CLAIRE 120ml &gt; FABIANO 22/01/26</v>
          </cell>
          <cell r="G286" t="str">
            <v>BODY SPLASH CEU CELESTE 200ml &gt; 0008</v>
          </cell>
        </row>
        <row r="287">
          <cell r="D287">
            <v>46175</v>
          </cell>
          <cell r="F287" t="str">
            <v>BODY SPLASH CLAIRE 120ml &gt; FABIANO 22/01/26</v>
          </cell>
        </row>
        <row r="288">
          <cell r="D288">
            <v>46175</v>
          </cell>
          <cell r="F288" t="str">
            <v>BODY SPLASH CLAIRE 120ml &gt; FABIANO 22/01/26</v>
          </cell>
        </row>
        <row r="289">
          <cell r="D289">
            <v>46175</v>
          </cell>
          <cell r="F289" t="str">
            <v>BODY SPLASH CLAIRE 120ml &gt; FABIANO 22/01/26</v>
          </cell>
        </row>
        <row r="290">
          <cell r="D290">
            <v>46175</v>
          </cell>
        </row>
        <row r="291">
          <cell r="D291">
            <v>46175</v>
          </cell>
          <cell r="F291" t="str">
            <v>BODY SPLASH CLAIRE 120ml &gt; FABIANO 22/01/26</v>
          </cell>
        </row>
        <row r="292">
          <cell r="D292">
            <v>46175</v>
          </cell>
          <cell r="F292" t="str">
            <v>BODY SPLASH CLAIRE 120ml &gt; FABIANO 22/01/26</v>
          </cell>
        </row>
        <row r="293">
          <cell r="D293">
            <v>46175</v>
          </cell>
          <cell r="F293" t="str">
            <v>BODY SPLASH CLAIRE 120ml &gt; FABIANO 22/01/26</v>
          </cell>
        </row>
        <row r="296">
          <cell r="D296">
            <v>46176</v>
          </cell>
          <cell r="F296" t="str">
            <v>BODY SPLASH DESERTO DOURADO 120ml &gt; FABIANO 22/01/26</v>
          </cell>
        </row>
        <row r="297">
          <cell r="D297">
            <v>46176</v>
          </cell>
          <cell r="F297" t="str">
            <v>BODY SPLASH DESERTO DOURADO 120ml &gt; FABIANO 22/01/26</v>
          </cell>
        </row>
        <row r="298">
          <cell r="D298">
            <v>46176</v>
          </cell>
          <cell r="F298" t="str">
            <v>BODY SPLASH DESERTO DOURADO 120ml &gt; FABIANO 22/01/26</v>
          </cell>
        </row>
        <row r="299">
          <cell r="D299">
            <v>46176</v>
          </cell>
          <cell r="F299" t="str">
            <v>BODY SPLASH DESERTO DOURADO 120ml &gt; FABIANO 22/01/26</v>
          </cell>
        </row>
        <row r="300">
          <cell r="D300">
            <v>46176</v>
          </cell>
          <cell r="F300" t="str">
            <v>BODY SPLASH DESERTO DOURADO 120ml &gt; FABIANO 22/01/26</v>
          </cell>
        </row>
        <row r="301">
          <cell r="D301">
            <v>46176</v>
          </cell>
        </row>
        <row r="302">
          <cell r="D302">
            <v>46176</v>
          </cell>
          <cell r="F302" t="str">
            <v>BODY SPLASH DESERTO DOURADO 120ml &gt; FABIANO 22/01/26</v>
          </cell>
        </row>
        <row r="303">
          <cell r="D303">
            <v>46176</v>
          </cell>
          <cell r="F303" t="str">
            <v>BODY SPLASH DESERTO DOURADO 120ml &gt; FABIANO 22/01/26</v>
          </cell>
        </row>
        <row r="304">
          <cell r="D304">
            <v>46176</v>
          </cell>
          <cell r="F304" t="str">
            <v>BODY SPLASH DESERTO DOURADO 120ml &gt; FABIANO 22/01/26</v>
          </cell>
        </row>
        <row r="305">
          <cell r="D305">
            <v>46176</v>
          </cell>
          <cell r="F305" t="str">
            <v>BODY SPLASH DESERTO DOURADO 120ml &gt; FABIANO 22/01/26</v>
          </cell>
        </row>
        <row r="306">
          <cell r="D306">
            <v>46176</v>
          </cell>
          <cell r="F306" t="str">
            <v>BODY SPLASH DESERTO DOURADO 120ml &gt; FABIANO 22/01/26</v>
          </cell>
        </row>
        <row r="307">
          <cell r="D307">
            <v>46176</v>
          </cell>
          <cell r="F307" t="str">
            <v>BODY SPLASH DESERTO DOURADO 120ml &gt; FABIANO 22/01/26</v>
          </cell>
        </row>
        <row r="308">
          <cell r="D308">
            <v>46176</v>
          </cell>
        </row>
        <row r="309">
          <cell r="D309">
            <v>46176</v>
          </cell>
          <cell r="F309" t="str">
            <v>BODY SPLASH DESERTO DOURADO 120ml &gt; FABIANO 22/01/26</v>
          </cell>
        </row>
        <row r="310">
          <cell r="D310">
            <v>46176</v>
          </cell>
          <cell r="F310" t="str">
            <v>BODY SPLASH DESERTO DOURADO 120ml &gt; FABIANO 22/01/26</v>
          </cell>
        </row>
        <row r="311">
          <cell r="D311">
            <v>46176</v>
          </cell>
          <cell r="F311" t="str">
            <v>BODY SPLASH DESERTO DOURADO 120ml &gt; FABIANO 22/01/26</v>
          </cell>
        </row>
        <row r="314">
          <cell r="D314">
            <v>46177</v>
          </cell>
        </row>
        <row r="315">
          <cell r="D315">
            <v>46177</v>
          </cell>
        </row>
        <row r="316">
          <cell r="D316">
            <v>46177</v>
          </cell>
        </row>
        <row r="317">
          <cell r="D317">
            <v>46177</v>
          </cell>
        </row>
        <row r="318">
          <cell r="D318">
            <v>46177</v>
          </cell>
        </row>
        <row r="319">
          <cell r="D319">
            <v>46177</v>
          </cell>
        </row>
        <row r="320">
          <cell r="D320">
            <v>46177</v>
          </cell>
        </row>
        <row r="321">
          <cell r="D321">
            <v>46177</v>
          </cell>
        </row>
        <row r="322">
          <cell r="D322">
            <v>46177</v>
          </cell>
        </row>
        <row r="323">
          <cell r="D323">
            <v>46177</v>
          </cell>
        </row>
        <row r="324">
          <cell r="D324">
            <v>46177</v>
          </cell>
        </row>
        <row r="325">
          <cell r="D325">
            <v>46177</v>
          </cell>
        </row>
        <row r="326">
          <cell r="D326">
            <v>46177</v>
          </cell>
        </row>
        <row r="327">
          <cell r="D327">
            <v>46177</v>
          </cell>
        </row>
        <row r="328">
          <cell r="D328">
            <v>46177</v>
          </cell>
        </row>
        <row r="329">
          <cell r="D329">
            <v>46177</v>
          </cell>
        </row>
        <row r="331">
          <cell r="D331">
            <v>43198.707142857143</v>
          </cell>
        </row>
        <row r="332">
          <cell r="D332">
            <v>46178</v>
          </cell>
          <cell r="F332" t="str">
            <v>BODY SPLASH DESERTO DOURADO 120ml &gt; FABIANO 22/01/26</v>
          </cell>
          <cell r="G332" t="str">
            <v>RE.BODY SPLASH LEAO DO DESERTO BOURBON 200ml &gt; RETRAB 01.2026</v>
          </cell>
        </row>
        <row r="333">
          <cell r="D333">
            <v>46178</v>
          </cell>
          <cell r="F333" t="str">
            <v>BODY SPLASH DESERTO DOURADO 120ml &gt; FABIANO 22/01/26</v>
          </cell>
          <cell r="G333" t="str">
            <v>RE.BODY SPLASH LEAO DO DESERTO BOURBON 200ml &gt; RETRAB 01.2026</v>
          </cell>
        </row>
        <row r="334">
          <cell r="D334">
            <v>46178</v>
          </cell>
          <cell r="F334" t="str">
            <v>BODY SPLASH DESERTO DOURADO 120ml &gt; FABIANO 22/01/26</v>
          </cell>
          <cell r="G334" t="str">
            <v>RE.BODY SPLASH LEAO DO DESERTO BOURBON 200ml &gt; RETRAB 01.2026</v>
          </cell>
        </row>
        <row r="335">
          <cell r="D335">
            <v>46178</v>
          </cell>
          <cell r="F335" t="str">
            <v>BODY SPLASH DESERTO DOURADO 120ml &gt; FABIANO 22/01/26</v>
          </cell>
          <cell r="G335" t="str">
            <v>RE.BODY SPLASH LEAO DO DESERTO BOURBON 200ml &gt; RETRAB 01.2026</v>
          </cell>
        </row>
        <row r="336">
          <cell r="D336">
            <v>46178</v>
          </cell>
          <cell r="F336" t="str">
            <v>BODY SPLASH DESERTO DOURADO 120ml &gt; FABIANO 22/01/26</v>
          </cell>
          <cell r="G336" t="str">
            <v>RE.BODY SPLASH LEAO DO DESERTO BOURBON 200ml &gt; RETRAB 01.2026</v>
          </cell>
        </row>
        <row r="337">
          <cell r="D337">
            <v>46178</v>
          </cell>
        </row>
        <row r="338">
          <cell r="D338">
            <v>46178</v>
          </cell>
          <cell r="F338" t="str">
            <v>BODY SPLASH DESERTO DOURADO 120ml &gt; FABIANO 22/01/26</v>
          </cell>
          <cell r="G338" t="str">
            <v>RE.BODY SPLASH LEAO DO DESERTO BOURBON 200ml &gt; RETRAB 01.2026</v>
          </cell>
        </row>
        <row r="339">
          <cell r="D339">
            <v>46178</v>
          </cell>
          <cell r="F339" t="str">
            <v>BODY SPLASH DESERTO DOURADO 120ml &gt; FABIANO 22/01/26</v>
          </cell>
          <cell r="G339" t="str">
            <v>RE.BODY SPLASH LEAO DO DESERTO BOURBON 200ml &gt; RETRAB 01.2026</v>
          </cell>
        </row>
        <row r="340">
          <cell r="D340">
            <v>46178</v>
          </cell>
          <cell r="F340" t="str">
            <v>BODY SPLASH DESERTO DOURADO 120ml &gt; FABIANO 22/01/26</v>
          </cell>
          <cell r="G340" t="str">
            <v>RE.BODY SPLASH LEAO DO DESERTO BOURBON 200ml &gt; RETRAB 01.2026</v>
          </cell>
        </row>
        <row r="341">
          <cell r="D341">
            <v>46178</v>
          </cell>
          <cell r="F341" t="str">
            <v>BODY SPLASH DESERTO DOURADO 120ml &gt; FABIANO 22/01/26</v>
          </cell>
          <cell r="G341" t="str">
            <v>RE.BODY SPLASH LEAO DO DESERTO BOURBON 200ml &gt; RETRAB 01.2026</v>
          </cell>
        </row>
        <row r="342">
          <cell r="D342">
            <v>46178</v>
          </cell>
          <cell r="F342" t="str">
            <v>BODY SPLASH DESERTO DOURADO 120ml &gt; FABIANO 22/01/26</v>
          </cell>
          <cell r="G342" t="str">
            <v>RE.BODY SPLASH LEAO DO DESERTO BOURBON 200ml &gt; RETRAB 01.2026</v>
          </cell>
        </row>
        <row r="343">
          <cell r="D343">
            <v>46178</v>
          </cell>
          <cell r="F343" t="str">
            <v>BODY SPLASH DESERTO DOURADO 120ml &gt; FABIANO 22/01/26</v>
          </cell>
          <cell r="G343" t="str">
            <v>RE.BODY SPLASH LEAO DO DESERTO BOURBON 200ml &gt; RETRAB 01.2026</v>
          </cell>
        </row>
        <row r="344">
          <cell r="D344">
            <v>46178</v>
          </cell>
        </row>
        <row r="345">
          <cell r="D345">
            <v>46178</v>
          </cell>
          <cell r="F345" t="str">
            <v>BODY SPLASH DESERTO DOURADO 120ml &gt; FABIANO 22/01/26</v>
          </cell>
          <cell r="G345" t="str">
            <v>RE.BODY SPLASH LEAO DO DESERTO BOURBON 200ml &gt; RETRAB 01.2026</v>
          </cell>
        </row>
        <row r="346">
          <cell r="D346">
            <v>46178</v>
          </cell>
          <cell r="F346" t="str">
            <v>BODY SPLASH DESERTO DOURADO 120ml &gt; FABIANO 22/01/26</v>
          </cell>
          <cell r="G346" t="str">
            <v>RE.BODY SPLASH LEAO DO DESERTO BOURBON 200ml &gt; RETRAB 01.2026</v>
          </cell>
        </row>
        <row r="347">
          <cell r="D347">
            <v>46178</v>
          </cell>
          <cell r="F347" t="str">
            <v>BODY SPLASH DESERTO DOURADO 120ml &gt; FABIANO 22/01/26</v>
          </cell>
          <cell r="G347" t="str">
            <v>RE.BODY SPLASH LEAO DO DESERTO BOURBON 200ml &gt; RETRAB 01.2026</v>
          </cell>
        </row>
        <row r="350">
          <cell r="D350">
            <v>46179</v>
          </cell>
        </row>
        <row r="351">
          <cell r="D351">
            <v>46179</v>
          </cell>
        </row>
        <row r="352">
          <cell r="D352">
            <v>46179</v>
          </cell>
        </row>
        <row r="353">
          <cell r="D353">
            <v>46179</v>
          </cell>
        </row>
        <row r="354">
          <cell r="D354">
            <v>46179</v>
          </cell>
        </row>
        <row r="355">
          <cell r="D355">
            <v>46179</v>
          </cell>
        </row>
        <row r="356">
          <cell r="D356">
            <v>46179</v>
          </cell>
        </row>
        <row r="357">
          <cell r="D357">
            <v>46179</v>
          </cell>
        </row>
        <row r="358">
          <cell r="D358">
            <v>46179</v>
          </cell>
        </row>
        <row r="359">
          <cell r="D359">
            <v>46179</v>
          </cell>
        </row>
        <row r="360">
          <cell r="D360">
            <v>46179</v>
          </cell>
        </row>
        <row r="361">
          <cell r="D361">
            <v>46179</v>
          </cell>
        </row>
        <row r="362">
          <cell r="D362">
            <v>46179</v>
          </cell>
        </row>
        <row r="363">
          <cell r="D363">
            <v>46179</v>
          </cell>
        </row>
        <row r="364">
          <cell r="D364">
            <v>46179</v>
          </cell>
        </row>
        <row r="365">
          <cell r="D365">
            <v>46179</v>
          </cell>
        </row>
        <row r="368">
          <cell r="D368">
            <v>46180</v>
          </cell>
        </row>
        <row r="369">
          <cell r="D369">
            <v>46180</v>
          </cell>
        </row>
        <row r="370">
          <cell r="D370">
            <v>46180</v>
          </cell>
        </row>
        <row r="371">
          <cell r="D371">
            <v>46180</v>
          </cell>
        </row>
        <row r="372">
          <cell r="D372">
            <v>46180</v>
          </cell>
        </row>
        <row r="373">
          <cell r="D373">
            <v>46180</v>
          </cell>
        </row>
        <row r="374">
          <cell r="D374">
            <v>46180</v>
          </cell>
        </row>
        <row r="375">
          <cell r="D375">
            <v>46180</v>
          </cell>
        </row>
        <row r="376">
          <cell r="D376">
            <v>46180</v>
          </cell>
        </row>
        <row r="377">
          <cell r="D377">
            <v>46180</v>
          </cell>
        </row>
        <row r="378">
          <cell r="D378">
            <v>46180</v>
          </cell>
        </row>
        <row r="379">
          <cell r="D379">
            <v>46180</v>
          </cell>
        </row>
        <row r="380">
          <cell r="D380">
            <v>46180</v>
          </cell>
        </row>
        <row r="381">
          <cell r="D381">
            <v>46180</v>
          </cell>
        </row>
        <row r="382">
          <cell r="D382">
            <v>46180</v>
          </cell>
        </row>
        <row r="383">
          <cell r="D383">
            <v>46180</v>
          </cell>
        </row>
        <row r="386">
          <cell r="D386">
            <v>46181</v>
          </cell>
          <cell r="G386" t="str">
            <v>BODY SPLASH IDOLA 120ml &gt; FABIANO 22/01/26</v>
          </cell>
        </row>
        <row r="387">
          <cell r="D387">
            <v>46181</v>
          </cell>
          <cell r="G387" t="str">
            <v>BODY SPLASH IDOLA 120ml &gt; FABIANO 22/01/26</v>
          </cell>
        </row>
        <row r="388">
          <cell r="D388">
            <v>46181</v>
          </cell>
          <cell r="G388" t="str">
            <v>BODY SPLASH IDOLA 120ml &gt; FABIANO 22/01/26</v>
          </cell>
        </row>
        <row r="389">
          <cell r="D389">
            <v>46181</v>
          </cell>
          <cell r="G389" t="str">
            <v>BODY SPLASH IDOLA 120ml &gt; FABIANO 22/01/26</v>
          </cell>
        </row>
        <row r="390">
          <cell r="D390">
            <v>46181</v>
          </cell>
          <cell r="G390" t="str">
            <v>BODY SPLASH IDOLA 120ml &gt; FABIANO 22/01/26</v>
          </cell>
        </row>
        <row r="391">
          <cell r="D391">
            <v>46181</v>
          </cell>
        </row>
        <row r="392">
          <cell r="D392">
            <v>46181</v>
          </cell>
          <cell r="G392" t="str">
            <v>BODY SPLASH IDOLA 120ml &gt; FABIANO 22/01/26</v>
          </cell>
        </row>
        <row r="393">
          <cell r="D393">
            <v>46181</v>
          </cell>
          <cell r="G393" t="str">
            <v>BODY SPLASH IDOLA 120ml &gt; FABIANO 22/01/26</v>
          </cell>
        </row>
        <row r="394">
          <cell r="D394">
            <v>46181</v>
          </cell>
          <cell r="G394" t="str">
            <v>BODY SPLASH IDOLA 120ml &gt; FABIANO 22/01/26</v>
          </cell>
        </row>
        <row r="395">
          <cell r="D395">
            <v>46181</v>
          </cell>
          <cell r="G395" t="str">
            <v>BODY SPLASH IDOLA 120ml &gt; FABIANO 22/01/26</v>
          </cell>
        </row>
        <row r="396">
          <cell r="D396">
            <v>46181</v>
          </cell>
          <cell r="G396" t="str">
            <v>BODY SPLASH IDOLA 120ml &gt; FABIANO 22/01/26</v>
          </cell>
        </row>
        <row r="397">
          <cell r="D397">
            <v>46181</v>
          </cell>
          <cell r="G397" t="str">
            <v>BODY SPLASH IDOLA 120ml &gt; FABIANO 22/01/26</v>
          </cell>
        </row>
        <row r="398">
          <cell r="D398">
            <v>46181</v>
          </cell>
        </row>
        <row r="399">
          <cell r="D399">
            <v>46181</v>
          </cell>
          <cell r="G399" t="str">
            <v>BODY SPLASH IDOLA 120ml &gt; FABIANO 22/01/26</v>
          </cell>
        </row>
        <row r="400">
          <cell r="D400">
            <v>46181</v>
          </cell>
          <cell r="G400" t="str">
            <v>BODY SPLASH IDOLA 120ml &gt; FABIANO 22/01/26</v>
          </cell>
        </row>
        <row r="401">
          <cell r="D401">
            <v>46181</v>
          </cell>
          <cell r="G401" t="str">
            <v>BODY SPLASH IDOLA 120ml &gt; FABIANO 22/01/26</v>
          </cell>
        </row>
        <row r="404">
          <cell r="D404">
            <v>46182</v>
          </cell>
          <cell r="G404" t="str">
            <v>BODY SPLASH IDOLA 120ml &gt; FABIANO 22/01/26</v>
          </cell>
        </row>
        <row r="405">
          <cell r="D405">
            <v>46182</v>
          </cell>
          <cell r="G405" t="str">
            <v>BODY SPLASH IDOLA 120ml &gt; FABIANO 22/01/26</v>
          </cell>
        </row>
        <row r="406">
          <cell r="D406">
            <v>46182</v>
          </cell>
          <cell r="G406" t="str">
            <v>BODY SPLASH IDOLA 120ml &gt; FABIANO 22/01/26</v>
          </cell>
        </row>
        <row r="407">
          <cell r="D407">
            <v>46182</v>
          </cell>
          <cell r="G407" t="str">
            <v>BODY SPLASH IDOLA 120ml &gt; FABIANO 22/01/26</v>
          </cell>
        </row>
        <row r="408">
          <cell r="D408">
            <v>46182</v>
          </cell>
          <cell r="G408" t="str">
            <v>BODY SPLASH IDOLA 120ml &gt; FABIANO 22/01/26</v>
          </cell>
        </row>
        <row r="409">
          <cell r="D409">
            <v>46182</v>
          </cell>
        </row>
        <row r="410">
          <cell r="D410">
            <v>46182</v>
          </cell>
          <cell r="G410" t="str">
            <v>BODY SPLASH IDOLA 120ml &gt; FABIANO 22/01/26</v>
          </cell>
        </row>
        <row r="411">
          <cell r="D411">
            <v>46182</v>
          </cell>
          <cell r="G411" t="str">
            <v>BODY SPLASH IDOLA 120ml &gt; FABIANO 22/01/26</v>
          </cell>
        </row>
        <row r="412">
          <cell r="D412">
            <v>46182</v>
          </cell>
          <cell r="G412" t="str">
            <v>BODY SPLASH IDOLA 120ml &gt; FABIANO 22/01/26</v>
          </cell>
        </row>
        <row r="413">
          <cell r="D413">
            <v>46182</v>
          </cell>
          <cell r="G413" t="str">
            <v>BODY SPLASH IDOLA 120ml &gt; FABIANO 22/01/26</v>
          </cell>
        </row>
        <row r="414">
          <cell r="D414">
            <v>46182</v>
          </cell>
          <cell r="G414" t="str">
            <v>BODY SPLASH IDOLA 120ml &gt; FABIANO 22/01/26</v>
          </cell>
        </row>
        <row r="415">
          <cell r="D415">
            <v>46182</v>
          </cell>
          <cell r="G415" t="str">
            <v>BODY SPLASH IDOLA 120ml &gt; FABIANO 22/01/26</v>
          </cell>
        </row>
        <row r="416">
          <cell r="D416">
            <v>46182</v>
          </cell>
        </row>
        <row r="417">
          <cell r="D417">
            <v>46182</v>
          </cell>
          <cell r="G417" t="str">
            <v>BODY SPLASH IDOLA 120ml &gt; FABIANO 22/01/26</v>
          </cell>
        </row>
        <row r="418">
          <cell r="D418">
            <v>46182</v>
          </cell>
          <cell r="G418" t="str">
            <v>BODY SPLASH IDOLA 120ml &gt; FABIANO 22/01/26</v>
          </cell>
        </row>
        <row r="419">
          <cell r="D419">
            <v>46182</v>
          </cell>
          <cell r="G419" t="str">
            <v>BODY SPLASH IDOLA 120ml &gt; FABIANO 22/01/26</v>
          </cell>
        </row>
        <row r="422">
          <cell r="D422">
            <v>46183</v>
          </cell>
        </row>
        <row r="423">
          <cell r="D423">
            <v>46183</v>
          </cell>
          <cell r="F423" t="str">
            <v>BODY SPLASH JARDIM DO ORIENTE 120ml &gt; FABIANO 22/01/26</v>
          </cell>
        </row>
        <row r="424">
          <cell r="D424">
            <v>46183</v>
          </cell>
          <cell r="F424" t="str">
            <v>BODY SPLASH JARDIM DO ORIENTE 120ml &gt; FABIANO 22/01/26</v>
          </cell>
        </row>
        <row r="425">
          <cell r="D425">
            <v>46183</v>
          </cell>
          <cell r="F425" t="str">
            <v>BODY SPLASH JARDIM DO ORIENTE 120ml &gt; FABIANO 22/01/26</v>
          </cell>
        </row>
        <row r="426">
          <cell r="D426">
            <v>46183</v>
          </cell>
          <cell r="F426" t="str">
            <v>BODY SPLASH JARDIM DO ORIENTE 120ml &gt; FABIANO 22/01/26</v>
          </cell>
        </row>
        <row r="427">
          <cell r="D427">
            <v>46183</v>
          </cell>
          <cell r="F427" t="str">
            <v>BODY SPLASH JARDIM DO ORIENTE 120ml &gt; FABIANO 22/01/26</v>
          </cell>
        </row>
        <row r="428">
          <cell r="D428">
            <v>46183</v>
          </cell>
        </row>
        <row r="429">
          <cell r="D429">
            <v>46183</v>
          </cell>
          <cell r="F429" t="str">
            <v>BODY SPLASH JARDIM DO ORIENTE 120ml &gt; FABIANO 22/01/26</v>
          </cell>
          <cell r="G429" t="str">
            <v>BODY SPLASH IDOLA 120ml &gt; FABIANO 22/01/26</v>
          </cell>
        </row>
        <row r="430">
          <cell r="D430">
            <v>46183</v>
          </cell>
          <cell r="F430" t="str">
            <v>BODY SPLASH JARDIM DO ORIENTE 120ml &gt; FABIANO 22/01/26</v>
          </cell>
          <cell r="G430" t="str">
            <v>BODY SPLASH IDOLA 120ml &gt; FABIANO 22/01/26</v>
          </cell>
        </row>
        <row r="431">
          <cell r="D431">
            <v>46183</v>
          </cell>
          <cell r="F431" t="str">
            <v>BODY SPLASH NOITE DE AMBAR 120ml &gt; FABIANO 22/01/26</v>
          </cell>
          <cell r="G431" t="str">
            <v>BODY SPLASH NOITE DE AMBAR 120ml &gt; FABIANO 22/01/26</v>
          </cell>
        </row>
        <row r="432">
          <cell r="D432">
            <v>46183</v>
          </cell>
          <cell r="F432" t="str">
            <v>BODY SPLASH NOITE DE AMBAR 120ml &gt; FABIANO 22/01/26</v>
          </cell>
          <cell r="G432" t="str">
            <v>BODY SPLASH NOITE DE AMBAR 120ml &gt; FABIANO 22/01/26</v>
          </cell>
        </row>
        <row r="433">
          <cell r="D433">
            <v>46183</v>
          </cell>
        </row>
        <row r="434">
          <cell r="D434">
            <v>46183</v>
          </cell>
        </row>
        <row r="435">
          <cell r="D435">
            <v>46183</v>
          </cell>
        </row>
        <row r="436">
          <cell r="D436">
            <v>46183</v>
          </cell>
        </row>
        <row r="437">
          <cell r="D437">
            <v>46183</v>
          </cell>
        </row>
        <row r="440">
          <cell r="D440">
            <v>46184</v>
          </cell>
        </row>
        <row r="441">
          <cell r="D441">
            <v>46184</v>
          </cell>
          <cell r="F441" t="str">
            <v>BODY SPLASH NOITE DE AMBAR 120ml &gt; FABIANO 22/01/26</v>
          </cell>
          <cell r="G441" t="str">
            <v>BODY SPLASH NOITE DE AMBAR 120ml &gt; FABIANO 22/01/26</v>
          </cell>
        </row>
        <row r="442">
          <cell r="D442">
            <v>46184</v>
          </cell>
          <cell r="F442" t="str">
            <v>BODY SPLASH NOITE DE AMBAR 120ml &gt; FABIANO 22/01/26</v>
          </cell>
          <cell r="G442" t="str">
            <v>BODY SPLASH NOITE DE AMBAR 120ml &gt; FABIANO 22/01/26</v>
          </cell>
        </row>
        <row r="443">
          <cell r="D443">
            <v>46184</v>
          </cell>
          <cell r="F443" t="str">
            <v>BODY SPLASH NOITE DE AMBAR 120ml &gt; FABIANO 22/01/26</v>
          </cell>
          <cell r="G443" t="str">
            <v>BODY SPLASH NOITE DE AMBAR 120ml &gt; FABIANO 22/01/26</v>
          </cell>
        </row>
        <row r="444">
          <cell r="D444">
            <v>46184</v>
          </cell>
          <cell r="F444" t="str">
            <v>BODY SPLASH NOITE DE AMBAR 120ml &gt; FABIANO 22/01/26</v>
          </cell>
          <cell r="G444" t="str">
            <v>BODY SPLASH NOITE DE AMBAR 120ml &gt; FABIANO 22/01/26</v>
          </cell>
        </row>
        <row r="445">
          <cell r="D445">
            <v>46184</v>
          </cell>
          <cell r="F445" t="str">
            <v>BODY SPLASH NOITE DE AMBAR 120ml &gt; FABIANO 22/01/26</v>
          </cell>
          <cell r="G445" t="str">
            <v>BODY SPLASH NOITE DE AMBAR 120ml &gt; FABIANO 22/01/26</v>
          </cell>
        </row>
        <row r="446">
          <cell r="D446">
            <v>46184</v>
          </cell>
        </row>
        <row r="447">
          <cell r="D447">
            <v>46184</v>
          </cell>
          <cell r="F447" t="str">
            <v>BODY SPLASH NOITE DE AMBAR 120ml &gt; FABIANO 22/01/26</v>
          </cell>
          <cell r="G447" t="str">
            <v>BODY SPLASH NOITE DE AMBAR 120ml &gt; FABIANO 22/01/26</v>
          </cell>
        </row>
        <row r="448">
          <cell r="D448">
            <v>46184</v>
          </cell>
          <cell r="F448" t="str">
            <v>RE.BODY SPLASH LEAO DO DESERTO BOURBON 200ml &gt; RETRAB 01.2026</v>
          </cell>
          <cell r="G448" t="str">
            <v>BODY SPLASH NOITE DE AMBAR 120ml &gt; FABIANO 22/01/26</v>
          </cell>
        </row>
        <row r="449">
          <cell r="D449">
            <v>46184</v>
          </cell>
          <cell r="F449" t="str">
            <v>RE.BODY SPLASH LEAO DO DESERTO BOURBON 200ml &gt; RETRAB 01.2026</v>
          </cell>
          <cell r="G449" t="str">
            <v>BODY SPLASH NOITE DE AMBAR 120ml &gt; FABIANO 22/01/26</v>
          </cell>
        </row>
        <row r="450">
          <cell r="D450">
            <v>46184</v>
          </cell>
          <cell r="F450" t="str">
            <v>RE.BODY SPLASH LEAO DO DESERTO BOURBON 200ml &gt; RETRAB 01.2026</v>
          </cell>
          <cell r="G450" t="str">
            <v>BODY SPLASH NOITE DE AMBAR 120ml &gt; FABIANO 22/01/26</v>
          </cell>
        </row>
        <row r="451">
          <cell r="D451">
            <v>46184</v>
          </cell>
        </row>
        <row r="452">
          <cell r="D452">
            <v>46184</v>
          </cell>
        </row>
        <row r="453">
          <cell r="D453">
            <v>46184</v>
          </cell>
        </row>
        <row r="454">
          <cell r="D454">
            <v>46184</v>
          </cell>
        </row>
        <row r="455">
          <cell r="D455">
            <v>46184</v>
          </cell>
        </row>
        <row r="457">
          <cell r="D457">
            <v>32308.5</v>
          </cell>
        </row>
        <row r="458">
          <cell r="D458">
            <v>46185</v>
          </cell>
        </row>
        <row r="459">
          <cell r="D459">
            <v>46185</v>
          </cell>
          <cell r="F459" t="str">
            <v>RE.BODY SPLASH LEAO DO DESERTO BOURBON 200ml &gt; RETRAB 01.2026</v>
          </cell>
          <cell r="G459" t="str">
            <v>BODY SPLASH NOITE DE AMBAR 120ml &gt; FABIANO 22/01/26</v>
          </cell>
        </row>
        <row r="460">
          <cell r="D460">
            <v>46185</v>
          </cell>
          <cell r="F460" t="str">
            <v>RE.BODY SPLASH LEAO DO DESERTO BOURBON 200ml &gt; RETRAB 01.2026</v>
          </cell>
          <cell r="G460" t="str">
            <v>BODY SPLASH NOITE DE AMBAR 120ml &gt; FABIANO 22/01/26</v>
          </cell>
        </row>
        <row r="461">
          <cell r="D461">
            <v>46185</v>
          </cell>
          <cell r="F461" t="str">
            <v>RE.BODY SPLASH LEAO DO DESERTO BOURBON 200ml &gt; RETRAB 01.2026</v>
          </cell>
          <cell r="G461" t="str">
            <v>BODY SPLASH DESPERTAR DAS FLORES 200ml &gt; 0008</v>
          </cell>
        </row>
        <row r="462">
          <cell r="D462">
            <v>46185</v>
          </cell>
          <cell r="F462" t="str">
            <v>RE.BODY SPLASH LEAO DO DESERTO BOURBON 200ml &gt; RETRAB 01.2026</v>
          </cell>
          <cell r="G462" t="str">
            <v>BODY SPLASH DESPERTAR DAS FLORES 200ml &gt; 0008</v>
          </cell>
        </row>
        <row r="463">
          <cell r="D463">
            <v>46185</v>
          </cell>
        </row>
        <row r="464">
          <cell r="D464">
            <v>46185</v>
          </cell>
          <cell r="F464" t="str">
            <v>BODY SPLASH FORÇA DO LEAO &gt; 0006</v>
          </cell>
          <cell r="G464" t="str">
            <v>BODY SPLASH DESPERTAR DAS FLORES 200ml &gt; 0008</v>
          </cell>
        </row>
        <row r="465">
          <cell r="D465">
            <v>46185</v>
          </cell>
          <cell r="F465" t="str">
            <v>BODY SPLASH FORÇA DO LEAO &gt; 0006</v>
          </cell>
          <cell r="G465" t="str">
            <v>BODY SPLASH DESPERTAR DAS FLORES 200ml &gt; 0008</v>
          </cell>
        </row>
        <row r="466">
          <cell r="D466">
            <v>46185</v>
          </cell>
          <cell r="F466" t="str">
            <v>BODY SPLASH FORÇA DO LEAO &gt; 0006</v>
          </cell>
          <cell r="G466" t="str">
            <v>BODY SPLASH DESPERTAR DAS FLORES 200ml &gt; 0008</v>
          </cell>
        </row>
        <row r="467">
          <cell r="D467">
            <v>46185</v>
          </cell>
          <cell r="F467" t="str">
            <v>BODY SPLASH FORÇA DO LEAO &gt; 0006</v>
          </cell>
          <cell r="G467" t="str">
            <v>BODY SPLASH DESPERTAR DAS FLORES 200ml &gt; 0008</v>
          </cell>
        </row>
        <row r="468">
          <cell r="D468">
            <v>46185</v>
          </cell>
          <cell r="F468" t="str">
            <v>BODY SPLASH FORÇA DO LEAO &gt; 0006</v>
          </cell>
          <cell r="G468" t="str">
            <v>BODY SPLASH DESPERTAR DAS FLORES 200ml &gt; 0008</v>
          </cell>
        </row>
        <row r="469">
          <cell r="D469">
            <v>46185</v>
          </cell>
        </row>
        <row r="470">
          <cell r="D470">
            <v>46185</v>
          </cell>
        </row>
        <row r="471">
          <cell r="D471">
            <v>46185</v>
          </cell>
        </row>
        <row r="472">
          <cell r="D472">
            <v>46185</v>
          </cell>
        </row>
        <row r="473">
          <cell r="D473">
            <v>46185</v>
          </cell>
        </row>
        <row r="476">
          <cell r="D476">
            <v>46186</v>
          </cell>
        </row>
        <row r="477">
          <cell r="D477">
            <v>46186</v>
          </cell>
        </row>
        <row r="478">
          <cell r="D478">
            <v>46186</v>
          </cell>
        </row>
        <row r="479">
          <cell r="D479">
            <v>46186</v>
          </cell>
        </row>
        <row r="480">
          <cell r="D480">
            <v>46186</v>
          </cell>
        </row>
        <row r="481">
          <cell r="D481">
            <v>46186</v>
          </cell>
        </row>
        <row r="482">
          <cell r="D482">
            <v>46186</v>
          </cell>
        </row>
        <row r="483">
          <cell r="D483">
            <v>46186</v>
          </cell>
        </row>
        <row r="484">
          <cell r="D484">
            <v>46186</v>
          </cell>
        </row>
        <row r="485">
          <cell r="D485">
            <v>46186</v>
          </cell>
        </row>
        <row r="486">
          <cell r="D486">
            <v>46186</v>
          </cell>
        </row>
        <row r="487">
          <cell r="D487">
            <v>46186</v>
          </cell>
        </row>
        <row r="488">
          <cell r="D488">
            <v>46186</v>
          </cell>
        </row>
        <row r="489">
          <cell r="D489">
            <v>46186</v>
          </cell>
        </row>
        <row r="490">
          <cell r="D490">
            <v>46186</v>
          </cell>
        </row>
        <row r="491">
          <cell r="D491">
            <v>46186</v>
          </cell>
        </row>
        <row r="494">
          <cell r="D494">
            <v>46187</v>
          </cell>
        </row>
        <row r="495">
          <cell r="D495">
            <v>46187</v>
          </cell>
        </row>
        <row r="496">
          <cell r="D496">
            <v>46187</v>
          </cell>
        </row>
        <row r="497">
          <cell r="D497">
            <v>46187</v>
          </cell>
        </row>
        <row r="498">
          <cell r="D498">
            <v>46187</v>
          </cell>
        </row>
        <row r="499">
          <cell r="D499">
            <v>46187</v>
          </cell>
        </row>
        <row r="500">
          <cell r="D500">
            <v>46187</v>
          </cell>
        </row>
        <row r="501">
          <cell r="D501">
            <v>46187</v>
          </cell>
        </row>
        <row r="502">
          <cell r="D502">
            <v>46187</v>
          </cell>
        </row>
        <row r="503">
          <cell r="D503">
            <v>46187</v>
          </cell>
        </row>
        <row r="504">
          <cell r="D504">
            <v>46187</v>
          </cell>
        </row>
        <row r="505">
          <cell r="D505">
            <v>46187</v>
          </cell>
        </row>
        <row r="506">
          <cell r="D506">
            <v>46187</v>
          </cell>
        </row>
        <row r="507">
          <cell r="D507">
            <v>46187</v>
          </cell>
        </row>
        <row r="508">
          <cell r="D508">
            <v>46187</v>
          </cell>
        </row>
        <row r="509">
          <cell r="D509">
            <v>46187</v>
          </cell>
        </row>
        <row r="512">
          <cell r="D512">
            <v>46188</v>
          </cell>
          <cell r="F512" t="str">
            <v>BODY SPLASH DESPERTAR DAS FLORES 200ml &gt; 0008</v>
          </cell>
          <cell r="G512" t="str">
            <v>BODY SPLASH FORÇA DO LEAO &gt; 0006</v>
          </cell>
        </row>
        <row r="513">
          <cell r="D513">
            <v>46188</v>
          </cell>
          <cell r="F513" t="str">
            <v>BODY SPLASH DESPERTAR DAS FLORES 200ml &gt; 0008</v>
          </cell>
          <cell r="G513" t="str">
            <v>BODY SPLASH FORÇA DO LEAO &gt; 0006</v>
          </cell>
        </row>
        <row r="514">
          <cell r="D514">
            <v>46188</v>
          </cell>
          <cell r="F514" t="str">
            <v>BODY SPLASH DESPERTAR DAS FLORES 200ml &gt; 0008</v>
          </cell>
          <cell r="G514" t="str">
            <v>BODY SPLASH FORÇA DO LEAO &gt; 0006</v>
          </cell>
        </row>
        <row r="515">
          <cell r="D515">
            <v>46188</v>
          </cell>
          <cell r="F515" t="str">
            <v>BODY SPLASH DESPERTAR DAS FLORES 200ml &gt; 0008</v>
          </cell>
          <cell r="G515" t="str">
            <v>BODY SPLASH FORÇA DO LEAO &gt; 0006</v>
          </cell>
        </row>
        <row r="516">
          <cell r="D516">
            <v>46188</v>
          </cell>
          <cell r="F516" t="str">
            <v>BODY SPLASH FLOR D AURA 200ml &gt; 0008</v>
          </cell>
          <cell r="G516" t="str">
            <v>BODY SPLASH FORÇA DO LEAO &gt; 0006</v>
          </cell>
        </row>
        <row r="517">
          <cell r="D517">
            <v>46188</v>
          </cell>
        </row>
        <row r="518">
          <cell r="D518">
            <v>46188</v>
          </cell>
          <cell r="F518" t="str">
            <v>BODY SPLASH FLOR D AURA 200ml &gt; 0008</v>
          </cell>
          <cell r="G518" t="str">
            <v>BODY SPLASH FORÇA DO LEAO &gt; 0006</v>
          </cell>
        </row>
        <row r="519">
          <cell r="D519">
            <v>46188</v>
          </cell>
          <cell r="F519" t="str">
            <v>BODY SPLASH FLOR D AURA 200ml &gt; 0008</v>
          </cell>
          <cell r="G519" t="str">
            <v>BODY SPLASH FORÇA DO LEAO &gt; 0006</v>
          </cell>
        </row>
        <row r="520">
          <cell r="D520">
            <v>46188</v>
          </cell>
          <cell r="F520" t="str">
            <v>BODY SPLASH FLOR D AURA 200ml &gt; 0008</v>
          </cell>
          <cell r="G520" t="str">
            <v>BODY SPLASH FORÇA DO LEAO &gt; 0006</v>
          </cell>
        </row>
        <row r="521">
          <cell r="D521">
            <v>46188</v>
          </cell>
          <cell r="F521" t="str">
            <v>BODY SPLASH LINDA VIDA 120ml &gt; FABIANO 22/01/26</v>
          </cell>
          <cell r="G521" t="str">
            <v>BODY SPLASH FORÇA DO LEAO &gt; 0006</v>
          </cell>
        </row>
        <row r="522">
          <cell r="D522">
            <v>46188</v>
          </cell>
          <cell r="F522" t="str">
            <v>BODY SPLASH LINDA VIDA 120ml &gt; FABIANO 22/01/26</v>
          </cell>
          <cell r="G522" t="str">
            <v>BODY SPLASH FORÇA DO LEAO &gt; 0006</v>
          </cell>
        </row>
        <row r="523">
          <cell r="D523">
            <v>46188</v>
          </cell>
          <cell r="F523" t="str">
            <v>BODY SPLASH LINDA VIDA 120ml &gt; FABIANO 22/01/26</v>
          </cell>
          <cell r="G523" t="str">
            <v>BODY SPLASH FORÇA DO LEAO &gt; 0006</v>
          </cell>
        </row>
        <row r="524">
          <cell r="D524">
            <v>46188</v>
          </cell>
        </row>
        <row r="525">
          <cell r="D525">
            <v>46188</v>
          </cell>
          <cell r="F525" t="str">
            <v>BODY SPLASH LINDA VIDA 120ml &gt; FABIANO 22/01/26</v>
          </cell>
          <cell r="G525" t="str">
            <v>BODY SPLASH FORÇA DO LEAO &gt; 0006</v>
          </cell>
        </row>
        <row r="526">
          <cell r="D526">
            <v>46188</v>
          </cell>
          <cell r="F526" t="str">
            <v>BODY SPLASH LINDA VIDA 120ml &gt; FABIANO 22/01/26</v>
          </cell>
          <cell r="G526" t="str">
            <v>BODY SPLASH LINDA VIDA 120ml &gt; FABIANO 22/01/26</v>
          </cell>
        </row>
        <row r="527">
          <cell r="D527">
            <v>46188</v>
          </cell>
          <cell r="F527" t="str">
            <v>BODY SPLASH LINDA VIDA 120ml &gt; FABIANO 22/01/26</v>
          </cell>
          <cell r="G527" t="str">
            <v>BODY SPLASH LINDA VIDA 120ml &gt; FABIANO 22/01/26</v>
          </cell>
        </row>
        <row r="530">
          <cell r="D530">
            <v>46189</v>
          </cell>
          <cell r="F530" t="str">
            <v>BODY SPLASH LINDA VIDA 120ml &gt; FABIANO 22/01/26</v>
          </cell>
          <cell r="G530" t="str">
            <v>BODY SPLASH LINDA VIDA 120ml &gt; FABIANO 22/01/26</v>
          </cell>
        </row>
        <row r="531">
          <cell r="D531">
            <v>46189</v>
          </cell>
          <cell r="F531" t="str">
            <v>BODY SPLASH LINDA VIDA 120ml &gt; FABIANO 22/01/26</v>
          </cell>
          <cell r="G531" t="str">
            <v>BODY SPLASH LINDA VIDA 120ml &gt; FABIANO 22/01/26</v>
          </cell>
        </row>
        <row r="532">
          <cell r="D532">
            <v>46189</v>
          </cell>
          <cell r="F532" t="str">
            <v>BODY SPLASH LINDA VIDA 120ml &gt; FABIANO 22/01/26</v>
          </cell>
          <cell r="G532" t="str">
            <v>BODY SPLASH LINDA VIDA 120ml &gt; FABIANO 22/01/26</v>
          </cell>
        </row>
        <row r="533">
          <cell r="D533">
            <v>46189</v>
          </cell>
          <cell r="F533" t="str">
            <v>BODY SPLASH LINDA VIDA 120ml &gt; FABIANO 22/01/26</v>
          </cell>
          <cell r="G533" t="str">
            <v>BODY SPLASH LINDA VIDA 120ml &gt; FABIANO 22/01/26</v>
          </cell>
        </row>
        <row r="534">
          <cell r="D534">
            <v>46189</v>
          </cell>
          <cell r="F534" t="str">
            <v>BODY SPLASH LINDA VIDA 120ml &gt; FABIANO 22/01/26</v>
          </cell>
          <cell r="G534" t="str">
            <v>BODY SPLASH LINDA VIDA 120ml &gt; FABIANO 22/01/26</v>
          </cell>
        </row>
        <row r="535">
          <cell r="D535">
            <v>46189</v>
          </cell>
        </row>
        <row r="536">
          <cell r="D536">
            <v>46189</v>
          </cell>
          <cell r="F536" t="str">
            <v>BODY SPLASH LINDA VIDA 120ml &gt; FABIANO 22/01/26</v>
          </cell>
          <cell r="G536" t="str">
            <v>BODY SPLASH LINDA VIDA 120ml &gt; FABIANO 22/01/26</v>
          </cell>
        </row>
        <row r="537">
          <cell r="D537">
            <v>46189</v>
          </cell>
          <cell r="F537" t="str">
            <v>FIXADOR FIX MATTE 120ml - 2 &gt; FABIANO 03/02/26</v>
          </cell>
          <cell r="G537" t="str">
            <v>FIXADOR FIX MATTE 120ml - 2 &gt; FABIANO 03/02/26</v>
          </cell>
        </row>
        <row r="538">
          <cell r="D538">
            <v>46189</v>
          </cell>
          <cell r="F538" t="str">
            <v>FIXADOR FIX MATTE 120ml - 2 &gt; FABIANO 03/02/26</v>
          </cell>
          <cell r="G538" t="str">
            <v>FIXADOR FIX MATTE 120ml - 2 &gt; FABIANO 03/02/26</v>
          </cell>
        </row>
        <row r="539">
          <cell r="D539">
            <v>46189</v>
          </cell>
          <cell r="F539" t="str">
            <v>FIXADOR FIX MATTE 120ml - 2 &gt; FABIANO 03/02/26</v>
          </cell>
          <cell r="G539" t="str">
            <v>FIXADOR FIX MATTE 120ml - 2 &gt; FABIANO 03/02/26</v>
          </cell>
        </row>
        <row r="540">
          <cell r="D540">
            <v>46189</v>
          </cell>
          <cell r="F540" t="str">
            <v>FIXADOR FIX MATTE 120ml - 2 &gt; FABIANO 03/02/26</v>
          </cell>
          <cell r="G540" t="str">
            <v>FIXADOR FIX MATTE 120ml - 2 &gt; FABIANO 03/02/26</v>
          </cell>
        </row>
        <row r="541">
          <cell r="D541">
            <v>46189</v>
          </cell>
          <cell r="F541" t="str">
            <v>FIXADOR FIX MATTE 120ml - 2 &gt; FABIANO 03/02/26</v>
          </cell>
          <cell r="G541" t="str">
            <v>FIXADOR FIX MATTE 120ml - 2 &gt; FABIANO 03/02/26</v>
          </cell>
        </row>
        <row r="542">
          <cell r="D542">
            <v>46189</v>
          </cell>
        </row>
        <row r="543">
          <cell r="D543">
            <v>46189</v>
          </cell>
          <cell r="F543" t="str">
            <v>FIXADOR FIX MATTE 120ml - 2 &gt; FABIANO 03/02/26</v>
          </cell>
          <cell r="G543" t="str">
            <v>FIXADOR FIX MATTE 120ml - 2 &gt; FABIANO 03/02/26</v>
          </cell>
        </row>
        <row r="544">
          <cell r="D544">
            <v>46189</v>
          </cell>
          <cell r="F544" t="str">
            <v>FIXADOR FIX MATTE 120ml - 2 &gt; FABIANO 03/02/26</v>
          </cell>
          <cell r="G544" t="str">
            <v>FIXADOR FIX MATTE 120ml - 2 &gt; FABIANO 03/02/26</v>
          </cell>
        </row>
        <row r="545">
          <cell r="D545">
            <v>46189</v>
          </cell>
          <cell r="F545" t="str">
            <v>FIXADOR FIX MATTE 120ml - 2 &gt; FABIANO 03/02/26</v>
          </cell>
          <cell r="G545" t="str">
            <v>FIXADOR FIX MATTE 120ml - 2 &gt; FABIANO 03/02/26</v>
          </cell>
        </row>
        <row r="548">
          <cell r="D548">
            <v>46190</v>
          </cell>
          <cell r="F548" t="str">
            <v>RE.BODY SPLASH LEAO DO DESERTO BOURBON 200ml &gt; RETRAB 01.2026</v>
          </cell>
          <cell r="G548" t="str">
            <v>FIXADOR FIX MATTE 120ml - 2 &gt; FABIANO 03/02/26</v>
          </cell>
        </row>
        <row r="549">
          <cell r="D549">
            <v>46190</v>
          </cell>
          <cell r="G549" t="str">
            <v>FIXADOR FIX MATTE 120ml - 2 &gt; FABIANO 03/02/26</v>
          </cell>
        </row>
        <row r="550">
          <cell r="D550">
            <v>46190</v>
          </cell>
          <cell r="G550" t="str">
            <v>FIXADOR FIX MATTE 120ml - 2 &gt; FABIANO 03/02/26</v>
          </cell>
        </row>
        <row r="551">
          <cell r="D551">
            <v>46190</v>
          </cell>
          <cell r="F551" t="str">
            <v>BODY SPLASH LINDA VIDA 120ml &gt; FABIANO 22/01/26</v>
          </cell>
          <cell r="G551" t="str">
            <v>FIXADOR FIX MATTE 120ml - 2 &gt; FABIANO 03/02/26</v>
          </cell>
        </row>
        <row r="552">
          <cell r="D552">
            <v>46190</v>
          </cell>
          <cell r="F552" t="str">
            <v>BODY SPLASH LINDA VIDA 120ml &gt; FABIANO 22/01/26</v>
          </cell>
          <cell r="G552" t="str">
            <v>FIXADOR FIX MATTE 120ml - 2 &gt; FABIANO 03/02/26</v>
          </cell>
        </row>
        <row r="553">
          <cell r="D553">
            <v>46190</v>
          </cell>
        </row>
        <row r="554">
          <cell r="D554">
            <v>46190</v>
          </cell>
          <cell r="F554" t="str">
            <v>BODY SPLASH LINDA VIDA 120ml &gt; FABIANO 22/01/26</v>
          </cell>
          <cell r="G554" t="str">
            <v>FIXADOR FIX MATTE 120ml - 2 &gt; FABIANO 03/02/26</v>
          </cell>
        </row>
        <row r="555">
          <cell r="D555">
            <v>46190</v>
          </cell>
          <cell r="F555" t="str">
            <v>BODY SPLASH MATTE SORVETE DE BAUNILHA &gt; 0007</v>
          </cell>
          <cell r="G555" t="str">
            <v>FIXADOR FIX MATTE 120ml - 2 &gt; FABIANO 03/02/26</v>
          </cell>
        </row>
        <row r="556">
          <cell r="D556">
            <v>46190</v>
          </cell>
          <cell r="F556" t="str">
            <v>BODY SPLASH MATTE SORVETE DE BAUNILHA &gt; 0007</v>
          </cell>
          <cell r="G556" t="str">
            <v>FIXADOR FIX MATTE 120ml - 2 &gt; FABIANO 03/02/26</v>
          </cell>
        </row>
        <row r="557">
          <cell r="D557">
            <v>46190</v>
          </cell>
          <cell r="F557" t="str">
            <v>BODY SPLASH MATTE SORVETE DE BAUNILHA &gt; 0007</v>
          </cell>
          <cell r="G557" t="str">
            <v>FIXADOR FIX MATTE 120ml - 2 &gt; FABIANO 03/02/26</v>
          </cell>
        </row>
        <row r="558">
          <cell r="D558">
            <v>46190</v>
          </cell>
          <cell r="F558" t="str">
            <v>BODY SPLASH MATTE SORVETE DE BAUNILHA &gt; 0007</v>
          </cell>
          <cell r="G558" t="str">
            <v>FIXADOR FIX MATTE 120ml - 2 &gt; FABIANO 03/02/26</v>
          </cell>
        </row>
        <row r="559">
          <cell r="D559">
            <v>46190</v>
          </cell>
          <cell r="F559" t="str">
            <v>BODY SPLASH MATTE SORVETE DE BAUNILHA &gt; 0007</v>
          </cell>
          <cell r="G559" t="str">
            <v>FIXADOR FIX MATTE 120ml - 2 &gt; FABIANO 03/02/26</v>
          </cell>
        </row>
        <row r="560">
          <cell r="D560">
            <v>46190</v>
          </cell>
        </row>
        <row r="561">
          <cell r="D561">
            <v>46190</v>
          </cell>
          <cell r="F561" t="str">
            <v>BODY SPLASH MATTE SORVETE DE BAUNILHA &gt; 0007</v>
          </cell>
          <cell r="G561" t="str">
            <v>FIXADOR FIX MATTE 120ml - 2 &gt; FABIANO 03/02/26</v>
          </cell>
        </row>
        <row r="562">
          <cell r="D562">
            <v>46190</v>
          </cell>
          <cell r="F562" t="str">
            <v>BODY SPLASH MATTE SORVETE DE BAUNILHA &gt; 0007</v>
          </cell>
          <cell r="G562" t="str">
            <v>FIXADOR FIX MATTE 120ml - 2 &gt; FABIANO 03/02/26</v>
          </cell>
        </row>
        <row r="563">
          <cell r="D563">
            <v>46190</v>
          </cell>
          <cell r="F563" t="str">
            <v>BODY SPLASH MATTE SORVETE DE BAUNILHA &gt; 0007</v>
          </cell>
          <cell r="G563" t="str">
            <v>FIXADOR FIX MATTE 120ml - 2 &gt; FABIANO 03/02/26</v>
          </cell>
        </row>
        <row r="566">
          <cell r="D566">
            <v>46191</v>
          </cell>
          <cell r="F566" t="str">
            <v>BODY SPLASH MATTE SORVETE DE BAUNILHA &gt; 0007</v>
          </cell>
          <cell r="G566" t="str">
            <v>FIXADOR FIX MATTE 120ml - 2 &gt; FABIANO 03/02/26</v>
          </cell>
        </row>
        <row r="567">
          <cell r="D567">
            <v>46191</v>
          </cell>
          <cell r="F567" t="str">
            <v>BODY SPLASH MATTE SORVETE DE BAUNILHA &gt; 0007</v>
          </cell>
          <cell r="G567" t="str">
            <v>FIXADOR FIX MATTE 120ml - 2 &gt; FABIANO 03/02/26</v>
          </cell>
        </row>
        <row r="568">
          <cell r="D568">
            <v>46191</v>
          </cell>
          <cell r="F568" t="str">
            <v>BODY SPLASH MATTE SORVETE DE BAUNILHA &gt; 0007</v>
          </cell>
          <cell r="G568" t="str">
            <v>FIXADOR FIX MATTE 120ml - 2 &gt; FABIANO 03/02/26</v>
          </cell>
        </row>
        <row r="569">
          <cell r="D569">
            <v>46191</v>
          </cell>
          <cell r="F569" t="str">
            <v>BODY SPLASH MATTE SORVETE DE BAUNILHA &gt; 0007</v>
          </cell>
          <cell r="G569" t="str">
            <v>FIXADOR FIX MATTE 120ml - 2 &gt; FABIANO 03/02/26</v>
          </cell>
        </row>
        <row r="570">
          <cell r="D570">
            <v>46191</v>
          </cell>
          <cell r="F570" t="str">
            <v>BODY SPLASH MATTE SORVETE DE BAUNILHA &gt; 0007</v>
          </cell>
          <cell r="G570" t="str">
            <v>FIXADOR FIX MATTE 120ml - 2 &gt; FABIANO 03/02/26</v>
          </cell>
        </row>
        <row r="571">
          <cell r="D571">
            <v>46191</v>
          </cell>
        </row>
        <row r="572">
          <cell r="D572">
            <v>46191</v>
          </cell>
          <cell r="F572" t="str">
            <v>BODY SPLASH MATTE SORVETE DE BAUNILHA &gt; 0007</v>
          </cell>
          <cell r="G572" t="str">
            <v>FIXADOR FIX MATTE 120ml - 2 &gt; FABIANO 03/02/26</v>
          </cell>
        </row>
        <row r="573">
          <cell r="D573">
            <v>46191</v>
          </cell>
          <cell r="F573" t="str">
            <v>BODY SPLASH MATTE SORVETE DE BAUNILHA &gt; 0007</v>
          </cell>
          <cell r="G573" t="str">
            <v>FIXADOR FIX MATTE 120ml - 2 &gt; FABIANO 03/02/26</v>
          </cell>
        </row>
        <row r="574">
          <cell r="D574">
            <v>46191</v>
          </cell>
          <cell r="F574" t="str">
            <v>BODY SPLASH MATTE SORVETE DE BAUNILHA &gt; 0007</v>
          </cell>
          <cell r="G574" t="str">
            <v>FIXADOR FIX MATTE 120ml - 2 &gt; FABIANO 03/02/26</v>
          </cell>
        </row>
        <row r="575">
          <cell r="D575">
            <v>46191</v>
          </cell>
          <cell r="F575" t="str">
            <v>BODY SPLASH MATTE SORVETE DE BAUNILHA &gt; 0007</v>
          </cell>
          <cell r="G575" t="str">
            <v>FIXADOR FIX MATTE 120ml - 2 &gt; FABIANO 03/02/26</v>
          </cell>
        </row>
        <row r="576">
          <cell r="D576">
            <v>46191</v>
          </cell>
          <cell r="F576" t="str">
            <v>BODY SPLASH MATTE SORVETE DE BAUNILHA &gt; 0007</v>
          </cell>
          <cell r="G576" t="str">
            <v>FIXADOR FIX MATTE 120ml - 2 &gt; FABIANO 03/02/26</v>
          </cell>
        </row>
        <row r="577">
          <cell r="D577">
            <v>46191</v>
          </cell>
          <cell r="F577" t="str">
            <v>BODY SPLASH MATTE DOCE SEDUÇÃO &gt; 0007</v>
          </cell>
          <cell r="G577" t="str">
            <v>FIXADOR FIX MATTE 120ml - 2 &gt; FABIANO 03/02/26</v>
          </cell>
        </row>
        <row r="578">
          <cell r="D578">
            <v>46191</v>
          </cell>
        </row>
        <row r="579">
          <cell r="D579">
            <v>46191</v>
          </cell>
          <cell r="F579" t="str">
            <v>BODY SPLASH MATTE DOCE SEDUÇÃO &gt; 0007</v>
          </cell>
          <cell r="G579" t="str">
            <v>FIXADOR FIX MATTE 120ml - 2 &gt; FABIANO 03/02/26</v>
          </cell>
        </row>
        <row r="580">
          <cell r="D580">
            <v>46191</v>
          </cell>
          <cell r="F580" t="str">
            <v>BODY SPLASH MATTE DOCE SEDUÇÃO &gt; 0007</v>
          </cell>
          <cell r="G580" t="str">
            <v>FIXADOR FIX MATTE 120ml - 2 &gt; FABIANO 03/02/26</v>
          </cell>
        </row>
        <row r="581">
          <cell r="D581">
            <v>46191</v>
          </cell>
          <cell r="F581" t="str">
            <v>BODY SPLASH MATTE DOCE SEDUÇÃO &gt; 0007</v>
          </cell>
          <cell r="G581" t="str">
            <v>FIXADOR FIX MATTE 120ml - 2 &gt; FABIANO 03/02/26</v>
          </cell>
        </row>
        <row r="583">
          <cell r="D583">
            <v>46759</v>
          </cell>
        </row>
        <row r="584">
          <cell r="D584">
            <v>46192</v>
          </cell>
          <cell r="F584" t="str">
            <v>BODY SPLASH MATTE DOCE SEDUÇÃO &gt; 0007</v>
          </cell>
          <cell r="G584" t="str">
            <v>FIXADOR FIX MATTE 120ml - 2 &gt; FABIANO 03/02/26</v>
          </cell>
        </row>
        <row r="585">
          <cell r="D585">
            <v>46192</v>
          </cell>
          <cell r="F585" t="str">
            <v>BODY SPLASH MATTE DOCE SEDUÇÃO &gt; 0007</v>
          </cell>
          <cell r="G585" t="str">
            <v>FIXADOR FIX MATTE 120ml - 2 &gt; FABIANO 03/02/26</v>
          </cell>
        </row>
        <row r="586">
          <cell r="D586">
            <v>46192</v>
          </cell>
          <cell r="F586" t="str">
            <v>BODY SPLASH MATTE DOCE SEDUÇÃO &gt; 0007</v>
          </cell>
          <cell r="G586" t="str">
            <v>FIXADOR FIX MATTE 120ml - 2 &gt; FABIANO 03/02/26</v>
          </cell>
        </row>
        <row r="587">
          <cell r="D587">
            <v>46192</v>
          </cell>
          <cell r="F587" t="str">
            <v>BODY SPLASH MATTE DOCE SEDUÇÃO &gt; 0007</v>
          </cell>
          <cell r="G587" t="str">
            <v>FIXADOR FIX MATTE 120ml - 2 &gt; FABIANO 03/02/26</v>
          </cell>
        </row>
        <row r="588">
          <cell r="D588">
            <v>46192</v>
          </cell>
          <cell r="F588" t="str">
            <v>BODY SPLASH MATTE DOCE SEDUÇÃO &gt; 0007</v>
          </cell>
          <cell r="G588" t="str">
            <v>FIXADOR FIX MATTE 120ml - 2 &gt; FABIANO 03/02/26</v>
          </cell>
        </row>
        <row r="589">
          <cell r="D589">
            <v>46192</v>
          </cell>
        </row>
        <row r="590">
          <cell r="D590">
            <v>46192</v>
          </cell>
          <cell r="F590" t="str">
            <v>BODY SPLASH MATTE DOCE SEDUÇÃO &gt; 0007</v>
          </cell>
          <cell r="G590" t="str">
            <v>FIXADOR FIX MATTE 120ml - 2 &gt; FABIANO 03/02/26</v>
          </cell>
        </row>
        <row r="591">
          <cell r="D591">
            <v>46192</v>
          </cell>
          <cell r="F591" t="str">
            <v>BODY SPLASH MATTE DOCE SEDUÇÃO &gt; 0007</v>
          </cell>
          <cell r="G591" t="str">
            <v>FIXADOR FIX MATTE 120ml - 2 &gt; FABIANO 03/02/26</v>
          </cell>
        </row>
        <row r="592">
          <cell r="D592">
            <v>46192</v>
          </cell>
          <cell r="F592" t="str">
            <v>BODY SPLASH MATTE DOCE SEDUÇÃO &gt; 0007</v>
          </cell>
          <cell r="G592" t="str">
            <v>FIXADOR FIX MATTE 120ml - 2 &gt; FABIANO 03/02/26</v>
          </cell>
        </row>
        <row r="593">
          <cell r="D593">
            <v>46192</v>
          </cell>
          <cell r="F593" t="str">
            <v>BODY SPLASH MATTE DOCE SEDUÇÃO &gt; 0007</v>
          </cell>
          <cell r="G593" t="str">
            <v>FIXADOR FIX MATTE 120ml - 2 &gt; FABIANO 03/02/26</v>
          </cell>
        </row>
        <row r="594">
          <cell r="D594">
            <v>46192</v>
          </cell>
          <cell r="F594" t="str">
            <v>BODY SPLASH MATTE DOCE SEDUÇÃO &gt; 0007</v>
          </cell>
          <cell r="G594" t="str">
            <v>BODY SPLASH FORÇA DO LEAO &gt; 0012</v>
          </cell>
        </row>
        <row r="595">
          <cell r="D595">
            <v>46192</v>
          </cell>
          <cell r="F595" t="str">
            <v>BODY SPLASH MATTE DOCE SEDUÇÃO &gt; 0007</v>
          </cell>
          <cell r="G595" t="str">
            <v>BODY SPLASH FORÇA DO LEAO &gt; 0012</v>
          </cell>
        </row>
        <row r="596">
          <cell r="D596">
            <v>46192</v>
          </cell>
        </row>
        <row r="597">
          <cell r="D597">
            <v>46192</v>
          </cell>
          <cell r="F597" t="str">
            <v>BODY SPLASH MATTE DOCE SEDUÇÃO &gt; 0007</v>
          </cell>
          <cell r="G597" t="str">
            <v>BODY SPLASH FORÇA DO LEAO &gt; 0012</v>
          </cell>
        </row>
        <row r="598">
          <cell r="D598">
            <v>46192</v>
          </cell>
          <cell r="F598" t="str">
            <v>BODY SPLASH MATTE DOCE SEDUÇÃO &gt; 0007</v>
          </cell>
          <cell r="G598" t="str">
            <v>BODY SPLASH FORÇA DO LEAO &gt; 0012</v>
          </cell>
        </row>
        <row r="599">
          <cell r="D599">
            <v>46192</v>
          </cell>
          <cell r="F599" t="str">
            <v>BODY SPLASH MATTE DOCE SEDUÇÃO &gt; 0007</v>
          </cell>
          <cell r="G599" t="str">
            <v>BODY SPLASH FORÇA DO LEAO &gt; 0012</v>
          </cell>
        </row>
        <row r="602">
          <cell r="D602">
            <v>46193</v>
          </cell>
        </row>
        <row r="603">
          <cell r="D603">
            <v>46193</v>
          </cell>
        </row>
        <row r="604">
          <cell r="D604">
            <v>46193</v>
          </cell>
        </row>
        <row r="605">
          <cell r="D605">
            <v>46193</v>
          </cell>
        </row>
        <row r="606">
          <cell r="D606">
            <v>46193</v>
          </cell>
        </row>
        <row r="607">
          <cell r="D607">
            <v>46193</v>
          </cell>
        </row>
        <row r="608">
          <cell r="D608">
            <v>46193</v>
          </cell>
        </row>
        <row r="609">
          <cell r="D609">
            <v>46193</v>
          </cell>
        </row>
        <row r="610">
          <cell r="D610">
            <v>46193</v>
          </cell>
        </row>
        <row r="611">
          <cell r="D611">
            <v>46193</v>
          </cell>
        </row>
        <row r="612">
          <cell r="D612">
            <v>46193</v>
          </cell>
        </row>
        <row r="613">
          <cell r="D613">
            <v>46193</v>
          </cell>
        </row>
        <row r="614">
          <cell r="D614">
            <v>46193</v>
          </cell>
        </row>
        <row r="615">
          <cell r="D615">
            <v>46193</v>
          </cell>
        </row>
        <row r="616">
          <cell r="D616">
            <v>46193</v>
          </cell>
        </row>
        <row r="617">
          <cell r="D617">
            <v>46193</v>
          </cell>
        </row>
        <row r="620">
          <cell r="D620">
            <v>46194</v>
          </cell>
        </row>
        <row r="621">
          <cell r="D621">
            <v>46194</v>
          </cell>
        </row>
        <row r="622">
          <cell r="D622">
            <v>46194</v>
          </cell>
        </row>
        <row r="623">
          <cell r="D623">
            <v>46194</v>
          </cell>
        </row>
        <row r="624">
          <cell r="D624">
            <v>46194</v>
          </cell>
        </row>
        <row r="625">
          <cell r="D625">
            <v>46194</v>
          </cell>
        </row>
        <row r="626">
          <cell r="D626">
            <v>46194</v>
          </cell>
        </row>
        <row r="627">
          <cell r="D627">
            <v>46194</v>
          </cell>
        </row>
        <row r="628">
          <cell r="D628">
            <v>46194</v>
          </cell>
        </row>
        <row r="629">
          <cell r="D629">
            <v>46194</v>
          </cell>
        </row>
        <row r="630">
          <cell r="D630">
            <v>46194</v>
          </cell>
        </row>
        <row r="631">
          <cell r="D631">
            <v>46194</v>
          </cell>
        </row>
        <row r="632">
          <cell r="D632">
            <v>46194</v>
          </cell>
        </row>
        <row r="633">
          <cell r="D633">
            <v>46194</v>
          </cell>
        </row>
        <row r="634">
          <cell r="D634">
            <v>46194</v>
          </cell>
        </row>
        <row r="635">
          <cell r="D635">
            <v>46194</v>
          </cell>
        </row>
        <row r="638">
          <cell r="D638">
            <v>46195</v>
          </cell>
        </row>
        <row r="639">
          <cell r="D639">
            <v>46195</v>
          </cell>
          <cell r="F639" t="str">
            <v>BODY SPLASH MATTE DOCE SEDUÇÃO &gt; 0007</v>
          </cell>
          <cell r="G639" t="str">
            <v>BODY SPLASH MATTE OITAVA MARAVILHA &gt; 0007</v>
          </cell>
        </row>
        <row r="640">
          <cell r="D640">
            <v>46195</v>
          </cell>
          <cell r="F640" t="str">
            <v>BODY SPLASH MATTE DOCE SEDUÇÃO &gt; 0007</v>
          </cell>
          <cell r="G640" t="str">
            <v>BODY SPLASH MATTE OITAVA MARAVILHA &gt; 0007</v>
          </cell>
        </row>
        <row r="641">
          <cell r="D641">
            <v>46195</v>
          </cell>
          <cell r="F641" t="str">
            <v>BODY SPLASH MATTE DOCE SEDUÇÃO &gt; 0007</v>
          </cell>
          <cell r="G641" t="str">
            <v>BODY SPLASH MATTE OITAVA MARAVILHA &gt; 0007</v>
          </cell>
        </row>
        <row r="642">
          <cell r="D642">
            <v>46195</v>
          </cell>
          <cell r="F642" t="str">
            <v>BODY SPLASH MATTE DOCE SEDUÇÃO &gt; 0007</v>
          </cell>
          <cell r="G642" t="str">
            <v>BODY SPLASH MATTE OITAVA MARAVILHA &gt; 0007</v>
          </cell>
        </row>
        <row r="643">
          <cell r="D643">
            <v>46195</v>
          </cell>
          <cell r="F643" t="str">
            <v>BODY SPLASH MATTE DOCE SEDUÇÃO &gt; 0007</v>
          </cell>
          <cell r="G643" t="str">
            <v>BODY SPLASH MATTE OITAVA MARAVILHA &gt; 0007</v>
          </cell>
        </row>
        <row r="644">
          <cell r="D644">
            <v>46195</v>
          </cell>
        </row>
        <row r="645">
          <cell r="D645">
            <v>46195</v>
          </cell>
          <cell r="F645" t="str">
            <v>BODY SPLASH MATTE DOCE SEDUÇÃO &gt; 0007</v>
          </cell>
          <cell r="G645" t="str">
            <v>BODY SPLASH MATTE OITAVA MARAVILHA &gt; 0007</v>
          </cell>
        </row>
        <row r="646">
          <cell r="D646">
            <v>46195</v>
          </cell>
          <cell r="F646" t="str">
            <v>BODY SPLASH FORÇA DO LEAO &gt; 0012</v>
          </cell>
          <cell r="G646" t="str">
            <v>BODY SPLASH MATTE OITAVA MARAVILHA &gt; 0007</v>
          </cell>
        </row>
        <row r="647">
          <cell r="D647">
            <v>46195</v>
          </cell>
          <cell r="F647" t="str">
            <v>BODY SPLASH FORÇA DO LEAO &gt; 0012</v>
          </cell>
          <cell r="G647" t="str">
            <v>BODY SPLASH MATTE OITAVA MARAVILHA &gt; 0007</v>
          </cell>
        </row>
        <row r="648">
          <cell r="D648">
            <v>46195</v>
          </cell>
          <cell r="F648" t="str">
            <v>BODY SPLASH FORÇA DO LEAO &gt; 0012</v>
          </cell>
          <cell r="G648" t="str">
            <v>BODY SPLASH MATTE OITAVA MARAVILHA &gt; 0007</v>
          </cell>
        </row>
        <row r="649">
          <cell r="D649">
            <v>46195</v>
          </cell>
        </row>
        <row r="650">
          <cell r="D650">
            <v>46195</v>
          </cell>
        </row>
        <row r="651">
          <cell r="D651">
            <v>46195</v>
          </cell>
        </row>
        <row r="652">
          <cell r="D652">
            <v>46195</v>
          </cell>
        </row>
        <row r="653">
          <cell r="D653">
            <v>46195</v>
          </cell>
        </row>
        <row r="656">
          <cell r="D656">
            <v>46196</v>
          </cell>
        </row>
        <row r="657">
          <cell r="D657">
            <v>46196</v>
          </cell>
          <cell r="F657" t="str">
            <v>BODY SPLASH FORÇA DO LEAO &gt; 0012</v>
          </cell>
          <cell r="G657" t="str">
            <v>BODY SPLASH MATTE OITAVA MARAVILHA &gt; 0007</v>
          </cell>
        </row>
        <row r="658">
          <cell r="D658">
            <v>46196</v>
          </cell>
          <cell r="F658" t="str">
            <v>BODY SPLASH FORÇA DO LEAO &gt; 0012</v>
          </cell>
          <cell r="G658" t="str">
            <v>BODY SPLASH MATTE OITAVA MARAVILHA &gt; 0007</v>
          </cell>
        </row>
        <row r="659">
          <cell r="D659">
            <v>46196</v>
          </cell>
          <cell r="F659" t="str">
            <v>BODY SPLASH FORÇA DO LEAO &gt; 0012</v>
          </cell>
          <cell r="G659" t="str">
            <v>BODY SPLASH MATTE OITAVA MARAVILHA &gt; 0007</v>
          </cell>
        </row>
        <row r="660">
          <cell r="D660">
            <v>46196</v>
          </cell>
          <cell r="F660" t="str">
            <v>BODY SPLASH FORÇA DO LEAO &gt; 0012</v>
          </cell>
          <cell r="G660" t="str">
            <v>BODY SPLASH MATTE OITAVA MARAVILHA &gt; 0007</v>
          </cell>
        </row>
        <row r="661">
          <cell r="D661">
            <v>46196</v>
          </cell>
          <cell r="F661" t="str">
            <v>BODY SPLASH FORÇA DO LEAO &gt; 0012</v>
          </cell>
          <cell r="G661" t="str">
            <v>BODY SPLASH MATTE OITAVA MARAVILHA &gt; 0007</v>
          </cell>
        </row>
        <row r="662">
          <cell r="D662">
            <v>46196</v>
          </cell>
        </row>
        <row r="663">
          <cell r="D663">
            <v>46196</v>
          </cell>
          <cell r="F663" t="str">
            <v>BODY SPLASH FORÇA DO LEAO &gt; 0012</v>
          </cell>
          <cell r="G663" t="str">
            <v>BODY SPLASH MATTE OITAVA MARAVILHA &gt; 0007</v>
          </cell>
        </row>
        <row r="664">
          <cell r="D664">
            <v>46196</v>
          </cell>
          <cell r="F664" t="str">
            <v>BODY SPLASH FORÇA DO LEAO &gt; 0012</v>
          </cell>
          <cell r="G664" t="str">
            <v>BODY SPLASH MATTE OITAVA MARAVILHA &gt; 0007</v>
          </cell>
        </row>
        <row r="665">
          <cell r="D665">
            <v>46196</v>
          </cell>
          <cell r="F665" t="str">
            <v>BODY SPLASH FORÇA DO LEAO &gt; 0012</v>
          </cell>
          <cell r="G665" t="str">
            <v>BODY SPLASH MATTE OITAVA MARAVILHA &gt; 0007</v>
          </cell>
        </row>
        <row r="666">
          <cell r="D666">
            <v>46196</v>
          </cell>
          <cell r="F666" t="str">
            <v>BODY SPLASH FORÇA DO LEAO &gt; 0012</v>
          </cell>
          <cell r="G666" t="str">
            <v>BODY SPLASH MATTE OITAVA MARAVILHA &gt; 0007</v>
          </cell>
        </row>
        <row r="667">
          <cell r="D667">
            <v>46196</v>
          </cell>
        </row>
        <row r="668">
          <cell r="D668">
            <v>46196</v>
          </cell>
        </row>
        <row r="669">
          <cell r="D669">
            <v>46196</v>
          </cell>
        </row>
        <row r="670">
          <cell r="D670">
            <v>46196</v>
          </cell>
        </row>
        <row r="671">
          <cell r="D671">
            <v>46196</v>
          </cell>
        </row>
        <row r="674">
          <cell r="D674">
            <v>46197</v>
          </cell>
        </row>
        <row r="675">
          <cell r="D675">
            <v>46197</v>
          </cell>
          <cell r="F675" t="str">
            <v>BODY SPLASH FORÇA DO LEAO &gt; 0012</v>
          </cell>
          <cell r="G675" t="str">
            <v>BODY SPLASH LEAO DO DESERTO BOURBON 200ml &gt; 0011</v>
          </cell>
          <cell r="H675" t="str">
            <v>HIDRATANTE BISNAGA ROSE AURORA 200g - 3 &gt; HABIBI 01</v>
          </cell>
        </row>
        <row r="676">
          <cell r="D676">
            <v>46197</v>
          </cell>
          <cell r="F676" t="str">
            <v>BODY SPLASH FORÇA DO LEAO &gt; 0012</v>
          </cell>
          <cell r="G676" t="str">
            <v>BODY SPLASH LEAO DO DESERTO BOURBON 200ml &gt; 0011</v>
          </cell>
          <cell r="H676" t="str">
            <v>HIDRATANTE BISNAGA ROSE AURORA 200g - 3 &gt; HABIBI 01</v>
          </cell>
        </row>
        <row r="677">
          <cell r="D677">
            <v>46197</v>
          </cell>
          <cell r="F677" t="str">
            <v>BODY SPLASH FORÇA DO LEAO &gt; 0012</v>
          </cell>
          <cell r="G677" t="str">
            <v>BODY SPLASH LEAO DO DESERTO BOURBON 200ml &gt; 0011</v>
          </cell>
          <cell r="H677" t="str">
            <v>HIDRATANTE BISNAGA ROSE AURORA 200g - 3 &gt; HABIBI 01</v>
          </cell>
        </row>
        <row r="678">
          <cell r="D678">
            <v>46197</v>
          </cell>
          <cell r="F678" t="str">
            <v>BODY SPLASH ROSA RAINHA 200ml &gt; 0008</v>
          </cell>
          <cell r="G678" t="str">
            <v>BODY SPLASH LEAO DO DESERTO BOURBON 200ml &gt; 0011</v>
          </cell>
          <cell r="H678" t="str">
            <v>HIDRATANTE BISNAGA ROSE AURORA 200g - 3 &gt; HABIBI 01</v>
          </cell>
        </row>
        <row r="679">
          <cell r="D679">
            <v>46197</v>
          </cell>
          <cell r="F679" t="str">
            <v>BODY SPLASH ROSA RAINHA 200ml &gt; 0008</v>
          </cell>
          <cell r="G679" t="str">
            <v>BODY SPLASH LEAO DO DESERTO BOURBON 200ml &gt; 0011</v>
          </cell>
          <cell r="H679" t="str">
            <v>HIDRATANTE BISNAGA ROSE AURORA 200g - 3 &gt; HABIBI 01</v>
          </cell>
        </row>
        <row r="680">
          <cell r="D680">
            <v>46197</v>
          </cell>
        </row>
        <row r="681">
          <cell r="D681">
            <v>46197</v>
          </cell>
          <cell r="F681" t="str">
            <v>BODY SPLASH ROSA RAINHA 200ml &gt; 0008</v>
          </cell>
          <cell r="G681" t="str">
            <v>BODY SPLASH LEAO DO DESERTO BOURBON 200ml &gt; 0011</v>
          </cell>
          <cell r="H681" t="str">
            <v>HIDRATANTE BISNAGA ROSE AURORA 200g - 3 &gt; HABIBI 01</v>
          </cell>
        </row>
        <row r="682">
          <cell r="D682">
            <v>46197</v>
          </cell>
          <cell r="F682" t="str">
            <v>BODY SPLASH ROSA RAINHA 200ml &gt; 0008</v>
          </cell>
          <cell r="G682" t="str">
            <v>BODY SPLASH LEAO DO DESERTO BOURBON 200ml &gt; 0011</v>
          </cell>
          <cell r="H682" t="str">
            <v>HIDRATANTE BISNAGA ROSE AURORA 200g - 3 &gt; HABIBI 01</v>
          </cell>
        </row>
        <row r="683">
          <cell r="D683">
            <v>46197</v>
          </cell>
          <cell r="F683" t="str">
            <v>BODY SPLASH ROSA RAINHA 200ml &gt; 0008</v>
          </cell>
          <cell r="G683" t="str">
            <v>BODY SPLASH LEAO DO DESERTO BOURBON 200ml &gt; 0011</v>
          </cell>
          <cell r="H683" t="str">
            <v>HIDRATANTE BISNAGA IMPERIUM 200g - 3 &gt; HABIBI 01</v>
          </cell>
        </row>
        <row r="684">
          <cell r="D684">
            <v>46197</v>
          </cell>
          <cell r="F684" t="str">
            <v>BODY SPLASH ROSA RAINHA 200ml &gt; 0008</v>
          </cell>
          <cell r="G684" t="str">
            <v>BODY SPLASH LEAO DO DESERTO BOURBON 200ml &gt; 0011</v>
          </cell>
          <cell r="H684" t="str">
            <v>HIDRATANTE BISNAGA IMPERIUM 200g - 3 &gt; HABIBI 01</v>
          </cell>
        </row>
        <row r="685">
          <cell r="D685">
            <v>46197</v>
          </cell>
        </row>
        <row r="686">
          <cell r="D686">
            <v>46197</v>
          </cell>
        </row>
        <row r="687">
          <cell r="D687">
            <v>46197</v>
          </cell>
        </row>
        <row r="688">
          <cell r="D688">
            <v>46197</v>
          </cell>
        </row>
        <row r="689">
          <cell r="D689">
            <v>46197</v>
          </cell>
        </row>
        <row r="692">
          <cell r="D692">
            <v>46198</v>
          </cell>
        </row>
        <row r="693">
          <cell r="D693">
            <v>46198</v>
          </cell>
          <cell r="F693" t="str">
            <v>BODY SPLASH ROSA RAINHA 200ml &gt; 0008</v>
          </cell>
          <cell r="G693" t="str">
            <v>BODY SPLASH LEAO DO DESERTO BOURBON 200ml &gt; 0011</v>
          </cell>
          <cell r="H693" t="str">
            <v>HIDRATANTE BISNAGA IMPERIUM 200g - 3 &gt; HABIBI 01</v>
          </cell>
        </row>
        <row r="694">
          <cell r="D694">
            <v>46198</v>
          </cell>
          <cell r="F694" t="str">
            <v>BODY SPLASH ROSA RAINHA 200ml &gt; 0008</v>
          </cell>
          <cell r="G694" t="str">
            <v>BODY SPLASH LEAO DO DESERTO BOURBON 200ml &gt; 0011</v>
          </cell>
          <cell r="H694" t="str">
            <v>HIDRATANTE BISNAGA IMPERIUM 200g - 3 &gt; HABIBI 01</v>
          </cell>
        </row>
        <row r="695">
          <cell r="D695">
            <v>46198</v>
          </cell>
          <cell r="F695" t="str">
            <v>BODY SPLASH ROSA RAINHA 200ml &gt; 0008</v>
          </cell>
          <cell r="G695" t="str">
            <v>BODY SPLASH LEAO DO DESERTO BOURBON 200ml &gt; 0011</v>
          </cell>
          <cell r="H695" t="str">
            <v>HIDRATANTE BISNAGA IMPERIUM 200g - 3 &gt; HABIBI 01</v>
          </cell>
        </row>
        <row r="696">
          <cell r="D696">
            <v>46198</v>
          </cell>
          <cell r="F696" t="str">
            <v>BODY SPLASH ROSA RAINHA 200ml &gt; 0008</v>
          </cell>
          <cell r="G696" t="str">
            <v>BODY SPLASH LEAO DO DESERTO BOURBON 200ml &gt; 0011</v>
          </cell>
          <cell r="H696" t="str">
            <v>HIDRATANTE BISNAGA IMPERIUM 200g - 3 &gt; HABIBI 01</v>
          </cell>
        </row>
        <row r="697">
          <cell r="D697">
            <v>46198</v>
          </cell>
          <cell r="F697" t="str">
            <v>BODY SPLASH ROSA RAINHA 200ml &gt; 0008</v>
          </cell>
          <cell r="G697" t="str">
            <v>BODY SPLASH LEAO DO DESERTO BOURBON 200ml &gt; 0011</v>
          </cell>
          <cell r="H697" t="str">
            <v>HIDRATANTE BISNAGA IMPERIUM 200g - 3 &gt; HABIBI 01</v>
          </cell>
        </row>
        <row r="698">
          <cell r="D698">
            <v>46198</v>
          </cell>
        </row>
        <row r="699">
          <cell r="D699">
            <v>46198</v>
          </cell>
          <cell r="F699" t="str">
            <v>BODY SPLASH ROUGE OUT 200ML -  &gt; 05</v>
          </cell>
          <cell r="G699" t="str">
            <v>BODY SPLASH LEAO DO DESERTO BOURBON 200ml &gt; 0011</v>
          </cell>
          <cell r="H699" t="str">
            <v>HIDRATANTE BISNAGA IMPERIUM 200g - 3 &gt; HABIBI 01</v>
          </cell>
        </row>
        <row r="700">
          <cell r="D700">
            <v>46198</v>
          </cell>
          <cell r="F700" t="str">
            <v>BODY SPLASH ROUGE OUT 200ML -  &gt; 05</v>
          </cell>
          <cell r="G700" t="str">
            <v>BODY SPLASH LEAO DO DESERTO BOURBON 200ml &gt; 0011</v>
          </cell>
          <cell r="H700" t="str">
            <v>HIDRATANTE BISNAGA IMPERIUM 200g - 3 &gt; HABIBI 01</v>
          </cell>
        </row>
        <row r="701">
          <cell r="D701">
            <v>46198</v>
          </cell>
          <cell r="F701" t="str">
            <v>BODY SPLASH ROUGE OUT 200ML -  &gt; 05</v>
          </cell>
          <cell r="G701" t="str">
            <v>BODY SPLASH LEAO DO DESERTO BOURBON 200ml &gt; 0011</v>
          </cell>
          <cell r="H701" t="str">
            <v>HIDRATANTE BISNAGA IMPERIUM 200g - 3 &gt; HABIBI 01</v>
          </cell>
        </row>
        <row r="702">
          <cell r="D702">
            <v>46198</v>
          </cell>
          <cell r="F702" t="str">
            <v>BODY SPLASH ROUGE OUT 200ML -  &gt; 05</v>
          </cell>
          <cell r="G702" t="str">
            <v>BODY SPLASH LEAO DO DESERTO BOURBON 200ml &gt; 0011</v>
          </cell>
          <cell r="H702" t="str">
            <v>HIDRATANTE BISNAGA IMPERIUM 200g - 3 &gt; HABIBI 01</v>
          </cell>
        </row>
        <row r="703">
          <cell r="D703">
            <v>46198</v>
          </cell>
        </row>
        <row r="704">
          <cell r="D704">
            <v>46198</v>
          </cell>
        </row>
        <row r="705">
          <cell r="D705">
            <v>46198</v>
          </cell>
        </row>
        <row r="706">
          <cell r="D706">
            <v>46198</v>
          </cell>
        </row>
        <row r="707">
          <cell r="D707">
            <v>46198</v>
          </cell>
        </row>
        <row r="709">
          <cell r="D709">
            <v>74864.749999999985</v>
          </cell>
        </row>
        <row r="710">
          <cell r="D710">
            <v>46199</v>
          </cell>
        </row>
        <row r="711">
          <cell r="D711">
            <v>46199</v>
          </cell>
          <cell r="F711" t="str">
            <v>BODY SPLASH ROUGE OUT 200ML -  &gt; 05</v>
          </cell>
          <cell r="G711" t="str">
            <v>BODY SPLASH LEAO DO DESERTO BOURBON 200ml &gt; 0011</v>
          </cell>
        </row>
        <row r="712">
          <cell r="D712">
            <v>46199</v>
          </cell>
          <cell r="F712" t="str">
            <v>BODY SPLASH ROUGE OUT 200ML -  &gt; 05</v>
          </cell>
          <cell r="G712" t="str">
            <v>BODY SPLASH LEAO DO DESERTO BOURBON 200ml &gt; 0011</v>
          </cell>
        </row>
        <row r="713">
          <cell r="D713">
            <v>46199</v>
          </cell>
          <cell r="F713" t="str">
            <v>BODY SPLASH ROUGE OUT 200ML -  &gt; 05</v>
          </cell>
          <cell r="G713" t="str">
            <v>BODY SPLASH LEAO DO DESERTO BOURBON 200ml &gt; 0011</v>
          </cell>
        </row>
        <row r="714">
          <cell r="D714">
            <v>46199</v>
          </cell>
          <cell r="F714" t="str">
            <v>BODY SPLASH ROUGE OUT 200ML -  &gt; 05</v>
          </cell>
          <cell r="G714" t="str">
            <v>BODY SPLASH LEAO DO DESERTO BOURBON 200ml &gt; 0011</v>
          </cell>
          <cell r="H714" t="str">
            <v>HIDRATANTE BISNAGA ROSA SUBLIME 200g - 2 &gt; HABIBI 01</v>
          </cell>
        </row>
        <row r="715">
          <cell r="D715">
            <v>46199</v>
          </cell>
          <cell r="F715" t="str">
            <v>BODY SPLASH ROUGE OUT 200ML -  &gt; 05</v>
          </cell>
          <cell r="G715" t="str">
            <v>BODY SPLASH LEAO DO DESERTO BOURBON 200ml &gt; 0011</v>
          </cell>
          <cell r="H715" t="str">
            <v>HIDRATANTE BISNAGA ROSA SUBLIME 200g - 2 &gt; HABIBI 01</v>
          </cell>
        </row>
        <row r="716">
          <cell r="D716">
            <v>46199</v>
          </cell>
        </row>
        <row r="717">
          <cell r="D717">
            <v>46199</v>
          </cell>
          <cell r="F717" t="str">
            <v>BODY SPLASH ROUGE OUT 200ML -  &gt; 05</v>
          </cell>
          <cell r="G717" t="str">
            <v>BODY SPLASH LEAO DO DESERTO BOURBON 200ml &gt; 0011</v>
          </cell>
          <cell r="H717" t="str">
            <v>HIDRATANTE BISNAGA ROSA SUBLIME 200g - 3 &gt; HABIBI 01</v>
          </cell>
        </row>
        <row r="718">
          <cell r="D718">
            <v>46199</v>
          </cell>
          <cell r="F718" t="str">
            <v>BODY SPLASH ROUGE OUT 200ML -  &gt; 05</v>
          </cell>
          <cell r="G718" t="str">
            <v>BODY SPLASH LEAO DO DESERTO BOURBON 200ml &gt; 0011</v>
          </cell>
          <cell r="H718" t="str">
            <v>HIDRATANTE BISNAGA ROSA SUBLIME 200g - 3 &gt; HABIBI 01</v>
          </cell>
        </row>
        <row r="719">
          <cell r="D719">
            <v>46199</v>
          </cell>
          <cell r="F719" t="str">
            <v>BODY SPLASH ROUGE OUT 200ML -  &gt; 05</v>
          </cell>
          <cell r="G719" t="str">
            <v>BODY SPLASH LEAO DO DESERTO BOURBON 200ml &gt; 0011</v>
          </cell>
          <cell r="H719" t="str">
            <v>HIDRATANTE BISNAGA ROSA SUBLIME 200g - 3 &gt; HABIBI 01</v>
          </cell>
        </row>
        <row r="720">
          <cell r="D720">
            <v>46199</v>
          </cell>
        </row>
        <row r="721">
          <cell r="D721">
            <v>46199</v>
          </cell>
        </row>
        <row r="722">
          <cell r="D722">
            <v>46199</v>
          </cell>
        </row>
        <row r="723">
          <cell r="D723">
            <v>46199</v>
          </cell>
        </row>
        <row r="724">
          <cell r="D724">
            <v>46199</v>
          </cell>
        </row>
        <row r="725">
          <cell r="D725">
            <v>46199</v>
          </cell>
        </row>
        <row r="728">
          <cell r="D728">
            <v>46200</v>
          </cell>
        </row>
        <row r="729">
          <cell r="D729">
            <v>46200</v>
          </cell>
        </row>
        <row r="730">
          <cell r="D730">
            <v>46200</v>
          </cell>
        </row>
        <row r="731">
          <cell r="D731">
            <v>46200</v>
          </cell>
        </row>
        <row r="732">
          <cell r="D732">
            <v>46200</v>
          </cell>
        </row>
        <row r="733">
          <cell r="D733">
            <v>46200</v>
          </cell>
        </row>
        <row r="734">
          <cell r="D734">
            <v>46200</v>
          </cell>
        </row>
        <row r="735">
          <cell r="D735">
            <v>46200</v>
          </cell>
        </row>
        <row r="736">
          <cell r="D736">
            <v>46200</v>
          </cell>
        </row>
        <row r="737">
          <cell r="D737">
            <v>46200</v>
          </cell>
        </row>
        <row r="738">
          <cell r="D738">
            <v>46200</v>
          </cell>
        </row>
        <row r="739">
          <cell r="D739">
            <v>46200</v>
          </cell>
        </row>
        <row r="740">
          <cell r="D740">
            <v>46200</v>
          </cell>
        </row>
        <row r="741">
          <cell r="D741">
            <v>46200</v>
          </cell>
        </row>
        <row r="742">
          <cell r="D742">
            <v>46200</v>
          </cell>
        </row>
        <row r="743">
          <cell r="D743">
            <v>46200</v>
          </cell>
        </row>
        <row r="746">
          <cell r="D746">
            <v>46201</v>
          </cell>
        </row>
        <row r="747">
          <cell r="D747">
            <v>46201</v>
          </cell>
        </row>
        <row r="748">
          <cell r="D748">
            <v>46201</v>
          </cell>
        </row>
        <row r="749">
          <cell r="D749">
            <v>46201</v>
          </cell>
        </row>
        <row r="750">
          <cell r="D750">
            <v>46201</v>
          </cell>
        </row>
        <row r="751">
          <cell r="D751">
            <v>46201</v>
          </cell>
        </row>
        <row r="752">
          <cell r="D752">
            <v>46201</v>
          </cell>
        </row>
        <row r="753">
          <cell r="D753">
            <v>46201</v>
          </cell>
        </row>
        <row r="754">
          <cell r="D754">
            <v>46201</v>
          </cell>
        </row>
        <row r="755">
          <cell r="D755">
            <v>46201</v>
          </cell>
        </row>
        <row r="756">
          <cell r="D756">
            <v>46201</v>
          </cell>
        </row>
        <row r="757">
          <cell r="D757">
            <v>46201</v>
          </cell>
        </row>
        <row r="758">
          <cell r="D758">
            <v>46201</v>
          </cell>
        </row>
        <row r="759">
          <cell r="D759">
            <v>46201</v>
          </cell>
        </row>
        <row r="760">
          <cell r="D760">
            <v>46201</v>
          </cell>
        </row>
        <row r="761">
          <cell r="D761">
            <v>46201</v>
          </cell>
        </row>
        <row r="763">
          <cell r="D763">
            <v>47885.45</v>
          </cell>
        </row>
        <row r="764">
          <cell r="D764">
            <v>46202</v>
          </cell>
        </row>
        <row r="765">
          <cell r="D765">
            <v>46202</v>
          </cell>
          <cell r="F765" t="str">
            <v>BODY SPLASH AURORA IMPERIAL &gt; PROG 01 25/03/26</v>
          </cell>
          <cell r="G765" t="str">
            <v>BODY SPLASH LEAO DO DESERTO BOURBON 200ml &gt; 0011</v>
          </cell>
          <cell r="H765" t="str">
            <v>HIDRATANTE BISNAGA ROSA SUBLIME 200g - 3 &gt; HABIBI 01</v>
          </cell>
        </row>
        <row r="766">
          <cell r="D766">
            <v>46202</v>
          </cell>
          <cell r="F766" t="str">
            <v>BODY SPLASH AURORA IMPERIAL &gt; PROG 01 25/03/26</v>
          </cell>
          <cell r="G766" t="str">
            <v>BODY SPLASH LEAO DO DESERTO BOURBON 200ml &gt; 0011</v>
          </cell>
          <cell r="H766" t="str">
            <v>HIDRATANTE BISNAGA ROSA SUBLIME 200g - 3 &gt; HABIBI 01</v>
          </cell>
        </row>
        <row r="767">
          <cell r="D767">
            <v>46202</v>
          </cell>
          <cell r="F767" t="str">
            <v>BODY SPLASH AURORA IMPERIAL &gt; PROG 01 25/03/26</v>
          </cell>
          <cell r="G767" t="str">
            <v>BODY SPLASH LEAO DO DESERTO BOURBON 200ml &gt; 0011</v>
          </cell>
          <cell r="H767" t="str">
            <v>HIDRATANTE BISNAGA ROSA SUBLIME 200g - 3 &gt; HABIBI 01</v>
          </cell>
        </row>
        <row r="768">
          <cell r="D768">
            <v>46202</v>
          </cell>
          <cell r="F768" t="str">
            <v>BODY SPLASH AURORA IMPERIAL &gt; PROG 01 25/03/26</v>
          </cell>
          <cell r="G768" t="str">
            <v>BODY SPLASH LEAO DO DESERTO BOURBON 200ml &gt; 0011</v>
          </cell>
          <cell r="H768" t="str">
            <v>HIDRATANTE BISNAGA ROSA SUBLIME 200g - 3 &gt; HABIBI 01</v>
          </cell>
        </row>
        <row r="769">
          <cell r="D769">
            <v>46202</v>
          </cell>
          <cell r="F769" t="str">
            <v>BODY SPLASH AURORA IMPERIAL &gt; PROG 01 25/03/26</v>
          </cell>
          <cell r="G769" t="str">
            <v>BODY SPLASH LEAO DO DESERTO BOURBON 200ml &gt; 0011</v>
          </cell>
          <cell r="H769" t="str">
            <v>HIDRATANTE BISNAGA ROSA SUBLIME 200g - 3 &gt; HABIBI 01</v>
          </cell>
        </row>
        <row r="770">
          <cell r="D770">
            <v>46202</v>
          </cell>
        </row>
        <row r="771">
          <cell r="D771">
            <v>46202</v>
          </cell>
        </row>
        <row r="772">
          <cell r="D772">
            <v>46202</v>
          </cell>
        </row>
        <row r="773">
          <cell r="D773">
            <v>46202</v>
          </cell>
        </row>
        <row r="774">
          <cell r="D774">
            <v>46202</v>
          </cell>
        </row>
        <row r="775">
          <cell r="D775">
            <v>46202</v>
          </cell>
        </row>
        <row r="776">
          <cell r="D776">
            <v>46202</v>
          </cell>
        </row>
        <row r="777">
          <cell r="D777">
            <v>46202</v>
          </cell>
        </row>
        <row r="778">
          <cell r="D778">
            <v>46202</v>
          </cell>
        </row>
        <row r="779">
          <cell r="D779">
            <v>46202</v>
          </cell>
        </row>
        <row r="781">
          <cell r="D781">
            <v>34464.899999999994</v>
          </cell>
        </row>
        <row r="782">
          <cell r="D782">
            <v>46203</v>
          </cell>
        </row>
        <row r="783">
          <cell r="D783">
            <v>46203</v>
          </cell>
          <cell r="F783" t="str">
            <v>BODY SPLASH AURORA IMPERIAL &gt; PROG 01 25/03/26</v>
          </cell>
          <cell r="G783" t="str">
            <v>BODY SPLASH LEAO DO DESERTO BOURBON 200ml &gt; 0011</v>
          </cell>
          <cell r="H783" t="str">
            <v>HIDRATANTE BISNAGA DELICADA 200g - 3 &gt; HABIBI 01</v>
          </cell>
        </row>
        <row r="784">
          <cell r="D784">
            <v>46203</v>
          </cell>
          <cell r="F784" t="str">
            <v>BODY SPLASH AURORA IMPERIAL &gt; PROG 01 25/03/26</v>
          </cell>
          <cell r="G784" t="str">
            <v>BODY SPLASH LEAO DO DESERTO BOURBON 200ml &gt; 0011</v>
          </cell>
          <cell r="H784" t="str">
            <v>HIDRATANTE BISNAGA DELICADA 200g - 3 &gt; HABIBI 01</v>
          </cell>
        </row>
        <row r="785">
          <cell r="D785">
            <v>46203</v>
          </cell>
          <cell r="F785" t="str">
            <v>BODY SPLASH AURORA IMPERIAL &gt; PROG 01 25/03/26</v>
          </cell>
          <cell r="G785" t="str">
            <v>BODY SPLASH LEAO DO DESERTO BOURBON 200ml &gt; 0011</v>
          </cell>
          <cell r="H785" t="str">
            <v>HIDRATANTE BISNAGA DELICADA 200g - 3 &gt; HABIBI 01</v>
          </cell>
        </row>
        <row r="786">
          <cell r="D786">
            <v>46203</v>
          </cell>
          <cell r="F786" t="str">
            <v>BODY SPLASH AURORA IMPERIAL &gt; PROG 01 25/03/26</v>
          </cell>
          <cell r="G786" t="str">
            <v>BODY SPLASH LEAO DO DESERTO BOURBON 200ml &gt; 0011</v>
          </cell>
          <cell r="H786" t="str">
            <v>HIDRATANTE BISNAGA DELICADA 200g - 3 &gt; HABIBI 01</v>
          </cell>
        </row>
        <row r="787">
          <cell r="D787">
            <v>46203</v>
          </cell>
          <cell r="F787" t="str">
            <v>BODY SPLASH AURORA IMPERIAL &gt; PROG 01 25/03/26</v>
          </cell>
          <cell r="G787" t="str">
            <v>BODY SPLASH LEAO DO DESERTO BOURBON 200ml &gt; 0011</v>
          </cell>
          <cell r="H787" t="str">
            <v>HIDRATANTE BISNAGA DELICADA 200g - 3 &gt; HABIBI 01</v>
          </cell>
        </row>
        <row r="788">
          <cell r="D788">
            <v>46203</v>
          </cell>
        </row>
        <row r="789">
          <cell r="D789">
            <v>46203</v>
          </cell>
          <cell r="F789" t="str">
            <v>BODY SPLASH DEUSA DO NILO &gt; Miss Rôse - Body Splash 1.0</v>
          </cell>
          <cell r="G789" t="str">
            <v>BODY SPLASH LEAO DO DESERTO BOURBON 200ml &gt; 0011</v>
          </cell>
          <cell r="H789" t="str">
            <v>HIDRATANTE BISNAGA DELICADA 200g - 3 &gt; HABIBI 01</v>
          </cell>
        </row>
        <row r="790">
          <cell r="D790">
            <v>46203</v>
          </cell>
          <cell r="F790" t="str">
            <v>BODY SPLASH ROSE MIRAGE 200ML -  &gt; 05</v>
          </cell>
          <cell r="G790" t="str">
            <v>BODY SPLASH LEAO DO DESERTO BOURBON 200ml &gt; 0011</v>
          </cell>
          <cell r="H790" t="str">
            <v>HIDRATANTE BISNAGA DELICADA 200g - 3 &gt; HABIBI 01</v>
          </cell>
        </row>
        <row r="791">
          <cell r="D791">
            <v>46203</v>
          </cell>
          <cell r="F791" t="str">
            <v>BODY SPLASH ROSE MIRAGE 200ML -  &gt; 05</v>
          </cell>
          <cell r="G791" t="str">
            <v>BODY SPLASH LEAO DO DESERTO BOURBON 200ml &gt; 0011</v>
          </cell>
          <cell r="H791" t="str">
            <v>HIDRATANTE BISNAGA DELICADA 200g - 3 &gt; HABIBI 01</v>
          </cell>
        </row>
        <row r="792">
          <cell r="D792">
            <v>46203</v>
          </cell>
          <cell r="F792" t="str">
            <v>BODY SPLASH ROSE MIRAGE 200ML -  &gt; 05</v>
          </cell>
          <cell r="G792" t="str">
            <v>BODY SPLASH LEAO DO DESERTO BOURBON 200ml &gt; 0011</v>
          </cell>
          <cell r="H792" t="str">
            <v>HIDRATANTE BISNAGA DELICADA 200g - 3 &gt; HABIBI 01</v>
          </cell>
        </row>
        <row r="793">
          <cell r="D793">
            <v>46203</v>
          </cell>
        </row>
        <row r="794">
          <cell r="D794">
            <v>46203</v>
          </cell>
        </row>
        <row r="795">
          <cell r="D795">
            <v>46203</v>
          </cell>
        </row>
        <row r="796">
          <cell r="D796">
            <v>46203</v>
          </cell>
        </row>
        <row r="797">
          <cell r="D797">
            <v>46203</v>
          </cell>
        </row>
        <row r="799">
          <cell r="D799">
            <v>24363.3</v>
          </cell>
        </row>
        <row r="800">
          <cell r="D800">
            <v>46204</v>
          </cell>
        </row>
        <row r="801">
          <cell r="D801">
            <v>46204</v>
          </cell>
          <cell r="F801" t="str">
            <v>BODY SPLASH ROSE MIRAGE 200ML -  &gt; 05</v>
          </cell>
          <cell r="G801" t="str">
            <v>BODY SPLASH LEAO DO DESERTO BOURBON 200ml &gt; 0011</v>
          </cell>
          <cell r="H801" t="str">
            <v>HIDRATANTE BISNAGA DELICADA 200g - 3 &gt; HABIBI 01</v>
          </cell>
        </row>
        <row r="802">
          <cell r="D802">
            <v>46204</v>
          </cell>
          <cell r="F802" t="str">
            <v>BODY SPLASH ROSE MIRAGE 200ML -  &gt; 05</v>
          </cell>
          <cell r="G802" t="str">
            <v>BODY SPLASH LEAO DO DESERTO BOURBON 200ml &gt; 0011</v>
          </cell>
          <cell r="H802" t="str">
            <v>HIDRATANTE BISNAGA DELICADA 200g - 3 &gt; HABIBI 01</v>
          </cell>
        </row>
        <row r="803">
          <cell r="D803">
            <v>46204</v>
          </cell>
          <cell r="F803" t="str">
            <v>BODY SPLASH ROSE MIRAGE 200ML -  &gt; 05</v>
          </cell>
          <cell r="G803" t="str">
            <v>BODY SPLASH LEAO DO DESERTO BOURBON 200ml &gt; 0011</v>
          </cell>
          <cell r="H803" t="str">
            <v>HIDRATANTE BISNAGA DELICADA 200g - 3 &gt; HABIBI 01</v>
          </cell>
        </row>
        <row r="804">
          <cell r="D804">
            <v>46204</v>
          </cell>
          <cell r="F804" t="str">
            <v>BODY SPLASH TORTA DE MORANGO 120ML -  &gt; 05</v>
          </cell>
          <cell r="G804" t="str">
            <v>BODY SPLASH LEAO DO DESERTO BOURBON 200ml &gt; 0011</v>
          </cell>
          <cell r="H804" t="str">
            <v>HIDRATANTE BISNAGA DELICADA 200g - 3 &gt; HABIBI 01</v>
          </cell>
        </row>
        <row r="805">
          <cell r="D805">
            <v>46204</v>
          </cell>
          <cell r="F805" t="str">
            <v>BODY SPLASH TORTA DE MORANGO 120ML -  &gt; 05</v>
          </cell>
          <cell r="G805" t="str">
            <v>BODY SPLASH LEAO DO DESERTO BOURBON 200ml &gt; 0011</v>
          </cell>
          <cell r="H805" t="str">
            <v>HIDRATANTE BISNAGA DELICADA 200g - 3 &gt; HABIBI 01</v>
          </cell>
        </row>
        <row r="806">
          <cell r="D806">
            <v>46204</v>
          </cell>
        </row>
        <row r="807">
          <cell r="D807">
            <v>46204</v>
          </cell>
          <cell r="F807" t="str">
            <v>BODY SPLASH TORTA DE MORANGO 120ML -  &gt; 05</v>
          </cell>
          <cell r="G807" t="str">
            <v>BODY SPLASH LEAO DO DESERTO BOURBON 200ml &gt; 0011</v>
          </cell>
          <cell r="H807" t="str">
            <v>HIDRATANTE BISNAGA LUX AMBER 200g - 3 &gt; HABIBI 01</v>
          </cell>
        </row>
        <row r="808">
          <cell r="D808">
            <v>46204</v>
          </cell>
          <cell r="F808" t="str">
            <v>BODY SPLASH TORTA DE MORANGO 120ML -  &gt; 05</v>
          </cell>
          <cell r="G808" t="str">
            <v>BODY SPLASH LEAO DO DESERTO BOURBON 200ml &gt; 0011</v>
          </cell>
          <cell r="H808" t="str">
            <v>HIDRATANTE BISNAGA LUX AMBER 200g - 3 &gt; HABIBI 01</v>
          </cell>
        </row>
        <row r="809">
          <cell r="D809">
            <v>46204</v>
          </cell>
          <cell r="F809" t="str">
            <v>BODY SPLASH TORTA DE MORANGO 120ML -  &gt; 05</v>
          </cell>
          <cell r="G809" t="str">
            <v>BODY SPLASH LEAO DO DESERTO BOURBON 200ml &gt; 0011</v>
          </cell>
          <cell r="H809" t="str">
            <v>HIDRATANTE BISNAGA LUX AMBER 200g - 3 &gt; HABIBI 01</v>
          </cell>
        </row>
        <row r="810">
          <cell r="D810">
            <v>46204</v>
          </cell>
          <cell r="F810" t="str">
            <v>BODY SPLASH TORTA DE MORANGO 120ML -  &gt; 05</v>
          </cell>
          <cell r="G810" t="str">
            <v>BODY SPLASH LEAO DO DESERTO BOURBON 200ml &gt; 0011</v>
          </cell>
          <cell r="H810" t="str">
            <v>HIDRATANTE BISNAGA LUX AMBER 200g - 3 &gt; HABIBI 01</v>
          </cell>
        </row>
        <row r="811">
          <cell r="D811">
            <v>46204</v>
          </cell>
        </row>
        <row r="812">
          <cell r="D812">
            <v>46204</v>
          </cell>
        </row>
        <row r="813">
          <cell r="D813">
            <v>46204</v>
          </cell>
        </row>
        <row r="814">
          <cell r="D814">
            <v>46204</v>
          </cell>
        </row>
        <row r="815">
          <cell r="D815">
            <v>46204</v>
          </cell>
        </row>
        <row r="817">
          <cell r="D817">
            <v>26199.3</v>
          </cell>
        </row>
        <row r="818">
          <cell r="D818">
            <v>46205</v>
          </cell>
        </row>
        <row r="819">
          <cell r="D819">
            <v>46205</v>
          </cell>
          <cell r="F819" t="str">
            <v>BODY SPLASH TORTA DE MORANGO 120ML -  &gt; 05</v>
          </cell>
          <cell r="G819" t="str">
            <v>BODY SPLASH LEAO DO DESERTO BOURBON 200ml &gt; 0011</v>
          </cell>
          <cell r="H819" t="str">
            <v>HIDRATANTE BISNAGA LUX AMBER 200g - 3 &gt; HABIBI 01</v>
          </cell>
        </row>
        <row r="820">
          <cell r="D820">
            <v>46205</v>
          </cell>
          <cell r="F820" t="str">
            <v>BODY SPLASH TORTA DE MORANGO 120ML -  &gt; 05</v>
          </cell>
          <cell r="G820" t="str">
            <v>BODY SPLASH LEAO DO DESERTO BOURBON 200ml &gt; 0011</v>
          </cell>
          <cell r="H820" t="str">
            <v>HIDRATANTE BISNAGA LUX AMBER 200g - 3 &gt; HABIBI 01</v>
          </cell>
        </row>
        <row r="821">
          <cell r="D821">
            <v>46205</v>
          </cell>
          <cell r="F821" t="str">
            <v>BODY SPLASH TORTA DE MORANGO 120ML -  &gt; 05</v>
          </cell>
          <cell r="G821" t="str">
            <v>BODY SPLASH LEAO DO DESERTO BOURBON 200ml &gt; 0011</v>
          </cell>
          <cell r="H821" t="str">
            <v>HIDRATANTE BISNAGA LUX AMBER 200g - 3 &gt; HABIBI 01</v>
          </cell>
        </row>
        <row r="822">
          <cell r="D822">
            <v>46205</v>
          </cell>
          <cell r="F822" t="str">
            <v>BODY SPLASH TORTA DE MORANGO 120ML -  &gt; 05</v>
          </cell>
          <cell r="G822" t="str">
            <v>BODY SPLASH LEAO DO DESERTO BOURBON 200ml &gt; 0011</v>
          </cell>
          <cell r="H822" t="str">
            <v>HIDRATANTE BISNAGA LUX AMBER 200g - 3 &gt; HABIBI 01</v>
          </cell>
        </row>
        <row r="823">
          <cell r="D823">
            <v>46205</v>
          </cell>
          <cell r="F823" t="str">
            <v>BODY SPLASH TORTA DE MORANGO 120ML -  &gt; 05</v>
          </cell>
          <cell r="G823" t="str">
            <v>BODY SPLASH LEAO DO DESERTO BOURBON 200ml &gt; 0011</v>
          </cell>
          <cell r="H823" t="str">
            <v>HIDRATANTE BISNAGA LUX AMBER 200g - 3 &gt; HABIBI 01</v>
          </cell>
        </row>
        <row r="824">
          <cell r="D824">
            <v>46205</v>
          </cell>
        </row>
        <row r="825">
          <cell r="D825">
            <v>46205</v>
          </cell>
          <cell r="G825" t="str">
            <v>BODY SPLASH LEAO DO DESERTO BOURBON 200ml &gt; 0011</v>
          </cell>
          <cell r="H825" t="str">
            <v>HIDRATANTE BISNAGA LUX AMBER 200g - 3 &gt; HABIBI 01</v>
          </cell>
        </row>
        <row r="826">
          <cell r="D826">
            <v>46205</v>
          </cell>
          <cell r="G826" t="str">
            <v>BODY SPLASH LEAO DO DESERTO BOURBON 200ml &gt; 0011</v>
          </cell>
          <cell r="H826" t="str">
            <v>HIDRATANTE BISNAGA LUX AMBER 200g - 3 &gt; HABIBI 01</v>
          </cell>
        </row>
        <row r="827">
          <cell r="D827">
            <v>46205</v>
          </cell>
          <cell r="G827" t="str">
            <v>BODY SPLASH LEAO DO DESERTO BOURBON 200ml &gt; 0011</v>
          </cell>
          <cell r="H827" t="str">
            <v>HIDRATANTE BISNAGA LUX AMBER 200g - 3 &gt; HABIBI 01</v>
          </cell>
        </row>
        <row r="828">
          <cell r="D828">
            <v>46205</v>
          </cell>
          <cell r="G828" t="str">
            <v>BODY SPLASH LEAO DO DESERTO BOURBON 200ml &gt; 0011</v>
          </cell>
          <cell r="H828" t="str">
            <v>HIDRATANTE BISNAGA LUX AMBER 200g - 3 &gt; HABIBI 01</v>
          </cell>
        </row>
        <row r="829">
          <cell r="D829">
            <v>46205</v>
          </cell>
        </row>
        <row r="830">
          <cell r="D830">
            <v>46205</v>
          </cell>
        </row>
        <row r="831">
          <cell r="D831">
            <v>46205</v>
          </cell>
        </row>
        <row r="832">
          <cell r="D832">
            <v>46205</v>
          </cell>
        </row>
        <row r="833">
          <cell r="D833">
            <v>46205</v>
          </cell>
        </row>
        <row r="835">
          <cell r="D835">
            <v>26199.3</v>
          </cell>
        </row>
        <row r="836">
          <cell r="D836">
            <v>46206</v>
          </cell>
        </row>
        <row r="837">
          <cell r="D837">
            <v>46206</v>
          </cell>
          <cell r="F837" t="str">
            <v>BODY SPLASH LEAO DO DESERTO BOURBON 200ml &gt; 0011</v>
          </cell>
          <cell r="H837" t="str">
            <v>HIDRATANTE BISNAGA DELICADA 200g - 3 &gt; HABIBI 01</v>
          </cell>
        </row>
        <row r="838">
          <cell r="D838">
            <v>46206</v>
          </cell>
          <cell r="F838" t="str">
            <v>BODY SPLASH LEAO DO DESERTO BOURBON 200ml &gt; 0011</v>
          </cell>
          <cell r="H838" t="str">
            <v>HIDRATANTE BISNAGA DELICADA 200g - 3 &gt; HABIBI 01</v>
          </cell>
        </row>
        <row r="839">
          <cell r="D839">
            <v>46206</v>
          </cell>
          <cell r="F839" t="str">
            <v>BODY SPLASH LEAO DO DESERTO BOURBON 200ml &gt; 0011</v>
          </cell>
          <cell r="H839" t="str">
            <v>HIDRATANTE BISNAGA DELICADA 200g - 3 &gt; HABIBI 01</v>
          </cell>
        </row>
        <row r="840">
          <cell r="D840">
            <v>46206</v>
          </cell>
          <cell r="F840" t="str">
            <v>BODY SPLASH LEAO DO DESERTO BOURBON 200ml &gt; 0011</v>
          </cell>
          <cell r="H840" t="str">
            <v>HIDRATANTE BISNAGA LUX AMBER 200g - 3 &gt; HABIBI 01</v>
          </cell>
        </row>
        <row r="841">
          <cell r="D841">
            <v>46206</v>
          </cell>
          <cell r="F841" t="str">
            <v>BODY SPLASH LEAO DO DESERTO BOURBON 200ml &gt; 0011</v>
          </cell>
          <cell r="H841" t="str">
            <v>HIDRATANTE BISNAGA LUX AMBER 200g - 3 &gt; HABIBI 01</v>
          </cell>
        </row>
        <row r="842">
          <cell r="D842">
            <v>46206</v>
          </cell>
        </row>
        <row r="843">
          <cell r="D843">
            <v>46206</v>
          </cell>
          <cell r="F843" t="str">
            <v>BODY SPLASH LEAO DO DESERTO BOURBON 200ml &gt; 0011</v>
          </cell>
          <cell r="G843" t="str">
            <v>PERFUME WHITE DRESS 100ML &gt; 0016</v>
          </cell>
          <cell r="H843" t="str">
            <v>HIDRATANTE BISNAGA LUX AMBER 200g - 3 &gt; HABIBI 01</v>
          </cell>
        </row>
        <row r="844">
          <cell r="D844">
            <v>46206</v>
          </cell>
          <cell r="F844" t="str">
            <v>BODY SPLASH LEAO DO DESERTO BOURBON 200ml &gt; 0011</v>
          </cell>
          <cell r="G844" t="str">
            <v>PERFUME WHITE DRESS 100ML &gt; 0016</v>
          </cell>
          <cell r="H844" t="str">
            <v>HIDRATANTE BISNAGA LUX AMBER 200g - 3 &gt; HABIBI 01</v>
          </cell>
        </row>
        <row r="845">
          <cell r="D845">
            <v>46206</v>
          </cell>
          <cell r="F845" t="str">
            <v>BODY SPLASH LEAO DO DESERTO BOURBON 200ml &gt; 0011</v>
          </cell>
          <cell r="G845" t="str">
            <v>PERFUME WHITE DRESS 100ML &gt; 0016</v>
          </cell>
          <cell r="H845" t="str">
            <v>HIDRATANTE BISNAGA LUX AMBER 200g - 3 &gt; HABIBI 01</v>
          </cell>
        </row>
        <row r="846">
          <cell r="D846">
            <v>46206</v>
          </cell>
          <cell r="F846" t="str">
            <v>BODY SPLASH LEAO DO DESERTO BOURBON 200ml &gt; 0011</v>
          </cell>
          <cell r="G846" t="str">
            <v>PERFUME WHITE DRESS 100ML &gt; 0016</v>
          </cell>
          <cell r="H846" t="str">
            <v>HIDRATANTE BISNAGA LUX AMBER 200g - 3 &gt; HABIBI 01</v>
          </cell>
        </row>
        <row r="847">
          <cell r="D847">
            <v>46206</v>
          </cell>
        </row>
        <row r="848">
          <cell r="D848">
            <v>46206</v>
          </cell>
        </row>
        <row r="849">
          <cell r="D849">
            <v>46206</v>
          </cell>
        </row>
        <row r="850">
          <cell r="D850">
            <v>46206</v>
          </cell>
        </row>
        <row r="851">
          <cell r="D851">
            <v>46206</v>
          </cell>
        </row>
        <row r="854">
          <cell r="D854">
            <v>46207</v>
          </cell>
        </row>
        <row r="855">
          <cell r="D855">
            <v>46207</v>
          </cell>
        </row>
        <row r="856">
          <cell r="D856">
            <v>46207</v>
          </cell>
        </row>
        <row r="857">
          <cell r="D857">
            <v>46207</v>
          </cell>
        </row>
        <row r="858">
          <cell r="D858">
            <v>46207</v>
          </cell>
        </row>
        <row r="859">
          <cell r="D859">
            <v>46207</v>
          </cell>
        </row>
        <row r="860">
          <cell r="D860">
            <v>46207</v>
          </cell>
        </row>
        <row r="861">
          <cell r="D861">
            <v>46207</v>
          </cell>
        </row>
        <row r="862">
          <cell r="D862">
            <v>46207</v>
          </cell>
        </row>
        <row r="863">
          <cell r="D863">
            <v>46207</v>
          </cell>
        </row>
        <row r="864">
          <cell r="D864">
            <v>46207</v>
          </cell>
        </row>
        <row r="865">
          <cell r="D865">
            <v>46207</v>
          </cell>
        </row>
        <row r="866">
          <cell r="D866">
            <v>46207</v>
          </cell>
        </row>
        <row r="867">
          <cell r="D867">
            <v>46207</v>
          </cell>
        </row>
        <row r="868">
          <cell r="D868">
            <v>46207</v>
          </cell>
        </row>
        <row r="869">
          <cell r="D869">
            <v>46207</v>
          </cell>
        </row>
        <row r="872">
          <cell r="D872">
            <v>46208</v>
          </cell>
        </row>
        <row r="873">
          <cell r="D873">
            <v>46208</v>
          </cell>
        </row>
        <row r="874">
          <cell r="D874">
            <v>46208</v>
          </cell>
        </row>
        <row r="875">
          <cell r="D875">
            <v>46208</v>
          </cell>
        </row>
        <row r="876">
          <cell r="D876">
            <v>46208</v>
          </cell>
        </row>
        <row r="877">
          <cell r="D877">
            <v>46208</v>
          </cell>
        </row>
        <row r="878">
          <cell r="D878">
            <v>46208</v>
          </cell>
        </row>
        <row r="879">
          <cell r="D879">
            <v>46208</v>
          </cell>
        </row>
        <row r="880">
          <cell r="D880">
            <v>46208</v>
          </cell>
        </row>
        <row r="881">
          <cell r="D881">
            <v>46208</v>
          </cell>
        </row>
        <row r="882">
          <cell r="D882">
            <v>46208</v>
          </cell>
        </row>
        <row r="883">
          <cell r="D883">
            <v>46208</v>
          </cell>
        </row>
        <row r="884">
          <cell r="D884">
            <v>46208</v>
          </cell>
        </row>
        <row r="885">
          <cell r="D885">
            <v>46208</v>
          </cell>
        </row>
        <row r="886">
          <cell r="D886">
            <v>46208</v>
          </cell>
        </row>
        <row r="887">
          <cell r="D887">
            <v>46208</v>
          </cell>
        </row>
        <row r="889">
          <cell r="D889">
            <v>7168.0499999999993</v>
          </cell>
        </row>
        <row r="890">
          <cell r="D890">
            <v>46209</v>
          </cell>
        </row>
        <row r="891">
          <cell r="D891">
            <v>46209</v>
          </cell>
          <cell r="F891" t="str">
            <v>BODY SPLASH AMBAR REAL 200ml &gt; 0011</v>
          </cell>
          <cell r="G891" t="str">
            <v>PERFUME WHITE DRESS 100ML &gt; 0016</v>
          </cell>
          <cell r="H891" t="str">
            <v>HIDRATANTE BISNAGA LUX AMBER 200g - 3 &gt; HABIBI 01</v>
          </cell>
        </row>
        <row r="892">
          <cell r="D892">
            <v>46209</v>
          </cell>
          <cell r="F892" t="str">
            <v>BODY SPLASH AMBAR REAL 200ml &gt; 0011</v>
          </cell>
          <cell r="G892" t="str">
            <v>PERFUME WHITE DRESS 100ML &gt; 0016</v>
          </cell>
          <cell r="H892" t="str">
            <v>HIDRATANTE BISNAGA LUX AMBER 200g - 3 &gt; HABIBI 01</v>
          </cell>
        </row>
        <row r="893">
          <cell r="D893">
            <v>46209</v>
          </cell>
          <cell r="F893" t="str">
            <v>BODY SPLASH AMBAR REAL 200ml &gt; 0011</v>
          </cell>
          <cell r="G893" t="str">
            <v>PERFUME WHITE DRESS 100ML &gt; 0016</v>
          </cell>
          <cell r="H893" t="str">
            <v>HIDRATANTE BISNAGA LUX AMBER 200g - 3 &gt; HABIBI 01</v>
          </cell>
        </row>
        <row r="894">
          <cell r="D894">
            <v>46209</v>
          </cell>
          <cell r="F894" t="str">
            <v>BODY SPLASH AMBAR REAL 200ml &gt; 0011</v>
          </cell>
          <cell r="G894" t="str">
            <v>PERFUME WHITE DRESS 100ML &gt; 0016</v>
          </cell>
          <cell r="H894" t="str">
            <v>HIDRATANTE BISNAGA IMPERIUM BOURBON 200g - 3 &gt; HABIBI 01</v>
          </cell>
        </row>
        <row r="895">
          <cell r="D895">
            <v>46209</v>
          </cell>
          <cell r="F895" t="str">
            <v>BODY SPLASH AMBAR REAL 200ml &gt; 0011</v>
          </cell>
          <cell r="G895" t="str">
            <v>PERFUME WHITE DRESS 100ML &gt; 0016</v>
          </cell>
          <cell r="H895" t="str">
            <v>HIDRATANTE BISNAGA IMPERIUM BOURBON 200g - 3 &gt; HABIBI 01</v>
          </cell>
        </row>
        <row r="896">
          <cell r="D896">
            <v>46209</v>
          </cell>
        </row>
        <row r="897">
          <cell r="D897">
            <v>46209</v>
          </cell>
          <cell r="F897" t="str">
            <v>BODY SPLASH AMBAR REAL 200ml &gt; 0011</v>
          </cell>
          <cell r="G897" t="str">
            <v>PERFUME WHITE DRESS 100ML &gt; 0016</v>
          </cell>
          <cell r="H897" t="str">
            <v>HIDRATANTE BISNAGA IMPERIUM BOURBON 200g - 3 &gt; HABIBI 01</v>
          </cell>
        </row>
        <row r="898">
          <cell r="D898">
            <v>46209</v>
          </cell>
          <cell r="F898" t="str">
            <v>BODY SPLASH AMBAR REAL 200ml &gt; 0011</v>
          </cell>
          <cell r="G898" t="str">
            <v>PERFUME WHITE DRESS 100ML &gt; 0016</v>
          </cell>
          <cell r="H898" t="str">
            <v>HIDRATANTE BISNAGA IMPERIUM BOURBON 200g - 3 &gt; HABIBI 01</v>
          </cell>
        </row>
        <row r="899">
          <cell r="D899">
            <v>46209</v>
          </cell>
          <cell r="F899" t="str">
            <v>BODY SPLASH AMBAR REAL 200ml &gt; 0011</v>
          </cell>
          <cell r="G899" t="str">
            <v>PERFUME WHITE DRESS 100ML &gt; 0016</v>
          </cell>
          <cell r="H899" t="str">
            <v>HIDRATANTE BISNAGA IMPERIUM BOURBON 200g - 3 &gt; HABIBI 01</v>
          </cell>
        </row>
        <row r="900">
          <cell r="D900">
            <v>46209</v>
          </cell>
          <cell r="F900" t="str">
            <v>BODY SPLASH AMBAR REAL 200ml &gt; 0011</v>
          </cell>
          <cell r="G900" t="str">
            <v>PERFUME WHITE DRESS 100ML &gt; 0016</v>
          </cell>
          <cell r="H900" t="str">
            <v>HIDRATANTE BISNAGA IMPERIUM BOURBON 200g - 3 &gt; HABIBI 01</v>
          </cell>
        </row>
        <row r="901">
          <cell r="D901">
            <v>46209</v>
          </cell>
        </row>
        <row r="902">
          <cell r="D902">
            <v>46209</v>
          </cell>
        </row>
        <row r="903">
          <cell r="D903">
            <v>46209</v>
          </cell>
        </row>
        <row r="904">
          <cell r="D904">
            <v>46209</v>
          </cell>
        </row>
        <row r="905">
          <cell r="D905">
            <v>46209</v>
          </cell>
        </row>
        <row r="907">
          <cell r="D907">
            <v>10664.099999999999</v>
          </cell>
        </row>
        <row r="908">
          <cell r="D908">
            <v>46210</v>
          </cell>
        </row>
        <row r="909">
          <cell r="D909">
            <v>46210</v>
          </cell>
          <cell r="F909" t="str">
            <v>BODY SPLASH AMBAR REAL 200ml &gt; 0011</v>
          </cell>
          <cell r="G909" t="str">
            <v>PERFUME WHITE DRESS 100ML &gt; 0016</v>
          </cell>
          <cell r="H909" t="str">
            <v>HIDRATANTE BISNAGA IMPERIUM BOURBON 200g - 3 &gt; HABIBI 01</v>
          </cell>
        </row>
        <row r="910">
          <cell r="D910">
            <v>46210</v>
          </cell>
          <cell r="F910" t="str">
            <v>BODY SPLASH AMBAR REAL 200ml &gt; 0011</v>
          </cell>
          <cell r="G910" t="str">
            <v>PERFUME WHITE DRESS 100ML &gt; 0016</v>
          </cell>
          <cell r="H910" t="str">
            <v>HIDRATANTE BISNAGA IMPERIUM BOURBON 200g - 3 &gt; HABIBI 01</v>
          </cell>
        </row>
        <row r="911">
          <cell r="D911">
            <v>46210</v>
          </cell>
          <cell r="F911" t="str">
            <v>BODY SPLASH AMBAR REAL 200ml &gt; 0011</v>
          </cell>
          <cell r="G911" t="str">
            <v>PERFUME WHITE DRESS 100ML &gt; 0016</v>
          </cell>
          <cell r="H911" t="str">
            <v>HIDRATANTE BISNAGA IMPERIUM BOURBON 200g - 3 &gt; HABIBI 01</v>
          </cell>
        </row>
        <row r="912">
          <cell r="D912">
            <v>46210</v>
          </cell>
          <cell r="F912" t="str">
            <v>BODY SPLASH AMBAR REAL 200ml &gt; 0011</v>
          </cell>
          <cell r="G912" t="str">
            <v>PERFUME WHITE DRESS 100ML &gt; 0016</v>
          </cell>
          <cell r="H912" t="str">
            <v>HIDRATANTE BISNAGA IMPERIUM BOURBON 200g - 3 &gt; HABIBI 01</v>
          </cell>
        </row>
        <row r="913">
          <cell r="D913">
            <v>46210</v>
          </cell>
          <cell r="F913" t="str">
            <v>BODY SPLASH AMBAR REAL 200ml &gt; 0011</v>
          </cell>
          <cell r="G913" t="str">
            <v>PERFUME WHITE DRESS 100ML &gt; 0016</v>
          </cell>
          <cell r="H913" t="str">
            <v>HIDRATANTE BISNAGA IMPERIUM BOURBON 200g - 3 &gt; HABIBI 01</v>
          </cell>
        </row>
        <row r="914">
          <cell r="D914">
            <v>46210</v>
          </cell>
        </row>
        <row r="915">
          <cell r="D915">
            <v>46210</v>
          </cell>
          <cell r="F915" t="str">
            <v>BODY SPLASH AMBAR REAL 200ml &gt; 0011</v>
          </cell>
          <cell r="G915" t="str">
            <v>PERFUME WHITE DRESS 100ML &gt; 0016</v>
          </cell>
          <cell r="H915" t="str">
            <v>HIDRATANTE BISNAGA IMPERIUM BOURBON 200g - 3 &gt; HABIBI 01</v>
          </cell>
        </row>
        <row r="916">
          <cell r="D916">
            <v>46210</v>
          </cell>
          <cell r="F916" t="str">
            <v>BODY SPLASH AMBAR REAL 200ml &gt; 0011</v>
          </cell>
          <cell r="G916" t="str">
            <v>PERFUME WHITE DRESS 100ML &gt; 0016</v>
          </cell>
          <cell r="H916" t="str">
            <v>HIDRATANTE BISNAGA IMPERIUM BOURBON 200g - 3 &gt; HABIBI 01</v>
          </cell>
        </row>
        <row r="917">
          <cell r="D917">
            <v>46210</v>
          </cell>
          <cell r="F917" t="str">
            <v>BODY SPLASH AMBAR REAL 200ml &gt; 0011</v>
          </cell>
          <cell r="G917" t="str">
            <v>PERFUME WHITE DRESS 100ML &gt; 0016</v>
          </cell>
          <cell r="H917" t="str">
            <v>HIDRATANTE BISNAGA IMPERIUM BOURBON 200g - 3 &gt; HABIBI 01</v>
          </cell>
        </row>
        <row r="918">
          <cell r="D918">
            <v>46210</v>
          </cell>
          <cell r="F918" t="str">
            <v>BODY SPLASH AMBAR REAL 200ml &gt; 0011</v>
          </cell>
          <cell r="G918" t="str">
            <v>PERFUME WHITE DRESS 100ML &gt; 0016</v>
          </cell>
          <cell r="H918" t="str">
            <v>HIDRATANTE BISNAGA IMPERIUM BOURBON 200g - 3 &gt; HABIBI 01</v>
          </cell>
        </row>
        <row r="919">
          <cell r="D919">
            <v>46210</v>
          </cell>
        </row>
        <row r="920">
          <cell r="D920">
            <v>46210</v>
          </cell>
        </row>
        <row r="921">
          <cell r="D921">
            <v>46210</v>
          </cell>
        </row>
        <row r="922">
          <cell r="D922">
            <v>46210</v>
          </cell>
        </row>
        <row r="923">
          <cell r="D923">
            <v>46210</v>
          </cell>
        </row>
        <row r="925">
          <cell r="D925">
            <v>21219.149999999998</v>
          </cell>
        </row>
        <row r="926">
          <cell r="D926">
            <v>46211</v>
          </cell>
        </row>
        <row r="927">
          <cell r="D927">
            <v>46211</v>
          </cell>
          <cell r="F927" t="str">
            <v>BODY SPLASH AMBAR REAL 200ml &gt; 0011</v>
          </cell>
          <cell r="G927" t="str">
            <v>BODY SPLASH DEUSA DO NILO &gt; 0014</v>
          </cell>
          <cell r="H927" t="str">
            <v>HIDRATANTE BISNAGA ANGELUS 200g - 3 &gt; HABIBI 01</v>
          </cell>
        </row>
        <row r="928">
          <cell r="D928">
            <v>46211</v>
          </cell>
          <cell r="F928" t="str">
            <v>BODY SPLASH AMBAR REAL 200ml &gt; 0011</v>
          </cell>
          <cell r="G928" t="str">
            <v>BODY SPLASH DEUSA DO NILO &gt; 0014</v>
          </cell>
          <cell r="H928" t="str">
            <v>HIDRATANTE BISNAGA ANGELUS 200g - 3 &gt; HABIBI 01</v>
          </cell>
        </row>
        <row r="929">
          <cell r="D929">
            <v>46211</v>
          </cell>
          <cell r="F929" t="str">
            <v>BODY SPLASH AMBAR REAL 200ml &gt; 0011</v>
          </cell>
          <cell r="G929" t="str">
            <v>BODY SPLASH DEUSA DO NILO &gt; 0014</v>
          </cell>
          <cell r="H929" t="str">
            <v>HIDRATANTE BISNAGA ANGELUS 200g - 3 &gt; HABIBI 01</v>
          </cell>
        </row>
        <row r="930">
          <cell r="D930">
            <v>46211</v>
          </cell>
          <cell r="F930" t="str">
            <v>BODY SPLASH AMBAR REAL 200ml &gt; 0011</v>
          </cell>
          <cell r="G930" t="str">
            <v>BODY SPLASH DEUSA DO NILO &gt; 0014</v>
          </cell>
          <cell r="H930" t="str">
            <v>HIDRATANTE BISNAGA ANGELUS 200g - 3 &gt; HABIBI 01</v>
          </cell>
        </row>
        <row r="931">
          <cell r="D931">
            <v>46211</v>
          </cell>
          <cell r="F931" t="str">
            <v>BODY SPLASH AMBAR REAL 200ml &gt; 0011</v>
          </cell>
          <cell r="G931" t="str">
            <v>BODY SPLASH DEUSA DO NILO &gt; 0014</v>
          </cell>
          <cell r="H931" t="str">
            <v>HIDRATANTE BISNAGA ANGELUS 200g - 3 &gt; HABIBI 01</v>
          </cell>
        </row>
        <row r="932">
          <cell r="D932">
            <v>46211</v>
          </cell>
        </row>
        <row r="933">
          <cell r="D933">
            <v>46211</v>
          </cell>
          <cell r="F933" t="str">
            <v>BODY SPLASH AMBAR REAL 200ml &gt; 0008</v>
          </cell>
          <cell r="G933" t="str">
            <v>HIDRATANTE SORVETE DE MORANGO 120ML -  &gt; 05</v>
          </cell>
        </row>
        <row r="934">
          <cell r="D934">
            <v>46211</v>
          </cell>
          <cell r="F934" t="str">
            <v>BODY SPLASH AMBAR REAL 200ml &gt; 0008</v>
          </cell>
          <cell r="G934" t="str">
            <v>HIDRATANTE SORVETE DE MORANGO 120ML -  &gt; 05</v>
          </cell>
        </row>
        <row r="935">
          <cell r="D935">
            <v>46211</v>
          </cell>
          <cell r="F935" t="str">
            <v>BODY SPLASH AMBAR REAL 200ml &gt; 0008</v>
          </cell>
          <cell r="G935" t="str">
            <v>HIDRATANTE SORVETE DE MORANGO 120ML -  &gt; 05</v>
          </cell>
        </row>
        <row r="936">
          <cell r="D936">
            <v>46211</v>
          </cell>
          <cell r="F936" t="str">
            <v>BODY SPLASH AMBAR REAL 200ml &gt; 0008</v>
          </cell>
          <cell r="G936" t="str">
            <v>HIDRATANTE SORVETE DE MORANGO 120ML -  &gt; 05</v>
          </cell>
        </row>
        <row r="937">
          <cell r="D937">
            <v>46211</v>
          </cell>
        </row>
        <row r="938">
          <cell r="D938">
            <v>46211</v>
          </cell>
        </row>
        <row r="939">
          <cell r="D939">
            <v>46211</v>
          </cell>
        </row>
        <row r="940">
          <cell r="D940">
            <v>46211</v>
          </cell>
        </row>
        <row r="941">
          <cell r="D941">
            <v>46211</v>
          </cell>
        </row>
        <row r="943">
          <cell r="D943">
            <v>31687.399999999998</v>
          </cell>
        </row>
        <row r="944">
          <cell r="D944">
            <v>46212</v>
          </cell>
        </row>
        <row r="945">
          <cell r="D945">
            <v>46212</v>
          </cell>
          <cell r="F945" t="str">
            <v>BODY SPLASH AMBAR REAL 200ml &gt; 0008</v>
          </cell>
          <cell r="G945" t="str">
            <v>HIDRATANTE SORVETE DE MORANGO 120ML -  &gt; 05</v>
          </cell>
        </row>
        <row r="946">
          <cell r="D946">
            <v>46212</v>
          </cell>
          <cell r="F946" t="str">
            <v>BODY SPLASH AMBAR REAL 200ml &gt; 0008</v>
          </cell>
          <cell r="G946" t="str">
            <v>HIDRATANTE SORVETE DE MORANGO 120ML -  &gt; 05</v>
          </cell>
        </row>
        <row r="947">
          <cell r="D947">
            <v>46212</v>
          </cell>
          <cell r="F947" t="str">
            <v>BODY SPLASH AMBAR REAL 200ml &gt; 0008</v>
          </cell>
          <cell r="G947" t="str">
            <v>HIDRATANTE SORVETE DE MORANGO 120ML -  &gt; 05</v>
          </cell>
        </row>
        <row r="948">
          <cell r="D948">
            <v>46212</v>
          </cell>
          <cell r="F948" t="str">
            <v>BODY SPLASH AMBAR REAL 200ml &gt; 0008</v>
          </cell>
          <cell r="G948" t="str">
            <v>HIDRATANTE SORVETE DE MORANGO 120ML -  &gt; 05</v>
          </cell>
        </row>
        <row r="949">
          <cell r="D949">
            <v>46212</v>
          </cell>
          <cell r="F949" t="str">
            <v>BODY SPLASH AMBAR REAL 200ml &gt; 0008</v>
          </cell>
          <cell r="G949" t="str">
            <v>HIDRATANTE SORVETE DE MORANGO 120ML -  &gt; 05</v>
          </cell>
        </row>
        <row r="950">
          <cell r="D950">
            <v>46212</v>
          </cell>
        </row>
        <row r="951">
          <cell r="D951">
            <v>46212</v>
          </cell>
          <cell r="F951" t="str">
            <v>MOUSSE FACIAL SORVETE DE MORANGO 150ML -  &gt; 05</v>
          </cell>
          <cell r="G951" t="str">
            <v>HIDRATANTE SORVETE DE MORANGO 120ML -  &gt; 05</v>
          </cell>
          <cell r="H951" t="str">
            <v>PERFUMES AFFER</v>
          </cell>
        </row>
        <row r="952">
          <cell r="D952">
            <v>46212</v>
          </cell>
          <cell r="F952" t="str">
            <v>MOUSSE FACIAL SORVETE DE MORANGO 150ML -  &gt; 05</v>
          </cell>
          <cell r="G952" t="str">
            <v>HIDRATANTE SORVETE DE MORANGO 120ML -  &gt; 05</v>
          </cell>
          <cell r="H952" t="str">
            <v>PERFUMES AFFER</v>
          </cell>
        </row>
        <row r="953">
          <cell r="D953">
            <v>46212</v>
          </cell>
          <cell r="F953" t="str">
            <v>MOUSSE FACIAL SORVETE DE MORANGO 150ML -  &gt; 05</v>
          </cell>
          <cell r="G953" t="str">
            <v>HIDRATANTE SORVETE DE MORANGO 120ML -  &gt; 05</v>
          </cell>
          <cell r="H953" t="str">
            <v>PERFUMES AFFER</v>
          </cell>
        </row>
        <row r="954">
          <cell r="D954">
            <v>46212</v>
          </cell>
          <cell r="F954" t="str">
            <v>MOUSSE FACIAL SORVETE DE MORANGO 150ML -  &gt; 05</v>
          </cell>
          <cell r="G954" t="str">
            <v>HIDRATANTE SORVETE DE MORANGO 120ML -  &gt; 05</v>
          </cell>
          <cell r="H954" t="str">
            <v>PERFUMES AFFER</v>
          </cell>
        </row>
        <row r="955">
          <cell r="D955">
            <v>46212</v>
          </cell>
        </row>
        <row r="956">
          <cell r="D956">
            <v>46212</v>
          </cell>
        </row>
        <row r="957">
          <cell r="D957">
            <v>46212</v>
          </cell>
        </row>
        <row r="958">
          <cell r="D958">
            <v>46212</v>
          </cell>
        </row>
        <row r="959">
          <cell r="D959">
            <v>46212</v>
          </cell>
        </row>
        <row r="961">
          <cell r="D961">
            <v>39211.399999999994</v>
          </cell>
        </row>
        <row r="962">
          <cell r="D962">
            <v>46213</v>
          </cell>
        </row>
        <row r="963">
          <cell r="D963">
            <v>46213</v>
          </cell>
          <cell r="F963" t="str">
            <v>MOUSSE FACIAL SORVETE DE MORANGO 150ML -  &gt; 05</v>
          </cell>
          <cell r="G963" t="str">
            <v>HIDRATANTE SORVETE DE MORANGO 120ML -  &gt; 05</v>
          </cell>
        </row>
        <row r="964">
          <cell r="D964">
            <v>46213</v>
          </cell>
          <cell r="F964" t="str">
            <v>MOUSSE FACIAL SORVETE DE MORANGO 150ML -  &gt; 05</v>
          </cell>
          <cell r="G964" t="str">
            <v>HIDRATANTE SORVETE DE MORANGO 120ML -  &gt; 05</v>
          </cell>
        </row>
        <row r="965">
          <cell r="D965">
            <v>46213</v>
          </cell>
          <cell r="F965" t="str">
            <v>MOUSSE FACIAL SORVETE DE MORANGO 150ML -  &gt; 05</v>
          </cell>
          <cell r="G965" t="str">
            <v>HIDRATANTE SORVETE DE MORANGO 120ML -  &gt; 05</v>
          </cell>
        </row>
        <row r="966">
          <cell r="D966">
            <v>46213</v>
          </cell>
          <cell r="F966" t="str">
            <v>MOUSSE FACIAL SORVETE DE MORANGO 150ML -  &gt; 05</v>
          </cell>
          <cell r="G966" t="str">
            <v>HIDRATANTE SORVETE DE MORANGO 120ML -  &gt; 05</v>
          </cell>
        </row>
        <row r="967">
          <cell r="D967">
            <v>46213</v>
          </cell>
          <cell r="F967" t="str">
            <v>MOUSSE FACIAL SORVETE DE MORANGO 150ML -  &gt; 05</v>
          </cell>
          <cell r="G967" t="str">
            <v>OLEO CORPORAL SORVETE DE MORANGO 120ML -  &gt; 05</v>
          </cell>
        </row>
        <row r="968">
          <cell r="D968">
            <v>46213</v>
          </cell>
        </row>
        <row r="969">
          <cell r="D969">
            <v>46213</v>
          </cell>
          <cell r="F969" t="str">
            <v>MOUSSE FACIAL SORVETE DE MORANGO 150ML -  &gt; 05</v>
          </cell>
          <cell r="G969" t="str">
            <v>OLEO CORPORAL SORVETE DE MORANGO 120ML -  &gt; 05</v>
          </cell>
        </row>
        <row r="970">
          <cell r="D970">
            <v>46213</v>
          </cell>
          <cell r="F970" t="str">
            <v>MOUSSE FACIAL SORVETE DE MORANGO 150ML -  &gt; 05</v>
          </cell>
          <cell r="G970" t="str">
            <v>OLEO CORPORAL SORVETE DE MORANGO 120ML -  &gt; 05</v>
          </cell>
        </row>
        <row r="971">
          <cell r="D971">
            <v>46213</v>
          </cell>
          <cell r="F971" t="str">
            <v>MOUSSE FACIAL SORVETE DE MORANGO 150ML -  &gt; 05</v>
          </cell>
          <cell r="G971" t="str">
            <v>OLEO CORPORAL SORVETE DE MORANGO 120ML -  &gt; 05</v>
          </cell>
        </row>
        <row r="972">
          <cell r="D972">
            <v>46213</v>
          </cell>
          <cell r="F972" t="str">
            <v>MOUSSE FACIAL SORVETE DE MORANGO 150ML -  &gt; 05</v>
          </cell>
          <cell r="G972" t="str">
            <v>OLEO CORPORAL SORVETE DE MORANGO 120ML -  &gt; 05</v>
          </cell>
        </row>
        <row r="973">
          <cell r="D973">
            <v>46213</v>
          </cell>
        </row>
        <row r="974">
          <cell r="D974">
            <v>46213</v>
          </cell>
        </row>
        <row r="975">
          <cell r="D975">
            <v>46213</v>
          </cell>
        </row>
        <row r="976">
          <cell r="D976">
            <v>46213</v>
          </cell>
        </row>
        <row r="977">
          <cell r="D977">
            <v>46213</v>
          </cell>
        </row>
        <row r="980">
          <cell r="D980">
            <v>46214</v>
          </cell>
        </row>
        <row r="981">
          <cell r="D981">
            <v>46214</v>
          </cell>
        </row>
        <row r="982">
          <cell r="D982">
            <v>46214</v>
          </cell>
        </row>
        <row r="983">
          <cell r="D983">
            <v>46214</v>
          </cell>
        </row>
        <row r="984">
          <cell r="D984">
            <v>46214</v>
          </cell>
        </row>
        <row r="985">
          <cell r="D985">
            <v>46214</v>
          </cell>
        </row>
        <row r="986">
          <cell r="D986">
            <v>46214</v>
          </cell>
        </row>
        <row r="987">
          <cell r="D987">
            <v>46214</v>
          </cell>
        </row>
        <row r="988">
          <cell r="D988">
            <v>46214</v>
          </cell>
        </row>
        <row r="989">
          <cell r="D989">
            <v>46214</v>
          </cell>
        </row>
        <row r="990">
          <cell r="D990">
            <v>46214</v>
          </cell>
        </row>
        <row r="991">
          <cell r="D991">
            <v>46214</v>
          </cell>
        </row>
        <row r="992">
          <cell r="D992">
            <v>46214</v>
          </cell>
        </row>
        <row r="993">
          <cell r="D993">
            <v>46214</v>
          </cell>
        </row>
        <row r="994">
          <cell r="D994">
            <v>46214</v>
          </cell>
        </row>
        <row r="995">
          <cell r="D995">
            <v>46214</v>
          </cell>
        </row>
        <row r="998">
          <cell r="D998">
            <v>46215</v>
          </cell>
        </row>
        <row r="999">
          <cell r="D999">
            <v>46215</v>
          </cell>
        </row>
        <row r="1000">
          <cell r="D1000">
            <v>46215</v>
          </cell>
        </row>
        <row r="1001">
          <cell r="D1001">
            <v>46215</v>
          </cell>
        </row>
        <row r="1002">
          <cell r="D1002">
            <v>46215</v>
          </cell>
        </row>
        <row r="1003">
          <cell r="D1003">
            <v>46215</v>
          </cell>
        </row>
        <row r="1004">
          <cell r="D1004">
            <v>46215</v>
          </cell>
        </row>
        <row r="1005">
          <cell r="D1005">
            <v>46215</v>
          </cell>
        </row>
        <row r="1006">
          <cell r="D1006">
            <v>46215</v>
          </cell>
        </row>
        <row r="1007">
          <cell r="D1007">
            <v>46215</v>
          </cell>
        </row>
        <row r="1008">
          <cell r="D1008">
            <v>46215</v>
          </cell>
        </row>
        <row r="1009">
          <cell r="D1009">
            <v>46215</v>
          </cell>
        </row>
        <row r="1010">
          <cell r="D1010">
            <v>46215</v>
          </cell>
        </row>
        <row r="1011">
          <cell r="D1011">
            <v>46215</v>
          </cell>
        </row>
        <row r="1012">
          <cell r="D1012">
            <v>46215</v>
          </cell>
        </row>
        <row r="1013">
          <cell r="D1013">
            <v>46215</v>
          </cell>
        </row>
        <row r="1015">
          <cell r="D1015">
            <v>30962.15</v>
          </cell>
        </row>
        <row r="1016">
          <cell r="D1016">
            <v>46216</v>
          </cell>
        </row>
        <row r="1017">
          <cell r="D1017">
            <v>46216</v>
          </cell>
          <cell r="F1017" t="str">
            <v>BODY SPLASH ROSA RAINHA 200ml &gt; 0011</v>
          </cell>
          <cell r="G1017" t="str">
            <v>OLEO CORPORAL SORVETE DE MORANGO 120ML -  &gt; 05</v>
          </cell>
          <cell r="H1017" t="str">
            <v>PERFUMES AFEER</v>
          </cell>
        </row>
        <row r="1018">
          <cell r="D1018">
            <v>46216</v>
          </cell>
          <cell r="F1018" t="str">
            <v>BODY SPLASH ROSA RAINHA 200ml &gt; 0011</v>
          </cell>
          <cell r="G1018" t="str">
            <v>OLEO CORPORAL SORVETE DE MORANGO 120ML -  &gt; 05</v>
          </cell>
          <cell r="H1018" t="str">
            <v>PERFUMES AFEER</v>
          </cell>
        </row>
        <row r="1019">
          <cell r="D1019">
            <v>46216</v>
          </cell>
          <cell r="F1019" t="str">
            <v>BODY SPLASH ROSA RAINHA 200ml &gt; 0011</v>
          </cell>
          <cell r="G1019" t="str">
            <v>OLEO CORPORAL SORVETE DE MORANGO 120ML -  &gt; 05</v>
          </cell>
          <cell r="H1019" t="str">
            <v>PERFUMES AFEER</v>
          </cell>
        </row>
        <row r="1020">
          <cell r="D1020">
            <v>46216</v>
          </cell>
          <cell r="F1020" t="str">
            <v>BODY SPLASH ROSA RAINHA 200ml &gt; 0011</v>
          </cell>
          <cell r="G1020" t="str">
            <v>OLEO CORPORAL SORVETE DE MORANGO 120ML -  &gt; 05</v>
          </cell>
          <cell r="H1020" t="str">
            <v>PERFUMES AFEER</v>
          </cell>
        </row>
        <row r="1021">
          <cell r="D1021">
            <v>46216</v>
          </cell>
          <cell r="F1021" t="str">
            <v>BODY SPLASH ROSA RAINHA 200ml &gt; 0011</v>
          </cell>
          <cell r="G1021" t="str">
            <v>OLEO CORPORAL SORVETE DE MORANGO 120ML -  &gt; 05</v>
          </cell>
          <cell r="H1021" t="str">
            <v>PERFUMES AFEER</v>
          </cell>
        </row>
        <row r="1022">
          <cell r="D1022">
            <v>46216</v>
          </cell>
        </row>
        <row r="1023">
          <cell r="D1023">
            <v>46216</v>
          </cell>
          <cell r="F1023" t="str">
            <v>BODY SPLASH ROSA RAINHA 200ml &gt; 0011</v>
          </cell>
          <cell r="G1023" t="str">
            <v>OLEO CORPORAL SORVETE DE MORANGO 120ML -  &gt; 05</v>
          </cell>
          <cell r="H1023" t="str">
            <v>PERFUMES AFEER</v>
          </cell>
        </row>
        <row r="1024">
          <cell r="D1024">
            <v>46216</v>
          </cell>
          <cell r="F1024" t="str">
            <v>BODY SPLASH ROSA RAINHA 200ml &gt; 0011</v>
          </cell>
          <cell r="G1024" t="str">
            <v>OLEO CORPORAL SORVETE DE MORANGO 120ML -  &gt; 05</v>
          </cell>
          <cell r="H1024" t="str">
            <v>PERFUMES AFEER</v>
          </cell>
        </row>
        <row r="1025">
          <cell r="D1025">
            <v>46216</v>
          </cell>
          <cell r="F1025" t="str">
            <v>BODY SPLASH ROSA RAINHA 200ml &gt; 0011</v>
          </cell>
          <cell r="G1025" t="str">
            <v>OLEO CORPORAL SORVETE DE MORANGO 120ML -  &gt; 05</v>
          </cell>
          <cell r="H1025" t="str">
            <v>PERFUMES AFEER</v>
          </cell>
        </row>
        <row r="1026">
          <cell r="D1026">
            <v>46216</v>
          </cell>
          <cell r="F1026" t="str">
            <v>BODY SPLASH ROSA RAINHA 200ml &gt; 0011</v>
          </cell>
          <cell r="G1026" t="str">
            <v>OLEO CORPORAL SORVETE DE MORANGO 120ML -  &gt; 05</v>
          </cell>
          <cell r="H1026" t="str">
            <v>PERFUMES AFEER</v>
          </cell>
        </row>
        <row r="1027">
          <cell r="D1027">
            <v>46216</v>
          </cell>
        </row>
        <row r="1028">
          <cell r="D1028">
            <v>46216</v>
          </cell>
        </row>
        <row r="1029">
          <cell r="D1029">
            <v>46216</v>
          </cell>
        </row>
        <row r="1030">
          <cell r="D1030">
            <v>46216</v>
          </cell>
        </row>
        <row r="1031">
          <cell r="D1031">
            <v>46216</v>
          </cell>
        </row>
        <row r="1033">
          <cell r="D1033">
            <v>23979.600000000006</v>
          </cell>
        </row>
        <row r="1034">
          <cell r="D1034">
            <v>46217</v>
          </cell>
        </row>
        <row r="1035">
          <cell r="D1035">
            <v>46217</v>
          </cell>
          <cell r="F1035" t="str">
            <v>BODY SPLASH ROSA RAINHA 200ml &gt; 0011</v>
          </cell>
          <cell r="G1035" t="str">
            <v>OLEO CORPORAL SORVETE DE MORANGO 120ML -  &gt; 05</v>
          </cell>
          <cell r="H1035" t="str">
            <v>PERFUMES AFEER</v>
          </cell>
        </row>
        <row r="1036">
          <cell r="D1036">
            <v>46217</v>
          </cell>
          <cell r="F1036" t="str">
            <v>BODY SPLASH ROSA RAINHA 200ml &gt; 0011</v>
          </cell>
          <cell r="G1036" t="str">
            <v>OLEO CORPORAL SORVETE DE MORANGO 120ML -  &gt; 05</v>
          </cell>
          <cell r="H1036" t="str">
            <v>PERFUMES AFEER</v>
          </cell>
        </row>
        <row r="1037">
          <cell r="D1037">
            <v>46217</v>
          </cell>
          <cell r="F1037" t="str">
            <v>BODY SPLASH ROSA RAINHA 200ml &gt; 0011</v>
          </cell>
          <cell r="H1037" t="str">
            <v>PERFUMES AFEER</v>
          </cell>
        </row>
        <row r="1038">
          <cell r="D1038">
            <v>46217</v>
          </cell>
          <cell r="H1038" t="str">
            <v>PERFUMES AFEER</v>
          </cell>
        </row>
        <row r="1039">
          <cell r="D1039">
            <v>46217</v>
          </cell>
          <cell r="H1039" t="str">
            <v>PERFUMES AFEER</v>
          </cell>
        </row>
        <row r="1040">
          <cell r="D1040">
            <v>46217</v>
          </cell>
        </row>
        <row r="1041">
          <cell r="D1041">
            <v>46217</v>
          </cell>
          <cell r="H1041" t="str">
            <v>PERFUMES AFEER</v>
          </cell>
        </row>
        <row r="1042">
          <cell r="D1042">
            <v>46217</v>
          </cell>
          <cell r="H1042" t="str">
            <v>PERFUMES AFEER</v>
          </cell>
        </row>
        <row r="1043">
          <cell r="D1043">
            <v>46217</v>
          </cell>
          <cell r="H1043" t="str">
            <v>PERFUMES AFEER</v>
          </cell>
        </row>
        <row r="1044">
          <cell r="D1044">
            <v>46217</v>
          </cell>
          <cell r="H1044" t="str">
            <v>PERFUMES AFEER</v>
          </cell>
        </row>
        <row r="1045">
          <cell r="D1045">
            <v>46217</v>
          </cell>
        </row>
        <row r="1046">
          <cell r="D1046">
            <v>46217</v>
          </cell>
        </row>
        <row r="1047">
          <cell r="D1047">
            <v>46217</v>
          </cell>
        </row>
        <row r="1048">
          <cell r="D1048">
            <v>46217</v>
          </cell>
        </row>
        <row r="1049">
          <cell r="D1049">
            <v>46217</v>
          </cell>
        </row>
        <row r="1051">
          <cell r="D1051">
            <v>16455.600000000002</v>
          </cell>
        </row>
        <row r="1052">
          <cell r="D1052">
            <v>46218</v>
          </cell>
        </row>
        <row r="1053">
          <cell r="D1053">
            <v>46218</v>
          </cell>
          <cell r="H1053" t="str">
            <v>PERFUMES AFEER</v>
          </cell>
        </row>
        <row r="1054">
          <cell r="D1054">
            <v>46218</v>
          </cell>
          <cell r="H1054" t="str">
            <v>PERFUMES AFEER</v>
          </cell>
        </row>
        <row r="1055">
          <cell r="D1055">
            <v>46218</v>
          </cell>
          <cell r="H1055" t="str">
            <v>PERFUMES AFEER</v>
          </cell>
        </row>
        <row r="1056">
          <cell r="D1056">
            <v>46218</v>
          </cell>
          <cell r="H1056" t="str">
            <v>PERFUMES AFEER</v>
          </cell>
        </row>
        <row r="1057">
          <cell r="D1057">
            <v>46218</v>
          </cell>
          <cell r="H1057" t="str">
            <v>PERFUMES AFEER</v>
          </cell>
        </row>
        <row r="1058">
          <cell r="D1058">
            <v>46218</v>
          </cell>
        </row>
        <row r="1059">
          <cell r="D1059">
            <v>46218</v>
          </cell>
          <cell r="H1059" t="str">
            <v>PERFUMES AFEER</v>
          </cell>
        </row>
        <row r="1060">
          <cell r="D1060">
            <v>46218</v>
          </cell>
          <cell r="H1060" t="str">
            <v>PERFUMES AFEER</v>
          </cell>
        </row>
        <row r="1061">
          <cell r="D1061">
            <v>46218</v>
          </cell>
          <cell r="H1061" t="str">
            <v>PERFUMES AFEER</v>
          </cell>
        </row>
        <row r="1062">
          <cell r="D1062">
            <v>46218</v>
          </cell>
          <cell r="H1062" t="str">
            <v>PERFUMES AFEER</v>
          </cell>
        </row>
        <row r="1063">
          <cell r="D1063">
            <v>46218</v>
          </cell>
        </row>
        <row r="1064">
          <cell r="D1064">
            <v>46218</v>
          </cell>
        </row>
        <row r="1065">
          <cell r="D1065">
            <v>46218</v>
          </cell>
        </row>
        <row r="1066">
          <cell r="D1066">
            <v>46218</v>
          </cell>
        </row>
        <row r="1067">
          <cell r="D1067">
            <v>46218</v>
          </cell>
        </row>
        <row r="1069">
          <cell r="D1069">
            <v>16455.600000000002</v>
          </cell>
        </row>
        <row r="1070">
          <cell r="D1070">
            <v>46219</v>
          </cell>
        </row>
        <row r="1071">
          <cell r="D1071">
            <v>46219</v>
          </cell>
          <cell r="H1071" t="str">
            <v>PERFUMES AFEER</v>
          </cell>
        </row>
        <row r="1072">
          <cell r="D1072">
            <v>46219</v>
          </cell>
          <cell r="H1072" t="str">
            <v>PERFUMES AFEER</v>
          </cell>
        </row>
        <row r="1073">
          <cell r="D1073">
            <v>46219</v>
          </cell>
          <cell r="H1073" t="str">
            <v>PERFUMES AFEER</v>
          </cell>
        </row>
        <row r="1074">
          <cell r="D1074">
            <v>46219</v>
          </cell>
          <cell r="H1074" t="str">
            <v>PERFUMES AFEER</v>
          </cell>
        </row>
        <row r="1075">
          <cell r="D1075">
            <v>46219</v>
          </cell>
          <cell r="H1075" t="str">
            <v>PERFUMES AFEER</v>
          </cell>
        </row>
        <row r="1076">
          <cell r="D1076">
            <v>46219</v>
          </cell>
        </row>
        <row r="1077">
          <cell r="D1077">
            <v>46219</v>
          </cell>
          <cell r="H1077" t="str">
            <v>PERFUMES AFEER</v>
          </cell>
        </row>
        <row r="1078">
          <cell r="D1078">
            <v>46219</v>
          </cell>
          <cell r="H1078" t="str">
            <v>PERFUMES AFEER</v>
          </cell>
        </row>
        <row r="1079">
          <cell r="D1079">
            <v>46219</v>
          </cell>
          <cell r="H1079" t="str">
            <v>PERFUMES AFEER</v>
          </cell>
        </row>
        <row r="1080">
          <cell r="D1080">
            <v>46219</v>
          </cell>
          <cell r="H1080" t="str">
            <v>PERFUMES AFEER</v>
          </cell>
        </row>
        <row r="1081">
          <cell r="D1081">
            <v>46219</v>
          </cell>
        </row>
        <row r="1082">
          <cell r="D1082">
            <v>46219</v>
          </cell>
        </row>
        <row r="1083">
          <cell r="D1083">
            <v>46219</v>
          </cell>
        </row>
        <row r="1084">
          <cell r="D1084">
            <v>46219</v>
          </cell>
        </row>
        <row r="1085">
          <cell r="D1085">
            <v>46219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TRADA"/>
      <sheetName val="Gráfico1"/>
      <sheetName val="Gráfico2"/>
      <sheetName val="EXPEDIÇÃO"/>
      <sheetName val="PRODUÇÃO"/>
      <sheetName val="EXPEDIDOS"/>
      <sheetName val="Planilha1"/>
    </sheetNames>
    <sheetDataSet>
      <sheetData sheetId="0"/>
      <sheetData sheetId="1"/>
      <sheetData sheetId="2"/>
      <sheetData sheetId="3">
        <row r="1">
          <cell r="K1"/>
        </row>
        <row r="2">
          <cell r="D2"/>
          <cell r="E2"/>
          <cell r="K2"/>
          <cell r="N2"/>
        </row>
        <row r="3">
          <cell r="K3"/>
          <cell r="N3"/>
        </row>
        <row r="4">
          <cell r="D4" t="str">
            <v>Cliente</v>
          </cell>
          <cell r="E4" t="str">
            <v>SKU</v>
          </cell>
          <cell r="K4" t="str">
            <v>Qtd. 
Unidades</v>
          </cell>
          <cell r="N4" t="str">
            <v>Data Stk</v>
          </cell>
        </row>
        <row r="5">
          <cell r="D5" t="str">
            <v>GOTA ZEN</v>
          </cell>
          <cell r="E5" t="str">
            <v>GZLBBS02</v>
          </cell>
          <cell r="K5">
            <v>1332</v>
          </cell>
          <cell r="N5">
            <v>46092</v>
          </cell>
        </row>
        <row r="6">
          <cell r="D6" t="str">
            <v>GOTA ZEN</v>
          </cell>
          <cell r="E6" t="str">
            <v>GZLBBS04</v>
          </cell>
          <cell r="K6">
            <v>1356</v>
          </cell>
          <cell r="N6">
            <v>46092</v>
          </cell>
        </row>
        <row r="7">
          <cell r="D7" t="str">
            <v>GOTA ZEN</v>
          </cell>
          <cell r="E7" t="str">
            <v>GZLBBS06</v>
          </cell>
          <cell r="K7">
            <v>1212</v>
          </cell>
          <cell r="N7">
            <v>46100</v>
          </cell>
        </row>
        <row r="8">
          <cell r="D8" t="str">
            <v>GOTA ZEN</v>
          </cell>
          <cell r="E8" t="str">
            <v>GZLBBS05</v>
          </cell>
          <cell r="K8">
            <v>1392</v>
          </cell>
          <cell r="N8">
            <v>46104</v>
          </cell>
        </row>
        <row r="9">
          <cell r="D9" t="str">
            <v>GOTA ZEN</v>
          </cell>
          <cell r="E9" t="str">
            <v>GZLBBS05</v>
          </cell>
          <cell r="K9">
            <v>96</v>
          </cell>
          <cell r="N9">
            <v>46106</v>
          </cell>
        </row>
        <row r="10">
          <cell r="D10" t="str">
            <v>GOTA ZEN</v>
          </cell>
          <cell r="E10" t="str">
            <v>GZLBBS03</v>
          </cell>
          <cell r="K10">
            <v>1368</v>
          </cell>
          <cell r="N10">
            <v>46092</v>
          </cell>
        </row>
        <row r="11">
          <cell r="D11" t="str">
            <v>GOTA ZEN</v>
          </cell>
          <cell r="E11" t="str">
            <v>GZLBBS01</v>
          </cell>
          <cell r="K11">
            <v>1344</v>
          </cell>
          <cell r="N11">
            <v>46092</v>
          </cell>
        </row>
        <row r="12">
          <cell r="D12" t="str">
            <v>FILATO BENE</v>
          </cell>
          <cell r="E12" t="str">
            <v>FBPF0001</v>
          </cell>
          <cell r="K12">
            <v>48</v>
          </cell>
          <cell r="N12">
            <v>46125</v>
          </cell>
        </row>
        <row r="13">
          <cell r="D13" t="str">
            <v>FILATO BENE</v>
          </cell>
          <cell r="E13" t="str">
            <v>FBPF0001</v>
          </cell>
          <cell r="K13">
            <v>53</v>
          </cell>
          <cell r="N13">
            <v>46125</v>
          </cell>
        </row>
        <row r="14">
          <cell r="D14" t="str">
            <v>FILATO BENE</v>
          </cell>
          <cell r="E14" t="str">
            <v>FBPF0001</v>
          </cell>
          <cell r="K14">
            <v>720</v>
          </cell>
          <cell r="N14">
            <v>46125</v>
          </cell>
        </row>
        <row r="15">
          <cell r="D15" t="str">
            <v>FILATO BENE</v>
          </cell>
          <cell r="E15" t="str">
            <v>FBPF0002</v>
          </cell>
          <cell r="K15">
            <v>22</v>
          </cell>
          <cell r="N15">
            <v>46127</v>
          </cell>
        </row>
        <row r="16">
          <cell r="D16" t="str">
            <v>FILATO BENE</v>
          </cell>
          <cell r="E16" t="str">
            <v>FBPF0002</v>
          </cell>
          <cell r="K16">
            <v>42</v>
          </cell>
          <cell r="N16">
            <v>46127</v>
          </cell>
        </row>
        <row r="17">
          <cell r="D17" t="str">
            <v>FILATO BENE</v>
          </cell>
          <cell r="E17" t="str">
            <v>FBPF0002</v>
          </cell>
          <cell r="K17">
            <v>840</v>
          </cell>
          <cell r="N17">
            <v>46127</v>
          </cell>
        </row>
        <row r="18">
          <cell r="D18" t="str">
            <v>WIKE MAKE</v>
          </cell>
          <cell r="E18" t="str">
            <v>WKBS0004</v>
          </cell>
          <cell r="K18">
            <v>3984</v>
          </cell>
          <cell r="N18">
            <v>46190</v>
          </cell>
        </row>
        <row r="19">
          <cell r="D19" t="str">
            <v>WIKE MAKE</v>
          </cell>
          <cell r="E19" t="str">
            <v>WKBS0004</v>
          </cell>
          <cell r="K19">
            <v>8</v>
          </cell>
          <cell r="N19">
            <v>46190</v>
          </cell>
        </row>
        <row r="20">
          <cell r="D20" t="str">
            <v>WIKE MAKE</v>
          </cell>
          <cell r="E20" t="str">
            <v>WKBS0004</v>
          </cell>
          <cell r="K20">
            <v>3600</v>
          </cell>
          <cell r="N20">
            <v>46190</v>
          </cell>
        </row>
        <row r="21">
          <cell r="D21" t="str">
            <v>WIKE MAKE</v>
          </cell>
          <cell r="E21" t="str">
            <v>WKBS0004</v>
          </cell>
          <cell r="K21">
            <v>46</v>
          </cell>
          <cell r="N21">
            <v>46190</v>
          </cell>
        </row>
        <row r="22">
          <cell r="D22" t="str">
            <v>WIKE MAKE</v>
          </cell>
          <cell r="E22" t="str">
            <v>WKBS0004</v>
          </cell>
          <cell r="K22">
            <v>336</v>
          </cell>
          <cell r="N22">
            <v>46190</v>
          </cell>
        </row>
        <row r="23">
          <cell r="D23" t="str">
            <v>MISS RÔSE</v>
          </cell>
          <cell r="E23" t="str">
            <v>MRARBS07</v>
          </cell>
          <cell r="K23">
            <v>37</v>
          </cell>
          <cell r="N23">
            <v>46190</v>
          </cell>
        </row>
        <row r="24">
          <cell r="D24" t="str">
            <v>MISS RÔSE</v>
          </cell>
          <cell r="E24" t="str">
            <v>MRARBS07</v>
          </cell>
          <cell r="K24">
            <v>720</v>
          </cell>
          <cell r="N24">
            <v>46190</v>
          </cell>
        </row>
        <row r="25">
          <cell r="D25" t="str">
            <v>DAPOP</v>
          </cell>
          <cell r="E25" t="str">
            <v>DPMTBS02</v>
          </cell>
          <cell r="K25">
            <v>3300</v>
          </cell>
          <cell r="N25">
            <v>46191</v>
          </cell>
        </row>
        <row r="26">
          <cell r="D26" t="str">
            <v>DAPOP</v>
          </cell>
          <cell r="E26" t="str">
            <v>DPMTBS02</v>
          </cell>
          <cell r="K26">
            <v>4200</v>
          </cell>
          <cell r="N26">
            <v>46191</v>
          </cell>
        </row>
        <row r="27">
          <cell r="D27" t="str">
            <v>DAPOP</v>
          </cell>
          <cell r="E27" t="str">
            <v>DPMTBS02</v>
          </cell>
          <cell r="K27">
            <v>1260</v>
          </cell>
          <cell r="N27">
            <v>46192</v>
          </cell>
        </row>
        <row r="28">
          <cell r="D28" t="str">
            <v>DAPOP</v>
          </cell>
          <cell r="E28" t="str">
            <v>DPMTBS02</v>
          </cell>
          <cell r="K28">
            <v>5280</v>
          </cell>
          <cell r="N28">
            <v>46192</v>
          </cell>
        </row>
        <row r="29">
          <cell r="D29" t="str">
            <v>DAPOP</v>
          </cell>
          <cell r="E29" t="str">
            <v>DPMTBS01</v>
          </cell>
          <cell r="K29">
            <v>4920</v>
          </cell>
          <cell r="N29">
            <v>46192</v>
          </cell>
        </row>
        <row r="30">
          <cell r="D30" t="str">
            <v>DAPOP</v>
          </cell>
          <cell r="E30" t="str">
            <v>DPMTBS03</v>
          </cell>
          <cell r="K30">
            <v>60</v>
          </cell>
          <cell r="N30">
            <v>46195</v>
          </cell>
        </row>
        <row r="31">
          <cell r="D31" t="str">
            <v>DAPOP</v>
          </cell>
          <cell r="E31" t="str">
            <v>DPMTBS01</v>
          </cell>
          <cell r="K31">
            <v>32</v>
          </cell>
          <cell r="N31">
            <v>46195</v>
          </cell>
        </row>
        <row r="32">
          <cell r="D32" t="str">
            <v>DAPOP</v>
          </cell>
          <cell r="E32" t="str">
            <v>DPMTBS01</v>
          </cell>
          <cell r="K32">
            <v>3060</v>
          </cell>
          <cell r="N32">
            <v>46195</v>
          </cell>
        </row>
        <row r="33">
          <cell r="D33" t="str">
            <v>DAPOP</v>
          </cell>
          <cell r="E33" t="str">
            <v>DPMTBS01</v>
          </cell>
          <cell r="K33">
            <v>46</v>
          </cell>
          <cell r="N33">
            <v>46195</v>
          </cell>
        </row>
        <row r="34">
          <cell r="D34" t="str">
            <v>DAPOP</v>
          </cell>
          <cell r="E34" t="str">
            <v>DPMTBS01</v>
          </cell>
          <cell r="K34">
            <v>6060</v>
          </cell>
          <cell r="N34">
            <v>46195</v>
          </cell>
        </row>
        <row r="35">
          <cell r="D35" t="str">
            <v>DAPOP</v>
          </cell>
          <cell r="E35" t="str">
            <v>DPMTBS03</v>
          </cell>
          <cell r="K35">
            <v>2580</v>
          </cell>
          <cell r="N35">
            <v>46196</v>
          </cell>
        </row>
        <row r="36">
          <cell r="D36" t="str">
            <v>DAPOP</v>
          </cell>
          <cell r="E36" t="str">
            <v>DPMTBS03</v>
          </cell>
          <cell r="K36">
            <v>5400</v>
          </cell>
          <cell r="N36">
            <v>46196</v>
          </cell>
        </row>
        <row r="37">
          <cell r="D37" t="str">
            <v>DAPOP</v>
          </cell>
          <cell r="E37" t="str">
            <v>DPMTBS03</v>
          </cell>
          <cell r="K37">
            <v>47</v>
          </cell>
          <cell r="N37">
            <v>46197</v>
          </cell>
        </row>
        <row r="38">
          <cell r="D38" t="str">
            <v>DAPOP</v>
          </cell>
          <cell r="E38" t="str">
            <v>DPMTBS03</v>
          </cell>
          <cell r="K38">
            <v>5160</v>
          </cell>
          <cell r="N38">
            <v>46197</v>
          </cell>
        </row>
        <row r="39">
          <cell r="D39" t="str">
            <v>MISS RÔSE</v>
          </cell>
          <cell r="E39" t="str">
            <v>MRARBS05</v>
          </cell>
          <cell r="K39">
            <v>1392</v>
          </cell>
          <cell r="N39">
            <v>46196</v>
          </cell>
        </row>
        <row r="40">
          <cell r="D40" t="str">
            <v>MISS RÔSE</v>
          </cell>
          <cell r="E40" t="str">
            <v>MRARBS05</v>
          </cell>
          <cell r="K40">
            <v>2160</v>
          </cell>
          <cell r="N40">
            <v>46196</v>
          </cell>
        </row>
        <row r="41">
          <cell r="D41" t="str">
            <v>MISS RÔSE</v>
          </cell>
          <cell r="E41" t="str">
            <v>MRARBS05</v>
          </cell>
          <cell r="K41">
            <v>2400</v>
          </cell>
          <cell r="N41">
            <v>46196</v>
          </cell>
        </row>
        <row r="42">
          <cell r="D42" t="str">
            <v>MISS RÔSE</v>
          </cell>
          <cell r="E42" t="str">
            <v>MRARBS05</v>
          </cell>
          <cell r="K42">
            <v>1968</v>
          </cell>
          <cell r="N42">
            <v>46197</v>
          </cell>
        </row>
        <row r="43">
          <cell r="D43" t="str">
            <v>MISS RÔSE</v>
          </cell>
          <cell r="E43" t="str">
            <v>MRARBS05</v>
          </cell>
          <cell r="K43">
            <v>2400</v>
          </cell>
          <cell r="N43">
            <v>46197</v>
          </cell>
        </row>
        <row r="44">
          <cell r="D44" t="str">
            <v>MISS RÔSE</v>
          </cell>
          <cell r="E44" t="str">
            <v>MRARBS05</v>
          </cell>
          <cell r="K44">
            <v>16</v>
          </cell>
          <cell r="N44">
            <v>46197</v>
          </cell>
        </row>
        <row r="45">
          <cell r="D45" t="str">
            <v>MISS RÔSE</v>
          </cell>
          <cell r="E45" t="str">
            <v>MRARBS05</v>
          </cell>
          <cell r="K45">
            <v>2496</v>
          </cell>
          <cell r="N45">
            <v>46197</v>
          </cell>
        </row>
        <row r="46">
          <cell r="D46" t="str">
            <v>MISS RÔSE</v>
          </cell>
          <cell r="E46" t="str">
            <v>MRARBS07</v>
          </cell>
          <cell r="K46">
            <v>2400</v>
          </cell>
          <cell r="N46">
            <v>46197</v>
          </cell>
        </row>
        <row r="47">
          <cell r="D47" t="str">
            <v>MISS RÔSE</v>
          </cell>
          <cell r="E47" t="str">
            <v>MRARBS11</v>
          </cell>
          <cell r="K47">
            <v>2400</v>
          </cell>
          <cell r="N47">
            <v>46197</v>
          </cell>
        </row>
        <row r="48">
          <cell r="D48" t="str">
            <v>MISS RÔSE</v>
          </cell>
          <cell r="E48" t="str">
            <v>MRARBS07</v>
          </cell>
          <cell r="K48">
            <v>2112</v>
          </cell>
          <cell r="N48">
            <v>46197</v>
          </cell>
        </row>
        <row r="49">
          <cell r="D49" t="str">
            <v>MISS RÔSE</v>
          </cell>
          <cell r="E49" t="str">
            <v>MRARBS11</v>
          </cell>
          <cell r="K49">
            <v>2160</v>
          </cell>
          <cell r="N49">
            <v>46197</v>
          </cell>
        </row>
        <row r="50">
          <cell r="D50" t="str">
            <v>MISS RÔSE</v>
          </cell>
          <cell r="E50" t="str">
            <v>MRARBS07</v>
          </cell>
          <cell r="K50">
            <v>2400</v>
          </cell>
          <cell r="N50">
            <v>46197</v>
          </cell>
        </row>
        <row r="51">
          <cell r="D51" t="str">
            <v>MISS RÔSE</v>
          </cell>
          <cell r="E51" t="str">
            <v>MRARBS11</v>
          </cell>
          <cell r="K51">
            <v>2400</v>
          </cell>
          <cell r="N51">
            <v>46197</v>
          </cell>
        </row>
        <row r="52">
          <cell r="D52" t="str">
            <v>HABIBI PERFUMES</v>
          </cell>
          <cell r="E52" t="str">
            <v>HBHD0004</v>
          </cell>
          <cell r="K52">
            <v>31</v>
          </cell>
          <cell r="N52">
            <v>46197</v>
          </cell>
        </row>
        <row r="53">
          <cell r="D53" t="str">
            <v>HABIBI PERFUMES</v>
          </cell>
          <cell r="E53" t="str">
            <v>HBHD0004</v>
          </cell>
          <cell r="K53">
            <v>1584</v>
          </cell>
          <cell r="N53">
            <v>46197</v>
          </cell>
        </row>
        <row r="54">
          <cell r="D54" t="str">
            <v>MISS RÔSE</v>
          </cell>
          <cell r="E54" t="str">
            <v>MRARBS07</v>
          </cell>
          <cell r="K54">
            <v>2400</v>
          </cell>
          <cell r="N54">
            <v>46198</v>
          </cell>
        </row>
        <row r="55">
          <cell r="D55" t="str">
            <v>MISS RÔSE</v>
          </cell>
          <cell r="E55" t="str">
            <v>MRARBS11</v>
          </cell>
          <cell r="K55">
            <v>2208</v>
          </cell>
          <cell r="N55">
            <v>46198</v>
          </cell>
        </row>
        <row r="56">
          <cell r="D56" t="str">
            <v>MISS RÔSE</v>
          </cell>
          <cell r="E56" t="str">
            <v>MRARBS07</v>
          </cell>
          <cell r="K56">
            <v>2256</v>
          </cell>
          <cell r="N56">
            <v>46198</v>
          </cell>
        </row>
        <row r="57">
          <cell r="D57" t="str">
            <v>MISS RÔSE</v>
          </cell>
          <cell r="E57" t="str">
            <v>MRARBS11</v>
          </cell>
          <cell r="K57">
            <v>35</v>
          </cell>
          <cell r="N57">
            <v>46198</v>
          </cell>
        </row>
        <row r="58">
          <cell r="D58" t="str">
            <v>MISS RÔSE</v>
          </cell>
          <cell r="E58" t="str">
            <v>MRARBS11</v>
          </cell>
          <cell r="K58">
            <v>2832</v>
          </cell>
          <cell r="N58">
            <v>46198</v>
          </cell>
        </row>
        <row r="59">
          <cell r="D59" t="str">
            <v>MISS RÔSE</v>
          </cell>
          <cell r="E59" t="str">
            <v>MRARBS07</v>
          </cell>
          <cell r="K59">
            <v>2208</v>
          </cell>
          <cell r="N59">
            <v>46198</v>
          </cell>
        </row>
        <row r="60">
          <cell r="D60" t="str">
            <v>MISS RÔSE</v>
          </cell>
          <cell r="E60" t="str">
            <v>MRARBS07</v>
          </cell>
          <cell r="K60">
            <v>2400</v>
          </cell>
          <cell r="N60">
            <v>46198</v>
          </cell>
        </row>
        <row r="61">
          <cell r="D61" t="str">
            <v>MISS RÔSE</v>
          </cell>
          <cell r="E61" t="str">
            <v>MRARBS07</v>
          </cell>
          <cell r="K61">
            <v>2160</v>
          </cell>
          <cell r="N61">
            <v>46198</v>
          </cell>
        </row>
        <row r="62">
          <cell r="D62" t="str">
            <v>HABIBI PERFUMES</v>
          </cell>
          <cell r="E62" t="str">
            <v>HBHD0004</v>
          </cell>
          <cell r="K62">
            <v>47</v>
          </cell>
          <cell r="N62">
            <v>46198</v>
          </cell>
        </row>
        <row r="63">
          <cell r="D63" t="str">
            <v>HABIBI PERFUMES</v>
          </cell>
          <cell r="E63" t="str">
            <v>HBHD0004</v>
          </cell>
          <cell r="K63">
            <v>480</v>
          </cell>
          <cell r="N63">
            <v>46198</v>
          </cell>
        </row>
        <row r="64">
          <cell r="D64" t="str">
            <v>HABIBI PERFUMES</v>
          </cell>
          <cell r="E64" t="str">
            <v>HBHD0004</v>
          </cell>
          <cell r="K64">
            <v>1776</v>
          </cell>
          <cell r="N64">
            <v>46198</v>
          </cell>
        </row>
        <row r="65">
          <cell r="D65" t="str">
            <v>HABIBI PERFUMES</v>
          </cell>
          <cell r="E65" t="str">
            <v>HBHD0002</v>
          </cell>
          <cell r="K65">
            <v>19</v>
          </cell>
          <cell r="N65">
            <v>46198</v>
          </cell>
        </row>
        <row r="66">
          <cell r="D66" t="str">
            <v>HABIBI PERFUMES</v>
          </cell>
          <cell r="E66" t="str">
            <v>HBHD0002</v>
          </cell>
          <cell r="K66">
            <v>1728</v>
          </cell>
          <cell r="N66">
            <v>46198</v>
          </cell>
        </row>
        <row r="67">
          <cell r="D67" t="str">
            <v>HABIBI PERFUMES</v>
          </cell>
          <cell r="E67" t="str">
            <v>HBHD0002</v>
          </cell>
          <cell r="K67">
            <v>20</v>
          </cell>
          <cell r="N67">
            <v>46199</v>
          </cell>
        </row>
        <row r="68">
          <cell r="D68" t="str">
            <v>HABIBI PERFUMES</v>
          </cell>
          <cell r="E68" t="str">
            <v>HBHD0002</v>
          </cell>
          <cell r="K68">
            <v>1344</v>
          </cell>
          <cell r="N68">
            <v>46199</v>
          </cell>
        </row>
        <row r="69">
          <cell r="D69" t="str">
            <v>HABIBI PERFUMES</v>
          </cell>
          <cell r="E69" t="str">
            <v>HBHD0002</v>
          </cell>
          <cell r="K69">
            <v>38</v>
          </cell>
          <cell r="N69">
            <v>46199</v>
          </cell>
        </row>
        <row r="70">
          <cell r="D70" t="str">
            <v>HABIBI PERFUMES</v>
          </cell>
          <cell r="E70" t="str">
            <v>HBHD0002</v>
          </cell>
          <cell r="K70">
            <v>1296</v>
          </cell>
          <cell r="N70">
            <v>46199</v>
          </cell>
        </row>
        <row r="71">
          <cell r="D71" t="str">
            <v>MISS RÔSE</v>
          </cell>
          <cell r="E71" t="str">
            <v>MRARBS07</v>
          </cell>
          <cell r="K71">
            <v>2064</v>
          </cell>
          <cell r="N71">
            <v>46199</v>
          </cell>
        </row>
        <row r="72">
          <cell r="D72" t="str">
            <v>MISS RÔSE</v>
          </cell>
          <cell r="E72" t="str">
            <v>MRARBS07</v>
          </cell>
          <cell r="K72">
            <v>2400</v>
          </cell>
          <cell r="N72">
            <v>46199</v>
          </cell>
        </row>
        <row r="73">
          <cell r="D73" t="str">
            <v>MISS RÔSE</v>
          </cell>
          <cell r="E73" t="str">
            <v>MRARBS07</v>
          </cell>
          <cell r="K73">
            <v>2400</v>
          </cell>
          <cell r="N73">
            <v>46202</v>
          </cell>
        </row>
        <row r="74">
          <cell r="D74" t="str">
            <v>MISS RÔSE</v>
          </cell>
          <cell r="E74" t="str">
            <v>MRARBS02</v>
          </cell>
          <cell r="K74">
            <v>36</v>
          </cell>
          <cell r="N74">
            <v>46203</v>
          </cell>
        </row>
        <row r="75">
          <cell r="D75" t="str">
            <v>MISS RÔSE</v>
          </cell>
          <cell r="E75" t="str">
            <v>MRARBS02</v>
          </cell>
          <cell r="K75">
            <v>768</v>
          </cell>
          <cell r="N75">
            <v>46203</v>
          </cell>
        </row>
        <row r="76">
          <cell r="D76" t="str">
            <v>MISS RÔSE</v>
          </cell>
          <cell r="E76" t="str">
            <v>MRARBS07</v>
          </cell>
          <cell r="K76">
            <v>2688</v>
          </cell>
          <cell r="N76">
            <v>46202</v>
          </cell>
        </row>
        <row r="77">
          <cell r="D77" t="str">
            <v>MISS RÔSE</v>
          </cell>
          <cell r="E77" t="str">
            <v>MRARBS01</v>
          </cell>
          <cell r="K77">
            <v>2352</v>
          </cell>
          <cell r="N77">
            <v>46202</v>
          </cell>
        </row>
        <row r="78">
          <cell r="D78" t="str">
            <v>MISS RÔSE</v>
          </cell>
          <cell r="E78" t="str">
            <v>MRARBS01</v>
          </cell>
          <cell r="K78">
            <v>2400</v>
          </cell>
          <cell r="N78">
            <v>46202</v>
          </cell>
        </row>
        <row r="79">
          <cell r="D79" t="str">
            <v>HABIBI PERFUMES</v>
          </cell>
          <cell r="E79" t="str">
            <v>HBHD0003</v>
          </cell>
          <cell r="K79">
            <v>17</v>
          </cell>
          <cell r="N79">
            <v>46202</v>
          </cell>
        </row>
        <row r="80">
          <cell r="D80" t="str">
            <v>HABIBI PERFUMES</v>
          </cell>
          <cell r="E80" t="str">
            <v>HBHD0003</v>
          </cell>
          <cell r="K80">
            <v>1728</v>
          </cell>
          <cell r="N80">
            <v>46202</v>
          </cell>
        </row>
        <row r="81">
          <cell r="D81" t="str">
            <v>HABIBI PERFUMES</v>
          </cell>
          <cell r="E81" t="str">
            <v>HBHD0003</v>
          </cell>
          <cell r="K81">
            <v>2</v>
          </cell>
          <cell r="N81">
            <v>46203</v>
          </cell>
        </row>
        <row r="82">
          <cell r="D82" t="str">
            <v>HABIBI PERFUMES</v>
          </cell>
          <cell r="E82" t="str">
            <v>HBHD0003</v>
          </cell>
          <cell r="K82">
            <v>1680</v>
          </cell>
          <cell r="N82">
            <v>46203</v>
          </cell>
        </row>
        <row r="83">
          <cell r="D83" t="str">
            <v>MISS RÔSE</v>
          </cell>
          <cell r="E83" t="str">
            <v>MRARBS07</v>
          </cell>
          <cell r="K83">
            <v>2688</v>
          </cell>
          <cell r="N83">
            <v>46203</v>
          </cell>
        </row>
        <row r="84">
          <cell r="D84" t="str">
            <v>MISS RÔSE</v>
          </cell>
          <cell r="E84" t="str">
            <v>MRARBS07</v>
          </cell>
          <cell r="K84">
            <v>2112</v>
          </cell>
          <cell r="N84">
            <v>46203</v>
          </cell>
        </row>
        <row r="85">
          <cell r="D85" t="str">
            <v>MISS RÔSE</v>
          </cell>
          <cell r="E85" t="str">
            <v>MRARBS01</v>
          </cell>
          <cell r="K85">
            <v>30</v>
          </cell>
          <cell r="N85">
            <v>46203</v>
          </cell>
        </row>
        <row r="86">
          <cell r="D86" t="str">
            <v>MISS RÔSE</v>
          </cell>
          <cell r="E86" t="str">
            <v>MRARBS01</v>
          </cell>
          <cell r="K86">
            <v>3312</v>
          </cell>
          <cell r="N86">
            <v>46203</v>
          </cell>
        </row>
        <row r="87">
          <cell r="D87" t="str">
            <v>MISS RÔSE</v>
          </cell>
          <cell r="E87" t="str">
            <v>MRARBS07</v>
          </cell>
          <cell r="K87">
            <v>2400</v>
          </cell>
          <cell r="N87">
            <v>46203</v>
          </cell>
        </row>
        <row r="88">
          <cell r="D88" t="str">
            <v>MISS RÔSE</v>
          </cell>
          <cell r="E88" t="str">
            <v>MRARBS07</v>
          </cell>
          <cell r="K88">
            <v>2592</v>
          </cell>
          <cell r="N88">
            <v>46203</v>
          </cell>
        </row>
        <row r="89">
          <cell r="D89" t="str">
            <v>MISS RÔSE</v>
          </cell>
          <cell r="E89" t="str">
            <v>MRARBS07</v>
          </cell>
          <cell r="K89">
            <v>4512</v>
          </cell>
          <cell r="N89">
            <v>46204</v>
          </cell>
        </row>
        <row r="90">
          <cell r="D90" t="str">
            <v>HABIBI PERFUMES</v>
          </cell>
          <cell r="E90" t="str">
            <v>HBHD0008</v>
          </cell>
          <cell r="K90">
            <v>44</v>
          </cell>
          <cell r="N90">
            <v>46204</v>
          </cell>
        </row>
        <row r="91">
          <cell r="D91" t="str">
            <v>HABIBI PERFUMES</v>
          </cell>
          <cell r="E91" t="str">
            <v>HBHD0008</v>
          </cell>
          <cell r="K91">
            <v>1536</v>
          </cell>
          <cell r="N91">
            <v>46204</v>
          </cell>
        </row>
        <row r="92">
          <cell r="D92" t="str">
            <v>FEBELLA BEAUTY</v>
          </cell>
          <cell r="E92" t="str">
            <v>FEBS0006</v>
          </cell>
          <cell r="K92">
            <v>2400</v>
          </cell>
          <cell r="N92">
            <v>46199</v>
          </cell>
        </row>
        <row r="93">
          <cell r="D93" t="str">
            <v>FEBELLA BEAUTY</v>
          </cell>
          <cell r="E93" t="str">
            <v>FEBS0006</v>
          </cell>
          <cell r="K93">
            <v>2496</v>
          </cell>
          <cell r="N93">
            <v>46199</v>
          </cell>
        </row>
        <row r="94">
          <cell r="D94" t="str">
            <v>FEBELLA BEAUTY</v>
          </cell>
          <cell r="E94" t="str">
            <v>FEBS0006</v>
          </cell>
          <cell r="K94">
            <v>12</v>
          </cell>
          <cell r="N94">
            <v>46203</v>
          </cell>
        </row>
        <row r="95">
          <cell r="D95" t="str">
            <v>FEBELLA BEAUTY</v>
          </cell>
          <cell r="E95" t="str">
            <v>FEBS0006</v>
          </cell>
          <cell r="K95">
            <v>768</v>
          </cell>
          <cell r="N95">
            <v>46203</v>
          </cell>
        </row>
        <row r="96">
          <cell r="D96" t="str">
            <v>FEBELLA BEAUTY</v>
          </cell>
          <cell r="E96" t="str">
            <v>FEBS0005</v>
          </cell>
          <cell r="K96">
            <v>2400</v>
          </cell>
          <cell r="N96">
            <v>46203</v>
          </cell>
        </row>
        <row r="97">
          <cell r="D97" t="str">
            <v>FEBELLA BEAUTY</v>
          </cell>
          <cell r="E97" t="str">
            <v>FEBS0005</v>
          </cell>
          <cell r="K97">
            <v>1584</v>
          </cell>
          <cell r="N97">
            <v>46204</v>
          </cell>
        </row>
        <row r="98">
          <cell r="D98" t="str">
            <v>FEBELLA BEAUTY</v>
          </cell>
          <cell r="E98" t="str">
            <v>FEBS0006</v>
          </cell>
          <cell r="K98">
            <v>42</v>
          </cell>
          <cell r="N98">
            <v>46204</v>
          </cell>
        </row>
        <row r="99">
          <cell r="D99" t="str">
            <v>FEBELLA BEAUTY</v>
          </cell>
          <cell r="E99" t="str">
            <v>FEBS0006</v>
          </cell>
          <cell r="K99">
            <v>1920</v>
          </cell>
          <cell r="N99">
            <v>46204</v>
          </cell>
        </row>
        <row r="100">
          <cell r="D100" t="str">
            <v>FEBELLA BEAUTY</v>
          </cell>
          <cell r="E100" t="str">
            <v>FEBS0006</v>
          </cell>
          <cell r="K100">
            <v>2400</v>
          </cell>
          <cell r="N100">
            <v>46204</v>
          </cell>
        </row>
        <row r="101">
          <cell r="D101" t="str">
            <v>MISS RÔSE</v>
          </cell>
          <cell r="E101" t="str">
            <v>MRARBS07</v>
          </cell>
          <cell r="K101">
            <v>2400</v>
          </cell>
          <cell r="N101">
            <v>46205</v>
          </cell>
        </row>
        <row r="102">
          <cell r="D102" t="str">
            <v>MISS RÔSE</v>
          </cell>
          <cell r="E102" t="str">
            <v>MRARBS07</v>
          </cell>
          <cell r="K102">
            <v>2448</v>
          </cell>
          <cell r="N102">
            <v>46205</v>
          </cell>
        </row>
        <row r="103">
          <cell r="D103" t="str">
            <v>MISS RÔSE</v>
          </cell>
          <cell r="E103" t="str">
            <v>MRARBS07</v>
          </cell>
          <cell r="K103">
            <v>2256</v>
          </cell>
          <cell r="N103">
            <v>46205</v>
          </cell>
        </row>
        <row r="104">
          <cell r="D104" t="str">
            <v>MISS RÔSE</v>
          </cell>
          <cell r="E104" t="str">
            <v>MRARBS07</v>
          </cell>
          <cell r="K104">
            <v>2400</v>
          </cell>
          <cell r="N104">
            <v>46205</v>
          </cell>
        </row>
        <row r="105">
          <cell r="D105" t="str">
            <v>MISS RÔSE</v>
          </cell>
          <cell r="E105" t="str">
            <v>MRARBS10</v>
          </cell>
          <cell r="K105">
            <v>2736</v>
          </cell>
          <cell r="N105">
            <v>46206</v>
          </cell>
        </row>
        <row r="106">
          <cell r="D106" t="str">
            <v>MISS RÔSE</v>
          </cell>
          <cell r="E106" t="str">
            <v>MRARBS10</v>
          </cell>
          <cell r="K106">
            <v>1680</v>
          </cell>
          <cell r="N106">
            <v>46206</v>
          </cell>
        </row>
        <row r="107">
          <cell r="D107" t="str">
            <v>MISS RÔSE</v>
          </cell>
          <cell r="E107" t="str">
            <v>MRARBS07</v>
          </cell>
          <cell r="K107">
            <v>2400</v>
          </cell>
          <cell r="N107">
            <v>46205</v>
          </cell>
        </row>
        <row r="108">
          <cell r="D108" t="str">
            <v>HABIBI PERFUMES</v>
          </cell>
          <cell r="E108" t="str">
            <v>MRARBS07</v>
          </cell>
          <cell r="K108">
            <v>2256</v>
          </cell>
          <cell r="N108" t="str">
            <v>03/072026</v>
          </cell>
        </row>
        <row r="109">
          <cell r="D109" t="str">
            <v>HABIBI PERFUMES</v>
          </cell>
          <cell r="E109" t="str">
            <v>MRARBS07</v>
          </cell>
          <cell r="K109">
            <v>2400</v>
          </cell>
          <cell r="N109" t="str">
            <v>03/072026</v>
          </cell>
        </row>
        <row r="110">
          <cell r="D110" t="str">
            <v>HABIBI PERFUMES</v>
          </cell>
          <cell r="E110" t="str">
            <v>HBHD0008</v>
          </cell>
          <cell r="K110">
            <v>18</v>
          </cell>
          <cell r="N110">
            <v>46206</v>
          </cell>
        </row>
        <row r="111">
          <cell r="D111" t="str">
            <v>HABIBI PERFUMES</v>
          </cell>
          <cell r="E111" t="str">
            <v>HBHD0008</v>
          </cell>
          <cell r="K111">
            <v>1056</v>
          </cell>
          <cell r="N111">
            <v>46206</v>
          </cell>
        </row>
        <row r="112">
          <cell r="D112" t="str">
            <v>HABIBI PERFUMES</v>
          </cell>
          <cell r="E112" t="str">
            <v>HBHD0008</v>
          </cell>
          <cell r="K112">
            <v>1680</v>
          </cell>
          <cell r="N112">
            <v>46206</v>
          </cell>
        </row>
        <row r="113">
          <cell r="D113" t="str">
            <v>HABIBI PERFUMES</v>
          </cell>
          <cell r="E113" t="str">
            <v>HBHD0005</v>
          </cell>
          <cell r="K113">
            <v>15</v>
          </cell>
          <cell r="N113">
            <v>46206</v>
          </cell>
        </row>
        <row r="114">
          <cell r="D114" t="str">
            <v>HABIBI PERFUMES</v>
          </cell>
          <cell r="E114" t="str">
            <v>HBHD0005</v>
          </cell>
          <cell r="K114">
            <v>1680</v>
          </cell>
          <cell r="N114">
            <v>46206</v>
          </cell>
        </row>
        <row r="115">
          <cell r="D115" t="str">
            <v>FEBELLA BEAUTY</v>
          </cell>
          <cell r="E115" t="str">
            <v>FEBS0002</v>
          </cell>
          <cell r="K115">
            <v>5280</v>
          </cell>
          <cell r="N115">
            <v>46205</v>
          </cell>
        </row>
        <row r="116">
          <cell r="D116" t="str">
            <v>FEBELLA BEAUTY</v>
          </cell>
          <cell r="E116" t="str">
            <v>FEBS0002</v>
          </cell>
          <cell r="K116">
            <v>1560</v>
          </cell>
          <cell r="N116">
            <v>46205</v>
          </cell>
        </row>
        <row r="117">
          <cell r="D117" t="str">
            <v>FEBELLA BEAUTY</v>
          </cell>
          <cell r="E117" t="str">
            <v>FEBS0002</v>
          </cell>
          <cell r="K117">
            <v>1320</v>
          </cell>
          <cell r="N117">
            <v>46205</v>
          </cell>
        </row>
        <row r="118">
          <cell r="D118" t="str">
            <v>FEBELLA BEAUTY</v>
          </cell>
          <cell r="E118" t="str">
            <v>FEBS0002</v>
          </cell>
          <cell r="K118">
            <v>120</v>
          </cell>
          <cell r="N118">
            <v>46205</v>
          </cell>
        </row>
        <row r="119">
          <cell r="D119" t="str">
            <v>SAFIRA</v>
          </cell>
          <cell r="E119" t="str">
            <v>SASCES02</v>
          </cell>
          <cell r="K119">
            <v>1408</v>
          </cell>
          <cell r="N119">
            <v>46160</v>
          </cell>
        </row>
        <row r="120">
          <cell r="D120" t="str">
            <v>SAFIRA</v>
          </cell>
          <cell r="E120" t="str">
            <v>SASCES02</v>
          </cell>
          <cell r="K120">
            <v>2816</v>
          </cell>
          <cell r="N120">
            <v>46160</v>
          </cell>
        </row>
        <row r="121">
          <cell r="D121" t="str">
            <v>SAFIRA</v>
          </cell>
          <cell r="E121" t="str">
            <v>SASCDM01</v>
          </cell>
          <cell r="K121">
            <v>17</v>
          </cell>
          <cell r="N121">
            <v>46160</v>
          </cell>
        </row>
        <row r="122">
          <cell r="D122" t="str">
            <v>SAFIRA</v>
          </cell>
          <cell r="E122" t="str">
            <v>SASCDM01</v>
          </cell>
          <cell r="K122">
            <v>2880</v>
          </cell>
          <cell r="N122">
            <v>46160</v>
          </cell>
        </row>
        <row r="123">
          <cell r="D123" t="str">
            <v>SAFIRA</v>
          </cell>
          <cell r="E123" t="str">
            <v>SASCDM02</v>
          </cell>
          <cell r="K123">
            <v>48</v>
          </cell>
          <cell r="N123">
            <v>46160</v>
          </cell>
        </row>
        <row r="124">
          <cell r="D124" t="str">
            <v>SAFIRA</v>
          </cell>
          <cell r="E124" t="str">
            <v>SASCDM02</v>
          </cell>
          <cell r="K124">
            <v>3264</v>
          </cell>
          <cell r="N124">
            <v>46160</v>
          </cell>
        </row>
        <row r="125">
          <cell r="D125" t="str">
            <v>AMEERATI</v>
          </cell>
          <cell r="E125" t="str">
            <v>AMNCHD01</v>
          </cell>
          <cell r="K125">
            <v>20</v>
          </cell>
          <cell r="N125">
            <v>46156</v>
          </cell>
        </row>
        <row r="126">
          <cell r="D126" t="str">
            <v>AMEERATI</v>
          </cell>
          <cell r="E126" t="str">
            <v>AMNCHD01</v>
          </cell>
          <cell r="K126">
            <v>648</v>
          </cell>
          <cell r="N126">
            <v>46156</v>
          </cell>
        </row>
        <row r="127">
          <cell r="D127" t="str">
            <v>AMEERATI</v>
          </cell>
          <cell r="E127" t="str">
            <v>AMNCHD04</v>
          </cell>
          <cell r="K127">
            <v>17</v>
          </cell>
          <cell r="N127">
            <v>46156</v>
          </cell>
        </row>
        <row r="128">
          <cell r="D128" t="str">
            <v>AMEERATI</v>
          </cell>
          <cell r="E128" t="str">
            <v>AMNCHD04</v>
          </cell>
          <cell r="K128">
            <v>768</v>
          </cell>
          <cell r="N128">
            <v>46156</v>
          </cell>
        </row>
        <row r="129">
          <cell r="D129" t="str">
            <v>AMEERATI</v>
          </cell>
          <cell r="E129" t="str">
            <v>AMNCHD05</v>
          </cell>
          <cell r="K129">
            <v>12</v>
          </cell>
          <cell r="N129">
            <v>46156</v>
          </cell>
        </row>
        <row r="130">
          <cell r="D130" t="str">
            <v>AMEERATI</v>
          </cell>
          <cell r="E130" t="str">
            <v>AMNCHD05</v>
          </cell>
          <cell r="K130">
            <v>840</v>
          </cell>
          <cell r="N130">
            <v>46156</v>
          </cell>
        </row>
        <row r="131">
          <cell r="D131" t="str">
            <v>AMEERATI</v>
          </cell>
          <cell r="E131" t="str">
            <v>AMABHD05</v>
          </cell>
          <cell r="K131">
            <v>12</v>
          </cell>
          <cell r="N131">
            <v>46156</v>
          </cell>
        </row>
        <row r="132">
          <cell r="D132" t="str">
            <v>AMEERATI</v>
          </cell>
          <cell r="E132" t="str">
            <v>AMABHD05</v>
          </cell>
          <cell r="K132">
            <v>696</v>
          </cell>
          <cell r="N132">
            <v>46156</v>
          </cell>
        </row>
        <row r="133">
          <cell r="D133" t="str">
            <v>AMEERATI</v>
          </cell>
          <cell r="E133" t="str">
            <v>AMNCHD07</v>
          </cell>
          <cell r="K133">
            <v>5</v>
          </cell>
          <cell r="N133">
            <v>46157</v>
          </cell>
        </row>
        <row r="134">
          <cell r="D134" t="str">
            <v>AMEERATI</v>
          </cell>
          <cell r="E134" t="str">
            <v>AMNCHD07</v>
          </cell>
          <cell r="K134">
            <v>840</v>
          </cell>
          <cell r="N134">
            <v>46157</v>
          </cell>
        </row>
        <row r="135">
          <cell r="D135" t="str">
            <v>AMEERATI</v>
          </cell>
          <cell r="E135" t="str">
            <v>AMNCHD03</v>
          </cell>
          <cell r="K135">
            <v>7</v>
          </cell>
          <cell r="N135">
            <v>46157</v>
          </cell>
        </row>
        <row r="136">
          <cell r="D136" t="str">
            <v>AMEERATI</v>
          </cell>
          <cell r="E136" t="str">
            <v>AMNCHD03</v>
          </cell>
          <cell r="K136">
            <v>840</v>
          </cell>
          <cell r="N136">
            <v>46157</v>
          </cell>
        </row>
        <row r="137">
          <cell r="D137" t="str">
            <v>AMEERATI</v>
          </cell>
          <cell r="E137" t="str">
            <v>AMABHD06</v>
          </cell>
          <cell r="K137">
            <v>17</v>
          </cell>
          <cell r="N137">
            <v>46160</v>
          </cell>
        </row>
        <row r="138">
          <cell r="D138" t="str">
            <v>AMEERATI</v>
          </cell>
          <cell r="E138" t="str">
            <v>AMABHD06</v>
          </cell>
          <cell r="K138">
            <v>1032</v>
          </cell>
          <cell r="N138">
            <v>46160</v>
          </cell>
        </row>
        <row r="139">
          <cell r="D139" t="str">
            <v>AMEERATI</v>
          </cell>
          <cell r="E139" t="str">
            <v>AMABHD07</v>
          </cell>
          <cell r="K139">
            <v>1440</v>
          </cell>
          <cell r="N139">
            <v>46160</v>
          </cell>
        </row>
        <row r="140">
          <cell r="D140" t="str">
            <v>AMEERATI</v>
          </cell>
          <cell r="E140" t="str">
            <v>AMABHD04</v>
          </cell>
          <cell r="K140">
            <v>9</v>
          </cell>
          <cell r="N140">
            <v>46160</v>
          </cell>
        </row>
        <row r="141">
          <cell r="D141" t="str">
            <v>AMEERATI</v>
          </cell>
          <cell r="E141" t="str">
            <v>AMABHD04</v>
          </cell>
          <cell r="K141">
            <v>1344</v>
          </cell>
          <cell r="N141">
            <v>46160</v>
          </cell>
        </row>
        <row r="142">
          <cell r="D142" t="str">
            <v>AMEERATI</v>
          </cell>
          <cell r="E142" t="str">
            <v>AMABHD08</v>
          </cell>
          <cell r="K142">
            <v>3</v>
          </cell>
          <cell r="N142">
            <v>46160</v>
          </cell>
        </row>
        <row r="143">
          <cell r="D143" t="str">
            <v>AMEERATI</v>
          </cell>
          <cell r="E143" t="str">
            <v>AMABHD08</v>
          </cell>
          <cell r="K143">
            <v>1392</v>
          </cell>
          <cell r="N143">
            <v>46160</v>
          </cell>
        </row>
        <row r="144">
          <cell r="D144" t="str">
            <v>AMEERATI</v>
          </cell>
          <cell r="E144" t="str">
            <v>AMABHD02</v>
          </cell>
          <cell r="K144">
            <v>10</v>
          </cell>
          <cell r="N144">
            <v>46162</v>
          </cell>
        </row>
        <row r="145">
          <cell r="D145" t="str">
            <v>AMEERATI</v>
          </cell>
          <cell r="E145" t="str">
            <v>AMABHD02</v>
          </cell>
          <cell r="K145">
            <v>1320</v>
          </cell>
          <cell r="N145">
            <v>46162</v>
          </cell>
        </row>
        <row r="146">
          <cell r="D146" t="str">
            <v>AMEERATI</v>
          </cell>
          <cell r="E146" t="str">
            <v>AMABHD01</v>
          </cell>
          <cell r="K146">
            <v>21</v>
          </cell>
          <cell r="N146">
            <v>46162</v>
          </cell>
        </row>
        <row r="147">
          <cell r="D147" t="str">
            <v>AMEERATI</v>
          </cell>
          <cell r="E147" t="str">
            <v>AMABHD01</v>
          </cell>
          <cell r="K147">
            <v>1344</v>
          </cell>
          <cell r="N147">
            <v>46162</v>
          </cell>
        </row>
        <row r="148">
          <cell r="D148" t="str">
            <v>AMEERATI</v>
          </cell>
          <cell r="E148" t="str">
            <v>AMNCHD02</v>
          </cell>
          <cell r="K148">
            <v>864</v>
          </cell>
          <cell r="N148">
            <v>46162</v>
          </cell>
        </row>
        <row r="149">
          <cell r="D149" t="str">
            <v>FEBELLA BEAUTY</v>
          </cell>
          <cell r="E149" t="str">
            <v>FBBS0003</v>
          </cell>
          <cell r="K149">
            <v>912</v>
          </cell>
          <cell r="N149">
            <v>46162</v>
          </cell>
        </row>
        <row r="150">
          <cell r="D150" t="str">
            <v>WIKE MAKE</v>
          </cell>
          <cell r="E150" t="str">
            <v>WKBS0002</v>
          </cell>
          <cell r="K150">
            <v>19</v>
          </cell>
          <cell r="N150">
            <v>46183</v>
          </cell>
        </row>
        <row r="151">
          <cell r="D151" t="str">
            <v>WIKE MAKE</v>
          </cell>
          <cell r="E151" t="str">
            <v>WKBS0002</v>
          </cell>
          <cell r="K151">
            <v>816</v>
          </cell>
          <cell r="N151">
            <v>46183</v>
          </cell>
        </row>
        <row r="152">
          <cell r="D152" t="str">
            <v>MISS RÔSE</v>
          </cell>
          <cell r="E152" t="str">
            <v>MRARBS07</v>
          </cell>
          <cell r="K152">
            <v>2400</v>
          </cell>
          <cell r="N152">
            <v>46185</v>
          </cell>
        </row>
        <row r="153">
          <cell r="D153" t="str">
            <v>MISS RÔSE</v>
          </cell>
          <cell r="E153" t="str">
            <v>MRARBS07</v>
          </cell>
          <cell r="K153">
            <v>2496</v>
          </cell>
          <cell r="N153">
            <v>46185</v>
          </cell>
        </row>
        <row r="154">
          <cell r="D154" t="str">
            <v>MISS RÔSE</v>
          </cell>
          <cell r="E154" t="str">
            <v>MRARBS05</v>
          </cell>
          <cell r="K154">
            <v>2400</v>
          </cell>
          <cell r="N154">
            <v>46185</v>
          </cell>
        </row>
        <row r="155">
          <cell r="D155" t="str">
            <v>MISS RÔSE</v>
          </cell>
          <cell r="E155" t="str">
            <v>MRARBS05</v>
          </cell>
          <cell r="K155">
            <v>1824</v>
          </cell>
          <cell r="N155">
            <v>46185</v>
          </cell>
        </row>
        <row r="156">
          <cell r="D156" t="str">
            <v>MISS RÔSE</v>
          </cell>
          <cell r="E156" t="str">
            <v>MRARBS05</v>
          </cell>
          <cell r="K156">
            <v>2400</v>
          </cell>
          <cell r="N156">
            <v>46188</v>
          </cell>
        </row>
        <row r="157">
          <cell r="D157" t="str">
            <v>MISS RÔSE</v>
          </cell>
          <cell r="E157" t="str">
            <v>MRARBS05</v>
          </cell>
          <cell r="K157">
            <v>2256</v>
          </cell>
          <cell r="N157">
            <v>46188</v>
          </cell>
        </row>
        <row r="158">
          <cell r="D158" t="str">
            <v>MISS RÔSE</v>
          </cell>
          <cell r="E158" t="str">
            <v>MRARBS05</v>
          </cell>
          <cell r="K158">
            <v>2400</v>
          </cell>
          <cell r="N158">
            <v>46188</v>
          </cell>
        </row>
        <row r="159">
          <cell r="D159" t="str">
            <v>MISS RÔSE</v>
          </cell>
          <cell r="E159" t="str">
            <v>MRARBS05</v>
          </cell>
          <cell r="K159">
            <v>2352</v>
          </cell>
          <cell r="N159">
            <v>46188</v>
          </cell>
        </row>
        <row r="160">
          <cell r="D160" t="str">
            <v>MISS RÔSE</v>
          </cell>
          <cell r="E160" t="str">
            <v>MRARBS12</v>
          </cell>
          <cell r="K160">
            <v>2400</v>
          </cell>
          <cell r="N160">
            <v>46188</v>
          </cell>
        </row>
        <row r="161">
          <cell r="D161" t="str">
            <v>MISS RÔSE</v>
          </cell>
          <cell r="E161" t="str">
            <v>MRARBS05</v>
          </cell>
          <cell r="K161">
            <v>27</v>
          </cell>
          <cell r="N161">
            <v>46189</v>
          </cell>
        </row>
        <row r="162">
          <cell r="D162" t="str">
            <v>MISS RÔSE</v>
          </cell>
          <cell r="E162" t="str">
            <v>MRARBS05</v>
          </cell>
          <cell r="K162">
            <v>816</v>
          </cell>
          <cell r="N162">
            <v>46189</v>
          </cell>
        </row>
        <row r="163">
          <cell r="D163" t="str">
            <v>MISS RÔSE</v>
          </cell>
          <cell r="E163" t="str">
            <v>MRARBS05</v>
          </cell>
          <cell r="K163">
            <v>2400</v>
          </cell>
          <cell r="N163">
            <v>46189</v>
          </cell>
        </row>
        <row r="164">
          <cell r="D164" t="str">
            <v>WIKE MAKE</v>
          </cell>
          <cell r="E164" t="str">
            <v>WKBS0004</v>
          </cell>
          <cell r="K164">
            <v>3792</v>
          </cell>
          <cell r="N164">
            <v>46189</v>
          </cell>
        </row>
        <row r="165">
          <cell r="D165" t="str">
            <v>WIKE MAKE</v>
          </cell>
          <cell r="E165" t="str">
            <v>WKBS0004</v>
          </cell>
          <cell r="K165">
            <v>3840</v>
          </cell>
          <cell r="N165">
            <v>46189</v>
          </cell>
        </row>
        <row r="166">
          <cell r="D166" t="str">
            <v>WIKE MAKE</v>
          </cell>
          <cell r="E166" t="str">
            <v>WKBS0004</v>
          </cell>
          <cell r="K166">
            <v>3840</v>
          </cell>
          <cell r="N166">
            <v>46189</v>
          </cell>
        </row>
        <row r="167">
          <cell r="D167" t="str">
            <v>MISS RÔSE</v>
          </cell>
          <cell r="E167" t="str">
            <v>MRARBS12</v>
          </cell>
          <cell r="K167">
            <v>12</v>
          </cell>
          <cell r="N167">
            <v>46189</v>
          </cell>
        </row>
        <row r="168">
          <cell r="D168" t="str">
            <v>MISS RÔSE</v>
          </cell>
          <cell r="E168" t="str">
            <v>MRARBS12</v>
          </cell>
          <cell r="K168">
            <v>912</v>
          </cell>
          <cell r="N168">
            <v>46189</v>
          </cell>
        </row>
        <row r="169">
          <cell r="D169" t="str">
            <v>MISS RÔSE</v>
          </cell>
          <cell r="E169" t="str">
            <v>MRARBS04</v>
          </cell>
          <cell r="K169">
            <v>7</v>
          </cell>
          <cell r="N169">
            <v>46149</v>
          </cell>
        </row>
        <row r="170">
          <cell r="D170" t="str">
            <v>MISS RÔSE</v>
          </cell>
          <cell r="E170" t="str">
            <v>MRARBS04</v>
          </cell>
          <cell r="K170">
            <v>2496</v>
          </cell>
          <cell r="N170">
            <v>46149</v>
          </cell>
        </row>
        <row r="171">
          <cell r="D171" t="str">
            <v>MISS RÔSE</v>
          </cell>
          <cell r="E171" t="str">
            <v>MRARBS01</v>
          </cell>
          <cell r="K171">
            <v>4</v>
          </cell>
          <cell r="N171">
            <v>46156</v>
          </cell>
        </row>
        <row r="172">
          <cell r="D172" t="str">
            <v>MISS RÔSE</v>
          </cell>
          <cell r="E172" t="str">
            <v>MRARBS01</v>
          </cell>
          <cell r="K172">
            <v>2688</v>
          </cell>
          <cell r="N172">
            <v>46156</v>
          </cell>
        </row>
        <row r="173">
          <cell r="D173" t="str">
            <v>MISS RÔSE</v>
          </cell>
          <cell r="E173" t="str">
            <v>MRARBS08</v>
          </cell>
          <cell r="K173">
            <v>45</v>
          </cell>
          <cell r="N173">
            <v>46154</v>
          </cell>
        </row>
        <row r="174">
          <cell r="D174" t="str">
            <v>MISS RÔSE</v>
          </cell>
          <cell r="E174" t="str">
            <v>MRARBS08</v>
          </cell>
          <cell r="K174">
            <v>2448</v>
          </cell>
          <cell r="N174">
            <v>46154</v>
          </cell>
        </row>
        <row r="175">
          <cell r="D175" t="str">
            <v>WIKE MAKE</v>
          </cell>
          <cell r="E175" t="str">
            <v>WKBM0001</v>
          </cell>
          <cell r="K175" t="str">
            <v xml:space="preserve"> </v>
          </cell>
          <cell r="N175">
            <v>46147</v>
          </cell>
        </row>
        <row r="176">
          <cell r="D176" t="str">
            <v>WIKE MAKE</v>
          </cell>
          <cell r="E176" t="str">
            <v>WKBM0001</v>
          </cell>
          <cell r="K176">
            <v>1296</v>
          </cell>
          <cell r="N176">
            <v>46147</v>
          </cell>
        </row>
        <row r="177">
          <cell r="D177" t="str">
            <v>WIKE MAKE</v>
          </cell>
          <cell r="E177" t="str">
            <v>WKBM0001</v>
          </cell>
          <cell r="K177">
            <v>31</v>
          </cell>
          <cell r="N177">
            <v>46156</v>
          </cell>
        </row>
        <row r="178">
          <cell r="D178" t="str">
            <v>WIKE MAKE</v>
          </cell>
          <cell r="E178" t="str">
            <v>WKBM0001</v>
          </cell>
          <cell r="K178">
            <v>2880</v>
          </cell>
          <cell r="N178">
            <v>46156</v>
          </cell>
        </row>
        <row r="179">
          <cell r="D179" t="str">
            <v>BRIA BEAUTY</v>
          </cell>
          <cell r="E179" t="str">
            <v>WKBM0001</v>
          </cell>
          <cell r="K179">
            <v>83</v>
          </cell>
          <cell r="N179">
            <v>46163</v>
          </cell>
        </row>
        <row r="180">
          <cell r="D180" t="str">
            <v>BRIA BEAUTY</v>
          </cell>
          <cell r="E180" t="str">
            <v>WKBM0001</v>
          </cell>
          <cell r="K180">
            <v>840</v>
          </cell>
          <cell r="N180">
            <v>46163</v>
          </cell>
        </row>
        <row r="181">
          <cell r="D181" t="str">
            <v>MISS RÔSE</v>
          </cell>
          <cell r="E181" t="str">
            <v>MRARBS07</v>
          </cell>
          <cell r="K181">
            <v>32</v>
          </cell>
          <cell r="N181">
            <v>46163</v>
          </cell>
        </row>
        <row r="182">
          <cell r="D182" t="str">
            <v>MISS RÔSE</v>
          </cell>
          <cell r="E182" t="str">
            <v>MRARBS07</v>
          </cell>
          <cell r="K182">
            <v>1776</v>
          </cell>
          <cell r="N182">
            <v>46163</v>
          </cell>
        </row>
        <row r="183">
          <cell r="D183" t="str">
            <v>MISS RÔSE</v>
          </cell>
          <cell r="E183" t="str">
            <v>MRARBS07</v>
          </cell>
          <cell r="K183">
            <v>2832</v>
          </cell>
          <cell r="N183">
            <v>46163</v>
          </cell>
        </row>
        <row r="184">
          <cell r="D184" t="str">
            <v>MISS RÔSE</v>
          </cell>
          <cell r="E184" t="str">
            <v>WKBM0001</v>
          </cell>
          <cell r="K184">
            <v>7</v>
          </cell>
          <cell r="N184">
            <v>46163</v>
          </cell>
        </row>
        <row r="185">
          <cell r="D185" t="str">
            <v>MISS RÔSE</v>
          </cell>
          <cell r="E185" t="str">
            <v>WKBM0001</v>
          </cell>
          <cell r="K185">
            <v>2640</v>
          </cell>
          <cell r="N185">
            <v>46163</v>
          </cell>
        </row>
        <row r="186">
          <cell r="D186" t="str">
            <v>MISS RÔSE</v>
          </cell>
          <cell r="E186" t="str">
            <v>WKBM0001</v>
          </cell>
          <cell r="K186">
            <v>2688</v>
          </cell>
          <cell r="N186">
            <v>46163</v>
          </cell>
        </row>
        <row r="187">
          <cell r="D187" t="str">
            <v>HABIBI PERFUMES</v>
          </cell>
          <cell r="E187" t="str">
            <v>WKBM0001</v>
          </cell>
          <cell r="K187">
            <v>3528</v>
          </cell>
          <cell r="N187">
            <v>46162</v>
          </cell>
        </row>
        <row r="188">
          <cell r="D188" t="str">
            <v>WIKE MAKE</v>
          </cell>
          <cell r="E188" t="str">
            <v>WKBM0001</v>
          </cell>
          <cell r="K188">
            <v>4392</v>
          </cell>
          <cell r="N188">
            <v>46160</v>
          </cell>
        </row>
        <row r="189">
          <cell r="D189" t="str">
            <v>HABIBI PERFUMES</v>
          </cell>
          <cell r="E189" t="str">
            <v>WKBM0001</v>
          </cell>
          <cell r="K189">
            <v>22</v>
          </cell>
          <cell r="N189">
            <v>46163</v>
          </cell>
        </row>
        <row r="190">
          <cell r="D190" t="str">
            <v>HABIBI PERFUMES</v>
          </cell>
          <cell r="E190" t="str">
            <v>WKBM0001</v>
          </cell>
          <cell r="K190">
            <v>480</v>
          </cell>
          <cell r="N190">
            <v>46163</v>
          </cell>
        </row>
        <row r="191">
          <cell r="D191" t="str">
            <v>HABIBI PERFUMES</v>
          </cell>
          <cell r="E191" t="str">
            <v>WKBM0001</v>
          </cell>
          <cell r="K191">
            <v>1632</v>
          </cell>
          <cell r="N191">
            <v>46164</v>
          </cell>
        </row>
        <row r="192">
          <cell r="D192" t="str">
            <v>MISS RÔSE</v>
          </cell>
          <cell r="E192" t="str">
            <v>MRARBS07</v>
          </cell>
          <cell r="K192">
            <v>2544</v>
          </cell>
          <cell r="N192">
            <v>46164</v>
          </cell>
        </row>
        <row r="193">
          <cell r="D193" t="str">
            <v>MISS RÔSE</v>
          </cell>
          <cell r="E193" t="str">
            <v>MRARBS07</v>
          </cell>
          <cell r="K193">
            <v>2640</v>
          </cell>
          <cell r="N193">
            <v>46164</v>
          </cell>
        </row>
        <row r="194">
          <cell r="D194" t="str">
            <v>HABIBI PERFUMES</v>
          </cell>
          <cell r="E194" t="str">
            <v>WKBM0001</v>
          </cell>
          <cell r="K194">
            <v>3960</v>
          </cell>
          <cell r="N194">
            <v>46157</v>
          </cell>
        </row>
        <row r="195">
          <cell r="D195" t="str">
            <v>HABIBI PERFUMES</v>
          </cell>
          <cell r="E195" t="str">
            <v>WKBM0001</v>
          </cell>
          <cell r="K195">
            <v>36</v>
          </cell>
          <cell r="N195">
            <v>46153</v>
          </cell>
        </row>
        <row r="196">
          <cell r="D196" t="str">
            <v>HABIBI PERFUMES</v>
          </cell>
          <cell r="E196" t="str">
            <v>WKBM0001</v>
          </cell>
          <cell r="K196">
            <v>1632</v>
          </cell>
          <cell r="N196">
            <v>46153</v>
          </cell>
        </row>
        <row r="197">
          <cell r="D197" t="str">
            <v>HABIBI PERFUMES</v>
          </cell>
          <cell r="E197" t="str">
            <v>WKBM0001</v>
          </cell>
          <cell r="K197">
            <v>40</v>
          </cell>
          <cell r="N197">
            <v>46160</v>
          </cell>
        </row>
        <row r="198">
          <cell r="D198" t="str">
            <v>HABIBI PERFUMES</v>
          </cell>
          <cell r="E198" t="str">
            <v>WKBM0001</v>
          </cell>
          <cell r="K198">
            <v>1632</v>
          </cell>
          <cell r="N198">
            <v>46160</v>
          </cell>
        </row>
        <row r="199">
          <cell r="D199" t="str">
            <v>HABIBI PERFUMES</v>
          </cell>
          <cell r="E199" t="str">
            <v>WKBM0001</v>
          </cell>
          <cell r="K199">
            <v>27</v>
          </cell>
          <cell r="N199">
            <v>46160</v>
          </cell>
        </row>
        <row r="200">
          <cell r="D200" t="str">
            <v>HABIBI PERFUMES</v>
          </cell>
          <cell r="E200" t="str">
            <v>WKBM0001</v>
          </cell>
          <cell r="K200">
            <v>1728</v>
          </cell>
          <cell r="N200">
            <v>46160</v>
          </cell>
        </row>
        <row r="201">
          <cell r="D201" t="str">
            <v>MISS RÔSE</v>
          </cell>
          <cell r="E201" t="str">
            <v>MRARBS05</v>
          </cell>
          <cell r="K201">
            <v>34</v>
          </cell>
          <cell r="N201">
            <v>46161</v>
          </cell>
        </row>
        <row r="202">
          <cell r="D202" t="str">
            <v>MISS RÔSE</v>
          </cell>
          <cell r="E202" t="str">
            <v>MRARBS05</v>
          </cell>
          <cell r="K202">
            <v>2304</v>
          </cell>
          <cell r="N202">
            <v>46161</v>
          </cell>
        </row>
        <row r="203">
          <cell r="D203" t="str">
            <v>MISS RÔSE</v>
          </cell>
          <cell r="E203" t="str">
            <v>MRARBS05</v>
          </cell>
          <cell r="K203">
            <v>2400</v>
          </cell>
          <cell r="N203">
            <v>46161</v>
          </cell>
        </row>
        <row r="204">
          <cell r="D204" t="str">
            <v>MISS RÔSE</v>
          </cell>
          <cell r="E204" t="str">
            <v>WKBM0001</v>
          </cell>
          <cell r="K204">
            <v>2544</v>
          </cell>
          <cell r="N204">
            <v>46160</v>
          </cell>
        </row>
        <row r="205">
          <cell r="D205" t="str">
            <v>HABIBI PERFUMES</v>
          </cell>
          <cell r="E205" t="str">
            <v>WKBM0001</v>
          </cell>
          <cell r="K205">
            <v>46</v>
          </cell>
          <cell r="N205">
            <v>46148</v>
          </cell>
        </row>
        <row r="206">
          <cell r="D206" t="str">
            <v>HABIBI PERFUMES</v>
          </cell>
          <cell r="E206" t="str">
            <v>WKBM0001</v>
          </cell>
          <cell r="K206">
            <v>480</v>
          </cell>
          <cell r="N206">
            <v>46148</v>
          </cell>
        </row>
        <row r="207">
          <cell r="D207" t="str">
            <v>HABIBI PERFUMES</v>
          </cell>
          <cell r="E207" t="str">
            <v>WKBM0001</v>
          </cell>
          <cell r="K207">
            <v>36</v>
          </cell>
          <cell r="N207">
            <v>46149</v>
          </cell>
        </row>
        <row r="208">
          <cell r="D208" t="str">
            <v>HABIBI PERFUMES</v>
          </cell>
          <cell r="E208" t="str">
            <v>WKBM0001</v>
          </cell>
          <cell r="K208">
            <v>1680</v>
          </cell>
          <cell r="N208">
            <v>46149</v>
          </cell>
        </row>
        <row r="209">
          <cell r="D209" t="str">
            <v>HABIBI PERFUMES</v>
          </cell>
          <cell r="E209" t="str">
            <v>WKBM0001</v>
          </cell>
          <cell r="K209">
            <v>35</v>
          </cell>
          <cell r="N209">
            <v>46153</v>
          </cell>
        </row>
        <row r="210">
          <cell r="D210" t="str">
            <v>HABIBI PERFUMES</v>
          </cell>
          <cell r="E210" t="str">
            <v>WKBM0001</v>
          </cell>
          <cell r="K210">
            <v>1536</v>
          </cell>
          <cell r="N210">
            <v>46153</v>
          </cell>
        </row>
        <row r="211">
          <cell r="D211" t="str">
            <v>HABIBI PERFUMES</v>
          </cell>
          <cell r="E211" t="str">
            <v>WKBM0001</v>
          </cell>
          <cell r="K211">
            <v>42</v>
          </cell>
          <cell r="N211">
            <v>46149</v>
          </cell>
        </row>
        <row r="212">
          <cell r="D212" t="str">
            <v>HABIBI PERFUMES</v>
          </cell>
          <cell r="E212" t="str">
            <v>WKBM0001</v>
          </cell>
          <cell r="K212">
            <v>1584</v>
          </cell>
          <cell r="N212">
            <v>46149</v>
          </cell>
        </row>
        <row r="213">
          <cell r="D213" t="str">
            <v>HABIBI PERFUMES</v>
          </cell>
          <cell r="E213" t="str">
            <v>WKBM0001</v>
          </cell>
          <cell r="K213">
            <v>37</v>
          </cell>
          <cell r="N213">
            <v>46149</v>
          </cell>
        </row>
        <row r="214">
          <cell r="D214" t="str">
            <v>HABIBI PERFUMES</v>
          </cell>
          <cell r="E214" t="str">
            <v>WKBM0001</v>
          </cell>
          <cell r="K214">
            <v>1680</v>
          </cell>
          <cell r="N214">
            <v>46149</v>
          </cell>
        </row>
        <row r="215">
          <cell r="D215" t="str">
            <v>HABIBI PERFUMES</v>
          </cell>
          <cell r="E215" t="str">
            <v>WKBM0001</v>
          </cell>
          <cell r="K215">
            <v>18</v>
          </cell>
          <cell r="N215">
            <v>46153</v>
          </cell>
        </row>
        <row r="216">
          <cell r="D216" t="str">
            <v>HABIBI PERFUMES</v>
          </cell>
          <cell r="E216" t="str">
            <v>WKBM0001</v>
          </cell>
          <cell r="K216">
            <v>1680</v>
          </cell>
          <cell r="N216">
            <v>46153</v>
          </cell>
        </row>
        <row r="217">
          <cell r="D217" t="str">
            <v>HABIBI PERFUMES</v>
          </cell>
          <cell r="E217" t="str">
            <v>WKBM0001</v>
          </cell>
          <cell r="K217">
            <v>41</v>
          </cell>
          <cell r="N217">
            <v>46153</v>
          </cell>
        </row>
        <row r="218">
          <cell r="D218" t="str">
            <v>HABIBI PERFUMES</v>
          </cell>
          <cell r="E218" t="str">
            <v>WKBM0001</v>
          </cell>
          <cell r="K218">
            <v>480</v>
          </cell>
          <cell r="N218">
            <v>46153</v>
          </cell>
        </row>
        <row r="219">
          <cell r="D219" t="str">
            <v>HABIBI PERFUMES</v>
          </cell>
          <cell r="E219" t="str">
            <v>WKBM0001</v>
          </cell>
          <cell r="K219">
            <v>18</v>
          </cell>
          <cell r="N219">
            <v>46153</v>
          </cell>
        </row>
        <row r="220">
          <cell r="D220" t="str">
            <v>HABIBI PERFUMES</v>
          </cell>
          <cell r="E220" t="str">
            <v>WKBM0001</v>
          </cell>
          <cell r="K220">
            <v>1632</v>
          </cell>
          <cell r="N220">
            <v>46153</v>
          </cell>
        </row>
        <row r="221">
          <cell r="D221" t="str">
            <v>MISS RÔSE</v>
          </cell>
          <cell r="E221" t="str">
            <v>WKBM0001</v>
          </cell>
          <cell r="K221">
            <v>46</v>
          </cell>
          <cell r="N221">
            <v>46161</v>
          </cell>
        </row>
        <row r="222">
          <cell r="D222" t="str">
            <v>MISS RÔSE</v>
          </cell>
          <cell r="E222" t="str">
            <v>WKBM0001</v>
          </cell>
          <cell r="K222">
            <v>2784</v>
          </cell>
          <cell r="N222">
            <v>46161</v>
          </cell>
        </row>
        <row r="223">
          <cell r="D223" t="str">
            <v>MISS RÔSE</v>
          </cell>
          <cell r="E223" t="str">
            <v>WKBM0001</v>
          </cell>
          <cell r="K223">
            <v>2544</v>
          </cell>
          <cell r="N223">
            <v>46149</v>
          </cell>
        </row>
        <row r="224">
          <cell r="D224" t="str">
            <v>MISS RÔSE</v>
          </cell>
          <cell r="E224" t="str">
            <v>WKBM0001</v>
          </cell>
          <cell r="K224">
            <v>1344</v>
          </cell>
          <cell r="N224">
            <v>46150</v>
          </cell>
        </row>
        <row r="225">
          <cell r="D225" t="str">
            <v>MISS RÔSE</v>
          </cell>
          <cell r="E225" t="str">
            <v>WKBM0001</v>
          </cell>
          <cell r="K225">
            <v>2400</v>
          </cell>
          <cell r="N225">
            <v>46150</v>
          </cell>
        </row>
        <row r="226">
          <cell r="D226" t="str">
            <v>WIKE MAKE</v>
          </cell>
          <cell r="E226" t="str">
            <v>WKBM0001</v>
          </cell>
          <cell r="K226">
            <v>4248</v>
          </cell>
          <cell r="N226">
            <v>46149</v>
          </cell>
        </row>
        <row r="227">
          <cell r="D227" t="str">
            <v>WIKE MAKE</v>
          </cell>
          <cell r="E227" t="str">
            <v>WKBM0001</v>
          </cell>
          <cell r="K227">
            <v>1080</v>
          </cell>
          <cell r="N227">
            <v>46153</v>
          </cell>
        </row>
        <row r="228">
          <cell r="D228" t="str">
            <v>WIKE MAKE</v>
          </cell>
          <cell r="E228" t="str">
            <v>WKBM0001</v>
          </cell>
          <cell r="K228">
            <v>4104</v>
          </cell>
          <cell r="N228">
            <v>46150</v>
          </cell>
        </row>
        <row r="229">
          <cell r="D229" t="str">
            <v>AMEERATI</v>
          </cell>
          <cell r="E229" t="str">
            <v>WKBM0001</v>
          </cell>
          <cell r="K229">
            <v>13</v>
          </cell>
          <cell r="N229">
            <v>46162</v>
          </cell>
        </row>
        <row r="230">
          <cell r="D230" t="str">
            <v>AMEERATI</v>
          </cell>
          <cell r="E230" t="str">
            <v>WKBM0001</v>
          </cell>
          <cell r="K230">
            <v>936</v>
          </cell>
          <cell r="N230">
            <v>46162</v>
          </cell>
        </row>
        <row r="231">
          <cell r="D231" t="str">
            <v>AMEERATI</v>
          </cell>
          <cell r="E231" t="str">
            <v>WKBM0001</v>
          </cell>
          <cell r="K231">
            <v>864</v>
          </cell>
          <cell r="N231">
            <v>46162</v>
          </cell>
        </row>
        <row r="232">
          <cell r="D232" t="str">
            <v>AMEERATI</v>
          </cell>
          <cell r="E232" t="str">
            <v>WKBM0001</v>
          </cell>
          <cell r="K232">
            <v>6</v>
          </cell>
          <cell r="N232">
            <v>46162</v>
          </cell>
        </row>
        <row r="233">
          <cell r="D233" t="str">
            <v>AMEERATI</v>
          </cell>
          <cell r="E233" t="str">
            <v>WKBM0001</v>
          </cell>
          <cell r="K233">
            <v>1464</v>
          </cell>
          <cell r="N233">
            <v>46162</v>
          </cell>
        </row>
        <row r="234">
          <cell r="D234" t="str">
            <v>MISS RÔSE</v>
          </cell>
          <cell r="E234" t="str">
            <v>WKBM0001</v>
          </cell>
          <cell r="K234">
            <v>12</v>
          </cell>
          <cell r="N234">
            <v>46147</v>
          </cell>
        </row>
        <row r="235">
          <cell r="D235" t="str">
            <v>MISS RÔSE</v>
          </cell>
          <cell r="E235" t="str">
            <v>WKBM0001</v>
          </cell>
          <cell r="K235">
            <v>2688</v>
          </cell>
          <cell r="N235">
            <v>46147</v>
          </cell>
        </row>
        <row r="236">
          <cell r="D236" t="str">
            <v>MISS RÔSE</v>
          </cell>
          <cell r="E236" t="str">
            <v>WKBM0001</v>
          </cell>
          <cell r="K236">
            <v>33</v>
          </cell>
          <cell r="N236">
            <v>46147</v>
          </cell>
        </row>
        <row r="237">
          <cell r="D237" t="str">
            <v>MISS RÔSE</v>
          </cell>
          <cell r="E237" t="str">
            <v>WKBM0001</v>
          </cell>
          <cell r="K237">
            <v>1344</v>
          </cell>
          <cell r="N237">
            <v>46147</v>
          </cell>
        </row>
        <row r="238">
          <cell r="D238" t="str">
            <v>MISS RÔSE</v>
          </cell>
          <cell r="E238" t="str">
            <v>WKBM0001</v>
          </cell>
          <cell r="K238">
            <v>2400</v>
          </cell>
          <cell r="N238">
            <v>46147</v>
          </cell>
        </row>
        <row r="239">
          <cell r="D239" t="str">
            <v>MISS RÔSE</v>
          </cell>
          <cell r="E239" t="str">
            <v>WKBM0001</v>
          </cell>
          <cell r="K239">
            <v>2544</v>
          </cell>
          <cell r="N239">
            <v>46147</v>
          </cell>
        </row>
        <row r="240">
          <cell r="D240" t="str">
            <v>HABIBI PERFUMES</v>
          </cell>
          <cell r="E240" t="str">
            <v>WKBM0001</v>
          </cell>
          <cell r="K240">
            <v>26</v>
          </cell>
          <cell r="N240">
            <v>46147</v>
          </cell>
        </row>
        <row r="241">
          <cell r="D241" t="str">
            <v>HABIBI PERFUMES</v>
          </cell>
          <cell r="E241" t="str">
            <v>WKBM0001</v>
          </cell>
          <cell r="K241">
            <v>480</v>
          </cell>
          <cell r="N241">
            <v>46147</v>
          </cell>
        </row>
        <row r="242">
          <cell r="D242" t="str">
            <v>HABIBI PERFUMES</v>
          </cell>
          <cell r="E242" t="str">
            <v>WKBM0001</v>
          </cell>
          <cell r="K242">
            <v>1776</v>
          </cell>
          <cell r="N242">
            <v>46147</v>
          </cell>
        </row>
        <row r="243">
          <cell r="D243" t="str">
            <v>HABIBI PERFUMES</v>
          </cell>
          <cell r="E243" t="str">
            <v>WKBM0001</v>
          </cell>
          <cell r="K243">
            <v>19</v>
          </cell>
          <cell r="N243">
            <v>46147</v>
          </cell>
        </row>
        <row r="244">
          <cell r="D244" t="str">
            <v>HABIBI PERFUMES</v>
          </cell>
          <cell r="E244" t="str">
            <v>WKBM0001</v>
          </cell>
          <cell r="K244">
            <v>1680</v>
          </cell>
          <cell r="N244">
            <v>46147</v>
          </cell>
        </row>
        <row r="245">
          <cell r="D245" t="str">
            <v>HABIBI PERFUMES</v>
          </cell>
          <cell r="E245" t="str">
            <v>WKBM0001</v>
          </cell>
          <cell r="K245">
            <v>4</v>
          </cell>
          <cell r="N245">
            <v>46148</v>
          </cell>
        </row>
        <row r="246">
          <cell r="D246" t="str">
            <v>HABIBI PERFUMES</v>
          </cell>
          <cell r="E246" t="str">
            <v>WKBM0001</v>
          </cell>
          <cell r="K246">
            <v>1728</v>
          </cell>
          <cell r="N246">
            <v>46148</v>
          </cell>
        </row>
        <row r="247">
          <cell r="D247" t="str">
            <v>HABIBI PERFUMES</v>
          </cell>
          <cell r="E247" t="str">
            <v>WKBM0001</v>
          </cell>
          <cell r="K247">
            <v>1728</v>
          </cell>
          <cell r="N247">
            <v>46147</v>
          </cell>
        </row>
        <row r="248">
          <cell r="D248" t="str">
            <v>HABIBI PERFUMES</v>
          </cell>
          <cell r="E248" t="str">
            <v>WKBM0001</v>
          </cell>
          <cell r="K248">
            <v>3600</v>
          </cell>
          <cell r="N248">
            <v>46147</v>
          </cell>
        </row>
        <row r="249">
          <cell r="D249" t="str">
            <v>HABIBI PERFUMES</v>
          </cell>
          <cell r="E249" t="str">
            <v>WKBM0001</v>
          </cell>
          <cell r="K249">
            <v>18</v>
          </cell>
          <cell r="N249">
            <v>46148</v>
          </cell>
        </row>
        <row r="250">
          <cell r="D250" t="str">
            <v>HABIBI PERFUMES</v>
          </cell>
          <cell r="E250" t="str">
            <v>WKBM0001</v>
          </cell>
          <cell r="K250">
            <v>1776</v>
          </cell>
          <cell r="N250">
            <v>46148</v>
          </cell>
        </row>
        <row r="251">
          <cell r="D251" t="str">
            <v>WIKE MAKE</v>
          </cell>
          <cell r="E251" t="str">
            <v>WKBM0001</v>
          </cell>
          <cell r="K251">
            <v>64</v>
          </cell>
          <cell r="N251">
            <v>46148</v>
          </cell>
        </row>
        <row r="252">
          <cell r="D252" t="str">
            <v>WIKE MAKE</v>
          </cell>
          <cell r="E252" t="str">
            <v>WKBM0001</v>
          </cell>
          <cell r="K252">
            <v>4248</v>
          </cell>
          <cell r="N252">
            <v>46148</v>
          </cell>
        </row>
        <row r="253">
          <cell r="D253" t="str">
            <v>BRIA BEAUTY</v>
          </cell>
          <cell r="E253" t="str">
            <v>WKBM0001</v>
          </cell>
          <cell r="K253">
            <v>74</v>
          </cell>
          <cell r="N253">
            <v>46142</v>
          </cell>
        </row>
        <row r="254">
          <cell r="D254" t="str">
            <v>BRIA BEAUTY</v>
          </cell>
          <cell r="E254" t="str">
            <v>WKBM0001</v>
          </cell>
          <cell r="K254">
            <v>6600</v>
          </cell>
          <cell r="N254">
            <v>46142</v>
          </cell>
        </row>
        <row r="255">
          <cell r="D255" t="str">
            <v>BRIA BEAUTY</v>
          </cell>
          <cell r="E255" t="str">
            <v>WKBM0001</v>
          </cell>
          <cell r="K255">
            <v>70</v>
          </cell>
          <cell r="N255">
            <v>46141</v>
          </cell>
        </row>
        <row r="256">
          <cell r="D256" t="str">
            <v>BRIA BEAUTY</v>
          </cell>
          <cell r="E256" t="str">
            <v>WKBM0001</v>
          </cell>
          <cell r="K256">
            <v>480</v>
          </cell>
          <cell r="N256">
            <v>46141</v>
          </cell>
        </row>
        <row r="257">
          <cell r="D257" t="str">
            <v>BRIA BEAUTY</v>
          </cell>
          <cell r="E257" t="str">
            <v>WKBM0001</v>
          </cell>
          <cell r="K257">
            <v>63</v>
          </cell>
          <cell r="N257">
            <v>46141</v>
          </cell>
        </row>
        <row r="258">
          <cell r="D258" t="str">
            <v>BRIA BEAUTY</v>
          </cell>
          <cell r="E258" t="str">
            <v>WKBM0001</v>
          </cell>
          <cell r="K258">
            <v>560</v>
          </cell>
          <cell r="N258">
            <v>46141</v>
          </cell>
        </row>
        <row r="259">
          <cell r="D259" t="str">
            <v>AMEERATI</v>
          </cell>
          <cell r="E259" t="str">
            <v>WKBM0001</v>
          </cell>
          <cell r="K259">
            <v>1296</v>
          </cell>
          <cell r="N259">
            <v>46125</v>
          </cell>
        </row>
        <row r="260">
          <cell r="D260" t="str">
            <v>AMEERATI</v>
          </cell>
          <cell r="E260" t="str">
            <v>WKBM0001</v>
          </cell>
          <cell r="K260">
            <v>1200</v>
          </cell>
          <cell r="N260">
            <v>46125</v>
          </cell>
        </row>
        <row r="261">
          <cell r="D261" t="str">
            <v>MISS RÔSE</v>
          </cell>
          <cell r="E261" t="str">
            <v>WKBM0001</v>
          </cell>
          <cell r="K261">
            <v>3600</v>
          </cell>
          <cell r="N261">
            <v>46049</v>
          </cell>
        </row>
        <row r="262">
          <cell r="D262" t="str">
            <v>MISS RÔSE</v>
          </cell>
          <cell r="E262" t="str">
            <v>WKBM0001</v>
          </cell>
          <cell r="K262">
            <v>4800</v>
          </cell>
          <cell r="N262">
            <v>46136</v>
          </cell>
        </row>
        <row r="263">
          <cell r="D263" t="str">
            <v>MISS RÔSE</v>
          </cell>
          <cell r="E263" t="str">
            <v>WKBM0001</v>
          </cell>
          <cell r="K263">
            <v>45</v>
          </cell>
          <cell r="N263">
            <v>46137</v>
          </cell>
        </row>
        <row r="264">
          <cell r="D264" t="str">
            <v>MISS RÔSE</v>
          </cell>
          <cell r="E264" t="str">
            <v>WKBM0001</v>
          </cell>
          <cell r="K264">
            <v>4320</v>
          </cell>
          <cell r="N264">
            <v>46137</v>
          </cell>
        </row>
        <row r="265">
          <cell r="D265" t="str">
            <v>MISS RÔSE</v>
          </cell>
          <cell r="E265" t="str">
            <v>WKBM0001</v>
          </cell>
          <cell r="K265">
            <v>2592</v>
          </cell>
          <cell r="N265">
            <v>46137</v>
          </cell>
        </row>
        <row r="266">
          <cell r="D266" t="str">
            <v>MISS RÔSE</v>
          </cell>
          <cell r="E266" t="str">
            <v>WKBM0001</v>
          </cell>
          <cell r="K266">
            <v>2496</v>
          </cell>
          <cell r="N266">
            <v>46139</v>
          </cell>
        </row>
        <row r="267">
          <cell r="D267" t="str">
            <v>MISS RÔSE</v>
          </cell>
          <cell r="E267" t="str">
            <v>WKBM0001</v>
          </cell>
          <cell r="K267">
            <v>2688</v>
          </cell>
          <cell r="N267">
            <v>46139</v>
          </cell>
        </row>
        <row r="268">
          <cell r="D268" t="str">
            <v>MISS RÔSE</v>
          </cell>
          <cell r="E268" t="str">
            <v>WKBM0001</v>
          </cell>
          <cell r="K268">
            <v>15</v>
          </cell>
          <cell r="N268">
            <v>46140</v>
          </cell>
        </row>
        <row r="269">
          <cell r="D269" t="str">
            <v>MISS RÔSE</v>
          </cell>
          <cell r="E269" t="str">
            <v>WKBM0001</v>
          </cell>
          <cell r="K269">
            <v>1104</v>
          </cell>
          <cell r="N269">
            <v>46140</v>
          </cell>
        </row>
        <row r="270">
          <cell r="D270" t="str">
            <v>MISS RÔSE</v>
          </cell>
          <cell r="E270" t="str">
            <v>WKBM0001</v>
          </cell>
          <cell r="K270">
            <v>30</v>
          </cell>
          <cell r="N270">
            <v>46137</v>
          </cell>
        </row>
        <row r="271">
          <cell r="D271" t="str">
            <v>MISS RÔSE</v>
          </cell>
          <cell r="E271" t="str">
            <v>WKBM0001</v>
          </cell>
          <cell r="K271">
            <v>2520</v>
          </cell>
          <cell r="N271">
            <v>46137</v>
          </cell>
        </row>
        <row r="272">
          <cell r="D272" t="str">
            <v>MISS RÔSE</v>
          </cell>
          <cell r="E272" t="str">
            <v>WKBM0001</v>
          </cell>
          <cell r="K272">
            <v>36</v>
          </cell>
          <cell r="N272">
            <v>46139</v>
          </cell>
        </row>
        <row r="273">
          <cell r="D273" t="str">
            <v>MISS RÔSE</v>
          </cell>
          <cell r="E273" t="str">
            <v>WKBM0001</v>
          </cell>
          <cell r="K273">
            <v>2976</v>
          </cell>
          <cell r="N273">
            <v>46139</v>
          </cell>
        </row>
        <row r="274">
          <cell r="D274" t="str">
            <v>MISS RÔSE</v>
          </cell>
          <cell r="E274" t="str">
            <v>WKBM0001</v>
          </cell>
          <cell r="K274">
            <v>36</v>
          </cell>
          <cell r="N274">
            <v>46139</v>
          </cell>
        </row>
        <row r="275">
          <cell r="D275" t="str">
            <v>MISS RÔSE</v>
          </cell>
          <cell r="E275" t="str">
            <v>WKBM0001</v>
          </cell>
          <cell r="K275">
            <v>2880</v>
          </cell>
          <cell r="N275">
            <v>46139</v>
          </cell>
        </row>
        <row r="276">
          <cell r="D276" t="str">
            <v>MISS RÔSE</v>
          </cell>
          <cell r="E276" t="str">
            <v>WKBM0001</v>
          </cell>
          <cell r="K276">
            <v>192</v>
          </cell>
          <cell r="N276">
            <v>46139</v>
          </cell>
        </row>
        <row r="277">
          <cell r="D277" t="str">
            <v>MISS RÔSE</v>
          </cell>
          <cell r="E277" t="str">
            <v>WKBM0001</v>
          </cell>
          <cell r="K277">
            <v>2688</v>
          </cell>
          <cell r="N277">
            <v>46140</v>
          </cell>
        </row>
        <row r="278">
          <cell r="D278" t="str">
            <v>HABIBI PERFUMES</v>
          </cell>
          <cell r="E278" t="str">
            <v>WKBM0001</v>
          </cell>
          <cell r="K278">
            <v>10</v>
          </cell>
          <cell r="N278">
            <v>46140</v>
          </cell>
        </row>
        <row r="279">
          <cell r="D279" t="str">
            <v>HABIBI PERFUMES</v>
          </cell>
          <cell r="E279" t="str">
            <v>WKBM0001</v>
          </cell>
          <cell r="K279">
            <v>2064</v>
          </cell>
          <cell r="N279">
            <v>46140</v>
          </cell>
        </row>
        <row r="280">
          <cell r="D280" t="str">
            <v>HABIBI PERFUMES</v>
          </cell>
          <cell r="E280" t="str">
            <v>WKBM0001</v>
          </cell>
          <cell r="K280">
            <v>13</v>
          </cell>
          <cell r="N280">
            <v>46139</v>
          </cell>
        </row>
        <row r="281">
          <cell r="D281" t="str">
            <v>HABIBI PERFUMES</v>
          </cell>
          <cell r="E281" t="str">
            <v>WKBM0001</v>
          </cell>
          <cell r="K281">
            <v>1872</v>
          </cell>
          <cell r="N281">
            <v>46139</v>
          </cell>
        </row>
        <row r="282">
          <cell r="D282" t="str">
            <v>MISS RÔSE</v>
          </cell>
          <cell r="E282" t="str">
            <v>WKBM0001</v>
          </cell>
          <cell r="K282">
            <v>3216</v>
          </cell>
          <cell r="N282">
            <v>46141</v>
          </cell>
        </row>
        <row r="283">
          <cell r="D283" t="str">
            <v>MISS RÔSE</v>
          </cell>
          <cell r="E283" t="str">
            <v>WKBM0001</v>
          </cell>
          <cell r="K283">
            <v>25</v>
          </cell>
          <cell r="N283">
            <v>46141</v>
          </cell>
        </row>
        <row r="284">
          <cell r="D284" t="str">
            <v>MISS RÔSE</v>
          </cell>
          <cell r="E284" t="str">
            <v>WKBM0001</v>
          </cell>
          <cell r="K284">
            <v>768</v>
          </cell>
          <cell r="N284">
            <v>46141</v>
          </cell>
        </row>
        <row r="285">
          <cell r="D285" t="str">
            <v>MISS RÔSE</v>
          </cell>
          <cell r="E285" t="str">
            <v>WKBM0001</v>
          </cell>
          <cell r="K285">
            <v>2400</v>
          </cell>
          <cell r="N285">
            <v>46141</v>
          </cell>
        </row>
        <row r="286">
          <cell r="D286" t="str">
            <v>MISS RÔSE</v>
          </cell>
          <cell r="E286" t="str">
            <v>WKBM0001</v>
          </cell>
          <cell r="K286">
            <v>3360</v>
          </cell>
          <cell r="N286">
            <v>46142</v>
          </cell>
        </row>
        <row r="287">
          <cell r="D287" t="str">
            <v>MISS RÔSE</v>
          </cell>
          <cell r="E287" t="str">
            <v>WKBM0001</v>
          </cell>
          <cell r="K287">
            <v>240</v>
          </cell>
          <cell r="N287">
            <v>46141</v>
          </cell>
        </row>
        <row r="288">
          <cell r="D288" t="str">
            <v>FILATO BENE</v>
          </cell>
          <cell r="E288" t="str">
            <v>WKBM0001</v>
          </cell>
          <cell r="K288">
            <v>39</v>
          </cell>
          <cell r="N288">
            <v>46085</v>
          </cell>
        </row>
        <row r="289">
          <cell r="D289" t="str">
            <v>FILATO BENE</v>
          </cell>
          <cell r="E289" t="str">
            <v>WKBM0001</v>
          </cell>
          <cell r="K289">
            <v>936</v>
          </cell>
          <cell r="N289">
            <v>46085</v>
          </cell>
        </row>
        <row r="290">
          <cell r="D290" t="str">
            <v>FILATO BENE</v>
          </cell>
          <cell r="E290" t="str">
            <v>WKBM0001</v>
          </cell>
          <cell r="K290">
            <v>2</v>
          </cell>
          <cell r="N290">
            <v>46083</v>
          </cell>
        </row>
        <row r="291">
          <cell r="D291" t="str">
            <v>FILATO BENE</v>
          </cell>
          <cell r="E291" t="str">
            <v>WKBM0001</v>
          </cell>
          <cell r="K291">
            <v>1008</v>
          </cell>
          <cell r="N291">
            <v>46083</v>
          </cell>
        </row>
        <row r="292">
          <cell r="D292" t="str">
            <v>MISS RÔSE</v>
          </cell>
          <cell r="E292" t="str">
            <v>WKBM0001</v>
          </cell>
          <cell r="K292">
            <v>1584</v>
          </cell>
          <cell r="N292">
            <v>46142</v>
          </cell>
        </row>
        <row r="293">
          <cell r="D293" t="str">
            <v>MISS RÔSE</v>
          </cell>
          <cell r="E293" t="str">
            <v>WKBM0001</v>
          </cell>
          <cell r="K293">
            <v>2400</v>
          </cell>
          <cell r="N293">
            <v>46142</v>
          </cell>
        </row>
        <row r="294">
          <cell r="D294" t="str">
            <v>MISS RÔSE</v>
          </cell>
          <cell r="E294" t="str">
            <v>WKBM0001</v>
          </cell>
          <cell r="K294">
            <v>1296</v>
          </cell>
          <cell r="N294">
            <v>46142</v>
          </cell>
        </row>
        <row r="295">
          <cell r="D295" t="str">
            <v>MISS RÔSE</v>
          </cell>
          <cell r="E295" t="str">
            <v>WKBM0001</v>
          </cell>
          <cell r="K295">
            <v>2400</v>
          </cell>
          <cell r="N295">
            <v>46142</v>
          </cell>
        </row>
        <row r="296">
          <cell r="D296" t="str">
            <v>HABIBI PERFUMES</v>
          </cell>
          <cell r="E296" t="str">
            <v>WKBM0001</v>
          </cell>
          <cell r="K296">
            <v>20</v>
          </cell>
          <cell r="N296">
            <v>46142</v>
          </cell>
        </row>
        <row r="297">
          <cell r="D297" t="str">
            <v>HABIBI PERFUMES</v>
          </cell>
          <cell r="E297" t="str">
            <v>WKBM0001</v>
          </cell>
          <cell r="K297">
            <v>480</v>
          </cell>
          <cell r="N297">
            <v>46142</v>
          </cell>
        </row>
        <row r="298">
          <cell r="D298" t="str">
            <v>MISS RÔSE</v>
          </cell>
          <cell r="E298" t="str">
            <v>MRFX0001</v>
          </cell>
          <cell r="K298">
            <v>1792</v>
          </cell>
          <cell r="N298">
            <v>46084</v>
          </cell>
        </row>
        <row r="299">
          <cell r="D299" t="str">
            <v>MISS RÔSE</v>
          </cell>
          <cell r="E299" t="str">
            <v>MRFX0001</v>
          </cell>
          <cell r="K299">
            <v>112</v>
          </cell>
          <cell r="N299">
            <v>46084</v>
          </cell>
        </row>
        <row r="300">
          <cell r="D300" t="str">
            <v>MISS RÔSE</v>
          </cell>
          <cell r="E300" t="str">
            <v>MRFX0001</v>
          </cell>
          <cell r="K300">
            <v>2048</v>
          </cell>
          <cell r="N300">
            <v>46084</v>
          </cell>
        </row>
        <row r="301">
          <cell r="D301" t="str">
            <v>MISS RÔSE</v>
          </cell>
          <cell r="E301" t="str">
            <v>MRFX0001</v>
          </cell>
          <cell r="K301">
            <v>2560</v>
          </cell>
          <cell r="N301">
            <v>46084</v>
          </cell>
        </row>
        <row r="302">
          <cell r="D302" t="str">
            <v>MISS RÔSE</v>
          </cell>
          <cell r="E302" t="str">
            <v>MRFX0001</v>
          </cell>
          <cell r="K302">
            <v>64</v>
          </cell>
          <cell r="N302">
            <v>46085</v>
          </cell>
        </row>
        <row r="303">
          <cell r="D303" t="str">
            <v>MISS RÔSE</v>
          </cell>
          <cell r="E303" t="str">
            <v>MRFX0001</v>
          </cell>
          <cell r="K303">
            <v>2048</v>
          </cell>
          <cell r="N303">
            <v>46085</v>
          </cell>
        </row>
        <row r="304">
          <cell r="D304" t="str">
            <v>MISS RÔSE</v>
          </cell>
          <cell r="E304" t="str">
            <v>MRFX0001</v>
          </cell>
          <cell r="K304">
            <v>2560</v>
          </cell>
          <cell r="N304">
            <v>46085</v>
          </cell>
        </row>
        <row r="305">
          <cell r="D305" t="str">
            <v>MISS RÔSE</v>
          </cell>
          <cell r="E305" t="str">
            <v>MRFX0001</v>
          </cell>
          <cell r="K305">
            <v>80</v>
          </cell>
          <cell r="N305">
            <v>46085</v>
          </cell>
        </row>
        <row r="306">
          <cell r="D306" t="str">
            <v>MISS RÔSE</v>
          </cell>
          <cell r="E306" t="str">
            <v>MRFX0001</v>
          </cell>
          <cell r="K306">
            <v>1920</v>
          </cell>
          <cell r="N306">
            <v>46085</v>
          </cell>
        </row>
        <row r="307">
          <cell r="D307" t="str">
            <v>MISS RÔSE</v>
          </cell>
          <cell r="E307" t="str">
            <v>MRFX0001</v>
          </cell>
          <cell r="K307">
            <v>2560</v>
          </cell>
          <cell r="N307">
            <v>46085</v>
          </cell>
        </row>
        <row r="308">
          <cell r="D308" t="str">
            <v>MISS RÔSE</v>
          </cell>
          <cell r="E308" t="str">
            <v>MRFX0001</v>
          </cell>
          <cell r="K308">
            <v>2176</v>
          </cell>
          <cell r="N308">
            <v>46086</v>
          </cell>
        </row>
        <row r="309">
          <cell r="D309" t="str">
            <v>MISS RÔSE</v>
          </cell>
          <cell r="E309" t="str">
            <v>MRFX0001</v>
          </cell>
          <cell r="K309">
            <v>2560</v>
          </cell>
          <cell r="N309">
            <v>46086</v>
          </cell>
        </row>
        <row r="310">
          <cell r="D310" t="str">
            <v>MISS RÔSE</v>
          </cell>
          <cell r="E310" t="str">
            <v>MRFX0001</v>
          </cell>
          <cell r="K310">
            <v>96</v>
          </cell>
          <cell r="N310">
            <v>46087</v>
          </cell>
        </row>
        <row r="311">
          <cell r="D311" t="str">
            <v>MISS RÔSE</v>
          </cell>
          <cell r="E311" t="str">
            <v>MRFX0001</v>
          </cell>
          <cell r="K311">
            <v>2176</v>
          </cell>
          <cell r="N311">
            <v>46087</v>
          </cell>
        </row>
        <row r="312">
          <cell r="D312" t="str">
            <v>MISS RÔSE</v>
          </cell>
          <cell r="E312" t="str">
            <v>MRFX0001</v>
          </cell>
          <cell r="K312">
            <v>2560</v>
          </cell>
          <cell r="N312">
            <v>46087</v>
          </cell>
        </row>
        <row r="313">
          <cell r="D313" t="str">
            <v>MISS RÔSE</v>
          </cell>
          <cell r="E313" t="str">
            <v>MRFX0001</v>
          </cell>
          <cell r="K313">
            <v>32</v>
          </cell>
          <cell r="N313">
            <v>46087</v>
          </cell>
        </row>
        <row r="314">
          <cell r="D314" t="str">
            <v>MISS RÔSE</v>
          </cell>
          <cell r="E314" t="str">
            <v>MRFX0001</v>
          </cell>
          <cell r="K314">
            <v>2048</v>
          </cell>
          <cell r="N314">
            <v>46087</v>
          </cell>
        </row>
        <row r="315">
          <cell r="D315" t="str">
            <v>MISS RÔSE</v>
          </cell>
          <cell r="E315" t="str">
            <v>MRFX0001</v>
          </cell>
          <cell r="K315">
            <v>2560</v>
          </cell>
          <cell r="N315">
            <v>46087</v>
          </cell>
        </row>
        <row r="316">
          <cell r="D316" t="str">
            <v>HABIBI PERFUMES</v>
          </cell>
          <cell r="E316" t="str">
            <v>HBHD0001</v>
          </cell>
          <cell r="K316">
            <v>9</v>
          </cell>
          <cell r="N316">
            <v>46090</v>
          </cell>
        </row>
        <row r="317">
          <cell r="D317" t="str">
            <v>HABIBI PERFUMES</v>
          </cell>
          <cell r="E317" t="str">
            <v>HBHD0001</v>
          </cell>
          <cell r="K317">
            <v>144</v>
          </cell>
          <cell r="N317">
            <v>46090</v>
          </cell>
        </row>
        <row r="318">
          <cell r="D318" t="str">
            <v>HABIBI PERFUMES</v>
          </cell>
          <cell r="E318" t="str">
            <v>HBHD0005</v>
          </cell>
          <cell r="K318">
            <v>0</v>
          </cell>
          <cell r="N318">
            <v>46090</v>
          </cell>
        </row>
        <row r="319">
          <cell r="D319" t="str">
            <v>HABIBI PERFUMES</v>
          </cell>
          <cell r="E319" t="str">
            <v>HBHD0005</v>
          </cell>
          <cell r="K319">
            <v>192</v>
          </cell>
          <cell r="N319">
            <v>46090</v>
          </cell>
        </row>
        <row r="320">
          <cell r="D320" t="str">
            <v>HABIBI PERFUMES</v>
          </cell>
          <cell r="E320" t="str">
            <v>HBHD0006</v>
          </cell>
          <cell r="K320">
            <v>0</v>
          </cell>
          <cell r="N320">
            <v>46090</v>
          </cell>
        </row>
        <row r="321">
          <cell r="D321" t="str">
            <v>HABIBI PERFUMES</v>
          </cell>
          <cell r="E321" t="str">
            <v>HBHD0006</v>
          </cell>
          <cell r="K321">
            <v>144</v>
          </cell>
          <cell r="N321">
            <v>46090</v>
          </cell>
        </row>
        <row r="322">
          <cell r="D322" t="str">
            <v>HABIBI PERFUMES</v>
          </cell>
          <cell r="E322" t="str">
            <v>HBHD0008</v>
          </cell>
          <cell r="K322">
            <v>0</v>
          </cell>
          <cell r="N322">
            <v>46090</v>
          </cell>
        </row>
        <row r="323">
          <cell r="D323" t="str">
            <v>HABIBI PERFUMES</v>
          </cell>
          <cell r="E323" t="str">
            <v>HBHD0008</v>
          </cell>
          <cell r="K323">
            <v>144</v>
          </cell>
          <cell r="N323">
            <v>46090</v>
          </cell>
        </row>
        <row r="324">
          <cell r="D324" t="str">
            <v>HABIBI PERFUMES</v>
          </cell>
          <cell r="E324" t="str">
            <v>HBHD0004</v>
          </cell>
          <cell r="K324">
            <v>0</v>
          </cell>
          <cell r="N324">
            <v>46090</v>
          </cell>
        </row>
        <row r="325">
          <cell r="D325" t="str">
            <v>HABIBI PERFUMES</v>
          </cell>
          <cell r="E325" t="str">
            <v>HBHD0004</v>
          </cell>
          <cell r="K325">
            <v>144</v>
          </cell>
          <cell r="N325">
            <v>46090</v>
          </cell>
        </row>
        <row r="326">
          <cell r="D326" t="str">
            <v>HABIBI PERFUMES</v>
          </cell>
          <cell r="E326" t="str">
            <v>HBHD0003</v>
          </cell>
          <cell r="K326">
            <v>0</v>
          </cell>
          <cell r="N326">
            <v>46090</v>
          </cell>
        </row>
        <row r="327">
          <cell r="D327" t="str">
            <v>HABIBI PERFUMES</v>
          </cell>
          <cell r="E327" t="str">
            <v>HBHD0003</v>
          </cell>
          <cell r="K327">
            <v>144</v>
          </cell>
          <cell r="N327">
            <v>46090</v>
          </cell>
        </row>
        <row r="328">
          <cell r="D328" t="str">
            <v>HABIBI PERFUMES</v>
          </cell>
          <cell r="E328" t="str">
            <v>HBHD0007</v>
          </cell>
          <cell r="K328">
            <v>30</v>
          </cell>
          <cell r="N328">
            <v>46090</v>
          </cell>
        </row>
        <row r="329">
          <cell r="D329" t="str">
            <v>HABIBI PERFUMES</v>
          </cell>
          <cell r="E329" t="str">
            <v>HBHD0007</v>
          </cell>
          <cell r="K329">
            <v>96</v>
          </cell>
          <cell r="N329">
            <v>46090</v>
          </cell>
        </row>
        <row r="330">
          <cell r="D330" t="str">
            <v>HABIBI PERFUMES</v>
          </cell>
          <cell r="E330" t="str">
            <v>HBHD0002</v>
          </cell>
          <cell r="K330">
            <v>43</v>
          </cell>
          <cell r="N330">
            <v>46090</v>
          </cell>
        </row>
        <row r="331">
          <cell r="D331" t="str">
            <v>HABIBI PERFUMES</v>
          </cell>
          <cell r="E331" t="str">
            <v>HBHD0002</v>
          </cell>
          <cell r="K331">
            <v>96</v>
          </cell>
          <cell r="N331">
            <v>46090</v>
          </cell>
        </row>
        <row r="332">
          <cell r="D332" t="str">
            <v>MISS RÔSE</v>
          </cell>
          <cell r="E332" t="str">
            <v>MRFX0001</v>
          </cell>
          <cell r="K332">
            <v>48</v>
          </cell>
          <cell r="N332">
            <v>46090</v>
          </cell>
        </row>
        <row r="333">
          <cell r="D333" t="str">
            <v>MISS RÔSE</v>
          </cell>
          <cell r="E333" t="str">
            <v>MRFX0001</v>
          </cell>
          <cell r="K333">
            <v>2432</v>
          </cell>
          <cell r="N333">
            <v>46090</v>
          </cell>
        </row>
        <row r="334">
          <cell r="D334" t="str">
            <v>MISS RÔSE</v>
          </cell>
          <cell r="E334" t="str">
            <v>MRFX0001</v>
          </cell>
          <cell r="K334">
            <v>2560</v>
          </cell>
          <cell r="N334">
            <v>46090</v>
          </cell>
        </row>
        <row r="335">
          <cell r="D335" t="str">
            <v>MISS RÔSE</v>
          </cell>
          <cell r="E335" t="str">
            <v>MRFX0001</v>
          </cell>
          <cell r="K335">
            <v>64</v>
          </cell>
          <cell r="N335">
            <v>46090</v>
          </cell>
        </row>
        <row r="336">
          <cell r="D336" t="str">
            <v>MISS RÔSE</v>
          </cell>
          <cell r="E336" t="str">
            <v>MRFX0001</v>
          </cell>
          <cell r="K336">
            <v>2048</v>
          </cell>
          <cell r="N336">
            <v>46090</v>
          </cell>
        </row>
        <row r="337">
          <cell r="D337" t="str">
            <v>MISS RÔSE</v>
          </cell>
          <cell r="E337" t="str">
            <v>MRFX0001</v>
          </cell>
          <cell r="K337">
            <v>2560</v>
          </cell>
          <cell r="N337">
            <v>46090</v>
          </cell>
        </row>
        <row r="338">
          <cell r="D338" t="str">
            <v>MISS RÔSE</v>
          </cell>
          <cell r="E338" t="str">
            <v>MRFX0001</v>
          </cell>
          <cell r="K338">
            <v>80</v>
          </cell>
          <cell r="N338">
            <v>46091</v>
          </cell>
        </row>
        <row r="339">
          <cell r="D339" t="str">
            <v>MISS RÔSE</v>
          </cell>
          <cell r="E339" t="str">
            <v>MRFX0001</v>
          </cell>
          <cell r="K339">
            <v>1664</v>
          </cell>
          <cell r="N339">
            <v>46091</v>
          </cell>
        </row>
        <row r="340">
          <cell r="D340" t="str">
            <v>HABIBI PERFUMES</v>
          </cell>
          <cell r="E340" t="str">
            <v>HBHD0006</v>
          </cell>
          <cell r="K340">
            <v>45</v>
          </cell>
          <cell r="N340">
            <v>46101</v>
          </cell>
        </row>
        <row r="341">
          <cell r="D341" t="str">
            <v>HABIBI PERFUMES</v>
          </cell>
          <cell r="E341" t="str">
            <v>HBHD0006</v>
          </cell>
          <cell r="K341">
            <v>1824</v>
          </cell>
          <cell r="N341">
            <v>46101</v>
          </cell>
        </row>
        <row r="342">
          <cell r="D342" t="str">
            <v>HABIBI PERFUMES</v>
          </cell>
          <cell r="E342" t="str">
            <v>HBHD0008</v>
          </cell>
          <cell r="K342">
            <v>7</v>
          </cell>
          <cell r="N342">
            <v>46099</v>
          </cell>
        </row>
        <row r="343">
          <cell r="D343" t="str">
            <v>HABIBI PERFUMES</v>
          </cell>
          <cell r="E343" t="str">
            <v>HBHD0008</v>
          </cell>
          <cell r="K343">
            <v>1728</v>
          </cell>
          <cell r="N343">
            <v>46099</v>
          </cell>
        </row>
        <row r="344">
          <cell r="D344" t="str">
            <v>HABIBI PERFUMES</v>
          </cell>
          <cell r="E344" t="str">
            <v>HBHD0002</v>
          </cell>
          <cell r="K344">
            <v>44</v>
          </cell>
          <cell r="N344">
            <v>46100</v>
          </cell>
        </row>
        <row r="345">
          <cell r="D345" t="str">
            <v>HABIBI PERFUMES</v>
          </cell>
          <cell r="E345" t="str">
            <v>HBHD0002</v>
          </cell>
          <cell r="K345">
            <v>1920</v>
          </cell>
          <cell r="N345">
            <v>46100</v>
          </cell>
        </row>
        <row r="346">
          <cell r="D346" t="str">
            <v>HABIBI PERFUMES</v>
          </cell>
          <cell r="E346" t="str">
            <v>HBHD0001</v>
          </cell>
          <cell r="K346">
            <v>12</v>
          </cell>
          <cell r="N346">
            <v>46105</v>
          </cell>
        </row>
        <row r="347">
          <cell r="D347" t="str">
            <v>HABIBI PERFUMES</v>
          </cell>
          <cell r="E347" t="str">
            <v>HBHD0001</v>
          </cell>
          <cell r="K347">
            <v>1968</v>
          </cell>
          <cell r="N347">
            <v>46105</v>
          </cell>
        </row>
        <row r="348">
          <cell r="D348" t="str">
            <v>MISS RÔSE</v>
          </cell>
          <cell r="E348" t="str">
            <v>MRARBS01</v>
          </cell>
          <cell r="K348">
            <v>44</v>
          </cell>
          <cell r="N348">
            <v>46099</v>
          </cell>
        </row>
        <row r="349">
          <cell r="D349" t="str">
            <v>MISS RÔSE</v>
          </cell>
          <cell r="E349" t="str">
            <v>MRARBS01</v>
          </cell>
          <cell r="K349">
            <v>1200</v>
          </cell>
          <cell r="N349">
            <v>46099</v>
          </cell>
        </row>
        <row r="350">
          <cell r="D350" t="str">
            <v>MISS RÔSE</v>
          </cell>
          <cell r="E350" t="str">
            <v>MRFX0001</v>
          </cell>
          <cell r="K350">
            <v>48</v>
          </cell>
          <cell r="N350">
            <v>46097</v>
          </cell>
        </row>
        <row r="351">
          <cell r="D351" t="str">
            <v>MISS RÔSE</v>
          </cell>
          <cell r="E351" t="str">
            <v>MRFX0001</v>
          </cell>
          <cell r="K351">
            <v>1024</v>
          </cell>
          <cell r="N351">
            <v>46097</v>
          </cell>
        </row>
        <row r="352">
          <cell r="D352" t="str">
            <v>MISS RÔSE</v>
          </cell>
          <cell r="E352" t="str">
            <v>MRBR0001</v>
          </cell>
          <cell r="K352">
            <v>60</v>
          </cell>
          <cell r="N352">
            <v>46127</v>
          </cell>
        </row>
        <row r="353">
          <cell r="D353" t="str">
            <v>MISS RÔSE</v>
          </cell>
          <cell r="E353" t="str">
            <v>MRBR0001</v>
          </cell>
          <cell r="K353">
            <v>4320</v>
          </cell>
          <cell r="N353">
            <v>46127</v>
          </cell>
        </row>
        <row r="354">
          <cell r="D354" t="str">
            <v>HABIBI PERFUMES</v>
          </cell>
          <cell r="E354" t="str">
            <v>HBHD0005</v>
          </cell>
          <cell r="K354">
            <v>32</v>
          </cell>
          <cell r="N354">
            <v>46107</v>
          </cell>
        </row>
        <row r="355">
          <cell r="D355" t="str">
            <v>HABIBI PERFUMES</v>
          </cell>
          <cell r="E355" t="str">
            <v>HBHD0005</v>
          </cell>
          <cell r="K355">
            <v>1920</v>
          </cell>
          <cell r="N355">
            <v>46107</v>
          </cell>
        </row>
        <row r="356">
          <cell r="D356" t="str">
            <v>HABIBI PERFUMES</v>
          </cell>
          <cell r="E356" t="str">
            <v>HBHD0004</v>
          </cell>
          <cell r="K356">
            <v>3</v>
          </cell>
          <cell r="N356">
            <v>46107</v>
          </cell>
        </row>
        <row r="357">
          <cell r="D357" t="str">
            <v>HABIBI PERFUMES</v>
          </cell>
          <cell r="E357" t="str">
            <v>HBHD0004</v>
          </cell>
          <cell r="K357">
            <v>1968</v>
          </cell>
          <cell r="N357">
            <v>46107</v>
          </cell>
        </row>
        <row r="358">
          <cell r="D358" t="str">
            <v>HABIBI PERFUMES</v>
          </cell>
          <cell r="E358" t="str">
            <v>HBHD0003</v>
          </cell>
          <cell r="K358">
            <v>1968</v>
          </cell>
          <cell r="N358">
            <v>46112</v>
          </cell>
        </row>
        <row r="359">
          <cell r="D359" t="str">
            <v>HABIBI PERFUMES</v>
          </cell>
          <cell r="E359" t="str">
            <v>HBHD0007</v>
          </cell>
          <cell r="K359">
            <v>36</v>
          </cell>
          <cell r="N359">
            <v>46112</v>
          </cell>
        </row>
        <row r="360">
          <cell r="D360" t="str">
            <v>HABIBI PERFUMES</v>
          </cell>
          <cell r="E360" t="str">
            <v>HBHD0007</v>
          </cell>
          <cell r="K360">
            <v>1920</v>
          </cell>
          <cell r="N360">
            <v>46112</v>
          </cell>
        </row>
        <row r="361">
          <cell r="D361" t="str">
            <v>MISS RÔSE</v>
          </cell>
          <cell r="E361" t="str">
            <v>MRARBS01</v>
          </cell>
          <cell r="K361">
            <v>2592</v>
          </cell>
          <cell r="N361">
            <v>46112</v>
          </cell>
        </row>
        <row r="362">
          <cell r="D362" t="str">
            <v>MISS RÔSE</v>
          </cell>
          <cell r="E362" t="str">
            <v>MRARBS01</v>
          </cell>
          <cell r="K362">
            <v>2880</v>
          </cell>
          <cell r="N362">
            <v>46112</v>
          </cell>
        </row>
        <row r="363">
          <cell r="D363" t="str">
            <v>MISS RÔSE</v>
          </cell>
          <cell r="E363" t="str">
            <v>MRARBS01</v>
          </cell>
          <cell r="K363">
            <v>2832</v>
          </cell>
          <cell r="N363">
            <v>46113</v>
          </cell>
        </row>
        <row r="364">
          <cell r="D364" t="str">
            <v>MISS RÔSE</v>
          </cell>
          <cell r="E364" t="str">
            <v>MRARBS01</v>
          </cell>
          <cell r="K364">
            <v>624</v>
          </cell>
          <cell r="N364">
            <v>46113</v>
          </cell>
        </row>
        <row r="365">
          <cell r="D365" t="str">
            <v>MISS RÔSE</v>
          </cell>
          <cell r="E365" t="str">
            <v>MRARBS01</v>
          </cell>
          <cell r="K365">
            <v>2736</v>
          </cell>
          <cell r="N365">
            <v>46118</v>
          </cell>
        </row>
        <row r="366">
          <cell r="D366" t="str">
            <v>MISS RÔSE</v>
          </cell>
          <cell r="E366" t="str">
            <v>MRARBS01</v>
          </cell>
          <cell r="K366">
            <v>2592</v>
          </cell>
          <cell r="N366">
            <v>46118</v>
          </cell>
        </row>
        <row r="367">
          <cell r="D367" t="str">
            <v>MISS RÔSE</v>
          </cell>
          <cell r="E367" t="str">
            <v>MRARBS01</v>
          </cell>
          <cell r="K367">
            <v>2640</v>
          </cell>
          <cell r="N367">
            <v>46119</v>
          </cell>
        </row>
        <row r="368">
          <cell r="D368" t="str">
            <v>MISS RÔSE</v>
          </cell>
          <cell r="E368" t="str">
            <v>MRARBS01</v>
          </cell>
          <cell r="K368">
            <v>2784</v>
          </cell>
          <cell r="N368">
            <v>46118</v>
          </cell>
        </row>
        <row r="369">
          <cell r="D369" t="str">
            <v>MISS RÔSE</v>
          </cell>
          <cell r="E369" t="str">
            <v>MRARBS01</v>
          </cell>
          <cell r="K369">
            <v>1584</v>
          </cell>
          <cell r="N369">
            <v>46119</v>
          </cell>
        </row>
        <row r="370">
          <cell r="D370" t="str">
            <v>MISS RÔSE</v>
          </cell>
          <cell r="E370" t="str">
            <v>MRARBS14</v>
          </cell>
          <cell r="K370">
            <v>2928</v>
          </cell>
          <cell r="N370">
            <v>46122</v>
          </cell>
        </row>
        <row r="371">
          <cell r="D371" t="str">
            <v>MISS RÔSE</v>
          </cell>
          <cell r="E371" t="str">
            <v>MRARBS14</v>
          </cell>
          <cell r="K371">
            <v>2880</v>
          </cell>
          <cell r="N371">
            <v>46122</v>
          </cell>
        </row>
        <row r="372">
          <cell r="D372" t="str">
            <v>MISS RÔSE</v>
          </cell>
          <cell r="E372" t="str">
            <v>MRARBS14</v>
          </cell>
          <cell r="K372">
            <v>23</v>
          </cell>
          <cell r="N372">
            <v>46125</v>
          </cell>
        </row>
        <row r="373">
          <cell r="D373" t="str">
            <v>MISS RÔSE</v>
          </cell>
          <cell r="E373" t="str">
            <v>MRARBS14</v>
          </cell>
          <cell r="K373">
            <v>2448</v>
          </cell>
          <cell r="N373">
            <v>46125</v>
          </cell>
        </row>
        <row r="374">
          <cell r="D374" t="str">
            <v>MISS RÔSE</v>
          </cell>
          <cell r="E374" t="str">
            <v>MRARBS11</v>
          </cell>
          <cell r="K374">
            <v>1632</v>
          </cell>
          <cell r="N374">
            <v>46125</v>
          </cell>
        </row>
        <row r="375">
          <cell r="D375" t="str">
            <v>MISS RÔSE</v>
          </cell>
          <cell r="E375" t="str">
            <v>MRARBS11</v>
          </cell>
          <cell r="K375">
            <v>30</v>
          </cell>
          <cell r="N375">
            <v>46127</v>
          </cell>
        </row>
        <row r="376">
          <cell r="D376" t="str">
            <v>MISS RÔSE</v>
          </cell>
          <cell r="E376" t="str">
            <v>MRARBS11</v>
          </cell>
          <cell r="K376">
            <v>2544</v>
          </cell>
          <cell r="N376">
            <v>46127</v>
          </cell>
        </row>
        <row r="377">
          <cell r="D377" t="str">
            <v>MISS RÔSE</v>
          </cell>
          <cell r="E377" t="str">
            <v>MRARBS11</v>
          </cell>
          <cell r="K377">
            <v>19</v>
          </cell>
          <cell r="N377">
            <v>46127</v>
          </cell>
        </row>
        <row r="378">
          <cell r="D378" t="str">
            <v>MISS RÔSE</v>
          </cell>
          <cell r="E378" t="str">
            <v>MRARBS11</v>
          </cell>
          <cell r="K378">
            <v>720</v>
          </cell>
          <cell r="N378">
            <v>46127</v>
          </cell>
        </row>
        <row r="379">
          <cell r="D379" t="str">
            <v>MISS RÔSE</v>
          </cell>
          <cell r="E379" t="str">
            <v>MRARBS11</v>
          </cell>
          <cell r="K379">
            <v>2448</v>
          </cell>
          <cell r="N379">
            <v>46127</v>
          </cell>
        </row>
        <row r="380">
          <cell r="D380" t="str">
            <v>GOTA ZEN</v>
          </cell>
          <cell r="E380" t="str">
            <v>GZLBBS02</v>
          </cell>
          <cell r="K380">
            <v>4</v>
          </cell>
          <cell r="N380">
            <v>46092</v>
          </cell>
        </row>
        <row r="381">
          <cell r="D381" t="str">
            <v>GOTA ZEN</v>
          </cell>
          <cell r="E381" t="str">
            <v>GZLBBS02</v>
          </cell>
          <cell r="K381">
            <v>1344</v>
          </cell>
          <cell r="N381">
            <v>46092</v>
          </cell>
        </row>
        <row r="382">
          <cell r="D382" t="str">
            <v>GOTA ZEN</v>
          </cell>
          <cell r="E382" t="str">
            <v>GZLBBS04</v>
          </cell>
          <cell r="K382">
            <v>6</v>
          </cell>
          <cell r="N382">
            <v>46092</v>
          </cell>
        </row>
        <row r="383">
          <cell r="D383" t="str">
            <v>GOTA ZEN</v>
          </cell>
          <cell r="E383" t="str">
            <v>GZLBBS04</v>
          </cell>
          <cell r="K383">
            <v>1356</v>
          </cell>
          <cell r="N383">
            <v>46092</v>
          </cell>
        </row>
        <row r="384">
          <cell r="D384" t="str">
            <v>GOTA ZEN</v>
          </cell>
          <cell r="E384" t="str">
            <v>GZLBBS06</v>
          </cell>
          <cell r="K384">
            <v>4</v>
          </cell>
          <cell r="N384">
            <v>46100</v>
          </cell>
        </row>
        <row r="385">
          <cell r="D385" t="str">
            <v>GOTA ZEN</v>
          </cell>
          <cell r="E385" t="str">
            <v>GZLBBS06</v>
          </cell>
          <cell r="K385">
            <v>1212</v>
          </cell>
          <cell r="N385">
            <v>46100</v>
          </cell>
        </row>
        <row r="386">
          <cell r="D386" t="str">
            <v>GOTA ZEN</v>
          </cell>
          <cell r="E386" t="str">
            <v>GZLBBS06</v>
          </cell>
          <cell r="K386">
            <v>3</v>
          </cell>
          <cell r="N386">
            <v>46106</v>
          </cell>
        </row>
        <row r="387">
          <cell r="D387" t="str">
            <v>GOTA ZEN</v>
          </cell>
          <cell r="E387" t="str">
            <v>GZLBBS06</v>
          </cell>
          <cell r="K387">
            <v>120</v>
          </cell>
          <cell r="N387">
            <v>46106</v>
          </cell>
        </row>
        <row r="388">
          <cell r="D388" t="str">
            <v>GOTA ZEN</v>
          </cell>
          <cell r="E388" t="str">
            <v>GZLBBS06</v>
          </cell>
          <cell r="K388">
            <v>372</v>
          </cell>
          <cell r="N388">
            <v>46107</v>
          </cell>
        </row>
        <row r="389">
          <cell r="D389" t="str">
            <v>GOTA ZEN</v>
          </cell>
          <cell r="E389" t="str">
            <v>GZLBBS05</v>
          </cell>
          <cell r="K389">
            <v>1440</v>
          </cell>
          <cell r="N389">
            <v>46104</v>
          </cell>
        </row>
        <row r="390">
          <cell r="D390" t="str">
            <v>GOTA ZEN</v>
          </cell>
          <cell r="E390" t="str">
            <v>GZLBBS03</v>
          </cell>
          <cell r="K390">
            <v>1356</v>
          </cell>
          <cell r="N390">
            <v>46092</v>
          </cell>
        </row>
        <row r="391">
          <cell r="D391" t="str">
            <v>GOTA ZEN</v>
          </cell>
          <cell r="E391" t="str">
            <v>GZLBBS01</v>
          </cell>
          <cell r="K391">
            <v>1344</v>
          </cell>
          <cell r="N391">
            <v>46092</v>
          </cell>
        </row>
        <row r="392">
          <cell r="D392" t="str">
            <v>GOTA ZEN</v>
          </cell>
          <cell r="E392" t="str">
            <v>GZLBBS01</v>
          </cell>
          <cell r="K392">
            <v>6</v>
          </cell>
          <cell r="N392">
            <v>46107</v>
          </cell>
        </row>
        <row r="393">
          <cell r="D393" t="str">
            <v>GOTA ZEN</v>
          </cell>
          <cell r="E393" t="str">
            <v>GZLBBS01</v>
          </cell>
          <cell r="K393">
            <v>168</v>
          </cell>
          <cell r="N393">
            <v>46107</v>
          </cell>
        </row>
        <row r="394">
          <cell r="D394" t="str">
            <v>MISS RÔSE</v>
          </cell>
          <cell r="E394" t="str">
            <v>MRBR0001</v>
          </cell>
          <cell r="K394">
            <v>15</v>
          </cell>
          <cell r="N394">
            <v>46128</v>
          </cell>
        </row>
        <row r="395">
          <cell r="D395" t="str">
            <v>MISS RÔSE</v>
          </cell>
          <cell r="E395" t="str">
            <v>MRBR0001</v>
          </cell>
          <cell r="K395">
            <v>4320</v>
          </cell>
          <cell r="N395">
            <v>46128</v>
          </cell>
        </row>
        <row r="396">
          <cell r="D396" t="str">
            <v>MISS RÔSE</v>
          </cell>
          <cell r="E396" t="str">
            <v>MRBR0001</v>
          </cell>
          <cell r="K396">
            <v>90</v>
          </cell>
          <cell r="N396">
            <v>46128</v>
          </cell>
        </row>
        <row r="397">
          <cell r="D397" t="str">
            <v>MISS RÔSE</v>
          </cell>
          <cell r="E397" t="str">
            <v>MRBR0001</v>
          </cell>
          <cell r="K397">
            <v>4320</v>
          </cell>
          <cell r="N397">
            <v>46128</v>
          </cell>
        </row>
        <row r="398">
          <cell r="D398" t="str">
            <v>MISS RÔSE</v>
          </cell>
          <cell r="E398" t="str">
            <v>MRBR0001</v>
          </cell>
          <cell r="K398">
            <v>4680</v>
          </cell>
          <cell r="N398">
            <v>46129</v>
          </cell>
        </row>
        <row r="399">
          <cell r="D399" t="str">
            <v>MISS RÔSE</v>
          </cell>
          <cell r="E399" t="str">
            <v>MRBR0001</v>
          </cell>
          <cell r="K399">
            <v>4440</v>
          </cell>
          <cell r="N399">
            <v>46133</v>
          </cell>
        </row>
        <row r="400">
          <cell r="D400" t="str">
            <v>MISS RÔSE</v>
          </cell>
          <cell r="E400" t="str">
            <v>MRBR0001</v>
          </cell>
          <cell r="K400">
            <v>4680</v>
          </cell>
          <cell r="N400">
            <v>46134</v>
          </cell>
        </row>
        <row r="401">
          <cell r="D401" t="str">
            <v>MISS RÔSE</v>
          </cell>
          <cell r="E401" t="str">
            <v>MRBR0001</v>
          </cell>
          <cell r="K401">
            <v>4680</v>
          </cell>
          <cell r="N401">
            <v>46134</v>
          </cell>
        </row>
        <row r="402">
          <cell r="D402" t="str">
            <v>MISS RÔSE</v>
          </cell>
          <cell r="E402" t="str">
            <v>MRBR0001</v>
          </cell>
          <cell r="K402">
            <v>4560</v>
          </cell>
          <cell r="N402">
            <v>46135</v>
          </cell>
        </row>
        <row r="403">
          <cell r="D403" t="str">
            <v>MISS RÔSE</v>
          </cell>
          <cell r="E403" t="str">
            <v>MRARBS03</v>
          </cell>
          <cell r="K403">
            <v>34</v>
          </cell>
          <cell r="N403">
            <v>46135</v>
          </cell>
        </row>
        <row r="404">
          <cell r="D404" t="str">
            <v>MISS RÔSE</v>
          </cell>
          <cell r="E404" t="str">
            <v>MRARBS03</v>
          </cell>
          <cell r="K404">
            <v>1392</v>
          </cell>
          <cell r="N404">
            <v>46135</v>
          </cell>
        </row>
        <row r="405">
          <cell r="D405" t="str">
            <v>MISS RÔSE</v>
          </cell>
          <cell r="E405" t="str">
            <v>MRARBS03</v>
          </cell>
          <cell r="K405">
            <v>36</v>
          </cell>
          <cell r="N405">
            <v>46135</v>
          </cell>
        </row>
        <row r="406">
          <cell r="D406" t="str">
            <v>MISS RÔSE</v>
          </cell>
          <cell r="E406" t="str">
            <v>MRARBS03</v>
          </cell>
          <cell r="K406">
            <v>2640</v>
          </cell>
          <cell r="N406">
            <v>46135</v>
          </cell>
        </row>
        <row r="407">
          <cell r="D407" t="str">
            <v>MISS RÔSE</v>
          </cell>
          <cell r="E407" t="str">
            <v>MRARBS03</v>
          </cell>
          <cell r="K407">
            <v>7</v>
          </cell>
          <cell r="N407">
            <v>46136</v>
          </cell>
        </row>
        <row r="408">
          <cell r="D408" t="str">
            <v>MISS RÔSE</v>
          </cell>
          <cell r="E408" t="str">
            <v>MRARBS03</v>
          </cell>
          <cell r="K408">
            <v>2640</v>
          </cell>
          <cell r="N408">
            <v>46136</v>
          </cell>
        </row>
        <row r="409">
          <cell r="D409" t="str">
            <v>MISS RÔSE</v>
          </cell>
          <cell r="E409" t="str">
            <v>MRARBS01</v>
          </cell>
          <cell r="K409">
            <v>31</v>
          </cell>
          <cell r="N409">
            <v>46136</v>
          </cell>
        </row>
        <row r="410">
          <cell r="D410" t="str">
            <v>MISS RÔSE</v>
          </cell>
          <cell r="E410" t="str">
            <v>MRARBS01</v>
          </cell>
          <cell r="K410">
            <v>1056</v>
          </cell>
          <cell r="N410">
            <v>46136</v>
          </cell>
        </row>
        <row r="411">
          <cell r="D411" t="str">
            <v>CAMIE BEAUTY</v>
          </cell>
          <cell r="E411" t="str">
            <v>CMBS0001</v>
          </cell>
          <cell r="K411">
            <v>22</v>
          </cell>
          <cell r="N411">
            <v>46106</v>
          </cell>
        </row>
        <row r="412">
          <cell r="D412" t="str">
            <v>CAMIE BEAUTY</v>
          </cell>
          <cell r="E412" t="str">
            <v>CMBS0001</v>
          </cell>
          <cell r="K412">
            <v>2835</v>
          </cell>
          <cell r="N412">
            <v>46106</v>
          </cell>
        </row>
        <row r="413">
          <cell r="D413" t="str">
            <v>CAMIE BEAUTY</v>
          </cell>
          <cell r="E413" t="str">
            <v>CMOC0001</v>
          </cell>
          <cell r="K413">
            <v>40</v>
          </cell>
          <cell r="N413">
            <v>46106</v>
          </cell>
        </row>
        <row r="414">
          <cell r="D414" t="str">
            <v>CAMIE BEAUTY</v>
          </cell>
          <cell r="E414" t="str">
            <v>CMOC0001</v>
          </cell>
          <cell r="K414">
            <v>2704</v>
          </cell>
          <cell r="N414">
            <v>46106</v>
          </cell>
        </row>
        <row r="415">
          <cell r="D415" t="str">
            <v>CAMIE BEAUTY</v>
          </cell>
          <cell r="E415" t="str">
            <v>CMGL0001</v>
          </cell>
          <cell r="K415">
            <v>69</v>
          </cell>
          <cell r="N415">
            <v>46107</v>
          </cell>
        </row>
        <row r="416">
          <cell r="D416" t="str">
            <v>CAMIE BEAUTY</v>
          </cell>
          <cell r="E416" t="str">
            <v>CMGL0001</v>
          </cell>
          <cell r="K416">
            <v>2520</v>
          </cell>
          <cell r="N416">
            <v>46107</v>
          </cell>
        </row>
        <row r="417">
          <cell r="D417" t="str">
            <v>AMEERATI</v>
          </cell>
          <cell r="E417" t="str">
            <v>AMNCBS02</v>
          </cell>
          <cell r="K417">
            <v>9</v>
          </cell>
          <cell r="N417">
            <v>46107</v>
          </cell>
        </row>
        <row r="418">
          <cell r="D418" t="str">
            <v>AMEERATI</v>
          </cell>
          <cell r="E418" t="str">
            <v>AMNCBS02</v>
          </cell>
          <cell r="K418">
            <v>1296</v>
          </cell>
          <cell r="N418">
            <v>46107</v>
          </cell>
        </row>
        <row r="419">
          <cell r="D419" t="str">
            <v>AMEERATI</v>
          </cell>
          <cell r="E419" t="str">
            <v>AMNCBS02</v>
          </cell>
          <cell r="K419">
            <v>6</v>
          </cell>
          <cell r="N419">
            <v>46107</v>
          </cell>
        </row>
        <row r="420">
          <cell r="D420" t="str">
            <v>AMEERATI</v>
          </cell>
          <cell r="E420" t="str">
            <v>AMNCBS02</v>
          </cell>
          <cell r="K420">
            <v>1536</v>
          </cell>
          <cell r="N420">
            <v>46107</v>
          </cell>
        </row>
        <row r="421">
          <cell r="D421" t="str">
            <v>AMEERATI</v>
          </cell>
          <cell r="E421" t="str">
            <v>AMNCBS05</v>
          </cell>
          <cell r="K421">
            <v>1392</v>
          </cell>
          <cell r="N421">
            <v>46112</v>
          </cell>
        </row>
        <row r="422">
          <cell r="D422" t="str">
            <v>AMEERATI</v>
          </cell>
          <cell r="E422" t="str">
            <v>AMNCBS05</v>
          </cell>
          <cell r="K422">
            <v>1512</v>
          </cell>
          <cell r="N422">
            <v>46113</v>
          </cell>
        </row>
        <row r="423">
          <cell r="D423" t="str">
            <v>AMEERATI</v>
          </cell>
          <cell r="E423" t="str">
            <v>AMNCBS01</v>
          </cell>
          <cell r="K423">
            <v>1152</v>
          </cell>
          <cell r="N423">
            <v>46113</v>
          </cell>
        </row>
        <row r="424">
          <cell r="D424" t="str">
            <v>AMEERATI</v>
          </cell>
          <cell r="E424" t="str">
            <v>AMNCBS01</v>
          </cell>
          <cell r="K424">
            <v>10</v>
          </cell>
          <cell r="N424">
            <v>46113</v>
          </cell>
        </row>
        <row r="425">
          <cell r="D425" t="str">
            <v>AMEERATI</v>
          </cell>
          <cell r="E425" t="str">
            <v>AMNCBS01</v>
          </cell>
          <cell r="K425">
            <v>1272</v>
          </cell>
          <cell r="N425">
            <v>46113</v>
          </cell>
        </row>
        <row r="426">
          <cell r="D426" t="str">
            <v>AMEERATI</v>
          </cell>
          <cell r="E426" t="str">
            <v>AMNCBS06</v>
          </cell>
          <cell r="K426">
            <v>1272</v>
          </cell>
          <cell r="N426">
            <v>46113</v>
          </cell>
        </row>
        <row r="427">
          <cell r="D427" t="str">
            <v>AMEERATI</v>
          </cell>
          <cell r="E427" t="str">
            <v>AMNCBS06</v>
          </cell>
          <cell r="K427">
            <v>4</v>
          </cell>
          <cell r="N427">
            <v>46114</v>
          </cell>
        </row>
        <row r="428">
          <cell r="D428" t="str">
            <v>AMEERATI</v>
          </cell>
          <cell r="E428" t="str">
            <v>AMNCBS06</v>
          </cell>
          <cell r="K428">
            <v>1176</v>
          </cell>
          <cell r="N428">
            <v>46114</v>
          </cell>
        </row>
        <row r="429">
          <cell r="D429" t="str">
            <v>AMEERATI</v>
          </cell>
          <cell r="E429" t="str">
            <v>AMABBS02</v>
          </cell>
          <cell r="K429">
            <v>1248</v>
          </cell>
          <cell r="N429">
            <v>46114</v>
          </cell>
        </row>
        <row r="430">
          <cell r="D430" t="str">
            <v>AMEERATI</v>
          </cell>
          <cell r="E430" t="str">
            <v>AMABBS02</v>
          </cell>
          <cell r="K430">
            <v>14</v>
          </cell>
          <cell r="N430">
            <v>46114</v>
          </cell>
        </row>
        <row r="431">
          <cell r="D431" t="str">
            <v>AMEERATI</v>
          </cell>
          <cell r="E431" t="str">
            <v>AMABBS02</v>
          </cell>
          <cell r="K431">
            <v>1296</v>
          </cell>
          <cell r="N431">
            <v>46114</v>
          </cell>
        </row>
        <row r="432">
          <cell r="D432" t="str">
            <v>AMEERATI</v>
          </cell>
          <cell r="E432" t="str">
            <v>AMABBS01</v>
          </cell>
          <cell r="K432">
            <v>1320</v>
          </cell>
          <cell r="N432">
            <v>46118</v>
          </cell>
        </row>
        <row r="433">
          <cell r="D433" t="str">
            <v>AMEERATI</v>
          </cell>
          <cell r="E433" t="str">
            <v>AMABBS01</v>
          </cell>
          <cell r="K433">
            <v>5</v>
          </cell>
          <cell r="N433">
            <v>46118</v>
          </cell>
        </row>
        <row r="434">
          <cell r="D434" t="str">
            <v>AMEERATI</v>
          </cell>
          <cell r="E434" t="str">
            <v>AMABBS01</v>
          </cell>
          <cell r="K434">
            <v>1248</v>
          </cell>
          <cell r="N434">
            <v>46118</v>
          </cell>
        </row>
        <row r="435">
          <cell r="D435" t="str">
            <v>AMEERATI</v>
          </cell>
          <cell r="E435" t="str">
            <v>AMABBS08</v>
          </cell>
          <cell r="K435">
            <v>1272</v>
          </cell>
          <cell r="N435">
            <v>46118</v>
          </cell>
        </row>
        <row r="436">
          <cell r="D436" t="str">
            <v>AMEERATI</v>
          </cell>
          <cell r="E436" t="str">
            <v>AMABBS08</v>
          </cell>
          <cell r="K436">
            <v>1344</v>
          </cell>
          <cell r="N436">
            <v>46118</v>
          </cell>
        </row>
        <row r="437">
          <cell r="D437" t="str">
            <v>AMEERATI</v>
          </cell>
          <cell r="E437" t="str">
            <v>AMABBS07</v>
          </cell>
          <cell r="K437">
            <v>1176</v>
          </cell>
          <cell r="N437">
            <v>46119</v>
          </cell>
        </row>
        <row r="438">
          <cell r="D438" t="str">
            <v>AMEERATI</v>
          </cell>
          <cell r="E438" t="str">
            <v>AMABBS07</v>
          </cell>
          <cell r="K438">
            <v>14</v>
          </cell>
          <cell r="N438">
            <v>46119</v>
          </cell>
        </row>
        <row r="439">
          <cell r="D439" t="str">
            <v>AMEERATI</v>
          </cell>
          <cell r="E439" t="str">
            <v>AMABBS07</v>
          </cell>
          <cell r="K439">
            <v>1344</v>
          </cell>
          <cell r="N439">
            <v>46119</v>
          </cell>
        </row>
        <row r="440">
          <cell r="D440" t="str">
            <v>AMEERATI</v>
          </cell>
          <cell r="E440" t="str">
            <v>AMABBS06</v>
          </cell>
          <cell r="K440">
            <v>23</v>
          </cell>
          <cell r="N440">
            <v>46120</v>
          </cell>
        </row>
        <row r="441">
          <cell r="D441" t="str">
            <v>AMEERATI</v>
          </cell>
          <cell r="E441" t="str">
            <v>AMABBS06</v>
          </cell>
          <cell r="K441">
            <v>1224</v>
          </cell>
          <cell r="N441">
            <v>46120</v>
          </cell>
        </row>
        <row r="442">
          <cell r="D442" t="str">
            <v>AMEERATI</v>
          </cell>
          <cell r="E442" t="str">
            <v>AMABBS06</v>
          </cell>
          <cell r="K442">
            <v>7</v>
          </cell>
          <cell r="N442">
            <v>46120</v>
          </cell>
        </row>
        <row r="443">
          <cell r="D443" t="str">
            <v>AMEERATI</v>
          </cell>
          <cell r="E443" t="str">
            <v>AMABBS06</v>
          </cell>
          <cell r="K443">
            <v>1272</v>
          </cell>
          <cell r="N443">
            <v>46120</v>
          </cell>
        </row>
        <row r="444">
          <cell r="D444" t="str">
            <v>AMEERATI</v>
          </cell>
          <cell r="E444" t="str">
            <v>AMABBS05</v>
          </cell>
          <cell r="K444">
            <v>22</v>
          </cell>
          <cell r="N444">
            <v>46120</v>
          </cell>
        </row>
        <row r="445">
          <cell r="D445" t="str">
            <v>AMEERATI</v>
          </cell>
          <cell r="E445" t="str">
            <v>AMABBS05</v>
          </cell>
          <cell r="K445">
            <v>1200</v>
          </cell>
          <cell r="N445">
            <v>46120</v>
          </cell>
        </row>
        <row r="446">
          <cell r="D446" t="str">
            <v>AMEERATI</v>
          </cell>
          <cell r="E446" t="str">
            <v>AMABBS05</v>
          </cell>
          <cell r="K446">
            <v>17</v>
          </cell>
          <cell r="N446">
            <v>46120</v>
          </cell>
        </row>
        <row r="447">
          <cell r="D447" t="str">
            <v>AMEERATI</v>
          </cell>
          <cell r="E447" t="str">
            <v>AMABBS05</v>
          </cell>
          <cell r="K447">
            <v>1272</v>
          </cell>
          <cell r="N447">
            <v>46120</v>
          </cell>
        </row>
        <row r="448">
          <cell r="D448" t="str">
            <v>AMEERATI</v>
          </cell>
          <cell r="E448" t="str">
            <v>AMABBS04</v>
          </cell>
          <cell r="K448">
            <v>1200</v>
          </cell>
          <cell r="N448">
            <v>46120</v>
          </cell>
        </row>
        <row r="449">
          <cell r="D449" t="str">
            <v>AMEERATI</v>
          </cell>
          <cell r="E449" t="str">
            <v>AMABBS04</v>
          </cell>
          <cell r="K449">
            <v>19</v>
          </cell>
          <cell r="N449">
            <v>46120</v>
          </cell>
        </row>
        <row r="450">
          <cell r="D450" t="str">
            <v>AMEERATI</v>
          </cell>
          <cell r="E450" t="str">
            <v>AMABBS04</v>
          </cell>
          <cell r="K450">
            <v>1296</v>
          </cell>
          <cell r="N450">
            <v>46120</v>
          </cell>
        </row>
        <row r="451">
          <cell r="D451" t="str">
            <v>BRIA BEAUTY</v>
          </cell>
          <cell r="E451" t="str">
            <v>BBSJBS05-2</v>
          </cell>
          <cell r="K451">
            <v>4400</v>
          </cell>
          <cell r="N451">
            <v>46090</v>
          </cell>
        </row>
        <row r="452">
          <cell r="D452" t="str">
            <v>BRIA BEAUTY</v>
          </cell>
          <cell r="E452" t="str">
            <v>BBSJBS05-2</v>
          </cell>
          <cell r="K452">
            <v>4960</v>
          </cell>
          <cell r="N452">
            <v>46091</v>
          </cell>
        </row>
        <row r="453">
          <cell r="D453" t="str">
            <v>BRIA BEAUTY</v>
          </cell>
          <cell r="E453" t="str">
            <v>BBSJBS05-2</v>
          </cell>
          <cell r="K453">
            <v>4000</v>
          </cell>
          <cell r="N453">
            <v>46092</v>
          </cell>
        </row>
        <row r="454">
          <cell r="D454" t="str">
            <v>BRIA BEAUTY</v>
          </cell>
          <cell r="E454" t="str">
            <v>BBSJBS05-2</v>
          </cell>
          <cell r="K454">
            <v>4480</v>
          </cell>
          <cell r="N454">
            <v>46097</v>
          </cell>
        </row>
        <row r="455">
          <cell r="D455" t="str">
            <v>BRIA BEAUTY</v>
          </cell>
          <cell r="E455" t="str">
            <v>BBSJBS05-2</v>
          </cell>
          <cell r="K455">
            <v>4320</v>
          </cell>
          <cell r="N455">
            <v>46097</v>
          </cell>
        </row>
        <row r="456">
          <cell r="D456" t="str">
            <v>BRIA BEAUTY</v>
          </cell>
          <cell r="E456" t="str">
            <v>BBSJBS05-2</v>
          </cell>
          <cell r="K456">
            <v>3280</v>
          </cell>
          <cell r="N456">
            <v>46093</v>
          </cell>
        </row>
        <row r="457">
          <cell r="D457" t="str">
            <v>BRIA BEAUTY</v>
          </cell>
          <cell r="E457" t="str">
            <v>BBSJBS05-2</v>
          </cell>
          <cell r="K457">
            <v>54</v>
          </cell>
          <cell r="N457">
            <v>46093</v>
          </cell>
        </row>
        <row r="458">
          <cell r="D458" t="str">
            <v>BRIA BEAUTY</v>
          </cell>
          <cell r="E458" t="str">
            <v>BBSJBS05-2</v>
          </cell>
          <cell r="K458">
            <v>1600</v>
          </cell>
          <cell r="N458">
            <v>46093</v>
          </cell>
        </row>
        <row r="459">
          <cell r="D459" t="str">
            <v>BRIA BEAUTY</v>
          </cell>
          <cell r="E459" t="str">
            <v>BBSJBS04-2</v>
          </cell>
          <cell r="K459">
            <v>4960</v>
          </cell>
          <cell r="N459">
            <v>46094</v>
          </cell>
        </row>
        <row r="460">
          <cell r="D460" t="str">
            <v>BRIA BEAUTY</v>
          </cell>
          <cell r="E460" t="str">
            <v>BBSJBS04-2</v>
          </cell>
          <cell r="K460">
            <v>4480</v>
          </cell>
          <cell r="N460">
            <v>46094</v>
          </cell>
        </row>
        <row r="461">
          <cell r="D461" t="str">
            <v>BRIA BEAUTY</v>
          </cell>
          <cell r="E461" t="str">
            <v>BBSJBS04-2</v>
          </cell>
          <cell r="K461">
            <v>4320</v>
          </cell>
          <cell r="N461">
            <v>46098</v>
          </cell>
        </row>
        <row r="462">
          <cell r="D462" t="str">
            <v>BRIA BEAUTY</v>
          </cell>
          <cell r="E462" t="str">
            <v>BBSJBS04-2</v>
          </cell>
          <cell r="K462">
            <v>67</v>
          </cell>
          <cell r="N462">
            <v>46098</v>
          </cell>
        </row>
        <row r="463">
          <cell r="D463" t="str">
            <v>BRIA BEAUTY</v>
          </cell>
          <cell r="E463" t="str">
            <v>BBSJBS04-2</v>
          </cell>
          <cell r="K463">
            <v>3360</v>
          </cell>
          <cell r="N463">
            <v>46098</v>
          </cell>
        </row>
        <row r="464">
          <cell r="D464" t="str">
            <v>BRIA BEAUTY</v>
          </cell>
          <cell r="E464" t="str">
            <v>BBSJBS03-2</v>
          </cell>
          <cell r="K464">
            <v>4320</v>
          </cell>
          <cell r="N464">
            <v>46099</v>
          </cell>
        </row>
        <row r="465">
          <cell r="D465" t="str">
            <v>BRIA BEAUTY</v>
          </cell>
          <cell r="E465" t="str">
            <v>BBSJBS02-2</v>
          </cell>
          <cell r="K465">
            <v>4320</v>
          </cell>
          <cell r="N465">
            <v>46100</v>
          </cell>
        </row>
        <row r="466">
          <cell r="D466" t="str">
            <v>BRIA BEAUTY</v>
          </cell>
          <cell r="E466" t="str">
            <v>BBSJBS02-2</v>
          </cell>
          <cell r="K466">
            <v>4240</v>
          </cell>
          <cell r="N466">
            <v>46101</v>
          </cell>
        </row>
        <row r="467">
          <cell r="D467" t="str">
            <v>BRIA BEAUTY</v>
          </cell>
          <cell r="E467" t="str">
            <v>BBSJBS02-2</v>
          </cell>
          <cell r="K467">
            <v>65</v>
          </cell>
          <cell r="N467">
            <v>46101</v>
          </cell>
        </row>
        <row r="468">
          <cell r="D468" t="str">
            <v>BRIA BEAUTY</v>
          </cell>
          <cell r="E468" t="str">
            <v>BBSJBS01-2</v>
          </cell>
          <cell r="K468">
            <v>4480</v>
          </cell>
          <cell r="N468">
            <v>46104</v>
          </cell>
        </row>
        <row r="469">
          <cell r="D469" t="str">
            <v>BRIA BEAUTY</v>
          </cell>
          <cell r="E469" t="str">
            <v>BBSJBS01-2</v>
          </cell>
          <cell r="K469">
            <v>4080</v>
          </cell>
          <cell r="N469">
            <v>46105</v>
          </cell>
        </row>
        <row r="470">
          <cell r="D470" t="str">
            <v>BRIA BEAUTY</v>
          </cell>
          <cell r="E470" t="str">
            <v>BBSJBS01-2</v>
          </cell>
          <cell r="K470">
            <v>4480</v>
          </cell>
          <cell r="N470">
            <v>46105</v>
          </cell>
        </row>
        <row r="471">
          <cell r="D471" t="str">
            <v>BRIA BEAUTY</v>
          </cell>
          <cell r="E471" t="str">
            <v>BBSJBS03-2</v>
          </cell>
          <cell r="K471">
            <v>9</v>
          </cell>
          <cell r="N471">
            <v>46107</v>
          </cell>
        </row>
        <row r="472">
          <cell r="D472" t="str">
            <v>BRIA BEAUTY</v>
          </cell>
          <cell r="E472" t="str">
            <v>BBSJBS03-2</v>
          </cell>
          <cell r="K472">
            <v>4400</v>
          </cell>
          <cell r="N472">
            <v>46107</v>
          </cell>
        </row>
        <row r="473">
          <cell r="D473" t="str">
            <v>BRIA BEAUTY</v>
          </cell>
          <cell r="E473" t="str">
            <v>BBSJBS02-2</v>
          </cell>
          <cell r="K473">
            <v>4320</v>
          </cell>
          <cell r="N473">
            <v>46108</v>
          </cell>
        </row>
        <row r="474">
          <cell r="D474" t="str">
            <v>BRIA BEAUTY</v>
          </cell>
          <cell r="E474" t="str">
            <v>BBSJBS02-2</v>
          </cell>
          <cell r="K474">
            <v>4160</v>
          </cell>
          <cell r="N474">
            <v>46111</v>
          </cell>
        </row>
        <row r="475">
          <cell r="D475" t="str">
            <v>BRIA BEAUTY</v>
          </cell>
          <cell r="E475" t="str">
            <v>BBSJBS02-2</v>
          </cell>
          <cell r="K475">
            <v>77</v>
          </cell>
          <cell r="N475">
            <v>46111</v>
          </cell>
        </row>
        <row r="476">
          <cell r="D476" t="str">
            <v>BRIA BEAUTY</v>
          </cell>
          <cell r="E476" t="str">
            <v>BBSJBS02-2</v>
          </cell>
          <cell r="K476">
            <v>2400</v>
          </cell>
          <cell r="N476">
            <v>46111</v>
          </cell>
        </row>
        <row r="477">
          <cell r="D477" t="str">
            <v>BRIA BEAUTY</v>
          </cell>
          <cell r="E477" t="str">
            <v>BBSJBS03-2</v>
          </cell>
          <cell r="K477">
            <v>3920</v>
          </cell>
          <cell r="N477">
            <v>46111</v>
          </cell>
        </row>
        <row r="478">
          <cell r="D478" t="str">
            <v>BRIA BEAUTY</v>
          </cell>
          <cell r="E478" t="str">
            <v>BBSJBS04-2</v>
          </cell>
          <cell r="K478">
            <v>43</v>
          </cell>
          <cell r="N478">
            <v>46112</v>
          </cell>
        </row>
        <row r="479">
          <cell r="D479" t="str">
            <v>BRIA BEAUTY</v>
          </cell>
          <cell r="E479" t="str">
            <v>BBSJBS04-2</v>
          </cell>
          <cell r="K479">
            <v>480</v>
          </cell>
          <cell r="N479">
            <v>46112</v>
          </cell>
        </row>
        <row r="480">
          <cell r="D480" t="str">
            <v>BRIA BEAUTY</v>
          </cell>
          <cell r="E480" t="str">
            <v>BBSJBS03-2</v>
          </cell>
          <cell r="K480">
            <v>45</v>
          </cell>
          <cell r="N480">
            <v>46112</v>
          </cell>
        </row>
        <row r="481">
          <cell r="D481" t="str">
            <v>BRIA BEAUTY</v>
          </cell>
          <cell r="E481" t="str">
            <v>BBSJBS03-2</v>
          </cell>
          <cell r="K481">
            <v>3760</v>
          </cell>
          <cell r="N481">
            <v>46112</v>
          </cell>
        </row>
        <row r="482">
          <cell r="D482" t="str">
            <v>BRIA BEAUTY</v>
          </cell>
          <cell r="E482" t="str">
            <v>BBSJBS01-2</v>
          </cell>
          <cell r="K482">
            <v>4480</v>
          </cell>
          <cell r="N482">
            <v>46104</v>
          </cell>
        </row>
        <row r="483">
          <cell r="D483" t="str">
            <v>SAFIRA</v>
          </cell>
          <cell r="E483" t="str">
            <v>SASCES02</v>
          </cell>
          <cell r="K483">
            <v>6</v>
          </cell>
          <cell r="N483">
            <v>46044</v>
          </cell>
        </row>
        <row r="484">
          <cell r="D484" t="str">
            <v>MISS RÔSE</v>
          </cell>
          <cell r="E484" t="str">
            <v>MRARBS12</v>
          </cell>
          <cell r="K484">
            <v>2304</v>
          </cell>
          <cell r="N484">
            <v>46042</v>
          </cell>
        </row>
        <row r="485">
          <cell r="D485" t="str">
            <v>MISS RÔSE</v>
          </cell>
          <cell r="E485" t="str">
            <v>MRARBS12</v>
          </cell>
          <cell r="K485">
            <v>17</v>
          </cell>
          <cell r="N485">
            <v>46042</v>
          </cell>
        </row>
        <row r="486">
          <cell r="D486" t="str">
            <v>MISS RÔSE</v>
          </cell>
          <cell r="E486" t="str">
            <v>MRARBS12</v>
          </cell>
          <cell r="K486">
            <v>2544</v>
          </cell>
          <cell r="N486">
            <v>46041</v>
          </cell>
        </row>
        <row r="487">
          <cell r="D487" t="str">
            <v>MISS RÔSE</v>
          </cell>
          <cell r="E487" t="str">
            <v>MRARBS12</v>
          </cell>
          <cell r="K487">
            <v>2496</v>
          </cell>
          <cell r="N487">
            <v>46041</v>
          </cell>
        </row>
        <row r="488">
          <cell r="D488" t="str">
            <v>MISS RÔSE</v>
          </cell>
          <cell r="E488" t="str">
            <v>MRARBS06</v>
          </cell>
          <cell r="K488">
            <v>1440</v>
          </cell>
          <cell r="N488">
            <v>46044</v>
          </cell>
        </row>
        <row r="489">
          <cell r="D489" t="str">
            <v>MISS RÔSE</v>
          </cell>
          <cell r="E489" t="str">
            <v>MRARBS09</v>
          </cell>
          <cell r="K489">
            <v>2544</v>
          </cell>
          <cell r="N489">
            <v>46044</v>
          </cell>
        </row>
        <row r="490">
          <cell r="D490" t="str">
            <v>MISS RÔSE</v>
          </cell>
          <cell r="E490" t="str">
            <v>MRARBS08</v>
          </cell>
          <cell r="K490">
            <v>2592</v>
          </cell>
          <cell r="N490">
            <v>46044</v>
          </cell>
        </row>
        <row r="491">
          <cell r="D491" t="str">
            <v>MISS RÔSE</v>
          </cell>
          <cell r="E491" t="str">
            <v>MRARBS08</v>
          </cell>
          <cell r="K491">
            <v>22</v>
          </cell>
          <cell r="N491">
            <v>46044</v>
          </cell>
        </row>
        <row r="492">
          <cell r="D492" t="str">
            <v>MISS RÔSE</v>
          </cell>
          <cell r="E492" t="str">
            <v>MRARBS07</v>
          </cell>
          <cell r="K492">
            <v>2544</v>
          </cell>
          <cell r="N492">
            <v>46043</v>
          </cell>
        </row>
        <row r="493">
          <cell r="D493" t="str">
            <v>MISS RÔSE</v>
          </cell>
          <cell r="E493" t="str">
            <v>MRARBS06</v>
          </cell>
          <cell r="K493">
            <v>1104</v>
          </cell>
          <cell r="N493">
            <v>46044</v>
          </cell>
        </row>
        <row r="494">
          <cell r="D494" t="str">
            <v>MISS RÔSE</v>
          </cell>
          <cell r="E494" t="str">
            <v>MRARBS06</v>
          </cell>
          <cell r="K494">
            <v>7</v>
          </cell>
          <cell r="N494">
            <v>46044</v>
          </cell>
        </row>
        <row r="495">
          <cell r="D495" t="str">
            <v>MISS RÔSE</v>
          </cell>
          <cell r="E495" t="str">
            <v>MRARBS10</v>
          </cell>
          <cell r="K495">
            <v>2544</v>
          </cell>
          <cell r="N495">
            <v>46044</v>
          </cell>
        </row>
        <row r="496">
          <cell r="D496" t="str">
            <v>MISS RÔSE</v>
          </cell>
          <cell r="E496" t="str">
            <v>MRARBS10</v>
          </cell>
          <cell r="K496">
            <v>2592</v>
          </cell>
          <cell r="N496">
            <v>46044</v>
          </cell>
        </row>
        <row r="497">
          <cell r="D497" t="str">
            <v>MISS RÔSE</v>
          </cell>
          <cell r="E497" t="str">
            <v>MRARBS10</v>
          </cell>
          <cell r="K497">
            <v>2592</v>
          </cell>
          <cell r="N497">
            <v>46045</v>
          </cell>
        </row>
        <row r="498">
          <cell r="D498" t="str">
            <v>MISS RÔSE</v>
          </cell>
          <cell r="E498" t="str">
            <v>MRARBS10</v>
          </cell>
          <cell r="K498">
            <v>2640</v>
          </cell>
          <cell r="N498">
            <v>46045</v>
          </cell>
        </row>
        <row r="499">
          <cell r="D499" t="str">
            <v>MISS RÔSE</v>
          </cell>
          <cell r="E499" t="str">
            <v>MRARBS10</v>
          </cell>
          <cell r="K499">
            <v>2304</v>
          </cell>
          <cell r="N499">
            <v>46045</v>
          </cell>
        </row>
        <row r="500">
          <cell r="D500" t="str">
            <v>MISS RÔSE</v>
          </cell>
          <cell r="E500" t="str">
            <v>MRARBS10</v>
          </cell>
          <cell r="K500">
            <v>17</v>
          </cell>
          <cell r="N500">
            <v>46045</v>
          </cell>
        </row>
        <row r="501">
          <cell r="D501" t="str">
            <v>MISS RÔSE</v>
          </cell>
          <cell r="E501" t="str">
            <v>MRARBS10</v>
          </cell>
          <cell r="K501">
            <v>2304</v>
          </cell>
          <cell r="N501">
            <v>46045</v>
          </cell>
        </row>
        <row r="502">
          <cell r="D502" t="str">
            <v>MISS RÔSE</v>
          </cell>
          <cell r="E502" t="str">
            <v>MRARBS10</v>
          </cell>
          <cell r="K502">
            <v>30</v>
          </cell>
          <cell r="N502">
            <v>46045</v>
          </cell>
        </row>
        <row r="503">
          <cell r="D503" t="str">
            <v>MISS RÔSE</v>
          </cell>
          <cell r="E503" t="str">
            <v>MRARBS07</v>
          </cell>
          <cell r="K503">
            <v>1152</v>
          </cell>
          <cell r="N503">
            <v>46048</v>
          </cell>
        </row>
        <row r="504">
          <cell r="D504" t="str">
            <v>MISS RÔSE</v>
          </cell>
          <cell r="E504" t="str">
            <v>MRARBS07</v>
          </cell>
          <cell r="K504">
            <v>2544</v>
          </cell>
          <cell r="N504">
            <v>46045</v>
          </cell>
        </row>
        <row r="505">
          <cell r="D505" t="str">
            <v>MISS RÔSE</v>
          </cell>
          <cell r="E505" t="str">
            <v>MRARBS07</v>
          </cell>
          <cell r="K505">
            <v>2544</v>
          </cell>
          <cell r="N505">
            <v>46048</v>
          </cell>
        </row>
        <row r="506">
          <cell r="D506" t="str">
            <v>MISS RÔSE</v>
          </cell>
          <cell r="E506" t="str">
            <v>MRARBS07</v>
          </cell>
          <cell r="K506">
            <v>1152</v>
          </cell>
          <cell r="N506">
            <v>46048</v>
          </cell>
        </row>
        <row r="507">
          <cell r="D507" t="str">
            <v>MISS RÔSE</v>
          </cell>
          <cell r="E507" t="str">
            <v>MRARBS07</v>
          </cell>
          <cell r="K507">
            <v>2544</v>
          </cell>
          <cell r="N507">
            <v>46048</v>
          </cell>
        </row>
        <row r="508">
          <cell r="D508" t="str">
            <v>MISS RÔSE</v>
          </cell>
          <cell r="E508" t="str">
            <v>MRARBS07</v>
          </cell>
          <cell r="K508">
            <v>2544</v>
          </cell>
          <cell r="N508">
            <v>46048</v>
          </cell>
        </row>
        <row r="509">
          <cell r="D509" t="str">
            <v>MISS RÔSE</v>
          </cell>
          <cell r="E509" t="str">
            <v>MRARBS07</v>
          </cell>
          <cell r="K509">
            <v>11</v>
          </cell>
          <cell r="N509">
            <v>46048</v>
          </cell>
        </row>
        <row r="510">
          <cell r="D510" t="str">
            <v>MISS RÔSE</v>
          </cell>
          <cell r="E510" t="str">
            <v>MRARBS06</v>
          </cell>
          <cell r="K510">
            <v>2496</v>
          </cell>
          <cell r="N510">
            <v>46048</v>
          </cell>
        </row>
        <row r="511">
          <cell r="D511" t="str">
            <v>MISS RÔSE</v>
          </cell>
          <cell r="E511" t="str">
            <v>MRARBS08</v>
          </cell>
          <cell r="K511">
            <v>2544</v>
          </cell>
          <cell r="N511">
            <v>46049</v>
          </cell>
        </row>
        <row r="512">
          <cell r="D512" t="str">
            <v>MISS RÔSE</v>
          </cell>
          <cell r="E512" t="str">
            <v>MRARBS06</v>
          </cell>
          <cell r="K512">
            <v>1152</v>
          </cell>
          <cell r="N512">
            <v>46049</v>
          </cell>
        </row>
        <row r="513">
          <cell r="D513" t="str">
            <v>MISS RÔSE</v>
          </cell>
          <cell r="E513" t="str">
            <v>MRARBS06</v>
          </cell>
          <cell r="K513">
            <v>2352</v>
          </cell>
          <cell r="N513">
            <v>46049</v>
          </cell>
        </row>
        <row r="514">
          <cell r="D514" t="str">
            <v>MISS RÔSE</v>
          </cell>
          <cell r="E514" t="str">
            <v>MRARBS06</v>
          </cell>
          <cell r="K514">
            <v>2544</v>
          </cell>
          <cell r="N514">
            <v>46049</v>
          </cell>
        </row>
        <row r="515">
          <cell r="D515" t="str">
            <v>MISS RÔSE</v>
          </cell>
          <cell r="E515" t="str">
            <v>MRARBS06</v>
          </cell>
          <cell r="K515">
            <v>1200</v>
          </cell>
          <cell r="N515">
            <v>46049</v>
          </cell>
        </row>
        <row r="516">
          <cell r="D516" t="str">
            <v>MISS RÔSE</v>
          </cell>
          <cell r="E516" t="str">
            <v>MRARBS06</v>
          </cell>
          <cell r="K516">
            <v>2400</v>
          </cell>
          <cell r="N516">
            <v>46049</v>
          </cell>
        </row>
        <row r="517">
          <cell r="D517" t="str">
            <v>MISS RÔSE</v>
          </cell>
          <cell r="E517" t="str">
            <v>MRARBS08</v>
          </cell>
          <cell r="K517">
            <v>2544</v>
          </cell>
          <cell r="N517">
            <v>46050</v>
          </cell>
        </row>
        <row r="518">
          <cell r="D518" t="str">
            <v>MISS RÔSE</v>
          </cell>
          <cell r="E518" t="str">
            <v>MRARBS08</v>
          </cell>
          <cell r="K518">
            <v>2304</v>
          </cell>
          <cell r="N518">
            <v>46050</v>
          </cell>
        </row>
        <row r="519">
          <cell r="D519" t="str">
            <v>MISS RÔSE</v>
          </cell>
          <cell r="E519" t="str">
            <v>MRARBS08</v>
          </cell>
          <cell r="K519">
            <v>1200</v>
          </cell>
          <cell r="N519">
            <v>46050</v>
          </cell>
        </row>
        <row r="520">
          <cell r="D520" t="str">
            <v>MISS RÔSE</v>
          </cell>
          <cell r="E520" t="str">
            <v>MRARBS08</v>
          </cell>
          <cell r="K520">
            <v>2544</v>
          </cell>
          <cell r="N520">
            <v>46050</v>
          </cell>
        </row>
        <row r="521">
          <cell r="D521" t="str">
            <v>MISS RÔSE</v>
          </cell>
          <cell r="E521" t="str">
            <v>MRARBS01</v>
          </cell>
          <cell r="K521">
            <v>2592</v>
          </cell>
          <cell r="N521">
            <v>46051</v>
          </cell>
        </row>
        <row r="522">
          <cell r="D522" t="str">
            <v>MISS RÔSE</v>
          </cell>
          <cell r="E522" t="str">
            <v>MRARBS08</v>
          </cell>
          <cell r="K522">
            <v>1200</v>
          </cell>
          <cell r="N522">
            <v>46050</v>
          </cell>
        </row>
        <row r="523">
          <cell r="D523" t="str">
            <v>MISS RÔSE</v>
          </cell>
          <cell r="E523" t="str">
            <v>MRARBS08</v>
          </cell>
          <cell r="K523">
            <v>28</v>
          </cell>
          <cell r="N523">
            <v>46050</v>
          </cell>
        </row>
        <row r="524">
          <cell r="D524" t="str">
            <v>MISS RÔSE</v>
          </cell>
          <cell r="E524" t="str">
            <v>MRARBS09</v>
          </cell>
          <cell r="K524">
            <v>2544</v>
          </cell>
          <cell r="N524">
            <v>46051</v>
          </cell>
        </row>
        <row r="525">
          <cell r="D525" t="str">
            <v>MISS RÔSE</v>
          </cell>
          <cell r="E525" t="str">
            <v>MRARBS01</v>
          </cell>
          <cell r="K525">
            <v>2160</v>
          </cell>
          <cell r="N525">
            <v>46052</v>
          </cell>
        </row>
        <row r="526">
          <cell r="D526" t="str">
            <v>MISS RÔSE</v>
          </cell>
          <cell r="E526" t="str">
            <v>MRARBS01</v>
          </cell>
          <cell r="K526">
            <v>2544</v>
          </cell>
          <cell r="N526">
            <v>46052</v>
          </cell>
        </row>
        <row r="527">
          <cell r="D527" t="str">
            <v>MISS RÔSE</v>
          </cell>
          <cell r="E527" t="str">
            <v>MRARBS01</v>
          </cell>
          <cell r="K527">
            <v>2208</v>
          </cell>
          <cell r="N527">
            <v>46052</v>
          </cell>
        </row>
        <row r="528">
          <cell r="D528" t="str">
            <v>MISS RÔSE</v>
          </cell>
          <cell r="E528" t="str">
            <v>MRARBS01</v>
          </cell>
          <cell r="K528">
            <v>2304</v>
          </cell>
          <cell r="N528">
            <v>46055</v>
          </cell>
        </row>
        <row r="529">
          <cell r="D529" t="str">
            <v>MISS RÔSE</v>
          </cell>
          <cell r="E529" t="str">
            <v>MRARBS09</v>
          </cell>
          <cell r="K529">
            <v>2544</v>
          </cell>
          <cell r="N529">
            <v>46051</v>
          </cell>
        </row>
        <row r="530">
          <cell r="D530" t="str">
            <v>MISS RÔSE</v>
          </cell>
          <cell r="E530" t="str">
            <v>MRARBS01</v>
          </cell>
          <cell r="K530">
            <v>672</v>
          </cell>
          <cell r="N530">
            <v>46056</v>
          </cell>
        </row>
        <row r="531">
          <cell r="D531" t="str">
            <v>MISS RÔSE</v>
          </cell>
          <cell r="E531" t="str">
            <v>MRARBS09</v>
          </cell>
          <cell r="K531">
            <v>2256</v>
          </cell>
          <cell r="N531">
            <v>46051</v>
          </cell>
        </row>
        <row r="532">
          <cell r="D532" t="str">
            <v>MISS RÔSE</v>
          </cell>
          <cell r="E532" t="str">
            <v>MRARBS09</v>
          </cell>
          <cell r="K532">
            <v>8</v>
          </cell>
          <cell r="N532">
            <v>46051</v>
          </cell>
        </row>
        <row r="533">
          <cell r="D533" t="str">
            <v>MISS RÔSE</v>
          </cell>
          <cell r="E533" t="str">
            <v>MRARBS09</v>
          </cell>
          <cell r="K533">
            <v>2304</v>
          </cell>
          <cell r="N533">
            <v>46052</v>
          </cell>
        </row>
        <row r="534">
          <cell r="D534" t="str">
            <v>MISS RÔSE</v>
          </cell>
          <cell r="E534" t="str">
            <v>MRARBS01</v>
          </cell>
          <cell r="K534">
            <v>2064</v>
          </cell>
          <cell r="N534">
            <v>46056</v>
          </cell>
        </row>
        <row r="535">
          <cell r="D535" t="str">
            <v>MISS RÔSE</v>
          </cell>
          <cell r="E535" t="str">
            <v>MRARBS01</v>
          </cell>
          <cell r="K535">
            <v>2544</v>
          </cell>
          <cell r="N535">
            <v>46056</v>
          </cell>
        </row>
        <row r="536">
          <cell r="D536" t="str">
            <v>MISS RÔSE</v>
          </cell>
          <cell r="E536" t="str">
            <v>MRARBS01</v>
          </cell>
          <cell r="K536">
            <v>2544</v>
          </cell>
          <cell r="N536">
            <v>46056</v>
          </cell>
        </row>
        <row r="537">
          <cell r="D537" t="str">
            <v>MISS RÔSE</v>
          </cell>
          <cell r="E537" t="str">
            <v>MRARBS09</v>
          </cell>
          <cell r="K537">
            <v>2544</v>
          </cell>
          <cell r="N537">
            <v>46052</v>
          </cell>
        </row>
        <row r="538">
          <cell r="D538" t="str">
            <v>MISS RÔSE</v>
          </cell>
          <cell r="E538" t="str">
            <v>MRARBS11</v>
          </cell>
          <cell r="K538">
            <v>2544</v>
          </cell>
          <cell r="N538">
            <v>46056</v>
          </cell>
        </row>
        <row r="539">
          <cell r="D539" t="str">
            <v>MISS RÔSE</v>
          </cell>
          <cell r="E539" t="str">
            <v>MRARBS11</v>
          </cell>
          <cell r="K539">
            <v>960</v>
          </cell>
          <cell r="N539">
            <v>46057</v>
          </cell>
        </row>
        <row r="540">
          <cell r="D540" t="str">
            <v>BRIA BEAUTY</v>
          </cell>
          <cell r="E540" t="str">
            <v>BBSJBS01</v>
          </cell>
          <cell r="K540">
            <v>384</v>
          </cell>
          <cell r="N540">
            <v>46057</v>
          </cell>
        </row>
        <row r="541">
          <cell r="D541" t="str">
            <v>BRIA BEAUTY</v>
          </cell>
          <cell r="E541" t="str">
            <v>BBSJBS01</v>
          </cell>
          <cell r="K541">
            <v>1248</v>
          </cell>
          <cell r="N541">
            <v>46057</v>
          </cell>
        </row>
        <row r="542">
          <cell r="D542" t="str">
            <v>BRIA BEAUTY</v>
          </cell>
          <cell r="E542" t="str">
            <v>BBSJBS01</v>
          </cell>
          <cell r="K542">
            <v>1680</v>
          </cell>
          <cell r="N542">
            <v>46057</v>
          </cell>
        </row>
        <row r="543">
          <cell r="D543" t="str">
            <v>BRIA BEAUTY</v>
          </cell>
          <cell r="E543" t="str">
            <v>BBSJBS01</v>
          </cell>
          <cell r="K543">
            <v>1680</v>
          </cell>
          <cell r="N543">
            <v>46057</v>
          </cell>
        </row>
        <row r="544">
          <cell r="D544" t="str">
            <v>BRIA BEAUTY</v>
          </cell>
          <cell r="E544" t="str">
            <v>BBSJBS01</v>
          </cell>
          <cell r="K544">
            <v>19</v>
          </cell>
          <cell r="N544">
            <v>46058</v>
          </cell>
        </row>
        <row r="545">
          <cell r="D545" t="str">
            <v>BRIA BEAUTY</v>
          </cell>
          <cell r="E545" t="str">
            <v>BBSJBS01</v>
          </cell>
          <cell r="K545">
            <v>1680</v>
          </cell>
          <cell r="N545">
            <v>46058</v>
          </cell>
        </row>
        <row r="546">
          <cell r="D546" t="str">
            <v>BRIA BEAUTY</v>
          </cell>
          <cell r="E546" t="str">
            <v>BBSJBS01</v>
          </cell>
          <cell r="K546">
            <v>1680</v>
          </cell>
          <cell r="N546">
            <v>46058</v>
          </cell>
        </row>
        <row r="547">
          <cell r="D547" t="str">
            <v>BRIA BEAUTY</v>
          </cell>
          <cell r="E547" t="str">
            <v>BBSJBS01</v>
          </cell>
          <cell r="K547">
            <v>1344</v>
          </cell>
          <cell r="N547">
            <v>46058</v>
          </cell>
        </row>
        <row r="548">
          <cell r="D548" t="str">
            <v>BRIA BEAUTY</v>
          </cell>
          <cell r="E548" t="str">
            <v>BBSJBS02</v>
          </cell>
          <cell r="K548">
            <v>384</v>
          </cell>
          <cell r="N548">
            <v>46057</v>
          </cell>
        </row>
        <row r="549">
          <cell r="D549" t="str">
            <v>BRIA BEAUTY</v>
          </cell>
          <cell r="E549" t="str">
            <v>BBSJBS02</v>
          </cell>
          <cell r="K549">
            <v>33</v>
          </cell>
          <cell r="N549">
            <v>46058</v>
          </cell>
        </row>
        <row r="550">
          <cell r="D550" t="str">
            <v>BRIA BEAUTY</v>
          </cell>
          <cell r="E550" t="str">
            <v>BBSJBS02</v>
          </cell>
          <cell r="K550">
            <v>1248</v>
          </cell>
          <cell r="N550">
            <v>46058</v>
          </cell>
        </row>
        <row r="551">
          <cell r="D551" t="str">
            <v>BRIA BEAUTY</v>
          </cell>
          <cell r="E551" t="str">
            <v>BBSJBS02</v>
          </cell>
          <cell r="K551">
            <v>1680</v>
          </cell>
          <cell r="N551">
            <v>46058</v>
          </cell>
        </row>
        <row r="552">
          <cell r="D552" t="str">
            <v>BRIA BEAUTY</v>
          </cell>
          <cell r="E552" t="str">
            <v>BBSJBS02</v>
          </cell>
          <cell r="K552">
            <v>1680</v>
          </cell>
          <cell r="N552">
            <v>46058</v>
          </cell>
        </row>
        <row r="553">
          <cell r="D553" t="str">
            <v>BRIA BEAUTY</v>
          </cell>
          <cell r="E553" t="str">
            <v>BBSJBS03</v>
          </cell>
          <cell r="K553">
            <v>432</v>
          </cell>
          <cell r="N553">
            <v>46058</v>
          </cell>
        </row>
        <row r="554">
          <cell r="D554" t="str">
            <v>BRIA BEAUTY</v>
          </cell>
          <cell r="E554" t="str">
            <v>BBSJBS03</v>
          </cell>
          <cell r="K554">
            <v>1296</v>
          </cell>
          <cell r="N554">
            <v>46059</v>
          </cell>
        </row>
        <row r="555">
          <cell r="D555" t="str">
            <v>BRIA BEAUTY</v>
          </cell>
          <cell r="E555" t="str">
            <v>BBSJBS03</v>
          </cell>
          <cell r="K555">
            <v>1680</v>
          </cell>
          <cell r="N555">
            <v>46059</v>
          </cell>
        </row>
        <row r="556">
          <cell r="D556" t="str">
            <v>BRIA BEAUTY</v>
          </cell>
          <cell r="E556" t="str">
            <v>BBSJBS03</v>
          </cell>
          <cell r="K556">
            <v>1680</v>
          </cell>
          <cell r="N556">
            <v>46059</v>
          </cell>
        </row>
        <row r="557">
          <cell r="D557" t="str">
            <v>BRIA BEAUTY</v>
          </cell>
          <cell r="E557" t="str">
            <v>BBSJBS02</v>
          </cell>
          <cell r="K557">
            <v>20</v>
          </cell>
          <cell r="N557">
            <v>46059</v>
          </cell>
        </row>
        <row r="558">
          <cell r="D558" t="str">
            <v>BRIA BEAUTY</v>
          </cell>
          <cell r="E558" t="str">
            <v>BBSJBS02</v>
          </cell>
          <cell r="K558">
            <v>1296</v>
          </cell>
          <cell r="N558">
            <v>46059</v>
          </cell>
        </row>
        <row r="559">
          <cell r="D559" t="str">
            <v>BRIA BEAUTY</v>
          </cell>
          <cell r="E559" t="str">
            <v>BBSJBS02</v>
          </cell>
          <cell r="K559">
            <v>1680</v>
          </cell>
          <cell r="N559">
            <v>46059</v>
          </cell>
        </row>
        <row r="560">
          <cell r="D560" t="str">
            <v>BRIA BEAUTY</v>
          </cell>
          <cell r="E560" t="str">
            <v>BBSJBS02</v>
          </cell>
          <cell r="K560">
            <v>1680</v>
          </cell>
          <cell r="N560">
            <v>46059</v>
          </cell>
        </row>
        <row r="561">
          <cell r="D561" t="str">
            <v>BRIA BEAUTY</v>
          </cell>
          <cell r="E561" t="str">
            <v>BBSJBS03</v>
          </cell>
          <cell r="K561">
            <v>1344</v>
          </cell>
          <cell r="N561">
            <v>46062</v>
          </cell>
        </row>
        <row r="562">
          <cell r="D562" t="str">
            <v>BRIA BEAUTY</v>
          </cell>
          <cell r="E562" t="str">
            <v>BBSJBS03</v>
          </cell>
          <cell r="K562">
            <v>1680</v>
          </cell>
          <cell r="N562">
            <v>46062</v>
          </cell>
        </row>
        <row r="563">
          <cell r="D563" t="str">
            <v>BRIA BEAUTY</v>
          </cell>
          <cell r="E563" t="str">
            <v>BBSJBS03</v>
          </cell>
          <cell r="K563">
            <v>1680</v>
          </cell>
          <cell r="N563">
            <v>46062</v>
          </cell>
        </row>
        <row r="564">
          <cell r="D564" t="str">
            <v>MISS RÔSE</v>
          </cell>
          <cell r="E564" t="str">
            <v>MRARBS03</v>
          </cell>
          <cell r="K564">
            <v>960</v>
          </cell>
          <cell r="N564">
            <v>46063</v>
          </cell>
        </row>
        <row r="565">
          <cell r="D565" t="str">
            <v>MISS RÔSE</v>
          </cell>
          <cell r="E565" t="str">
            <v>MRARBS03</v>
          </cell>
          <cell r="K565">
            <v>2400</v>
          </cell>
          <cell r="N565">
            <v>46063</v>
          </cell>
        </row>
        <row r="566">
          <cell r="D566" t="str">
            <v>MISS RÔSE</v>
          </cell>
          <cell r="E566" t="str">
            <v>MRARBS02</v>
          </cell>
          <cell r="K566">
            <v>2640</v>
          </cell>
          <cell r="N566">
            <v>46064</v>
          </cell>
        </row>
        <row r="567">
          <cell r="D567" t="str">
            <v>MISS RÔSE</v>
          </cell>
          <cell r="E567" t="str">
            <v>MRARBS02</v>
          </cell>
          <cell r="K567">
            <v>31</v>
          </cell>
          <cell r="N567">
            <v>46064</v>
          </cell>
        </row>
        <row r="568">
          <cell r="D568" t="str">
            <v>MISS RÔSE</v>
          </cell>
          <cell r="E568" t="str">
            <v>MRARBS02</v>
          </cell>
          <cell r="K568">
            <v>240</v>
          </cell>
          <cell r="N568">
            <v>46064</v>
          </cell>
        </row>
        <row r="569">
          <cell r="D569" t="str">
            <v>MISS RÔSE</v>
          </cell>
          <cell r="E569" t="str">
            <v>MRARBS02</v>
          </cell>
          <cell r="K569">
            <v>26</v>
          </cell>
          <cell r="N569">
            <v>46064</v>
          </cell>
        </row>
        <row r="570">
          <cell r="D570" t="str">
            <v>MISS RÔSE</v>
          </cell>
          <cell r="E570" t="str">
            <v>MRARBS02</v>
          </cell>
          <cell r="K570">
            <v>2352</v>
          </cell>
          <cell r="N570">
            <v>46064</v>
          </cell>
        </row>
        <row r="571">
          <cell r="D571" t="str">
            <v>MISS RÔSE</v>
          </cell>
          <cell r="E571" t="str">
            <v>MRARBS02</v>
          </cell>
          <cell r="K571">
            <v>37</v>
          </cell>
          <cell r="N571">
            <v>46064</v>
          </cell>
        </row>
        <row r="572">
          <cell r="D572" t="str">
            <v>MISS RÔSE</v>
          </cell>
          <cell r="E572" t="str">
            <v>MRARBS02</v>
          </cell>
          <cell r="K572">
            <v>2592</v>
          </cell>
          <cell r="N572">
            <v>46064</v>
          </cell>
        </row>
        <row r="573">
          <cell r="D573" t="str">
            <v>MISS RÔSE</v>
          </cell>
          <cell r="E573" t="str">
            <v>MRARBS02</v>
          </cell>
          <cell r="K573">
            <v>29</v>
          </cell>
          <cell r="N573">
            <v>46064</v>
          </cell>
        </row>
        <row r="574">
          <cell r="D574" t="str">
            <v>MISS RÔSE</v>
          </cell>
          <cell r="E574" t="str">
            <v>MRARBS02</v>
          </cell>
          <cell r="K574">
            <v>2256</v>
          </cell>
          <cell r="N574">
            <v>46064</v>
          </cell>
        </row>
        <row r="575">
          <cell r="D575" t="str">
            <v>KURYOS</v>
          </cell>
          <cell r="E575" t="str">
            <v xml:space="preserve"> KUBPBA02 - 2</v>
          </cell>
          <cell r="K575">
            <v>12</v>
          </cell>
          <cell r="N575">
            <v>46064</v>
          </cell>
        </row>
        <row r="576">
          <cell r="D576" t="str">
            <v>KURYOS</v>
          </cell>
          <cell r="E576" t="str">
            <v xml:space="preserve"> KUBPBA02 - 2</v>
          </cell>
          <cell r="K576">
            <v>1000</v>
          </cell>
          <cell r="N576">
            <v>46064</v>
          </cell>
        </row>
        <row r="577">
          <cell r="D577" t="str">
            <v>KURYOS</v>
          </cell>
          <cell r="E577" t="str">
            <v>KUBPBA02</v>
          </cell>
          <cell r="K577">
            <v>4</v>
          </cell>
          <cell r="N577">
            <v>46064</v>
          </cell>
        </row>
        <row r="578">
          <cell r="D578" t="str">
            <v>KURYOS</v>
          </cell>
          <cell r="E578" t="str">
            <v>KUBPBA02</v>
          </cell>
          <cell r="K578">
            <v>525</v>
          </cell>
          <cell r="N578">
            <v>46064</v>
          </cell>
        </row>
        <row r="579">
          <cell r="D579" t="str">
            <v>KURYOS</v>
          </cell>
          <cell r="E579" t="str">
            <v>KUBPBA02</v>
          </cell>
          <cell r="K579">
            <v>4</v>
          </cell>
          <cell r="N579">
            <v>46064</v>
          </cell>
        </row>
        <row r="580">
          <cell r="D580" t="str">
            <v>KURYOS</v>
          </cell>
          <cell r="E580" t="str">
            <v>KUBPBA02</v>
          </cell>
          <cell r="K580">
            <v>435</v>
          </cell>
          <cell r="N580">
            <v>46064</v>
          </cell>
        </row>
        <row r="581">
          <cell r="D581" t="str">
            <v>KURYOS</v>
          </cell>
          <cell r="E581" t="str">
            <v>KUBPBA02</v>
          </cell>
          <cell r="K581">
            <v>7</v>
          </cell>
          <cell r="N581">
            <v>46064</v>
          </cell>
        </row>
        <row r="582">
          <cell r="D582" t="str">
            <v>KURYOS</v>
          </cell>
          <cell r="E582" t="str">
            <v>KUBPBA02</v>
          </cell>
          <cell r="K582">
            <v>570</v>
          </cell>
          <cell r="N582">
            <v>46064</v>
          </cell>
        </row>
        <row r="583">
          <cell r="D583" t="str">
            <v>KURYOS</v>
          </cell>
          <cell r="E583" t="str">
            <v>KUBPBA01</v>
          </cell>
          <cell r="K583">
            <v>7</v>
          </cell>
          <cell r="N583">
            <v>46065</v>
          </cell>
        </row>
        <row r="584">
          <cell r="D584" t="str">
            <v>KURYOS</v>
          </cell>
          <cell r="E584" t="str">
            <v>KUBPBA01</v>
          </cell>
          <cell r="K584">
            <v>315</v>
          </cell>
          <cell r="N584">
            <v>46065</v>
          </cell>
        </row>
        <row r="585">
          <cell r="D585" t="str">
            <v>MISS RÔSE</v>
          </cell>
          <cell r="E585" t="str">
            <v>MRARBS03</v>
          </cell>
          <cell r="K585">
            <v>7</v>
          </cell>
          <cell r="N585">
            <v>46071</v>
          </cell>
        </row>
        <row r="586">
          <cell r="D586" t="str">
            <v>MISS RÔSE</v>
          </cell>
          <cell r="E586" t="str">
            <v>MRARBS03</v>
          </cell>
          <cell r="K586">
            <v>912</v>
          </cell>
          <cell r="N586">
            <v>46071</v>
          </cell>
        </row>
        <row r="587">
          <cell r="D587" t="str">
            <v>MISS RÔSE</v>
          </cell>
          <cell r="E587" t="str">
            <v>MRARBS03</v>
          </cell>
          <cell r="K587">
            <v>2352</v>
          </cell>
          <cell r="N587">
            <v>46071</v>
          </cell>
        </row>
        <row r="588">
          <cell r="D588" t="str">
            <v>MISS RÔSE</v>
          </cell>
          <cell r="E588" t="str">
            <v>MRARBS02</v>
          </cell>
          <cell r="K588">
            <v>2544</v>
          </cell>
          <cell r="N588">
            <v>46073</v>
          </cell>
        </row>
        <row r="589">
          <cell r="D589" t="str">
            <v>MISS RÔSE</v>
          </cell>
          <cell r="E589" t="str">
            <v>MRARBS02</v>
          </cell>
          <cell r="K589">
            <v>4</v>
          </cell>
          <cell r="N589">
            <v>46073</v>
          </cell>
        </row>
        <row r="590">
          <cell r="D590" t="str">
            <v>MISS RÔSE</v>
          </cell>
          <cell r="E590" t="str">
            <v>MRARBS02</v>
          </cell>
          <cell r="K590">
            <v>2448</v>
          </cell>
          <cell r="N590">
            <v>46073</v>
          </cell>
        </row>
        <row r="591">
          <cell r="D591" t="str">
            <v>MISS RÔSE</v>
          </cell>
          <cell r="E591" t="str">
            <v>MRARBS02</v>
          </cell>
          <cell r="K591">
            <v>29</v>
          </cell>
          <cell r="N591">
            <v>46073</v>
          </cell>
        </row>
        <row r="592">
          <cell r="D592" t="str">
            <v>MISS RÔSE</v>
          </cell>
          <cell r="E592" t="str">
            <v>MRARBS02</v>
          </cell>
          <cell r="K592">
            <v>192</v>
          </cell>
          <cell r="N592">
            <v>46073</v>
          </cell>
        </row>
        <row r="593">
          <cell r="D593" t="str">
            <v xml:space="preserve">GLOW </v>
          </cell>
          <cell r="E593" t="str">
            <v>GLMKAM05</v>
          </cell>
          <cell r="K593">
            <v>16</v>
          </cell>
          <cell r="N593">
            <v>46064</v>
          </cell>
        </row>
        <row r="594">
          <cell r="D594" t="str">
            <v xml:space="preserve">GLOW </v>
          </cell>
          <cell r="E594" t="str">
            <v>GLMKAM05</v>
          </cell>
          <cell r="K594">
            <v>1536</v>
          </cell>
          <cell r="N594">
            <v>46064</v>
          </cell>
        </row>
        <row r="595">
          <cell r="D595" t="str">
            <v xml:space="preserve">GLOW </v>
          </cell>
          <cell r="E595" t="str">
            <v>GLMKAM05</v>
          </cell>
          <cell r="K595">
            <v>33</v>
          </cell>
          <cell r="N595">
            <v>46064</v>
          </cell>
        </row>
        <row r="596">
          <cell r="D596" t="str">
            <v xml:space="preserve">GLOW </v>
          </cell>
          <cell r="E596" t="str">
            <v>GLMKAM05</v>
          </cell>
          <cell r="K596">
            <v>1824</v>
          </cell>
          <cell r="N596">
            <v>46064</v>
          </cell>
        </row>
        <row r="597">
          <cell r="D597" t="str">
            <v xml:space="preserve">GLOW </v>
          </cell>
          <cell r="E597" t="str">
            <v>GLMKAM06</v>
          </cell>
          <cell r="K597">
            <v>16</v>
          </cell>
          <cell r="N597">
            <v>46064</v>
          </cell>
        </row>
        <row r="598">
          <cell r="D598" t="str">
            <v xml:space="preserve">GLOW </v>
          </cell>
          <cell r="E598" t="str">
            <v>GLMKAM06</v>
          </cell>
          <cell r="K598">
            <v>1728</v>
          </cell>
          <cell r="N598">
            <v>46064</v>
          </cell>
        </row>
        <row r="599">
          <cell r="D599" t="str">
            <v xml:space="preserve">GLOW </v>
          </cell>
          <cell r="E599" t="str">
            <v>GLMKAM06</v>
          </cell>
          <cell r="K599">
            <v>36</v>
          </cell>
          <cell r="N599">
            <v>46065</v>
          </cell>
        </row>
        <row r="600">
          <cell r="D600" t="str">
            <v xml:space="preserve">GLOW </v>
          </cell>
          <cell r="E600" t="str">
            <v>GLMKAM06</v>
          </cell>
          <cell r="K600">
            <v>1728</v>
          </cell>
          <cell r="N600">
            <v>46065</v>
          </cell>
        </row>
        <row r="601">
          <cell r="D601" t="str">
            <v xml:space="preserve">GLOW </v>
          </cell>
          <cell r="E601" t="str">
            <v>GLMKAM06</v>
          </cell>
          <cell r="K601">
            <v>1776</v>
          </cell>
          <cell r="N601">
            <v>46065</v>
          </cell>
        </row>
        <row r="602">
          <cell r="D602" t="str">
            <v xml:space="preserve">GLOW </v>
          </cell>
          <cell r="E602" t="str">
            <v>GLMKAM06</v>
          </cell>
          <cell r="K602">
            <v>1632</v>
          </cell>
          <cell r="N602">
            <v>46065</v>
          </cell>
        </row>
        <row r="603">
          <cell r="D603" t="str">
            <v xml:space="preserve">GLOW </v>
          </cell>
          <cell r="E603" t="str">
            <v>GLMKAM06</v>
          </cell>
          <cell r="K603">
            <v>32</v>
          </cell>
          <cell r="N603">
            <v>46065</v>
          </cell>
        </row>
        <row r="604">
          <cell r="D604" t="str">
            <v xml:space="preserve">GLOW </v>
          </cell>
          <cell r="E604" t="str">
            <v>GLMKAM06</v>
          </cell>
          <cell r="K604">
            <v>912</v>
          </cell>
          <cell r="N604">
            <v>46065</v>
          </cell>
        </row>
        <row r="605">
          <cell r="D605" t="str">
            <v xml:space="preserve">GLOW </v>
          </cell>
          <cell r="E605" t="str">
            <v>GLMKAM03</v>
          </cell>
          <cell r="K605">
            <v>18</v>
          </cell>
          <cell r="N605">
            <v>46065</v>
          </cell>
        </row>
        <row r="606">
          <cell r="D606" t="str">
            <v xml:space="preserve">GLOW </v>
          </cell>
          <cell r="E606" t="str">
            <v>GLMKAM03</v>
          </cell>
          <cell r="K606">
            <v>1680</v>
          </cell>
          <cell r="N606">
            <v>46065</v>
          </cell>
        </row>
        <row r="607">
          <cell r="D607" t="str">
            <v xml:space="preserve">GLOW </v>
          </cell>
          <cell r="E607" t="str">
            <v>GLMKAM03</v>
          </cell>
          <cell r="K607">
            <v>34</v>
          </cell>
          <cell r="N607">
            <v>46065</v>
          </cell>
        </row>
        <row r="608">
          <cell r="D608" t="str">
            <v xml:space="preserve">GLOW </v>
          </cell>
          <cell r="E608" t="str">
            <v>GLMKAM03</v>
          </cell>
          <cell r="K608">
            <v>1584</v>
          </cell>
          <cell r="N608">
            <v>46065</v>
          </cell>
        </row>
        <row r="609">
          <cell r="D609" t="str">
            <v xml:space="preserve">GLOW </v>
          </cell>
          <cell r="E609" t="str">
            <v>GLMKAM03</v>
          </cell>
          <cell r="K609">
            <v>1584</v>
          </cell>
          <cell r="N609">
            <v>46066</v>
          </cell>
        </row>
        <row r="610">
          <cell r="D610" t="str">
            <v xml:space="preserve">GLOW </v>
          </cell>
          <cell r="E610" t="str">
            <v>GLMKAM03</v>
          </cell>
          <cell r="K610">
            <v>40</v>
          </cell>
          <cell r="N610">
            <v>46066</v>
          </cell>
        </row>
        <row r="611">
          <cell r="D611" t="str">
            <v xml:space="preserve">GLOW </v>
          </cell>
          <cell r="E611" t="str">
            <v>GLMKAM03</v>
          </cell>
          <cell r="K611">
            <v>1584</v>
          </cell>
          <cell r="N611">
            <v>46066</v>
          </cell>
        </row>
        <row r="612">
          <cell r="D612" t="str">
            <v xml:space="preserve">GLOW </v>
          </cell>
          <cell r="E612" t="str">
            <v>GLMKAM03</v>
          </cell>
          <cell r="K612">
            <v>34</v>
          </cell>
          <cell r="N612">
            <v>46066</v>
          </cell>
        </row>
        <row r="613">
          <cell r="D613" t="str">
            <v xml:space="preserve">GLOW </v>
          </cell>
          <cell r="E613" t="str">
            <v>GLMKAM03</v>
          </cell>
          <cell r="K613">
            <v>1584</v>
          </cell>
          <cell r="N613">
            <v>46066</v>
          </cell>
        </row>
        <row r="614">
          <cell r="D614" t="str">
            <v xml:space="preserve">GLOW </v>
          </cell>
          <cell r="E614" t="str">
            <v>GLMKAM03</v>
          </cell>
          <cell r="K614">
            <v>18</v>
          </cell>
          <cell r="N614">
            <v>46066</v>
          </cell>
        </row>
        <row r="615">
          <cell r="D615" t="str">
            <v xml:space="preserve">GLOW </v>
          </cell>
          <cell r="E615" t="str">
            <v>GLMKAM03</v>
          </cell>
          <cell r="K615">
            <v>1824</v>
          </cell>
          <cell r="N615">
            <v>46066</v>
          </cell>
        </row>
        <row r="616">
          <cell r="D616" t="str">
            <v xml:space="preserve">GLOW </v>
          </cell>
          <cell r="E616" t="str">
            <v>GLMKAM03</v>
          </cell>
          <cell r="K616">
            <v>33</v>
          </cell>
          <cell r="N616">
            <v>46071</v>
          </cell>
        </row>
        <row r="617">
          <cell r="D617" t="str">
            <v xml:space="preserve">GLOW </v>
          </cell>
          <cell r="E617" t="str">
            <v>GLMKAM03</v>
          </cell>
          <cell r="K617">
            <v>1824</v>
          </cell>
          <cell r="N617">
            <v>46071</v>
          </cell>
        </row>
        <row r="618">
          <cell r="D618" t="str">
            <v xml:space="preserve">GLOW </v>
          </cell>
          <cell r="E618" t="str">
            <v>GLMKAM03</v>
          </cell>
          <cell r="K618">
            <v>41</v>
          </cell>
          <cell r="N618">
            <v>46071</v>
          </cell>
        </row>
        <row r="619">
          <cell r="D619" t="str">
            <v xml:space="preserve">GLOW </v>
          </cell>
          <cell r="E619" t="str">
            <v>GLMKAM03</v>
          </cell>
          <cell r="K619">
            <v>1392</v>
          </cell>
          <cell r="N619">
            <v>46071</v>
          </cell>
        </row>
        <row r="620">
          <cell r="D620" t="str">
            <v xml:space="preserve">GLOW </v>
          </cell>
          <cell r="E620" t="str">
            <v>GLMKAM04</v>
          </cell>
          <cell r="K620">
            <v>30</v>
          </cell>
          <cell r="N620">
            <v>46071</v>
          </cell>
        </row>
        <row r="621">
          <cell r="D621" t="str">
            <v xml:space="preserve">GLOW </v>
          </cell>
          <cell r="E621" t="str">
            <v>GLMKAM04</v>
          </cell>
          <cell r="K621">
            <v>1104</v>
          </cell>
          <cell r="N621">
            <v>46071</v>
          </cell>
        </row>
        <row r="622">
          <cell r="D622" t="str">
            <v xml:space="preserve">GLOW </v>
          </cell>
          <cell r="E622" t="str">
            <v>GLMKAM03</v>
          </cell>
          <cell r="K622">
            <v>1632</v>
          </cell>
          <cell r="N622">
            <v>46071</v>
          </cell>
        </row>
        <row r="623">
          <cell r="D623" t="str">
            <v xml:space="preserve">GLOW </v>
          </cell>
          <cell r="E623" t="str">
            <v>GLMKAM04</v>
          </cell>
          <cell r="K623">
            <v>14</v>
          </cell>
          <cell r="N623">
            <v>46072</v>
          </cell>
        </row>
        <row r="624">
          <cell r="D624" t="str">
            <v xml:space="preserve">GLOW </v>
          </cell>
          <cell r="E624" t="str">
            <v>GLMKAM04</v>
          </cell>
          <cell r="K624">
            <v>1536</v>
          </cell>
          <cell r="N624">
            <v>46072</v>
          </cell>
        </row>
        <row r="625">
          <cell r="D625" t="str">
            <v xml:space="preserve">GLOW </v>
          </cell>
          <cell r="E625" t="str">
            <v>GLMKAM02</v>
          </cell>
          <cell r="K625">
            <v>1632</v>
          </cell>
          <cell r="N625">
            <v>46072</v>
          </cell>
        </row>
        <row r="626">
          <cell r="D626" t="str">
            <v xml:space="preserve">GLOW </v>
          </cell>
          <cell r="E626" t="str">
            <v>GLMKAM02</v>
          </cell>
          <cell r="K626">
            <v>33</v>
          </cell>
          <cell r="N626">
            <v>46072</v>
          </cell>
        </row>
        <row r="627">
          <cell r="D627" t="str">
            <v xml:space="preserve">GLOW </v>
          </cell>
          <cell r="E627" t="str">
            <v>GLMKAM02</v>
          </cell>
          <cell r="K627">
            <v>1632</v>
          </cell>
          <cell r="N627">
            <v>46072</v>
          </cell>
        </row>
        <row r="628">
          <cell r="D628" t="str">
            <v xml:space="preserve">GLOW </v>
          </cell>
          <cell r="E628" t="str">
            <v>GLMKAM02</v>
          </cell>
          <cell r="K628">
            <v>1680</v>
          </cell>
          <cell r="N628">
            <v>46072</v>
          </cell>
        </row>
        <row r="629">
          <cell r="D629" t="str">
            <v xml:space="preserve">GLOW </v>
          </cell>
          <cell r="E629" t="str">
            <v>GLMKAM02</v>
          </cell>
          <cell r="K629">
            <v>1680</v>
          </cell>
          <cell r="N629">
            <v>46072</v>
          </cell>
        </row>
        <row r="630">
          <cell r="D630" t="str">
            <v xml:space="preserve">GLOW </v>
          </cell>
          <cell r="E630" t="str">
            <v>GLMKAM02</v>
          </cell>
          <cell r="K630">
            <v>1824</v>
          </cell>
          <cell r="N630">
            <v>46072</v>
          </cell>
        </row>
        <row r="631">
          <cell r="D631" t="str">
            <v xml:space="preserve">GLOW </v>
          </cell>
          <cell r="E631" t="str">
            <v>GLMKAM02</v>
          </cell>
          <cell r="K631">
            <v>1776</v>
          </cell>
          <cell r="N631">
            <v>46072</v>
          </cell>
        </row>
        <row r="632">
          <cell r="D632" t="str">
            <v xml:space="preserve">GLOW </v>
          </cell>
          <cell r="E632" t="str">
            <v>GLMKAM02</v>
          </cell>
          <cell r="K632">
            <v>1776</v>
          </cell>
          <cell r="N632">
            <v>46072</v>
          </cell>
        </row>
        <row r="633">
          <cell r="D633" t="str">
            <v xml:space="preserve">GLOW </v>
          </cell>
          <cell r="E633" t="str">
            <v>GLMKAM05</v>
          </cell>
          <cell r="K633">
            <v>1680</v>
          </cell>
          <cell r="N633">
            <v>46072</v>
          </cell>
        </row>
        <row r="634">
          <cell r="D634" t="str">
            <v xml:space="preserve">GLOW </v>
          </cell>
          <cell r="E634" t="str">
            <v>GLMKAM02</v>
          </cell>
          <cell r="K634">
            <v>1776</v>
          </cell>
          <cell r="N634">
            <v>46072</v>
          </cell>
        </row>
        <row r="635">
          <cell r="D635" t="str">
            <v xml:space="preserve">GLOW </v>
          </cell>
          <cell r="E635" t="str">
            <v>GLMKAM05</v>
          </cell>
          <cell r="K635">
            <v>1728</v>
          </cell>
          <cell r="N635">
            <v>46073</v>
          </cell>
        </row>
        <row r="636">
          <cell r="D636" t="str">
            <v xml:space="preserve">GLOW </v>
          </cell>
          <cell r="E636" t="str">
            <v>GLMKAM05</v>
          </cell>
          <cell r="K636">
            <v>1680</v>
          </cell>
          <cell r="N636">
            <v>46073</v>
          </cell>
        </row>
        <row r="637">
          <cell r="D637" t="str">
            <v xml:space="preserve">GLOW </v>
          </cell>
          <cell r="E637" t="str">
            <v>GLMKAM02</v>
          </cell>
          <cell r="K637">
            <v>1008</v>
          </cell>
          <cell r="N637">
            <v>46073</v>
          </cell>
        </row>
        <row r="638">
          <cell r="D638" t="str">
            <v xml:space="preserve">GLOW </v>
          </cell>
          <cell r="E638" t="str">
            <v>GLMKAM06</v>
          </cell>
          <cell r="K638">
            <v>1632</v>
          </cell>
          <cell r="N638">
            <v>46073</v>
          </cell>
        </row>
        <row r="639">
          <cell r="D639" t="str">
            <v xml:space="preserve">GLOW </v>
          </cell>
          <cell r="E639" t="str">
            <v>GLMKAM05</v>
          </cell>
          <cell r="K639">
            <v>1680</v>
          </cell>
          <cell r="N639">
            <v>46073</v>
          </cell>
        </row>
        <row r="640">
          <cell r="D640" t="str">
            <v xml:space="preserve">GLOW </v>
          </cell>
          <cell r="E640" t="str">
            <v>GLMKAM05</v>
          </cell>
          <cell r="K640">
            <v>1728</v>
          </cell>
          <cell r="N640">
            <v>46073</v>
          </cell>
        </row>
        <row r="641">
          <cell r="D641" t="str">
            <v xml:space="preserve">GLOW </v>
          </cell>
          <cell r="E641" t="str">
            <v>GLMKAM05</v>
          </cell>
          <cell r="K641">
            <v>1680</v>
          </cell>
          <cell r="N641">
            <v>46076</v>
          </cell>
        </row>
        <row r="642">
          <cell r="D642" t="str">
            <v xml:space="preserve">GLOW </v>
          </cell>
          <cell r="E642" t="str">
            <v>GLMKAM06</v>
          </cell>
          <cell r="K642">
            <v>672</v>
          </cell>
          <cell r="N642">
            <v>46076</v>
          </cell>
        </row>
        <row r="643">
          <cell r="D643" t="str">
            <v xml:space="preserve">GLOW </v>
          </cell>
          <cell r="E643" t="str">
            <v>GLMKAM06</v>
          </cell>
          <cell r="K643">
            <v>1584</v>
          </cell>
          <cell r="N643">
            <v>46076</v>
          </cell>
        </row>
        <row r="644">
          <cell r="D644" t="str">
            <v xml:space="preserve">GLOW </v>
          </cell>
          <cell r="E644" t="str">
            <v>GLMKAM06</v>
          </cell>
          <cell r="K644">
            <v>9</v>
          </cell>
          <cell r="N644">
            <v>46076</v>
          </cell>
        </row>
        <row r="645">
          <cell r="D645" t="str">
            <v xml:space="preserve">GLOW </v>
          </cell>
          <cell r="E645" t="str">
            <v>GLMKAM06</v>
          </cell>
          <cell r="K645">
            <v>1632</v>
          </cell>
          <cell r="N645">
            <v>46076</v>
          </cell>
        </row>
        <row r="646">
          <cell r="D646" t="str">
            <v xml:space="preserve">GLOW </v>
          </cell>
          <cell r="E646" t="str">
            <v>GLMKAM05</v>
          </cell>
          <cell r="K646">
            <v>9</v>
          </cell>
          <cell r="N646">
            <v>46076</v>
          </cell>
        </row>
        <row r="647">
          <cell r="D647" t="str">
            <v xml:space="preserve">GLOW </v>
          </cell>
          <cell r="E647" t="str">
            <v>GLMKAM05</v>
          </cell>
          <cell r="K647">
            <v>1488</v>
          </cell>
          <cell r="N647">
            <v>46076</v>
          </cell>
        </row>
        <row r="648">
          <cell r="D648" t="str">
            <v xml:space="preserve">GLOW </v>
          </cell>
          <cell r="E648" t="str">
            <v>GLMKAM04</v>
          </cell>
          <cell r="K648">
            <v>1680</v>
          </cell>
          <cell r="N648">
            <v>46076</v>
          </cell>
        </row>
        <row r="649">
          <cell r="D649" t="str">
            <v xml:space="preserve">GLOW </v>
          </cell>
          <cell r="E649" t="str">
            <v>GLMKAM04</v>
          </cell>
          <cell r="K649">
            <v>1776</v>
          </cell>
          <cell r="N649">
            <v>46076</v>
          </cell>
        </row>
        <row r="650">
          <cell r="D650" t="str">
            <v xml:space="preserve">GLOW </v>
          </cell>
          <cell r="E650" t="str">
            <v>GLMKAM04</v>
          </cell>
          <cell r="K650">
            <v>24</v>
          </cell>
          <cell r="N650">
            <v>46077</v>
          </cell>
        </row>
        <row r="651">
          <cell r="D651" t="str">
            <v xml:space="preserve">GLOW </v>
          </cell>
          <cell r="E651" t="str">
            <v>GLMKAM04</v>
          </cell>
          <cell r="K651">
            <v>1632</v>
          </cell>
          <cell r="N651">
            <v>46077</v>
          </cell>
        </row>
        <row r="652">
          <cell r="D652" t="str">
            <v xml:space="preserve">GLOW </v>
          </cell>
          <cell r="E652" t="str">
            <v>GLMKAM04</v>
          </cell>
          <cell r="K652">
            <v>1728</v>
          </cell>
          <cell r="N652">
            <v>46077</v>
          </cell>
        </row>
        <row r="653">
          <cell r="D653" t="str">
            <v xml:space="preserve">GLOW </v>
          </cell>
          <cell r="E653" t="str">
            <v>GLMKAM04</v>
          </cell>
          <cell r="K653">
            <v>1680</v>
          </cell>
          <cell r="N653">
            <v>46077</v>
          </cell>
        </row>
        <row r="654">
          <cell r="D654" t="str">
            <v xml:space="preserve">GLOW </v>
          </cell>
          <cell r="E654" t="str">
            <v>GLMKAM04</v>
          </cell>
          <cell r="K654">
            <v>1872</v>
          </cell>
          <cell r="N654">
            <v>46077</v>
          </cell>
        </row>
        <row r="655">
          <cell r="D655" t="str">
            <v xml:space="preserve">GLOW </v>
          </cell>
          <cell r="E655" t="str">
            <v>GLMKAM05</v>
          </cell>
          <cell r="K655">
            <v>36</v>
          </cell>
          <cell r="N655">
            <v>46078</v>
          </cell>
        </row>
        <row r="656">
          <cell r="D656" t="str">
            <v xml:space="preserve">GLOW </v>
          </cell>
          <cell r="E656" t="str">
            <v>GLMKAM05</v>
          </cell>
          <cell r="K656">
            <v>96</v>
          </cell>
          <cell r="N656">
            <v>46078</v>
          </cell>
        </row>
        <row r="657">
          <cell r="D657" t="str">
            <v xml:space="preserve">GLOW </v>
          </cell>
          <cell r="E657" t="str">
            <v>GLMKAM04</v>
          </cell>
          <cell r="K657">
            <v>1776</v>
          </cell>
          <cell r="N657">
            <v>46078</v>
          </cell>
        </row>
        <row r="658">
          <cell r="D658" t="str">
            <v xml:space="preserve">GLOW </v>
          </cell>
          <cell r="E658" t="str">
            <v>GLMKAM06</v>
          </cell>
          <cell r="K658">
            <v>4</v>
          </cell>
          <cell r="N658">
            <v>46078</v>
          </cell>
        </row>
        <row r="659">
          <cell r="D659" t="str">
            <v xml:space="preserve">GLOW </v>
          </cell>
          <cell r="E659" t="str">
            <v>GLMKAM06</v>
          </cell>
          <cell r="K659">
            <v>144</v>
          </cell>
          <cell r="N659">
            <v>46078</v>
          </cell>
        </row>
        <row r="660">
          <cell r="D660" t="str">
            <v>BRIA BEAUTY</v>
          </cell>
          <cell r="E660" t="str">
            <v>BBSJPF02</v>
          </cell>
          <cell r="K660">
            <v>7560</v>
          </cell>
          <cell r="N660">
            <v>46038</v>
          </cell>
        </row>
        <row r="661">
          <cell r="D661" t="str">
            <v>BRIA BEAUTY</v>
          </cell>
          <cell r="E661" t="str">
            <v>BBSJPF03</v>
          </cell>
          <cell r="K661">
            <v>7560</v>
          </cell>
          <cell r="N661">
            <v>46038</v>
          </cell>
        </row>
        <row r="662">
          <cell r="D662" t="str">
            <v>BRIA BEAUTY</v>
          </cell>
          <cell r="E662" t="str">
            <v>BBSJPF03</v>
          </cell>
          <cell r="K662">
            <v>37</v>
          </cell>
          <cell r="N662">
            <v>46038</v>
          </cell>
        </row>
        <row r="663">
          <cell r="D663" t="str">
            <v>BRIA BEAUTY</v>
          </cell>
          <cell r="E663" t="str">
            <v>BBSJPF03</v>
          </cell>
          <cell r="K663">
            <v>7560</v>
          </cell>
          <cell r="N663">
            <v>46038</v>
          </cell>
        </row>
        <row r="664">
          <cell r="D664" t="str">
            <v>BRIA BEAUTY</v>
          </cell>
          <cell r="E664" t="str">
            <v>BBSJPF01</v>
          </cell>
          <cell r="K664">
            <v>7560</v>
          </cell>
          <cell r="N664">
            <v>46038</v>
          </cell>
        </row>
        <row r="665">
          <cell r="D665" t="str">
            <v>BRIA BEAUTY</v>
          </cell>
          <cell r="E665" t="str">
            <v>BBSJPF02</v>
          </cell>
          <cell r="K665">
            <v>7560</v>
          </cell>
          <cell r="N665">
            <v>46038</v>
          </cell>
        </row>
        <row r="666">
          <cell r="D666" t="str">
            <v>BRIA BEAUTY</v>
          </cell>
          <cell r="E666" t="str">
            <v>BBSJPF01</v>
          </cell>
          <cell r="K666">
            <v>7560</v>
          </cell>
          <cell r="N666">
            <v>46037</v>
          </cell>
        </row>
        <row r="667">
          <cell r="D667" t="str">
            <v>BRIA BEAUTY</v>
          </cell>
          <cell r="E667" t="str">
            <v>BBSJBS02-2</v>
          </cell>
          <cell r="K667">
            <v>800</v>
          </cell>
          <cell r="N667">
            <v>46036</v>
          </cell>
        </row>
        <row r="668">
          <cell r="D668" t="str">
            <v>BRIA BEAUTY</v>
          </cell>
          <cell r="E668" t="str">
            <v>BBSJBS02-2</v>
          </cell>
          <cell r="K668">
            <v>44</v>
          </cell>
          <cell r="N668">
            <v>46036</v>
          </cell>
        </row>
        <row r="669">
          <cell r="D669" t="str">
            <v>SAFIRA</v>
          </cell>
          <cell r="E669" t="str">
            <v>SASCES01</v>
          </cell>
          <cell r="K669">
            <v>5328</v>
          </cell>
          <cell r="N669">
            <v>46043</v>
          </cell>
        </row>
        <row r="670">
          <cell r="D670" t="str">
            <v>MISS RÔSE</v>
          </cell>
          <cell r="E670" t="str">
            <v>MRARBS11</v>
          </cell>
          <cell r="K670">
            <v>30</v>
          </cell>
          <cell r="N670">
            <v>46057</v>
          </cell>
        </row>
        <row r="671">
          <cell r="D671" t="str">
            <v>MISS RÔSE</v>
          </cell>
          <cell r="E671" t="str">
            <v>MRARBS11</v>
          </cell>
          <cell r="K671">
            <v>2544</v>
          </cell>
          <cell r="N671">
            <v>46056</v>
          </cell>
        </row>
        <row r="672">
          <cell r="D672" t="str">
            <v>MISS RÔSE</v>
          </cell>
          <cell r="E672" t="str">
            <v>MRARBS11</v>
          </cell>
          <cell r="K672">
            <v>2688</v>
          </cell>
          <cell r="N672">
            <v>46056</v>
          </cell>
        </row>
        <row r="673">
          <cell r="D673" t="str">
            <v>MISS RÔSE</v>
          </cell>
          <cell r="E673" t="str">
            <v>MRARBS11</v>
          </cell>
          <cell r="K673">
            <v>2592</v>
          </cell>
          <cell r="N673">
            <v>46057</v>
          </cell>
        </row>
        <row r="674">
          <cell r="D674" t="str">
            <v>MISS RÔSE</v>
          </cell>
          <cell r="E674" t="str">
            <v>MRARBS11</v>
          </cell>
          <cell r="K674">
            <v>2256</v>
          </cell>
          <cell r="N674">
            <v>46057</v>
          </cell>
        </row>
        <row r="675">
          <cell r="D675" t="str">
            <v>MISS RÔSE</v>
          </cell>
          <cell r="E675" t="str">
            <v>MRARBS09</v>
          </cell>
          <cell r="K675">
            <v>32</v>
          </cell>
          <cell r="N675">
            <v>46052</v>
          </cell>
        </row>
        <row r="676">
          <cell r="D676" t="str">
            <v>MISS RÔSE</v>
          </cell>
          <cell r="E676" t="str">
            <v>MRARBS09</v>
          </cell>
          <cell r="K676">
            <v>39</v>
          </cell>
          <cell r="N676">
            <v>46044</v>
          </cell>
        </row>
        <row r="677">
          <cell r="D677" t="str">
            <v>SAFIRA</v>
          </cell>
          <cell r="E677" t="str">
            <v>SASCDM02</v>
          </cell>
          <cell r="K677">
            <v>3216</v>
          </cell>
          <cell r="N677">
            <v>46041</v>
          </cell>
        </row>
        <row r="678">
          <cell r="D678" t="str">
            <v>SAFIRA</v>
          </cell>
          <cell r="E678" t="str">
            <v>SASCDM02</v>
          </cell>
          <cell r="K678">
            <v>4</v>
          </cell>
          <cell r="N678">
            <v>46044</v>
          </cell>
        </row>
        <row r="679">
          <cell r="D679" t="str">
            <v>SAFIRA</v>
          </cell>
          <cell r="E679" t="str">
            <v>SASCDM01</v>
          </cell>
          <cell r="K679">
            <v>4080</v>
          </cell>
          <cell r="N679">
            <v>46041</v>
          </cell>
        </row>
        <row r="680">
          <cell r="D680" t="str">
            <v>SAFIRA</v>
          </cell>
          <cell r="E680" t="str">
            <v>SASCDM01</v>
          </cell>
          <cell r="K680">
            <v>11</v>
          </cell>
          <cell r="N680">
            <v>46041</v>
          </cell>
        </row>
        <row r="681">
          <cell r="D681" t="str">
            <v>SAFIRA</v>
          </cell>
          <cell r="E681" t="str">
            <v>SASCGF02</v>
          </cell>
          <cell r="K681">
            <v>2688</v>
          </cell>
          <cell r="N681">
            <v>46041</v>
          </cell>
        </row>
        <row r="682">
          <cell r="D682" t="str">
            <v>SAFIRA</v>
          </cell>
          <cell r="E682" t="str">
            <v>SASCGF02</v>
          </cell>
          <cell r="K682">
            <v>42</v>
          </cell>
          <cell r="N682">
            <v>46041</v>
          </cell>
        </row>
        <row r="683">
          <cell r="D683" t="str">
            <v>SAFIRA</v>
          </cell>
          <cell r="E683" t="str">
            <v>SASCDM01</v>
          </cell>
          <cell r="K683">
            <v>2304</v>
          </cell>
          <cell r="N683">
            <v>46041</v>
          </cell>
        </row>
        <row r="684">
          <cell r="D684" t="str">
            <v>SAFIRA</v>
          </cell>
          <cell r="E684" t="str">
            <v>SASCDM01</v>
          </cell>
          <cell r="K684">
            <v>40</v>
          </cell>
          <cell r="N684">
            <v>46041</v>
          </cell>
        </row>
        <row r="685">
          <cell r="D685" t="str">
            <v>AMEERATI</v>
          </cell>
          <cell r="E685" t="str">
            <v>AMNCHD01</v>
          </cell>
          <cell r="K685">
            <v>840</v>
          </cell>
          <cell r="N685">
            <v>45999</v>
          </cell>
        </row>
        <row r="686">
          <cell r="D686" t="str">
            <v>FEBELLA BEAUTY</v>
          </cell>
          <cell r="E686" t="str">
            <v>FBBS0005</v>
          </cell>
          <cell r="K686">
            <v>35</v>
          </cell>
          <cell r="N686">
            <v>46168</v>
          </cell>
        </row>
        <row r="687">
          <cell r="D687" t="str">
            <v>FEBELLA BEAUTY</v>
          </cell>
          <cell r="E687" t="str">
            <v>FBBS0005</v>
          </cell>
          <cell r="K687">
            <v>1392</v>
          </cell>
          <cell r="N687">
            <v>46168</v>
          </cell>
        </row>
        <row r="688">
          <cell r="D688" t="str">
            <v>FEBELLA BEAUTY</v>
          </cell>
          <cell r="E688" t="str">
            <v>FBBS0005</v>
          </cell>
          <cell r="K688">
            <v>2352</v>
          </cell>
          <cell r="N688">
            <v>46168</v>
          </cell>
        </row>
        <row r="689">
          <cell r="D689" t="str">
            <v>FEBELLA BEAUTY</v>
          </cell>
          <cell r="E689" t="str">
            <v>FBBS0006</v>
          </cell>
          <cell r="K689">
            <v>1008</v>
          </cell>
          <cell r="N689">
            <v>46169</v>
          </cell>
        </row>
        <row r="690">
          <cell r="D690" t="str">
            <v>FEBELLA BEAUTY</v>
          </cell>
          <cell r="E690" t="str">
            <v>FBBS0006</v>
          </cell>
          <cell r="K690">
            <v>3360</v>
          </cell>
          <cell r="N690">
            <v>46169</v>
          </cell>
        </row>
        <row r="691">
          <cell r="D691" t="str">
            <v>FEBELLA BEAUTY</v>
          </cell>
          <cell r="E691" t="str">
            <v>FBBS0006</v>
          </cell>
          <cell r="K691">
            <v>21</v>
          </cell>
          <cell r="N691">
            <v>46169</v>
          </cell>
        </row>
        <row r="692">
          <cell r="D692" t="str">
            <v>FEBELLA BEAUTY</v>
          </cell>
          <cell r="E692" t="str">
            <v>FBBS0006</v>
          </cell>
          <cell r="K692">
            <v>1440</v>
          </cell>
          <cell r="N692">
            <v>46169</v>
          </cell>
        </row>
        <row r="693">
          <cell r="D693" t="str">
            <v>FEBELLA BEAUTY</v>
          </cell>
          <cell r="E693" t="str">
            <v>FBBS0006</v>
          </cell>
          <cell r="K693">
            <v>3360</v>
          </cell>
          <cell r="N693">
            <v>46169</v>
          </cell>
        </row>
        <row r="694">
          <cell r="D694" t="str">
            <v>FEBELLA BEAUTY</v>
          </cell>
          <cell r="E694" t="str">
            <v>FBBS0003</v>
          </cell>
          <cell r="K694">
            <v>38</v>
          </cell>
          <cell r="N694">
            <v>46162</v>
          </cell>
        </row>
        <row r="695">
          <cell r="D695" t="str">
            <v>FEBELLA BEAUTY</v>
          </cell>
          <cell r="E695" t="str">
            <v>FBBS0003</v>
          </cell>
          <cell r="K695">
            <v>2688</v>
          </cell>
          <cell r="N695">
            <v>46162</v>
          </cell>
        </row>
        <row r="696">
          <cell r="D696" t="str">
            <v>FEBELLA BEAUTY</v>
          </cell>
          <cell r="E696" t="str">
            <v>FBBS0003</v>
          </cell>
          <cell r="K696">
            <v>1824</v>
          </cell>
          <cell r="N696">
            <v>46162</v>
          </cell>
        </row>
        <row r="697">
          <cell r="D697" t="str">
            <v>FEBELLA BEAUTY</v>
          </cell>
          <cell r="E697" t="str">
            <v>FBBS0003</v>
          </cell>
          <cell r="K697">
            <v>45</v>
          </cell>
          <cell r="N697">
            <v>46163</v>
          </cell>
        </row>
        <row r="698">
          <cell r="D698" t="str">
            <v>FEBELLA BEAUTY</v>
          </cell>
          <cell r="E698" t="str">
            <v>FBBS0003</v>
          </cell>
          <cell r="K698">
            <v>1200</v>
          </cell>
          <cell r="N698">
            <v>46163</v>
          </cell>
        </row>
        <row r="699">
          <cell r="D699" t="str">
            <v>FEBELLA BEAUTY</v>
          </cell>
          <cell r="E699" t="str">
            <v>FBBS0003</v>
          </cell>
          <cell r="K699">
            <v>47</v>
          </cell>
          <cell r="N699">
            <v>46163</v>
          </cell>
        </row>
        <row r="700">
          <cell r="D700" t="str">
            <v>FEBELLA BEAUTY</v>
          </cell>
          <cell r="E700" t="str">
            <v>FBBS0003</v>
          </cell>
          <cell r="K700">
            <v>2352</v>
          </cell>
          <cell r="N700">
            <v>46163</v>
          </cell>
        </row>
        <row r="701">
          <cell r="D701" t="str">
            <v>FEBELLA BEAUTY</v>
          </cell>
          <cell r="E701" t="str">
            <v>FBBS0004</v>
          </cell>
          <cell r="K701">
            <v>1824</v>
          </cell>
          <cell r="N701">
            <v>46164</v>
          </cell>
        </row>
        <row r="702">
          <cell r="D702" t="str">
            <v>FEBELLA BEAUTY</v>
          </cell>
          <cell r="E702" t="str">
            <v>FBBS0004</v>
          </cell>
          <cell r="K702">
            <v>2544</v>
          </cell>
          <cell r="N702">
            <v>46164</v>
          </cell>
        </row>
        <row r="703">
          <cell r="D703" t="str">
            <v>FEBELLA BEAUTY</v>
          </cell>
          <cell r="E703" t="str">
            <v>FEBS0004</v>
          </cell>
          <cell r="K703">
            <v>10</v>
          </cell>
          <cell r="N703">
            <v>46167</v>
          </cell>
        </row>
        <row r="704">
          <cell r="D704" t="str">
            <v>FEBELLA BEAUTY</v>
          </cell>
          <cell r="E704" t="str">
            <v>FEBS0004</v>
          </cell>
          <cell r="K704">
            <v>2592</v>
          </cell>
          <cell r="N704">
            <v>46167</v>
          </cell>
        </row>
        <row r="705">
          <cell r="D705" t="str">
            <v>FEBELLA BEAUTY</v>
          </cell>
          <cell r="E705" t="str">
            <v>FEBS0004</v>
          </cell>
          <cell r="K705">
            <v>1680</v>
          </cell>
          <cell r="N705">
            <v>46167</v>
          </cell>
        </row>
        <row r="706">
          <cell r="D706" t="str">
            <v>FEBELLA BEAUTY</v>
          </cell>
          <cell r="E706" t="str">
            <v>FEBS0005</v>
          </cell>
          <cell r="K706">
            <v>192</v>
          </cell>
          <cell r="N706">
            <v>46167</v>
          </cell>
        </row>
        <row r="707">
          <cell r="D707" t="str">
            <v>FEBELLA BEAUTY</v>
          </cell>
          <cell r="E707" t="str">
            <v>FEBS0005</v>
          </cell>
          <cell r="K707">
            <v>2400</v>
          </cell>
          <cell r="N707">
            <v>46168</v>
          </cell>
        </row>
        <row r="708">
          <cell r="D708" t="str">
            <v>FEBELLA BEAUTY</v>
          </cell>
          <cell r="E708" t="str">
            <v>FEBS0005</v>
          </cell>
          <cell r="K708">
            <v>2544</v>
          </cell>
          <cell r="N708">
            <v>46168</v>
          </cell>
        </row>
        <row r="709">
          <cell r="D709" t="str">
            <v>MISS RÔSE</v>
          </cell>
          <cell r="E709" t="str">
            <v>MRARBS06</v>
          </cell>
          <cell r="K709">
            <v>2016</v>
          </cell>
          <cell r="N709">
            <v>46170</v>
          </cell>
        </row>
        <row r="710">
          <cell r="D710" t="str">
            <v>MISS RÔSE</v>
          </cell>
          <cell r="E710" t="str">
            <v>MRARBS06</v>
          </cell>
          <cell r="K710">
            <v>1104</v>
          </cell>
          <cell r="N710">
            <v>46170</v>
          </cell>
        </row>
        <row r="711">
          <cell r="D711" t="str">
            <v>MISS RÔSE</v>
          </cell>
          <cell r="E711" t="str">
            <v>MRARBS06</v>
          </cell>
          <cell r="K711">
            <v>3360</v>
          </cell>
          <cell r="N711">
            <v>46170</v>
          </cell>
        </row>
        <row r="712">
          <cell r="D712" t="str">
            <v>MISS RÔSE</v>
          </cell>
          <cell r="E712" t="str">
            <v>MRARBS05</v>
          </cell>
          <cell r="K712">
            <v>2400</v>
          </cell>
          <cell r="N712">
            <v>46170</v>
          </cell>
        </row>
        <row r="713">
          <cell r="D713" t="str">
            <v>MISS RÔSE</v>
          </cell>
          <cell r="E713" t="str">
            <v>MRARBS05</v>
          </cell>
          <cell r="K713">
            <v>2496</v>
          </cell>
          <cell r="N713">
            <v>46170</v>
          </cell>
        </row>
        <row r="714">
          <cell r="D714" t="str">
            <v>MISS RÔSE</v>
          </cell>
          <cell r="E714" t="str">
            <v>MRARBS06</v>
          </cell>
          <cell r="K714">
            <v>2112</v>
          </cell>
          <cell r="N714">
            <v>46170</v>
          </cell>
        </row>
        <row r="715">
          <cell r="D715" t="str">
            <v>MISS RÔSE</v>
          </cell>
          <cell r="E715" t="str">
            <v>MRARBS06</v>
          </cell>
          <cell r="K715">
            <v>2400</v>
          </cell>
          <cell r="N715">
            <v>46170</v>
          </cell>
        </row>
        <row r="716">
          <cell r="D716" t="str">
            <v>MISS RÔSE</v>
          </cell>
          <cell r="E716" t="str">
            <v>MRARBS06</v>
          </cell>
          <cell r="K716">
            <v>27</v>
          </cell>
          <cell r="N716">
            <v>46170</v>
          </cell>
        </row>
        <row r="717">
          <cell r="D717" t="str">
            <v>MISS RÔSE</v>
          </cell>
          <cell r="E717" t="str">
            <v>MRARBS06</v>
          </cell>
          <cell r="K717">
            <v>1920</v>
          </cell>
          <cell r="N717">
            <v>46170</v>
          </cell>
        </row>
        <row r="718">
          <cell r="D718" t="str">
            <v>MISS RÔSE</v>
          </cell>
          <cell r="E718" t="str">
            <v>MRARBS06</v>
          </cell>
          <cell r="K718">
            <v>2400</v>
          </cell>
          <cell r="N718">
            <v>46170</v>
          </cell>
        </row>
        <row r="719">
          <cell r="D719" t="str">
            <v>MISS RÔSE</v>
          </cell>
          <cell r="E719" t="str">
            <v>MRARBS05</v>
          </cell>
          <cell r="K719">
            <v>2400</v>
          </cell>
          <cell r="N719">
            <v>46170</v>
          </cell>
        </row>
        <row r="720">
          <cell r="D720" t="str">
            <v>MISS RÔSE</v>
          </cell>
          <cell r="E720" t="str">
            <v>MRARBS05</v>
          </cell>
          <cell r="K720">
            <v>9</v>
          </cell>
          <cell r="N720">
            <v>46170</v>
          </cell>
        </row>
        <row r="721">
          <cell r="D721" t="str">
            <v>MISS RÔSE</v>
          </cell>
          <cell r="E721" t="str">
            <v>MRARBS05</v>
          </cell>
          <cell r="K721">
            <v>2208</v>
          </cell>
          <cell r="N721">
            <v>46170</v>
          </cell>
        </row>
        <row r="722">
          <cell r="D722" t="str">
            <v>MISS RÔSE</v>
          </cell>
          <cell r="E722" t="str">
            <v>MRARBS10</v>
          </cell>
          <cell r="K722">
            <v>2016</v>
          </cell>
          <cell r="N722">
            <v>46170</v>
          </cell>
        </row>
        <row r="723">
          <cell r="D723" t="str">
            <v>MISS RÔSE</v>
          </cell>
          <cell r="E723" t="str">
            <v>MRARBS10</v>
          </cell>
          <cell r="K723">
            <v>2400</v>
          </cell>
          <cell r="N723">
            <v>46170</v>
          </cell>
        </row>
        <row r="724">
          <cell r="D724" t="str">
            <v>MISS RÔSE</v>
          </cell>
          <cell r="E724" t="str">
            <v>MRARBS05</v>
          </cell>
          <cell r="K724">
            <v>2352</v>
          </cell>
          <cell r="N724">
            <v>46170</v>
          </cell>
        </row>
        <row r="725">
          <cell r="D725" t="str">
            <v>MISS RÔSE</v>
          </cell>
          <cell r="E725" t="str">
            <v>MRARBS05</v>
          </cell>
          <cell r="K725">
            <v>2400</v>
          </cell>
          <cell r="N725">
            <v>46170</v>
          </cell>
        </row>
        <row r="726">
          <cell r="D726" t="str">
            <v>MISS RÔSE</v>
          </cell>
          <cell r="E726" t="str">
            <v>MRARBS10</v>
          </cell>
          <cell r="K726">
            <v>2352</v>
          </cell>
          <cell r="N726">
            <v>46171</v>
          </cell>
        </row>
        <row r="727">
          <cell r="D727" t="str">
            <v>MISS RÔSE</v>
          </cell>
          <cell r="E727" t="str">
            <v>MRARBS10</v>
          </cell>
          <cell r="K727">
            <v>2400</v>
          </cell>
          <cell r="N727">
            <v>46171</v>
          </cell>
        </row>
        <row r="728">
          <cell r="D728" t="str">
            <v>MISS RÔSE</v>
          </cell>
          <cell r="E728" t="str">
            <v>MRARBS10</v>
          </cell>
          <cell r="K728">
            <v>34</v>
          </cell>
          <cell r="N728">
            <v>46171</v>
          </cell>
        </row>
        <row r="729">
          <cell r="D729" t="str">
            <v>MISS RÔSE</v>
          </cell>
          <cell r="E729" t="str">
            <v>MRARBS10</v>
          </cell>
          <cell r="K729">
            <v>4224</v>
          </cell>
          <cell r="N729">
            <v>46171</v>
          </cell>
        </row>
        <row r="730">
          <cell r="D730" t="str">
            <v>MISS RÔSE</v>
          </cell>
          <cell r="E730" t="str">
            <v>MRARBS05</v>
          </cell>
          <cell r="K730">
            <v>12</v>
          </cell>
          <cell r="N730">
            <v>46171</v>
          </cell>
        </row>
        <row r="731">
          <cell r="D731" t="str">
            <v>MISS RÔSE</v>
          </cell>
          <cell r="E731" t="str">
            <v>MRARBS05</v>
          </cell>
          <cell r="K731">
            <v>1824</v>
          </cell>
          <cell r="N731">
            <v>46171</v>
          </cell>
        </row>
        <row r="732">
          <cell r="D732" t="str">
            <v>MISS RÔSE</v>
          </cell>
          <cell r="E732" t="str">
            <v>MRARBS05</v>
          </cell>
          <cell r="K732">
            <v>3360</v>
          </cell>
          <cell r="N732">
            <v>46171</v>
          </cell>
        </row>
        <row r="733">
          <cell r="D733" t="str">
            <v>MISS RÔSE</v>
          </cell>
          <cell r="E733" t="str">
            <v>MRARBS05</v>
          </cell>
          <cell r="K733">
            <v>22</v>
          </cell>
          <cell r="N733">
            <v>46174</v>
          </cell>
        </row>
        <row r="734">
          <cell r="D734" t="str">
            <v>MISS RÔSE</v>
          </cell>
          <cell r="E734" t="str">
            <v>MRARBS05</v>
          </cell>
          <cell r="K734">
            <v>912</v>
          </cell>
          <cell r="N734">
            <v>46174</v>
          </cell>
        </row>
        <row r="735">
          <cell r="D735" t="str">
            <v>MISS RÔSE</v>
          </cell>
          <cell r="E735" t="str">
            <v>MRARBS10</v>
          </cell>
          <cell r="K735">
            <v>32</v>
          </cell>
          <cell r="N735">
            <v>46174</v>
          </cell>
        </row>
        <row r="736">
          <cell r="D736" t="str">
            <v>MISS RÔSE</v>
          </cell>
          <cell r="E736" t="str">
            <v>MRARBS10</v>
          </cell>
          <cell r="K736">
            <v>2448</v>
          </cell>
          <cell r="N736">
            <v>46174</v>
          </cell>
        </row>
        <row r="737">
          <cell r="D737" t="str">
            <v>MISS RÔSE</v>
          </cell>
          <cell r="E737" t="str">
            <v>MRARBS08</v>
          </cell>
          <cell r="K737">
            <v>2160</v>
          </cell>
          <cell r="N737">
            <v>46174</v>
          </cell>
        </row>
        <row r="738">
          <cell r="D738" t="str">
            <v>MISS RÔSE</v>
          </cell>
          <cell r="E738" t="str">
            <v>MRARBS08</v>
          </cell>
          <cell r="K738">
            <v>2400</v>
          </cell>
          <cell r="N738">
            <v>46174</v>
          </cell>
        </row>
        <row r="739">
          <cell r="D739" t="str">
            <v>MISS RÔSE</v>
          </cell>
          <cell r="E739" t="str">
            <v>MRARBS08</v>
          </cell>
          <cell r="K739">
            <v>2208</v>
          </cell>
          <cell r="N739">
            <v>46175</v>
          </cell>
        </row>
        <row r="740">
          <cell r="D740" t="str">
            <v>MISS RÔSE</v>
          </cell>
          <cell r="E740" t="str">
            <v>MRARBS08</v>
          </cell>
          <cell r="K740">
            <v>2400</v>
          </cell>
          <cell r="N740">
            <v>46175</v>
          </cell>
        </row>
        <row r="741">
          <cell r="D741" t="str">
            <v>MISS RÔSE</v>
          </cell>
          <cell r="E741" t="str">
            <v>MRARBS12</v>
          </cell>
          <cell r="K741">
            <v>1824</v>
          </cell>
          <cell r="N741">
            <v>46175</v>
          </cell>
        </row>
        <row r="742">
          <cell r="D742" t="str">
            <v>WIKE MAKE</v>
          </cell>
          <cell r="E742" t="str">
            <v>WKBS0005</v>
          </cell>
          <cell r="K742">
            <v>17</v>
          </cell>
          <cell r="N742">
            <v>46174</v>
          </cell>
        </row>
        <row r="743">
          <cell r="D743" t="str">
            <v>WIKE MAKE</v>
          </cell>
          <cell r="E743" t="str">
            <v>WKBS0005</v>
          </cell>
          <cell r="K743">
            <v>432</v>
          </cell>
          <cell r="N743">
            <v>46174</v>
          </cell>
        </row>
        <row r="744">
          <cell r="D744" t="str">
            <v>WIKE MAKE</v>
          </cell>
          <cell r="E744" t="str">
            <v>WKBS0005</v>
          </cell>
          <cell r="K744">
            <v>36</v>
          </cell>
          <cell r="N744">
            <v>46174</v>
          </cell>
        </row>
        <row r="745">
          <cell r="D745" t="str">
            <v>WIKE MAKE</v>
          </cell>
          <cell r="E745" t="str">
            <v>WKBS0005</v>
          </cell>
          <cell r="K745">
            <v>3072</v>
          </cell>
          <cell r="N745">
            <v>46174</v>
          </cell>
        </row>
        <row r="746">
          <cell r="D746" t="str">
            <v>WIKE MAKE</v>
          </cell>
          <cell r="E746" t="str">
            <v>WKBS0005</v>
          </cell>
          <cell r="K746">
            <v>5376</v>
          </cell>
          <cell r="N746">
            <v>46174</v>
          </cell>
        </row>
        <row r="747">
          <cell r="D747" t="str">
            <v>MISS RÔSE</v>
          </cell>
          <cell r="E747" t="str">
            <v>MRARBS12</v>
          </cell>
          <cell r="K747">
            <v>2400</v>
          </cell>
          <cell r="N747">
            <v>46175</v>
          </cell>
        </row>
        <row r="748">
          <cell r="D748" t="str">
            <v>MISS RÔSE</v>
          </cell>
          <cell r="E748" t="str">
            <v>MRARBS08</v>
          </cell>
          <cell r="K748">
            <v>29</v>
          </cell>
          <cell r="N748">
            <v>46175</v>
          </cell>
        </row>
        <row r="749">
          <cell r="D749" t="str">
            <v>MISS RÔSE</v>
          </cell>
          <cell r="E749" t="str">
            <v>MRARBS08</v>
          </cell>
          <cell r="K749">
            <v>1632</v>
          </cell>
          <cell r="N749">
            <v>46175</v>
          </cell>
        </row>
        <row r="750">
          <cell r="D750" t="str">
            <v>WIKE MAKE</v>
          </cell>
          <cell r="E750" t="str">
            <v>WKBS0005</v>
          </cell>
          <cell r="K750">
            <v>15</v>
          </cell>
          <cell r="N750">
            <v>46175</v>
          </cell>
        </row>
        <row r="751">
          <cell r="D751" t="str">
            <v>WIKE MAKE</v>
          </cell>
          <cell r="E751" t="str">
            <v>WKBS0005</v>
          </cell>
          <cell r="K751">
            <v>2976</v>
          </cell>
          <cell r="N751">
            <v>46175</v>
          </cell>
        </row>
        <row r="752">
          <cell r="D752" t="str">
            <v>WIKE MAKE</v>
          </cell>
          <cell r="E752" t="str">
            <v>WKBS0005</v>
          </cell>
          <cell r="K752">
            <v>3696</v>
          </cell>
          <cell r="N752">
            <v>46175</v>
          </cell>
        </row>
        <row r="753">
          <cell r="D753" t="str">
            <v>WIKE MAKE</v>
          </cell>
          <cell r="E753" t="str">
            <v>WKBS0001</v>
          </cell>
          <cell r="K753">
            <v>240</v>
          </cell>
          <cell r="N753">
            <v>46175</v>
          </cell>
        </row>
        <row r="754">
          <cell r="D754" t="str">
            <v>WIKE MAKE</v>
          </cell>
          <cell r="E754" t="str">
            <v>WKBS0001</v>
          </cell>
          <cell r="K754">
            <v>4704</v>
          </cell>
          <cell r="N754">
            <v>46175</v>
          </cell>
        </row>
        <row r="755">
          <cell r="D755" t="str">
            <v>WIKE MAKE</v>
          </cell>
          <cell r="E755" t="str">
            <v>WKBS0001</v>
          </cell>
          <cell r="K755">
            <v>3360</v>
          </cell>
          <cell r="N755">
            <v>46176</v>
          </cell>
        </row>
        <row r="756">
          <cell r="D756" t="str">
            <v>MISS RÔSE</v>
          </cell>
          <cell r="E756" t="str">
            <v>MRARBS12</v>
          </cell>
          <cell r="K756">
            <v>2160</v>
          </cell>
          <cell r="N756">
            <v>46176</v>
          </cell>
        </row>
        <row r="757">
          <cell r="D757" t="str">
            <v>MISS RÔSE</v>
          </cell>
          <cell r="E757" t="str">
            <v>MRARBS12</v>
          </cell>
          <cell r="K757">
            <v>2352</v>
          </cell>
          <cell r="N757">
            <v>46176</v>
          </cell>
        </row>
        <row r="758">
          <cell r="D758" t="str">
            <v>MISS RÔSE</v>
          </cell>
          <cell r="E758" t="str">
            <v>MRARBS09</v>
          </cell>
          <cell r="K758">
            <v>18</v>
          </cell>
          <cell r="N758">
            <v>46176</v>
          </cell>
        </row>
        <row r="759">
          <cell r="D759" t="str">
            <v>MISS RÔSE</v>
          </cell>
          <cell r="E759" t="str">
            <v>MRARBS09</v>
          </cell>
          <cell r="K759">
            <v>816</v>
          </cell>
          <cell r="N759">
            <v>46176</v>
          </cell>
        </row>
        <row r="760">
          <cell r="D760" t="str">
            <v>MISS RÔSE</v>
          </cell>
          <cell r="E760" t="str">
            <v>MRARBS09</v>
          </cell>
          <cell r="K760">
            <v>2352</v>
          </cell>
          <cell r="N760">
            <v>46176</v>
          </cell>
        </row>
        <row r="761">
          <cell r="D761" t="str">
            <v>MISS RÔSE</v>
          </cell>
          <cell r="E761" t="str">
            <v>MRARBS09</v>
          </cell>
          <cell r="K761">
            <v>9</v>
          </cell>
          <cell r="N761">
            <v>46176</v>
          </cell>
        </row>
        <row r="762">
          <cell r="D762" t="str">
            <v>MISS RÔSE</v>
          </cell>
          <cell r="E762" t="str">
            <v>MRARBS09</v>
          </cell>
          <cell r="K762">
            <v>2400</v>
          </cell>
          <cell r="N762">
            <v>46176</v>
          </cell>
        </row>
        <row r="763">
          <cell r="D763" t="str">
            <v>WIKE MAKE</v>
          </cell>
          <cell r="E763" t="str">
            <v>WKBS0006</v>
          </cell>
          <cell r="K763">
            <v>240</v>
          </cell>
          <cell r="N763">
            <v>46178</v>
          </cell>
        </row>
        <row r="764">
          <cell r="D764" t="str">
            <v>WIKE MAKE</v>
          </cell>
          <cell r="E764" t="str">
            <v>WKBS0006</v>
          </cell>
          <cell r="K764">
            <v>3168</v>
          </cell>
          <cell r="N764">
            <v>46178</v>
          </cell>
        </row>
        <row r="765">
          <cell r="D765" t="str">
            <v>WIKE MAKE</v>
          </cell>
          <cell r="E765" t="str">
            <v>WKBS0006</v>
          </cell>
          <cell r="K765">
            <v>3840</v>
          </cell>
          <cell r="N765">
            <v>46178</v>
          </cell>
        </row>
        <row r="766">
          <cell r="D766" t="str">
            <v>WIKE MAKE</v>
          </cell>
          <cell r="E766" t="str">
            <v>WKBS0001</v>
          </cell>
          <cell r="K766">
            <v>6</v>
          </cell>
          <cell r="N766">
            <v>46178</v>
          </cell>
        </row>
        <row r="767">
          <cell r="D767" t="str">
            <v>WIKE MAKE</v>
          </cell>
          <cell r="E767" t="str">
            <v>WKBS0001</v>
          </cell>
          <cell r="K767">
            <v>2304</v>
          </cell>
          <cell r="N767">
            <v>46178</v>
          </cell>
        </row>
        <row r="768">
          <cell r="D768" t="str">
            <v>WIKE MAKE</v>
          </cell>
          <cell r="E768" t="str">
            <v>WKBS0001</v>
          </cell>
          <cell r="K768">
            <v>3840</v>
          </cell>
          <cell r="N768">
            <v>46178</v>
          </cell>
        </row>
        <row r="769">
          <cell r="D769" t="str">
            <v>WIKE MAKE</v>
          </cell>
          <cell r="E769" t="str">
            <v>WKBS0001</v>
          </cell>
          <cell r="K769">
            <v>3840</v>
          </cell>
          <cell r="N769">
            <v>46178</v>
          </cell>
        </row>
        <row r="770">
          <cell r="D770"/>
          <cell r="E770" t="str">
            <v>WKBM0001</v>
          </cell>
          <cell r="K770" t="str">
            <v>-</v>
          </cell>
          <cell r="N770" t="str">
            <v>-</v>
          </cell>
        </row>
        <row r="771">
          <cell r="D771" t="str">
            <v>MOUTIER</v>
          </cell>
          <cell r="E771" t="str">
            <v>WKBM0001</v>
          </cell>
          <cell r="K771">
            <v>211</v>
          </cell>
          <cell r="N771" t="str">
            <v>-</v>
          </cell>
        </row>
        <row r="772">
          <cell r="D772" t="str">
            <v>MOUTIER</v>
          </cell>
          <cell r="E772" t="str">
            <v>WKBM0001</v>
          </cell>
          <cell r="K772">
            <v>816</v>
          </cell>
          <cell r="N772" t="str">
            <v>-</v>
          </cell>
        </row>
        <row r="773">
          <cell r="D773" t="str">
            <v>WIKE MAKE</v>
          </cell>
          <cell r="E773" t="str">
            <v>WKBS0002</v>
          </cell>
          <cell r="K773">
            <v>3840</v>
          </cell>
          <cell r="N773">
            <v>46178</v>
          </cell>
        </row>
        <row r="774">
          <cell r="D774" t="str">
            <v>WIKE MAKE</v>
          </cell>
          <cell r="E774" t="str">
            <v>WKBS0002</v>
          </cell>
          <cell r="K774">
            <v>3936</v>
          </cell>
          <cell r="N774">
            <v>46178</v>
          </cell>
        </row>
        <row r="775">
          <cell r="D775" t="str">
            <v>WIKE MAKE</v>
          </cell>
          <cell r="E775" t="str">
            <v>WKBS0002</v>
          </cell>
          <cell r="K775">
            <v>3792</v>
          </cell>
          <cell r="N775">
            <v>46183</v>
          </cell>
        </row>
        <row r="776">
          <cell r="D776" t="str">
            <v>WIKE MAKE</v>
          </cell>
          <cell r="E776" t="str">
            <v>WKBS0006</v>
          </cell>
          <cell r="K776">
            <v>9</v>
          </cell>
          <cell r="N776">
            <v>46183</v>
          </cell>
        </row>
        <row r="777">
          <cell r="D777" t="str">
            <v>WIKE MAKE</v>
          </cell>
          <cell r="E777" t="str">
            <v>WKBS0006</v>
          </cell>
          <cell r="K777">
            <v>2064</v>
          </cell>
          <cell r="N777">
            <v>46183</v>
          </cell>
        </row>
        <row r="778">
          <cell r="D778" t="str">
            <v>WIKE MAKE</v>
          </cell>
          <cell r="E778" t="str">
            <v>WKBS0003</v>
          </cell>
          <cell r="K778">
            <v>240</v>
          </cell>
          <cell r="N778">
            <v>46183</v>
          </cell>
        </row>
        <row r="779">
          <cell r="D779" t="str">
            <v>WIKE MAKE</v>
          </cell>
          <cell r="E779" t="str">
            <v>WKBS0003</v>
          </cell>
          <cell r="K779">
            <v>3840</v>
          </cell>
          <cell r="N779">
            <v>46184</v>
          </cell>
        </row>
        <row r="780">
          <cell r="D780" t="str">
            <v>AMEERATI</v>
          </cell>
          <cell r="E780" t="str">
            <v>WKBM0001</v>
          </cell>
          <cell r="K780">
            <v>840</v>
          </cell>
          <cell r="N780">
            <v>46002</v>
          </cell>
        </row>
        <row r="781">
          <cell r="D781" t="str">
            <v>AMEERATI</v>
          </cell>
          <cell r="E781" t="str">
            <v>WKBM0001</v>
          </cell>
          <cell r="K781">
            <v>816</v>
          </cell>
          <cell r="N781">
            <v>46002</v>
          </cell>
        </row>
        <row r="782">
          <cell r="D782" t="str">
            <v>AMEERATI</v>
          </cell>
          <cell r="E782" t="str">
            <v>WKBM0001</v>
          </cell>
          <cell r="K782">
            <v>792</v>
          </cell>
          <cell r="N782">
            <v>46002</v>
          </cell>
        </row>
        <row r="783">
          <cell r="D783" t="str">
            <v>BRIA BEAUTY</v>
          </cell>
          <cell r="E783" t="str">
            <v>WKBM0001</v>
          </cell>
          <cell r="K783">
            <v>3520</v>
          </cell>
          <cell r="N783">
            <v>46001</v>
          </cell>
        </row>
        <row r="784">
          <cell r="D784" t="str">
            <v>AMEERATI</v>
          </cell>
          <cell r="E784" t="str">
            <v>WKBM0001</v>
          </cell>
          <cell r="K784">
            <v>20</v>
          </cell>
          <cell r="N784">
            <v>46000</v>
          </cell>
        </row>
        <row r="785">
          <cell r="D785" t="str">
            <v>BRIA BEAUTY</v>
          </cell>
          <cell r="E785" t="str">
            <v>WKBM0001</v>
          </cell>
          <cell r="K785">
            <v>4080</v>
          </cell>
          <cell r="N785">
            <v>45994</v>
          </cell>
        </row>
        <row r="786">
          <cell r="D786" t="str">
            <v>BRIA BEAUTY</v>
          </cell>
          <cell r="E786" t="str">
            <v>WKBM0001</v>
          </cell>
          <cell r="K786">
            <v>4080</v>
          </cell>
          <cell r="N786">
            <v>45994</v>
          </cell>
        </row>
        <row r="787">
          <cell r="D787" t="str">
            <v>BRIA BEAUTY</v>
          </cell>
          <cell r="E787" t="str">
            <v>WKBM0001</v>
          </cell>
          <cell r="K787">
            <v>2320</v>
          </cell>
          <cell r="N787"/>
        </row>
        <row r="788">
          <cell r="D788" t="str">
            <v>BRIA BEAUTY</v>
          </cell>
          <cell r="E788" t="str">
            <v>WKBM0001</v>
          </cell>
          <cell r="K788">
            <v>4080</v>
          </cell>
          <cell r="N788"/>
        </row>
        <row r="789">
          <cell r="D789" t="str">
            <v>BRIA BEAUTY</v>
          </cell>
          <cell r="E789" t="str">
            <v>WKBM0001</v>
          </cell>
          <cell r="K789">
            <v>4080</v>
          </cell>
          <cell r="N789"/>
        </row>
        <row r="790">
          <cell r="D790" t="str">
            <v>BRIA BEAUTY</v>
          </cell>
          <cell r="E790" t="str">
            <v>WKBM0001</v>
          </cell>
          <cell r="K790">
            <v>4160</v>
          </cell>
          <cell r="N790"/>
        </row>
        <row r="791">
          <cell r="D791" t="str">
            <v>BRIA BEAUTY</v>
          </cell>
          <cell r="E791" t="str">
            <v>WKBM0001</v>
          </cell>
          <cell r="K791">
            <v>4080</v>
          </cell>
          <cell r="N791">
            <v>46000</v>
          </cell>
        </row>
        <row r="792">
          <cell r="D792" t="str">
            <v>BRIA BEAUTY</v>
          </cell>
          <cell r="E792" t="str">
            <v>WKBM0001</v>
          </cell>
          <cell r="K792">
            <v>4080</v>
          </cell>
          <cell r="N792">
            <v>46000</v>
          </cell>
        </row>
        <row r="793">
          <cell r="D793" t="str">
            <v>BRIA BEAUTY</v>
          </cell>
          <cell r="E793" t="str">
            <v>WKBM0001</v>
          </cell>
          <cell r="K793">
            <v>1040</v>
          </cell>
          <cell r="N793">
            <v>46000</v>
          </cell>
        </row>
        <row r="794">
          <cell r="D794" t="str">
            <v>BRIA BEAUTY</v>
          </cell>
          <cell r="E794" t="str">
            <v>WKBM0001</v>
          </cell>
          <cell r="K794">
            <v>4080</v>
          </cell>
          <cell r="N794"/>
        </row>
        <row r="795">
          <cell r="D795" t="str">
            <v>BRIA BEAUTY</v>
          </cell>
          <cell r="E795" t="str">
            <v>WKBM0001</v>
          </cell>
          <cell r="K795">
            <v>2160</v>
          </cell>
          <cell r="N795"/>
        </row>
        <row r="796">
          <cell r="D796" t="str">
            <v>BRIA BEAUTY</v>
          </cell>
          <cell r="E796" t="str">
            <v>WKBM0001</v>
          </cell>
          <cell r="K796">
            <v>4080</v>
          </cell>
          <cell r="N796"/>
        </row>
        <row r="797">
          <cell r="D797" t="str">
            <v>BRIA BEAUTY</v>
          </cell>
          <cell r="E797" t="str">
            <v>WKBM0001</v>
          </cell>
          <cell r="K797">
            <v>4080</v>
          </cell>
          <cell r="N797"/>
        </row>
        <row r="798">
          <cell r="D798" t="str">
            <v>BRIA BEAUTY</v>
          </cell>
          <cell r="E798" t="str">
            <v>WKBM0001</v>
          </cell>
          <cell r="K798">
            <v>4000</v>
          </cell>
          <cell r="N798"/>
        </row>
        <row r="799">
          <cell r="D799" t="str">
            <v>BRIA BEAUTY</v>
          </cell>
          <cell r="E799" t="str">
            <v>WKBM0001</v>
          </cell>
          <cell r="K799">
            <v>4080</v>
          </cell>
          <cell r="N799"/>
        </row>
        <row r="800">
          <cell r="D800" t="str">
            <v>ISA BEAUTY</v>
          </cell>
          <cell r="E800" t="str">
            <v>WKBM0001</v>
          </cell>
          <cell r="K800">
            <v>4900</v>
          </cell>
          <cell r="N800">
            <v>45952</v>
          </cell>
        </row>
        <row r="801">
          <cell r="D801" t="str">
            <v>ISA BEAUTY</v>
          </cell>
          <cell r="E801" t="str">
            <v>WKBM0001</v>
          </cell>
          <cell r="K801">
            <v>74</v>
          </cell>
          <cell r="N801">
            <v>45952</v>
          </cell>
        </row>
        <row r="802">
          <cell r="D802" t="str">
            <v>ISA BEAUTY</v>
          </cell>
          <cell r="E802" t="str">
            <v>WKBM0001</v>
          </cell>
          <cell r="K802">
            <v>1128</v>
          </cell>
          <cell r="N802">
            <v>45952</v>
          </cell>
        </row>
        <row r="803">
          <cell r="D803" t="str">
            <v>ISA BEAUTY</v>
          </cell>
          <cell r="E803" t="str">
            <v>WKBM0001</v>
          </cell>
          <cell r="K803">
            <v>1320</v>
          </cell>
          <cell r="N803">
            <v>45952</v>
          </cell>
        </row>
        <row r="804">
          <cell r="D804" t="str">
            <v>BRIA BEAUTY</v>
          </cell>
          <cell r="E804" t="str">
            <v>WKBM0001</v>
          </cell>
          <cell r="K804">
            <v>4080</v>
          </cell>
          <cell r="N804">
            <v>46000</v>
          </cell>
        </row>
        <row r="805">
          <cell r="D805" t="str">
            <v>BRIA BEAUTY</v>
          </cell>
          <cell r="E805" t="str">
            <v>WKBM0001</v>
          </cell>
          <cell r="K805">
            <v>2400</v>
          </cell>
          <cell r="N805">
            <v>46000</v>
          </cell>
        </row>
        <row r="806">
          <cell r="D806" t="str">
            <v>BRIA BEAUTY</v>
          </cell>
          <cell r="E806" t="str">
            <v>WKBM0001</v>
          </cell>
          <cell r="K806">
            <v>2000</v>
          </cell>
          <cell r="N806">
            <v>46000</v>
          </cell>
        </row>
        <row r="807">
          <cell r="D807" t="str">
            <v>BRIA BEAUTY</v>
          </cell>
          <cell r="E807" t="str">
            <v>WKBM0001</v>
          </cell>
          <cell r="K807">
            <v>2080</v>
          </cell>
          <cell r="N807">
            <v>46000</v>
          </cell>
        </row>
        <row r="808">
          <cell r="D808" t="str">
            <v>BRIA BEAUTY</v>
          </cell>
          <cell r="E808" t="str">
            <v>WKBM0001</v>
          </cell>
          <cell r="K808">
            <v>4640</v>
          </cell>
          <cell r="N808">
            <v>46000</v>
          </cell>
        </row>
        <row r="809">
          <cell r="D809" t="str">
            <v>BRIA BEAUTY</v>
          </cell>
          <cell r="E809" t="str">
            <v>WKBM0001</v>
          </cell>
          <cell r="K809">
            <v>4080</v>
          </cell>
          <cell r="N809">
            <v>45999</v>
          </cell>
        </row>
        <row r="810">
          <cell r="D810" t="str">
            <v>BRIA BEAUTY</v>
          </cell>
          <cell r="E810" t="str">
            <v>WKBM0001</v>
          </cell>
          <cell r="K810">
            <v>4080</v>
          </cell>
          <cell r="N810">
            <v>45999</v>
          </cell>
        </row>
        <row r="811">
          <cell r="D811" t="str">
            <v xml:space="preserve">GLOW </v>
          </cell>
          <cell r="E811" t="str">
            <v>WKBM0001</v>
          </cell>
          <cell r="K811">
            <v>1920</v>
          </cell>
          <cell r="N811">
            <v>45994</v>
          </cell>
        </row>
        <row r="812">
          <cell r="D812" t="str">
            <v xml:space="preserve">GLOW </v>
          </cell>
          <cell r="E812" t="str">
            <v>WKBM0001</v>
          </cell>
          <cell r="K812">
            <v>1152</v>
          </cell>
          <cell r="N812">
            <v>45994</v>
          </cell>
        </row>
        <row r="813">
          <cell r="D813" t="str">
            <v xml:space="preserve">GLOW </v>
          </cell>
          <cell r="E813" t="str">
            <v>WKBM0001</v>
          </cell>
          <cell r="K813">
            <v>1920</v>
          </cell>
          <cell r="N813">
            <v>45994</v>
          </cell>
        </row>
        <row r="814">
          <cell r="D814" t="str">
            <v xml:space="preserve">GLOW </v>
          </cell>
          <cell r="E814" t="str">
            <v>WKBM0001</v>
          </cell>
          <cell r="K814">
            <v>1152</v>
          </cell>
          <cell r="N814">
            <v>45994</v>
          </cell>
        </row>
        <row r="815">
          <cell r="D815" t="str">
            <v>DAPOP</v>
          </cell>
          <cell r="E815" t="str">
            <v>WKBM0001</v>
          </cell>
          <cell r="K815">
            <v>1800</v>
          </cell>
          <cell r="N815">
            <v>45993</v>
          </cell>
        </row>
        <row r="816">
          <cell r="D816" t="str">
            <v>DAPOP</v>
          </cell>
          <cell r="E816" t="str">
            <v>WKBM0001</v>
          </cell>
          <cell r="K816">
            <v>1800</v>
          </cell>
          <cell r="N816">
            <v>45993</v>
          </cell>
        </row>
        <row r="817">
          <cell r="D817" t="str">
            <v>DAPOP</v>
          </cell>
          <cell r="E817" t="str">
            <v>WKBM0001</v>
          </cell>
          <cell r="K817">
            <v>1320</v>
          </cell>
          <cell r="N817">
            <v>45993</v>
          </cell>
        </row>
        <row r="818">
          <cell r="D818" t="str">
            <v xml:space="preserve">GLOW </v>
          </cell>
          <cell r="E818" t="str">
            <v>WKBM0001</v>
          </cell>
          <cell r="K818">
            <v>1920</v>
          </cell>
          <cell r="N818">
            <v>45993</v>
          </cell>
        </row>
        <row r="819">
          <cell r="D819" t="str">
            <v xml:space="preserve">GLOW </v>
          </cell>
          <cell r="E819" t="str">
            <v>WKBM0001</v>
          </cell>
          <cell r="K819">
            <v>1152</v>
          </cell>
          <cell r="N819">
            <v>45993</v>
          </cell>
        </row>
        <row r="820">
          <cell r="D820" t="str">
            <v xml:space="preserve">GLOW </v>
          </cell>
          <cell r="E820" t="str">
            <v>WKBM0001</v>
          </cell>
          <cell r="K820">
            <v>1680</v>
          </cell>
          <cell r="N820">
            <v>45993</v>
          </cell>
        </row>
        <row r="821">
          <cell r="D821" t="str">
            <v xml:space="preserve">GLOW </v>
          </cell>
          <cell r="E821" t="str">
            <v>WKBM0001</v>
          </cell>
          <cell r="K821">
            <v>1920</v>
          </cell>
          <cell r="N821">
            <v>45993</v>
          </cell>
        </row>
        <row r="822">
          <cell r="D822" t="str">
            <v xml:space="preserve">GLOW </v>
          </cell>
          <cell r="E822" t="str">
            <v>WKBM0001</v>
          </cell>
          <cell r="K822">
            <v>1152</v>
          </cell>
          <cell r="N822">
            <v>45993</v>
          </cell>
        </row>
        <row r="823">
          <cell r="D823" t="str">
            <v xml:space="preserve">GLOW </v>
          </cell>
          <cell r="E823" t="str">
            <v>WKBM0001</v>
          </cell>
          <cell r="K823">
            <v>1920</v>
          </cell>
          <cell r="N823">
            <v>45993</v>
          </cell>
        </row>
        <row r="824">
          <cell r="D824" t="str">
            <v xml:space="preserve">GLOW </v>
          </cell>
          <cell r="E824" t="str">
            <v>WKBM0001</v>
          </cell>
          <cell r="K824">
            <v>1152</v>
          </cell>
          <cell r="N824">
            <v>45993</v>
          </cell>
        </row>
        <row r="825">
          <cell r="D825" t="str">
            <v>AMEERATI</v>
          </cell>
          <cell r="E825" t="str">
            <v>WKBM0001</v>
          </cell>
          <cell r="K825">
            <v>100</v>
          </cell>
          <cell r="N825">
            <v>45992</v>
          </cell>
        </row>
        <row r="826">
          <cell r="D826" t="str">
            <v>AMEERATI</v>
          </cell>
          <cell r="E826" t="str">
            <v>WKBM0001</v>
          </cell>
          <cell r="K826">
            <v>0</v>
          </cell>
          <cell r="N826">
            <v>45992</v>
          </cell>
        </row>
        <row r="827">
          <cell r="D827" t="str">
            <v>DAPOP</v>
          </cell>
          <cell r="E827" t="str">
            <v>WKBM0001</v>
          </cell>
          <cell r="K827">
            <v>2460</v>
          </cell>
          <cell r="N827">
            <v>45989</v>
          </cell>
        </row>
        <row r="828">
          <cell r="D828" t="str">
            <v>DAPOP</v>
          </cell>
          <cell r="E828" t="str">
            <v>WKBM0001</v>
          </cell>
          <cell r="K828">
            <v>1800</v>
          </cell>
          <cell r="N828">
            <v>45989</v>
          </cell>
        </row>
        <row r="829">
          <cell r="D829" t="str">
            <v>DAPOP</v>
          </cell>
          <cell r="E829" t="str">
            <v>WKBM0001</v>
          </cell>
          <cell r="K829">
            <v>1800</v>
          </cell>
          <cell r="N829">
            <v>45989</v>
          </cell>
        </row>
        <row r="830">
          <cell r="D830" t="str">
            <v>DAPOP</v>
          </cell>
          <cell r="E830" t="str">
            <v>WKBM0001</v>
          </cell>
          <cell r="K830">
            <v>1620</v>
          </cell>
          <cell r="N830">
            <v>45989</v>
          </cell>
        </row>
        <row r="831">
          <cell r="D831" t="str">
            <v>AMEERATI</v>
          </cell>
          <cell r="E831" t="str">
            <v>WKBM0001</v>
          </cell>
          <cell r="K831">
            <v>2280</v>
          </cell>
          <cell r="N831">
            <v>45988</v>
          </cell>
        </row>
        <row r="832">
          <cell r="D832" t="str">
            <v>AMEERATI</v>
          </cell>
          <cell r="E832" t="str">
            <v>WKBM0001</v>
          </cell>
          <cell r="K832">
            <v>1680</v>
          </cell>
          <cell r="N832">
            <v>45988</v>
          </cell>
        </row>
        <row r="833">
          <cell r="D833" t="str">
            <v>AMEERATI</v>
          </cell>
          <cell r="E833" t="str">
            <v>WKBM0001</v>
          </cell>
          <cell r="K833">
            <v>19</v>
          </cell>
          <cell r="N833">
            <v>45988</v>
          </cell>
        </row>
        <row r="834">
          <cell r="D834" t="str">
            <v>AMEERATI</v>
          </cell>
          <cell r="E834" t="str">
            <v>WKBM0001</v>
          </cell>
          <cell r="K834">
            <v>960</v>
          </cell>
          <cell r="N834">
            <v>45988</v>
          </cell>
        </row>
        <row r="835">
          <cell r="D835" t="str">
            <v>AMEERATI</v>
          </cell>
          <cell r="E835" t="str">
            <v>WKBM0001</v>
          </cell>
          <cell r="K835">
            <v>504</v>
          </cell>
          <cell r="N835">
            <v>45988</v>
          </cell>
        </row>
        <row r="836">
          <cell r="D836" t="str">
            <v>AMEERATI</v>
          </cell>
          <cell r="E836" t="str">
            <v>WKBM0001</v>
          </cell>
          <cell r="K836">
            <v>1560</v>
          </cell>
          <cell r="N836">
            <v>45987</v>
          </cell>
        </row>
        <row r="837">
          <cell r="D837" t="str">
            <v>AMEERATI</v>
          </cell>
          <cell r="E837" t="str">
            <v>WKBM0001</v>
          </cell>
          <cell r="K837">
            <v>20</v>
          </cell>
          <cell r="N837">
            <v>45987</v>
          </cell>
        </row>
        <row r="838">
          <cell r="D838" t="str">
            <v>AMEERATI</v>
          </cell>
          <cell r="E838" t="str">
            <v>WKBM0001</v>
          </cell>
          <cell r="K838">
            <v>1512</v>
          </cell>
          <cell r="N838">
            <v>45987</v>
          </cell>
        </row>
        <row r="839">
          <cell r="D839" t="str">
            <v xml:space="preserve">GLOW </v>
          </cell>
          <cell r="E839" t="str">
            <v>WKBM0001</v>
          </cell>
          <cell r="K839">
            <v>2112</v>
          </cell>
          <cell r="N839"/>
        </row>
        <row r="840">
          <cell r="D840" t="str">
            <v xml:space="preserve">GLOW </v>
          </cell>
          <cell r="E840" t="str">
            <v>WKBM0001</v>
          </cell>
          <cell r="K840">
            <v>24</v>
          </cell>
          <cell r="N840"/>
        </row>
        <row r="841">
          <cell r="D841" t="str">
            <v>AMEERATI</v>
          </cell>
          <cell r="E841" t="str">
            <v>WKBM0001</v>
          </cell>
          <cell r="K841">
            <v>10</v>
          </cell>
          <cell r="N841"/>
        </row>
        <row r="842">
          <cell r="D842" t="str">
            <v>KURYOS</v>
          </cell>
          <cell r="E842" t="str">
            <v>WKBM0001</v>
          </cell>
          <cell r="K842">
            <v>504</v>
          </cell>
          <cell r="N842">
            <v>45989</v>
          </cell>
        </row>
        <row r="843">
          <cell r="D843" t="str">
            <v>KURYOS</v>
          </cell>
          <cell r="E843" t="str">
            <v>WKBM0001</v>
          </cell>
          <cell r="K843">
            <v>495</v>
          </cell>
          <cell r="N843">
            <v>45989</v>
          </cell>
        </row>
        <row r="844">
          <cell r="D844" t="str">
            <v>KURYOS</v>
          </cell>
          <cell r="E844" t="str">
            <v>WKBM0001</v>
          </cell>
          <cell r="K844">
            <v>378</v>
          </cell>
          <cell r="N844">
            <v>45989</v>
          </cell>
        </row>
        <row r="845">
          <cell r="D845" t="str">
            <v>KURYOS</v>
          </cell>
          <cell r="E845" t="str">
            <v>WKBM0001</v>
          </cell>
          <cell r="K845">
            <v>6</v>
          </cell>
          <cell r="N845">
            <v>45989</v>
          </cell>
        </row>
        <row r="846">
          <cell r="D846" t="str">
            <v>KURYOS</v>
          </cell>
          <cell r="E846" t="str">
            <v>WKBM0001</v>
          </cell>
          <cell r="K846">
            <v>1140</v>
          </cell>
          <cell r="N846">
            <v>45987</v>
          </cell>
        </row>
        <row r="847">
          <cell r="D847" t="str">
            <v>KURYOS</v>
          </cell>
          <cell r="E847" t="str">
            <v>WKBM0001</v>
          </cell>
          <cell r="K847">
            <v>5</v>
          </cell>
          <cell r="N847">
            <v>45987</v>
          </cell>
        </row>
        <row r="848">
          <cell r="D848" t="str">
            <v>DAPOP</v>
          </cell>
          <cell r="E848" t="str">
            <v>WKBM0001</v>
          </cell>
          <cell r="K848">
            <v>1800</v>
          </cell>
          <cell r="N848">
            <v>45981</v>
          </cell>
        </row>
        <row r="849">
          <cell r="D849" t="str">
            <v>DAPOP</v>
          </cell>
          <cell r="E849" t="str">
            <v>WKBM0001</v>
          </cell>
          <cell r="K849">
            <v>1560</v>
          </cell>
          <cell r="N849">
            <v>45981</v>
          </cell>
        </row>
        <row r="850">
          <cell r="D850" t="str">
            <v>DAPOP</v>
          </cell>
          <cell r="E850" t="str">
            <v>WKBM0001</v>
          </cell>
          <cell r="K850">
            <v>1500</v>
          </cell>
          <cell r="N850">
            <v>45980</v>
          </cell>
        </row>
        <row r="851">
          <cell r="D851" t="str">
            <v>DAPOP</v>
          </cell>
          <cell r="E851" t="str">
            <v>WKBM0001</v>
          </cell>
          <cell r="K851">
            <v>1800</v>
          </cell>
          <cell r="N851">
            <v>45980</v>
          </cell>
        </row>
        <row r="852">
          <cell r="D852" t="str">
            <v>DAPOP</v>
          </cell>
          <cell r="E852" t="str">
            <v>WKBM0001</v>
          </cell>
          <cell r="K852">
            <v>600</v>
          </cell>
          <cell r="N852">
            <v>45971</v>
          </cell>
        </row>
        <row r="853">
          <cell r="D853" t="str">
            <v>MISS RÔSE</v>
          </cell>
          <cell r="E853" t="str">
            <v>WKBM0001</v>
          </cell>
          <cell r="K853">
            <v>2544</v>
          </cell>
          <cell r="N853">
            <v>45975</v>
          </cell>
        </row>
        <row r="854">
          <cell r="D854" t="str">
            <v>MISS RÔSE</v>
          </cell>
          <cell r="E854" t="str">
            <v>WKBM0001</v>
          </cell>
          <cell r="K854">
            <v>2544</v>
          </cell>
          <cell r="N854">
            <v>45974</v>
          </cell>
        </row>
        <row r="855">
          <cell r="D855" t="str">
            <v>MISS RÔSE</v>
          </cell>
          <cell r="E855" t="str">
            <v>WKBM0001</v>
          </cell>
          <cell r="K855">
            <v>2544</v>
          </cell>
          <cell r="N855">
            <v>45974</v>
          </cell>
        </row>
        <row r="856">
          <cell r="D856" t="str">
            <v>MISS RÔSE</v>
          </cell>
          <cell r="E856" t="str">
            <v>WKBM0001</v>
          </cell>
          <cell r="K856">
            <v>2544</v>
          </cell>
          <cell r="N856">
            <v>45974</v>
          </cell>
        </row>
        <row r="857">
          <cell r="D857" t="str">
            <v>MISS RÔSE</v>
          </cell>
          <cell r="E857" t="str">
            <v>WKBM0001</v>
          </cell>
          <cell r="K857">
            <v>2544</v>
          </cell>
          <cell r="N857">
            <v>45973</v>
          </cell>
        </row>
        <row r="858">
          <cell r="D858" t="str">
            <v>MISS RÔSE</v>
          </cell>
          <cell r="E858" t="str">
            <v>WKBM0001</v>
          </cell>
          <cell r="K858">
            <v>2544</v>
          </cell>
          <cell r="N858">
            <v>45973</v>
          </cell>
        </row>
        <row r="859">
          <cell r="D859" t="str">
            <v>MISS RÔSE</v>
          </cell>
          <cell r="E859" t="str">
            <v>WKBM0001</v>
          </cell>
          <cell r="K859">
            <v>2352</v>
          </cell>
          <cell r="N859">
            <v>45973</v>
          </cell>
        </row>
        <row r="860">
          <cell r="D860" t="str">
            <v>MISS RÔSE</v>
          </cell>
          <cell r="E860" t="str">
            <v>WKBM0001</v>
          </cell>
          <cell r="K860">
            <v>2544</v>
          </cell>
          <cell r="N860">
            <v>45972</v>
          </cell>
        </row>
        <row r="861">
          <cell r="D861" t="str">
            <v>MISS RÔSE</v>
          </cell>
          <cell r="E861" t="str">
            <v>WKBM0001</v>
          </cell>
          <cell r="K861">
            <v>2544</v>
          </cell>
          <cell r="N861">
            <v>45972</v>
          </cell>
        </row>
        <row r="862">
          <cell r="D862" t="str">
            <v>MISS RÔSE</v>
          </cell>
          <cell r="E862" t="str">
            <v>WKBM0001</v>
          </cell>
          <cell r="K862">
            <v>2544</v>
          </cell>
          <cell r="N862">
            <v>45972</v>
          </cell>
        </row>
        <row r="863">
          <cell r="D863" t="str">
            <v>MISS RÔSE</v>
          </cell>
          <cell r="E863" t="str">
            <v>WKBM0001</v>
          </cell>
          <cell r="K863">
            <v>2544</v>
          </cell>
          <cell r="N863">
            <v>45971</v>
          </cell>
        </row>
        <row r="864">
          <cell r="D864" t="str">
            <v>MISS RÔSE</v>
          </cell>
          <cell r="E864" t="str">
            <v>WKBM0001</v>
          </cell>
          <cell r="K864">
            <v>2544</v>
          </cell>
          <cell r="N864">
            <v>45971</v>
          </cell>
        </row>
        <row r="865">
          <cell r="D865" t="str">
            <v>MISS RÔSE</v>
          </cell>
          <cell r="E865" t="str">
            <v>WKBM0001</v>
          </cell>
          <cell r="K865">
            <v>2544</v>
          </cell>
          <cell r="N865">
            <v>45971</v>
          </cell>
        </row>
        <row r="866">
          <cell r="D866" t="str">
            <v>MISS RÔSE</v>
          </cell>
          <cell r="E866" t="str">
            <v>WKBM0001</v>
          </cell>
          <cell r="K866">
            <v>2544</v>
          </cell>
          <cell r="N866">
            <v>45968</v>
          </cell>
        </row>
        <row r="867">
          <cell r="D867" t="str">
            <v>DAPOP</v>
          </cell>
          <cell r="E867" t="str">
            <v>WKBM0001</v>
          </cell>
          <cell r="K867">
            <v>8640</v>
          </cell>
          <cell r="N867">
            <v>45961</v>
          </cell>
        </row>
        <row r="868">
          <cell r="D868" t="str">
            <v>DAPOP</v>
          </cell>
          <cell r="E868" t="str">
            <v>WKBM0001</v>
          </cell>
          <cell r="K868">
            <v>3840</v>
          </cell>
          <cell r="N868">
            <v>45959</v>
          </cell>
        </row>
        <row r="869">
          <cell r="D869" t="str">
            <v>DAPOP</v>
          </cell>
          <cell r="E869" t="str">
            <v>WKBM0001</v>
          </cell>
          <cell r="K869">
            <v>4620</v>
          </cell>
          <cell r="N869">
            <v>45938</v>
          </cell>
        </row>
        <row r="870">
          <cell r="D870" t="str">
            <v>DAPOP</v>
          </cell>
          <cell r="E870" t="str">
            <v>WKBM0001</v>
          </cell>
          <cell r="K870">
            <v>4416</v>
          </cell>
          <cell r="N870">
            <v>45933</v>
          </cell>
        </row>
        <row r="871">
          <cell r="D871" t="str">
            <v>DAPOP</v>
          </cell>
          <cell r="E871" t="str">
            <v>WKBM0001</v>
          </cell>
          <cell r="K871">
            <v>48</v>
          </cell>
          <cell r="N871">
            <v>45933</v>
          </cell>
        </row>
        <row r="872">
          <cell r="D872" t="str">
            <v>MISS RÔSE</v>
          </cell>
          <cell r="E872" t="str">
            <v>WKBM0001</v>
          </cell>
          <cell r="K872">
            <v>2544</v>
          </cell>
          <cell r="N872">
            <v>45967</v>
          </cell>
        </row>
        <row r="873">
          <cell r="D873" t="str">
            <v>MISS RÔSE</v>
          </cell>
          <cell r="E873" t="str">
            <v>WKBM0001</v>
          </cell>
          <cell r="K873">
            <v>2544</v>
          </cell>
          <cell r="N873">
            <v>45967</v>
          </cell>
        </row>
        <row r="874">
          <cell r="D874" t="str">
            <v>MISS RÔSE</v>
          </cell>
          <cell r="E874" t="str">
            <v>WKBM0001</v>
          </cell>
          <cell r="K874">
            <v>2544</v>
          </cell>
          <cell r="N874">
            <v>45967</v>
          </cell>
        </row>
        <row r="875">
          <cell r="D875" t="str">
            <v>MISS RÔSE</v>
          </cell>
          <cell r="E875" t="str">
            <v>WKBM0001</v>
          </cell>
          <cell r="K875">
            <v>2544</v>
          </cell>
          <cell r="N875">
            <v>45966</v>
          </cell>
        </row>
        <row r="876">
          <cell r="D876" t="str">
            <v>MISS RÔSE</v>
          </cell>
          <cell r="E876" t="str">
            <v>WKBM0001</v>
          </cell>
          <cell r="K876">
            <v>2544</v>
          </cell>
          <cell r="N876">
            <v>45966</v>
          </cell>
        </row>
        <row r="877">
          <cell r="D877" t="str">
            <v>MISS RÔSE</v>
          </cell>
          <cell r="E877" t="str">
            <v>WKBM0001</v>
          </cell>
          <cell r="K877">
            <v>2544</v>
          </cell>
          <cell r="N877">
            <v>45966</v>
          </cell>
        </row>
        <row r="878">
          <cell r="D878" t="str">
            <v>MISS RÔSE</v>
          </cell>
          <cell r="E878" t="str">
            <v>WKBM0001</v>
          </cell>
          <cell r="K878">
            <v>2544</v>
          </cell>
          <cell r="N878">
            <v>45965</v>
          </cell>
        </row>
        <row r="879">
          <cell r="D879" t="str">
            <v>MISS RÔSE</v>
          </cell>
          <cell r="E879" t="str">
            <v>WKBM0001</v>
          </cell>
          <cell r="K879">
            <v>2544</v>
          </cell>
          <cell r="N879">
            <v>45965</v>
          </cell>
        </row>
        <row r="880">
          <cell r="D880" t="str">
            <v>MISS RÔSE</v>
          </cell>
          <cell r="E880" t="str">
            <v>WKBM0001</v>
          </cell>
          <cell r="K880">
            <v>2544</v>
          </cell>
          <cell r="N880">
            <v>45965</v>
          </cell>
        </row>
        <row r="881">
          <cell r="D881" t="str">
            <v>MISS RÔSE</v>
          </cell>
          <cell r="E881" t="str">
            <v>WKBM0001</v>
          </cell>
          <cell r="K881">
            <v>2544</v>
          </cell>
          <cell r="N881">
            <v>45964</v>
          </cell>
        </row>
        <row r="882">
          <cell r="D882" t="str">
            <v>MISS RÔSE</v>
          </cell>
          <cell r="E882" t="str">
            <v>WKBM0001</v>
          </cell>
          <cell r="K882">
            <v>2544</v>
          </cell>
          <cell r="N882">
            <v>45964</v>
          </cell>
        </row>
        <row r="883">
          <cell r="D883" t="str">
            <v>MISS RÔSE</v>
          </cell>
          <cell r="E883" t="str">
            <v>WKBM0001</v>
          </cell>
          <cell r="K883">
            <v>1056</v>
          </cell>
          <cell r="N883">
            <v>45961</v>
          </cell>
        </row>
        <row r="884">
          <cell r="D884" t="str">
            <v>MISS RÔSE</v>
          </cell>
          <cell r="E884" t="str">
            <v>WKBM0001</v>
          </cell>
          <cell r="K884">
            <v>2544</v>
          </cell>
          <cell r="N884">
            <v>45960</v>
          </cell>
        </row>
        <row r="885">
          <cell r="D885" t="str">
            <v>MISS RÔSE</v>
          </cell>
          <cell r="E885" t="str">
            <v>WKBM0001</v>
          </cell>
          <cell r="K885">
            <v>2544</v>
          </cell>
          <cell r="N885">
            <v>45958</v>
          </cell>
        </row>
        <row r="886">
          <cell r="D886" t="str">
            <v>MISS RÔSE</v>
          </cell>
          <cell r="E886" t="str">
            <v>WKBM0001</v>
          </cell>
          <cell r="K886">
            <v>2544</v>
          </cell>
          <cell r="N886">
            <v>45958</v>
          </cell>
        </row>
        <row r="887">
          <cell r="D887" t="str">
            <v>MISS RÔSE</v>
          </cell>
          <cell r="E887" t="str">
            <v>WKBM0001</v>
          </cell>
          <cell r="K887">
            <v>2544</v>
          </cell>
          <cell r="N887">
            <v>45957</v>
          </cell>
        </row>
        <row r="888">
          <cell r="D888" t="str">
            <v>MISS RÔSE</v>
          </cell>
          <cell r="E888" t="str">
            <v>WKBM0001</v>
          </cell>
          <cell r="K888">
            <v>2544</v>
          </cell>
          <cell r="N888">
            <v>45954</v>
          </cell>
        </row>
        <row r="889">
          <cell r="D889" t="str">
            <v>ISA BEAUTY</v>
          </cell>
          <cell r="E889" t="str">
            <v>WKBM0001</v>
          </cell>
          <cell r="K889">
            <v>2520</v>
          </cell>
          <cell r="N889">
            <v>45952</v>
          </cell>
        </row>
        <row r="890">
          <cell r="D890" t="str">
            <v>ISA BEAUTY</v>
          </cell>
          <cell r="E890" t="str">
            <v>WKBM0001</v>
          </cell>
          <cell r="K890">
            <v>1344</v>
          </cell>
          <cell r="N890">
            <v>45952</v>
          </cell>
        </row>
        <row r="891">
          <cell r="D891" t="str">
            <v>ISA BEAUTY</v>
          </cell>
          <cell r="E891" t="str">
            <v>WKBM0001</v>
          </cell>
          <cell r="K891">
            <v>2448</v>
          </cell>
          <cell r="N891">
            <v>45951</v>
          </cell>
        </row>
        <row r="892">
          <cell r="D892" t="str">
            <v>ISA BEAUTY</v>
          </cell>
          <cell r="E892" t="str">
            <v>WKBM0001</v>
          </cell>
          <cell r="K892">
            <v>2568</v>
          </cell>
          <cell r="N892">
            <v>45950</v>
          </cell>
        </row>
        <row r="893">
          <cell r="D893" t="str">
            <v>ISA BEAUTY</v>
          </cell>
          <cell r="E893" t="str">
            <v>WKBM0001</v>
          </cell>
          <cell r="K893">
            <v>2400</v>
          </cell>
          <cell r="N893">
            <v>45950</v>
          </cell>
        </row>
        <row r="894">
          <cell r="D894" t="str">
            <v>ISA BEAUTY</v>
          </cell>
          <cell r="E894" t="str">
            <v>WKBM0001</v>
          </cell>
          <cell r="K894">
            <v>100</v>
          </cell>
          <cell r="N894"/>
        </row>
        <row r="895">
          <cell r="D895" t="str">
            <v>DAPOP</v>
          </cell>
          <cell r="E895" t="str">
            <v>WKBM0001</v>
          </cell>
          <cell r="K895">
            <v>4800</v>
          </cell>
          <cell r="N895">
            <v>45958</v>
          </cell>
        </row>
        <row r="896">
          <cell r="D896" t="str">
            <v>DAPOP</v>
          </cell>
          <cell r="E896" t="str">
            <v>WKBM0001</v>
          </cell>
          <cell r="K896">
            <v>3840</v>
          </cell>
          <cell r="N896">
            <v>45957</v>
          </cell>
        </row>
        <row r="897">
          <cell r="D897" t="str">
            <v>DAPOP</v>
          </cell>
          <cell r="E897" t="str">
            <v>WKBM0001</v>
          </cell>
          <cell r="K897">
            <v>4800</v>
          </cell>
          <cell r="N897">
            <v>45954</v>
          </cell>
        </row>
        <row r="898">
          <cell r="D898" t="str">
            <v>MISS RÔSE</v>
          </cell>
          <cell r="E898" t="str">
            <v>WKBM0001</v>
          </cell>
          <cell r="K898">
            <v>2544</v>
          </cell>
          <cell r="N898">
            <v>45954</v>
          </cell>
        </row>
        <row r="899">
          <cell r="D899" t="str">
            <v>MISS RÔSE</v>
          </cell>
          <cell r="E899" t="str">
            <v>WKBM0001</v>
          </cell>
          <cell r="K899">
            <v>2544</v>
          </cell>
          <cell r="N899">
            <v>45954</v>
          </cell>
        </row>
        <row r="900">
          <cell r="D900" t="str">
            <v>MISS RÔSE</v>
          </cell>
          <cell r="E900" t="str">
            <v>WKBM0001</v>
          </cell>
          <cell r="K900">
            <v>2544</v>
          </cell>
          <cell r="N900">
            <v>45953</v>
          </cell>
        </row>
        <row r="901">
          <cell r="D901" t="str">
            <v>MISS RÔSE</v>
          </cell>
          <cell r="E901" t="str">
            <v>WKBM0001</v>
          </cell>
          <cell r="K901">
            <v>2544</v>
          </cell>
          <cell r="N901">
            <v>45953</v>
          </cell>
        </row>
        <row r="902">
          <cell r="D902" t="str">
            <v>MISS RÔSE</v>
          </cell>
          <cell r="E902" t="str">
            <v>WKBM0001</v>
          </cell>
          <cell r="K902">
            <v>2544</v>
          </cell>
          <cell r="N902">
            <v>45953</v>
          </cell>
        </row>
        <row r="903">
          <cell r="D903" t="str">
            <v>DAPOP</v>
          </cell>
          <cell r="E903" t="str">
            <v>WKBM0001</v>
          </cell>
          <cell r="K903">
            <v>4800</v>
          </cell>
          <cell r="N903">
            <v>45952</v>
          </cell>
        </row>
        <row r="904">
          <cell r="D904" t="str">
            <v>DAPOP</v>
          </cell>
          <cell r="E904" t="str">
            <v>WKBM0001</v>
          </cell>
          <cell r="K904">
            <v>3840</v>
          </cell>
          <cell r="N904">
            <v>45952</v>
          </cell>
        </row>
        <row r="905">
          <cell r="D905" t="str">
            <v>DAPOP</v>
          </cell>
          <cell r="E905" t="str">
            <v>WKBM0001</v>
          </cell>
          <cell r="K905">
            <v>4740</v>
          </cell>
          <cell r="N905">
            <v>45947</v>
          </cell>
        </row>
        <row r="906">
          <cell r="D906" t="str">
            <v>KURYOS</v>
          </cell>
          <cell r="E906" t="str">
            <v>WKBM0001</v>
          </cell>
          <cell r="K906">
            <v>1040</v>
          </cell>
          <cell r="N906">
            <v>45945</v>
          </cell>
        </row>
        <row r="907">
          <cell r="D907" t="str">
            <v>KURYOS</v>
          </cell>
          <cell r="E907" t="str">
            <v>WKBM0001</v>
          </cell>
          <cell r="K907">
            <v>8</v>
          </cell>
          <cell r="N907">
            <v>45945</v>
          </cell>
        </row>
        <row r="908">
          <cell r="D908" t="str">
            <v>KURYOS</v>
          </cell>
          <cell r="E908" t="str">
            <v>WKBM0001</v>
          </cell>
          <cell r="K908">
            <v>360</v>
          </cell>
          <cell r="N908">
            <v>45944</v>
          </cell>
        </row>
        <row r="909">
          <cell r="D909" t="str">
            <v>KURYOS</v>
          </cell>
          <cell r="E909" t="str">
            <v>WKBM0001</v>
          </cell>
          <cell r="K909">
            <v>360</v>
          </cell>
          <cell r="N909">
            <v>45944</v>
          </cell>
        </row>
        <row r="910">
          <cell r="D910" t="str">
            <v>KURYOS</v>
          </cell>
          <cell r="E910" t="str">
            <v>WKBM0001</v>
          </cell>
          <cell r="K910">
            <v>16</v>
          </cell>
          <cell r="N910">
            <v>45944</v>
          </cell>
        </row>
        <row r="911">
          <cell r="D911" t="str">
            <v>KURYOS</v>
          </cell>
          <cell r="E911" t="str">
            <v>WKBM0001</v>
          </cell>
          <cell r="K911">
            <v>336</v>
          </cell>
          <cell r="N911">
            <v>45944</v>
          </cell>
        </row>
        <row r="912">
          <cell r="D912" t="str">
            <v>GLOW</v>
          </cell>
          <cell r="E912" t="str">
            <v>WKBM0001</v>
          </cell>
          <cell r="K912">
            <v>1680</v>
          </cell>
          <cell r="N912">
            <v>45938</v>
          </cell>
        </row>
        <row r="913">
          <cell r="D913" t="str">
            <v>GLOW</v>
          </cell>
          <cell r="E913" t="str">
            <v>WKBM0001</v>
          </cell>
          <cell r="K913">
            <v>432</v>
          </cell>
          <cell r="N913">
            <v>45938</v>
          </cell>
        </row>
        <row r="914">
          <cell r="D914" t="str">
            <v>GLOW</v>
          </cell>
          <cell r="E914" t="str">
            <v>WKBM0001</v>
          </cell>
          <cell r="K914">
            <v>1056</v>
          </cell>
          <cell r="N914">
            <v>45938</v>
          </cell>
        </row>
        <row r="915">
          <cell r="D915" t="str">
            <v>GLOW</v>
          </cell>
          <cell r="E915" t="str">
            <v>WKBM0001</v>
          </cell>
          <cell r="K915">
            <v>1008</v>
          </cell>
          <cell r="N915">
            <v>45938</v>
          </cell>
        </row>
        <row r="916">
          <cell r="D916" t="str">
            <v>DAPOP</v>
          </cell>
          <cell r="E916" t="str">
            <v>WKBM0001</v>
          </cell>
          <cell r="K916">
            <v>4620</v>
          </cell>
          <cell r="N916">
            <v>45946</v>
          </cell>
        </row>
        <row r="917">
          <cell r="D917" t="str">
            <v>DAPOP</v>
          </cell>
          <cell r="E917" t="str">
            <v>WKBM0001</v>
          </cell>
          <cell r="K917">
            <v>4620</v>
          </cell>
          <cell r="N917">
            <v>45945</v>
          </cell>
        </row>
        <row r="918">
          <cell r="D918" t="str">
            <v>DAPOP</v>
          </cell>
          <cell r="E918" t="str">
            <v>WKBM0001</v>
          </cell>
          <cell r="K918">
            <v>4620</v>
          </cell>
          <cell r="N918">
            <v>45944</v>
          </cell>
        </row>
        <row r="919">
          <cell r="D919" t="str">
            <v>ISA BEAUTY</v>
          </cell>
          <cell r="E919" t="str">
            <v>WKBM0001</v>
          </cell>
          <cell r="K919">
            <v>2352</v>
          </cell>
          <cell r="N919">
            <v>45947</v>
          </cell>
        </row>
        <row r="920">
          <cell r="D920" t="str">
            <v>ISA BEAUTY</v>
          </cell>
          <cell r="E920" t="str">
            <v>WKBM0001</v>
          </cell>
          <cell r="K920">
            <v>2496</v>
          </cell>
          <cell r="N920">
            <v>45946</v>
          </cell>
        </row>
        <row r="921">
          <cell r="D921" t="str">
            <v>ISA BEAUTY</v>
          </cell>
          <cell r="E921" t="str">
            <v>WKBM0001</v>
          </cell>
          <cell r="K921">
            <v>2304</v>
          </cell>
          <cell r="N921">
            <v>45946</v>
          </cell>
        </row>
        <row r="922">
          <cell r="D922" t="str">
            <v>ISA BEAUTY</v>
          </cell>
          <cell r="E922" t="str">
            <v>WKBM0001</v>
          </cell>
          <cell r="K922">
            <v>2472</v>
          </cell>
          <cell r="N922">
            <v>45946</v>
          </cell>
        </row>
        <row r="923">
          <cell r="D923" t="str">
            <v>ISA BEAUTY</v>
          </cell>
          <cell r="E923" t="str">
            <v>WKBM0001</v>
          </cell>
          <cell r="K923">
            <v>2800</v>
          </cell>
          <cell r="N923">
            <v>45915</v>
          </cell>
        </row>
        <row r="924">
          <cell r="D924" t="str">
            <v>ISA BEAUTY</v>
          </cell>
          <cell r="E924" t="str">
            <v>WKBM0001</v>
          </cell>
          <cell r="K924">
            <v>2600</v>
          </cell>
          <cell r="N924">
            <v>45915</v>
          </cell>
        </row>
        <row r="925">
          <cell r="D925" t="str">
            <v>DAPOP</v>
          </cell>
          <cell r="E925" t="str">
            <v>WKBM0001</v>
          </cell>
          <cell r="K925">
            <v>3540</v>
          </cell>
          <cell r="N925">
            <v>45938</v>
          </cell>
        </row>
        <row r="926">
          <cell r="D926" t="str">
            <v>DAPOP</v>
          </cell>
          <cell r="E926" t="str">
            <v>WKBM0001</v>
          </cell>
          <cell r="K926">
            <v>4620</v>
          </cell>
          <cell r="N926">
            <v>45938</v>
          </cell>
        </row>
        <row r="927">
          <cell r="D927" t="str">
            <v>DAPOP</v>
          </cell>
          <cell r="E927" t="str">
            <v>WKBM0001</v>
          </cell>
          <cell r="K927">
            <v>4620</v>
          </cell>
          <cell r="N927">
            <v>45938</v>
          </cell>
        </row>
        <row r="928">
          <cell r="D928" t="str">
            <v>DAPOP</v>
          </cell>
          <cell r="E928" t="str">
            <v>WKBM0001</v>
          </cell>
          <cell r="K928">
            <v>4680</v>
          </cell>
          <cell r="N928">
            <v>45938</v>
          </cell>
        </row>
        <row r="929">
          <cell r="D929" t="str">
            <v>DAPOP</v>
          </cell>
          <cell r="E929" t="str">
            <v>WKBM0001</v>
          </cell>
          <cell r="K929">
            <v>4680</v>
          </cell>
          <cell r="N929">
            <v>45938</v>
          </cell>
        </row>
        <row r="930">
          <cell r="D930" t="str">
            <v>MISS RÔSE</v>
          </cell>
          <cell r="E930" t="str">
            <v>WKBM0001</v>
          </cell>
          <cell r="K930">
            <v>2544</v>
          </cell>
          <cell r="N930">
            <v>45939</v>
          </cell>
        </row>
        <row r="931">
          <cell r="D931" t="str">
            <v>MISS RÔSE</v>
          </cell>
          <cell r="E931" t="str">
            <v>WKBM0001</v>
          </cell>
          <cell r="K931">
            <v>2544</v>
          </cell>
          <cell r="N931">
            <v>45938</v>
          </cell>
        </row>
        <row r="932">
          <cell r="D932" t="str">
            <v>MISS RÔSE</v>
          </cell>
          <cell r="E932" t="str">
            <v>WKBM0001</v>
          </cell>
          <cell r="K932">
            <v>2544</v>
          </cell>
          <cell r="N932">
            <v>45938</v>
          </cell>
        </row>
        <row r="933">
          <cell r="D933" t="str">
            <v>MISS RÔSE</v>
          </cell>
          <cell r="E933" t="str">
            <v>WKBM0001</v>
          </cell>
          <cell r="K933">
            <v>864</v>
          </cell>
          <cell r="N933">
            <v>45938</v>
          </cell>
        </row>
        <row r="934">
          <cell r="D934" t="str">
            <v>MISS RÔSE</v>
          </cell>
          <cell r="E934" t="str">
            <v>WKBM0001</v>
          </cell>
          <cell r="K934">
            <v>2544</v>
          </cell>
          <cell r="N934">
            <v>45938</v>
          </cell>
        </row>
        <row r="935">
          <cell r="D935" t="str">
            <v>CURADERM</v>
          </cell>
          <cell r="E935" t="str">
            <v>WKBM0001</v>
          </cell>
          <cell r="K935">
            <v>2115</v>
          </cell>
          <cell r="N935"/>
        </row>
        <row r="936">
          <cell r="D936" t="str">
            <v>CURADERM</v>
          </cell>
          <cell r="E936" t="str">
            <v>WKBM0001</v>
          </cell>
          <cell r="K936">
            <v>99</v>
          </cell>
          <cell r="N936"/>
        </row>
        <row r="937">
          <cell r="D937" t="str">
            <v>ISA BEAUTY</v>
          </cell>
          <cell r="E937" t="str">
            <v>WKBM0001</v>
          </cell>
          <cell r="K937">
            <v>4848</v>
          </cell>
          <cell r="N937"/>
        </row>
        <row r="938">
          <cell r="D938" t="str">
            <v>ISA BEAUTY</v>
          </cell>
          <cell r="E938" t="str">
            <v>WKBM0001</v>
          </cell>
          <cell r="K938">
            <v>120</v>
          </cell>
          <cell r="N938"/>
        </row>
        <row r="939">
          <cell r="D939" t="str">
            <v>ISA BEAUTY</v>
          </cell>
          <cell r="E939" t="str">
            <v>WKBM0001</v>
          </cell>
          <cell r="K939">
            <v>40</v>
          </cell>
          <cell r="N939"/>
        </row>
        <row r="940">
          <cell r="D940" t="str">
            <v>ISA BEAUTY</v>
          </cell>
          <cell r="E940" t="str">
            <v>WKBM0001</v>
          </cell>
          <cell r="K940">
            <v>760</v>
          </cell>
          <cell r="N940"/>
        </row>
        <row r="941">
          <cell r="D941" t="str">
            <v>ISA BEAUTY</v>
          </cell>
          <cell r="E941" t="str">
            <v>WKBM0001</v>
          </cell>
          <cell r="K941">
            <v>2400</v>
          </cell>
          <cell r="N941"/>
        </row>
        <row r="942">
          <cell r="D942" t="str">
            <v>ISA BEAUTY</v>
          </cell>
          <cell r="E942" t="str">
            <v>WKBM0001</v>
          </cell>
          <cell r="K942">
            <v>1056</v>
          </cell>
          <cell r="N942"/>
        </row>
        <row r="943">
          <cell r="D943" t="str">
            <v>ISA BEAUTY</v>
          </cell>
          <cell r="E943" t="str">
            <v>WKBM0001</v>
          </cell>
          <cell r="K943">
            <v>4704</v>
          </cell>
          <cell r="N943"/>
        </row>
        <row r="944">
          <cell r="D944" t="str">
            <v>ISA BEAUTY</v>
          </cell>
          <cell r="E944" t="str">
            <v>WKBM0001</v>
          </cell>
          <cell r="K944">
            <v>4944</v>
          </cell>
          <cell r="N944"/>
        </row>
        <row r="945">
          <cell r="D945" t="str">
            <v>ISA BEAUTY</v>
          </cell>
          <cell r="E945" t="str">
            <v>WKBM0001</v>
          </cell>
          <cell r="K945">
            <v>2496</v>
          </cell>
          <cell r="N945"/>
        </row>
        <row r="946">
          <cell r="D946" t="str">
            <v>ISA BEAUTY</v>
          </cell>
          <cell r="E946" t="str">
            <v>WKBM0001</v>
          </cell>
          <cell r="K946">
            <v>1608</v>
          </cell>
          <cell r="N946"/>
        </row>
        <row r="947">
          <cell r="D947" t="str">
            <v>ISA BEAUTY</v>
          </cell>
          <cell r="E947" t="str">
            <v>WKBM0001</v>
          </cell>
          <cell r="K947">
            <v>3072</v>
          </cell>
          <cell r="N947"/>
        </row>
        <row r="948">
          <cell r="D948" t="str">
            <v>ISA BEAUTY</v>
          </cell>
          <cell r="E948" t="str">
            <v>WKBM0001</v>
          </cell>
          <cell r="K948">
            <v>1440</v>
          </cell>
          <cell r="N948"/>
        </row>
        <row r="949">
          <cell r="D949" t="str">
            <v>ISA BEAUTY</v>
          </cell>
          <cell r="E949" t="str">
            <v>WKBM0001</v>
          </cell>
          <cell r="K949">
            <v>1440</v>
          </cell>
          <cell r="N949"/>
        </row>
        <row r="950">
          <cell r="D950" t="str">
            <v>ISA BEAUTY</v>
          </cell>
          <cell r="E950" t="str">
            <v>WKBM0001</v>
          </cell>
          <cell r="K950">
            <v>1440</v>
          </cell>
          <cell r="N950"/>
        </row>
        <row r="951">
          <cell r="D951" t="str">
            <v>ISA BEAUTY</v>
          </cell>
          <cell r="E951" t="str">
            <v>WKBM0001</v>
          </cell>
          <cell r="K951">
            <v>1440</v>
          </cell>
          <cell r="N951"/>
        </row>
        <row r="952">
          <cell r="D952" t="str">
            <v>ISA BEAUTY</v>
          </cell>
          <cell r="E952" t="str">
            <v>WKBM0001</v>
          </cell>
          <cell r="K952">
            <v>1440</v>
          </cell>
          <cell r="N952"/>
        </row>
        <row r="953">
          <cell r="D953" t="str">
            <v>DAPOP</v>
          </cell>
          <cell r="E953" t="str">
            <v>WKBM0001</v>
          </cell>
          <cell r="K953">
            <v>4620</v>
          </cell>
          <cell r="N953"/>
        </row>
        <row r="954">
          <cell r="D954" t="str">
            <v>DAPOP</v>
          </cell>
          <cell r="E954" t="str">
            <v>WKBM0001</v>
          </cell>
          <cell r="K954">
            <v>4620</v>
          </cell>
          <cell r="N954"/>
        </row>
        <row r="955">
          <cell r="D955" t="str">
            <v>DAPOP</v>
          </cell>
          <cell r="E955" t="str">
            <v>WKBM0001</v>
          </cell>
          <cell r="K955">
            <v>2220</v>
          </cell>
          <cell r="N955"/>
        </row>
        <row r="956">
          <cell r="D956" t="str">
            <v>DAPOP</v>
          </cell>
          <cell r="E956" t="str">
            <v>WKBM0001</v>
          </cell>
          <cell r="K956">
            <v>4020</v>
          </cell>
          <cell r="N956"/>
        </row>
        <row r="957">
          <cell r="D957" t="str">
            <v>DAPOP</v>
          </cell>
          <cell r="E957" t="str">
            <v>WKBM0001</v>
          </cell>
          <cell r="K957">
            <v>4020</v>
          </cell>
          <cell r="N957"/>
        </row>
        <row r="958">
          <cell r="D958" t="str">
            <v>ISA BEAUTY</v>
          </cell>
          <cell r="E958" t="str">
            <v>WKBM0001</v>
          </cell>
          <cell r="K958">
            <v>1000</v>
          </cell>
          <cell r="N958"/>
        </row>
        <row r="959">
          <cell r="D959" t="str">
            <v>DAPOP</v>
          </cell>
          <cell r="E959" t="str">
            <v>WKBM0001</v>
          </cell>
          <cell r="K959">
            <v>4140</v>
          </cell>
          <cell r="N959"/>
        </row>
        <row r="960">
          <cell r="D960" t="str">
            <v>DAPOP</v>
          </cell>
          <cell r="E960" t="str">
            <v>WKBM0001</v>
          </cell>
          <cell r="K960">
            <v>4080</v>
          </cell>
          <cell r="N960"/>
        </row>
        <row r="961">
          <cell r="D961" t="str">
            <v>GLOW</v>
          </cell>
          <cell r="E961" t="str">
            <v>WKBM0001</v>
          </cell>
          <cell r="K961">
            <v>4224</v>
          </cell>
          <cell r="N961"/>
        </row>
        <row r="962">
          <cell r="D962" t="str">
            <v>GLOW</v>
          </cell>
          <cell r="E962" t="str">
            <v>WKBM0001</v>
          </cell>
          <cell r="K962">
            <v>4800</v>
          </cell>
          <cell r="N962"/>
        </row>
        <row r="963">
          <cell r="D963" t="str">
            <v>DAPOP</v>
          </cell>
          <cell r="E963" t="str">
            <v>WKBM0001</v>
          </cell>
          <cell r="K963">
            <v>5040</v>
          </cell>
          <cell r="N963">
            <v>45894</v>
          </cell>
        </row>
        <row r="964">
          <cell r="D964" t="str">
            <v>DAPOP</v>
          </cell>
          <cell r="E964" t="str">
            <v>WKBM0001</v>
          </cell>
          <cell r="K964">
            <v>5040</v>
          </cell>
          <cell r="N964">
            <v>45894</v>
          </cell>
        </row>
        <row r="965">
          <cell r="D965" t="str">
            <v>DAPOP</v>
          </cell>
          <cell r="E965" t="str">
            <v>WKBM0001</v>
          </cell>
          <cell r="K965">
            <v>5040</v>
          </cell>
          <cell r="N965"/>
        </row>
        <row r="966">
          <cell r="D966" t="str">
            <v>DAPOP</v>
          </cell>
          <cell r="E966" t="str">
            <v>WKBM0001</v>
          </cell>
          <cell r="K966">
            <v>5040</v>
          </cell>
          <cell r="N966"/>
        </row>
        <row r="967">
          <cell r="D967" t="str">
            <v>B'BALM</v>
          </cell>
          <cell r="E967" t="str">
            <v>WKBM0001</v>
          </cell>
          <cell r="K967">
            <v>1536</v>
          </cell>
          <cell r="N967">
            <v>45894</v>
          </cell>
        </row>
        <row r="968">
          <cell r="D968" t="str">
            <v>MISS RÔSE</v>
          </cell>
          <cell r="E968" t="str">
            <v>WKBM0001</v>
          </cell>
          <cell r="K968">
            <v>2544</v>
          </cell>
          <cell r="N968">
            <v>45890</v>
          </cell>
        </row>
        <row r="969">
          <cell r="D969" t="str">
            <v>MISS RÔSE</v>
          </cell>
          <cell r="E969" t="str">
            <v>WKBM0001</v>
          </cell>
          <cell r="K969">
            <v>2544</v>
          </cell>
          <cell r="N969">
            <v>45890</v>
          </cell>
        </row>
        <row r="970">
          <cell r="D970" t="str">
            <v>MISS RÔSE</v>
          </cell>
          <cell r="E970" t="str">
            <v>WKBM0001</v>
          </cell>
          <cell r="K970">
            <v>2544</v>
          </cell>
          <cell r="N970">
            <v>45890</v>
          </cell>
        </row>
        <row r="971">
          <cell r="D971" t="str">
            <v>MISS RÔSE</v>
          </cell>
          <cell r="E971" t="str">
            <v>WKBM0001</v>
          </cell>
          <cell r="K971">
            <v>2544</v>
          </cell>
          <cell r="N971">
            <v>45890</v>
          </cell>
        </row>
        <row r="972">
          <cell r="D972" t="str">
            <v>MISS RÔSE</v>
          </cell>
          <cell r="E972" t="str">
            <v>WKBM0001</v>
          </cell>
          <cell r="K972">
            <v>2544</v>
          </cell>
          <cell r="N972">
            <v>45890</v>
          </cell>
        </row>
        <row r="973">
          <cell r="D973" t="str">
            <v>B'BALM</v>
          </cell>
          <cell r="E973" t="str">
            <v>WKBM0001</v>
          </cell>
          <cell r="K973">
            <v>840</v>
          </cell>
          <cell r="N973">
            <v>45889</v>
          </cell>
        </row>
        <row r="974">
          <cell r="D974" t="str">
            <v>B'BALM</v>
          </cell>
          <cell r="E974" t="str">
            <v>WKBM0001</v>
          </cell>
          <cell r="K974">
            <v>2544</v>
          </cell>
          <cell r="N974">
            <v>45889</v>
          </cell>
        </row>
        <row r="975">
          <cell r="D975" t="str">
            <v>B'BALM</v>
          </cell>
          <cell r="E975" t="str">
            <v>WKBM0001</v>
          </cell>
          <cell r="K975">
            <v>2544</v>
          </cell>
          <cell r="N975">
            <v>45889</v>
          </cell>
        </row>
        <row r="976">
          <cell r="D976" t="str">
            <v>B'BALM</v>
          </cell>
          <cell r="E976" t="str">
            <v>WKBM0001</v>
          </cell>
          <cell r="K976">
            <v>2532</v>
          </cell>
          <cell r="N976">
            <v>45889</v>
          </cell>
        </row>
        <row r="977">
          <cell r="D977" t="str">
            <v>B'BALM</v>
          </cell>
          <cell r="E977" t="str">
            <v>WKBM0001</v>
          </cell>
          <cell r="K977">
            <v>2544</v>
          </cell>
          <cell r="N977">
            <v>45889</v>
          </cell>
        </row>
        <row r="978">
          <cell r="D978" t="str">
            <v>B'BALM</v>
          </cell>
          <cell r="E978" t="str">
            <v>WKBM0001</v>
          </cell>
          <cell r="K978">
            <v>2544</v>
          </cell>
          <cell r="N978">
            <v>45889</v>
          </cell>
        </row>
        <row r="979">
          <cell r="D979" t="str">
            <v>B'BALM</v>
          </cell>
          <cell r="E979" t="str">
            <v>WKBM0001</v>
          </cell>
          <cell r="K979">
            <v>2544</v>
          </cell>
          <cell r="N979">
            <v>45889</v>
          </cell>
        </row>
        <row r="980">
          <cell r="D980" t="str">
            <v>B'BALM</v>
          </cell>
          <cell r="E980" t="str">
            <v>WKBM0001</v>
          </cell>
          <cell r="K980">
            <v>2472</v>
          </cell>
          <cell r="N980">
            <v>45889</v>
          </cell>
        </row>
        <row r="981">
          <cell r="D981" t="str">
            <v>B'BALM</v>
          </cell>
          <cell r="E981" t="str">
            <v>WKBM0001</v>
          </cell>
          <cell r="K981">
            <v>2544</v>
          </cell>
          <cell r="N981">
            <v>45887</v>
          </cell>
        </row>
        <row r="982">
          <cell r="D982" t="str">
            <v>B'BALM</v>
          </cell>
          <cell r="E982" t="str">
            <v>WKBM0001</v>
          </cell>
          <cell r="K982">
            <v>2544</v>
          </cell>
          <cell r="N982">
            <v>45887</v>
          </cell>
        </row>
        <row r="983">
          <cell r="D983" t="str">
            <v>B'BALM</v>
          </cell>
          <cell r="E983" t="str">
            <v>WKBM0001</v>
          </cell>
          <cell r="K983">
            <v>2472</v>
          </cell>
          <cell r="N983">
            <v>45887</v>
          </cell>
        </row>
        <row r="984">
          <cell r="D984" t="str">
            <v>B'BALM</v>
          </cell>
          <cell r="E984" t="str">
            <v>WKBM0001</v>
          </cell>
          <cell r="K984">
            <v>2472</v>
          </cell>
          <cell r="N984">
            <v>45887</v>
          </cell>
        </row>
        <row r="985">
          <cell r="D985" t="str">
            <v>B'BALM</v>
          </cell>
          <cell r="E985" t="str">
            <v>WKBM0001</v>
          </cell>
          <cell r="K985">
            <v>2544</v>
          </cell>
          <cell r="N985">
            <v>45883</v>
          </cell>
        </row>
        <row r="986">
          <cell r="D986" t="str">
            <v>B'BALM</v>
          </cell>
          <cell r="E986" t="str">
            <v>WKBM0001</v>
          </cell>
          <cell r="K986">
            <v>2544</v>
          </cell>
          <cell r="N986">
            <v>45883</v>
          </cell>
        </row>
        <row r="987">
          <cell r="D987" t="str">
            <v>B'BALM</v>
          </cell>
          <cell r="E987" t="str">
            <v>WKBM0001</v>
          </cell>
          <cell r="K987">
            <v>2544</v>
          </cell>
          <cell r="N987">
            <v>45883</v>
          </cell>
        </row>
        <row r="988">
          <cell r="D988" t="str">
            <v>B'BALM</v>
          </cell>
          <cell r="E988" t="str">
            <v>WKBM0001</v>
          </cell>
          <cell r="K988">
            <v>2472</v>
          </cell>
          <cell r="N988">
            <v>45883</v>
          </cell>
        </row>
        <row r="989">
          <cell r="D989" t="str">
            <v>B'BALM</v>
          </cell>
          <cell r="E989" t="str">
            <v>WKBM0001</v>
          </cell>
          <cell r="K989">
            <v>2544</v>
          </cell>
          <cell r="N989">
            <v>45882</v>
          </cell>
        </row>
        <row r="990">
          <cell r="D990" t="str">
            <v>B'BALM</v>
          </cell>
          <cell r="E990" t="str">
            <v>WKBM0001</v>
          </cell>
          <cell r="K990">
            <v>2472</v>
          </cell>
          <cell r="N990">
            <v>45882</v>
          </cell>
        </row>
        <row r="991">
          <cell r="D991" t="str">
            <v>DAPOP</v>
          </cell>
          <cell r="E991" t="str">
            <v>WKBM0001</v>
          </cell>
          <cell r="K991">
            <v>4020</v>
          </cell>
          <cell r="N991">
            <v>45889</v>
          </cell>
        </row>
        <row r="992">
          <cell r="D992" t="str">
            <v>DAPOP</v>
          </cell>
          <cell r="E992" t="str">
            <v>WKBM0001</v>
          </cell>
          <cell r="K992">
            <v>4020</v>
          </cell>
          <cell r="N992">
            <v>45889</v>
          </cell>
        </row>
        <row r="993">
          <cell r="D993" t="str">
            <v>DAPOP</v>
          </cell>
          <cell r="E993" t="str">
            <v>WKBM0001</v>
          </cell>
          <cell r="K993">
            <v>4020</v>
          </cell>
          <cell r="N993">
            <v>45889</v>
          </cell>
        </row>
        <row r="994">
          <cell r="D994" t="str">
            <v>DAPOP</v>
          </cell>
          <cell r="E994" t="str">
            <v>WKBM0001</v>
          </cell>
          <cell r="K994">
            <v>4020</v>
          </cell>
          <cell r="N994">
            <v>45889</v>
          </cell>
        </row>
        <row r="995">
          <cell r="D995" t="str">
            <v>DAPOP</v>
          </cell>
          <cell r="E995" t="str">
            <v>WKBM0001</v>
          </cell>
          <cell r="K995">
            <v>4020</v>
          </cell>
          <cell r="N995">
            <v>45889</v>
          </cell>
        </row>
        <row r="996">
          <cell r="D996" t="str">
            <v>B'BALM</v>
          </cell>
          <cell r="E996" t="str">
            <v>WKBM0001</v>
          </cell>
          <cell r="K996">
            <v>72</v>
          </cell>
          <cell r="N996">
            <v>45889</v>
          </cell>
        </row>
        <row r="997">
          <cell r="D997" t="str">
            <v>B'BALM</v>
          </cell>
          <cell r="E997" t="str">
            <v>WKBM0001</v>
          </cell>
          <cell r="K997">
            <v>72</v>
          </cell>
          <cell r="N997">
            <v>45889</v>
          </cell>
        </row>
        <row r="998">
          <cell r="D998" t="str">
            <v>B'BALM</v>
          </cell>
          <cell r="E998" t="str">
            <v>WKBM0001</v>
          </cell>
          <cell r="K998">
            <v>72</v>
          </cell>
          <cell r="N998">
            <v>45889</v>
          </cell>
        </row>
        <row r="999">
          <cell r="D999" t="str">
            <v>B'BALM</v>
          </cell>
          <cell r="E999" t="str">
            <v>WKBM0001</v>
          </cell>
          <cell r="K999">
            <v>72</v>
          </cell>
          <cell r="N999">
            <v>45889</v>
          </cell>
        </row>
        <row r="1000">
          <cell r="D1000" t="str">
            <v>B'BALM</v>
          </cell>
          <cell r="E1000" t="str">
            <v>WKBM0001</v>
          </cell>
          <cell r="K1000">
            <v>72</v>
          </cell>
          <cell r="N1000">
            <v>45889</v>
          </cell>
        </row>
        <row r="1001">
          <cell r="D1001" t="str">
            <v>B'BALM</v>
          </cell>
          <cell r="E1001" t="str">
            <v>WKBM0001</v>
          </cell>
          <cell r="K1001">
            <v>72</v>
          </cell>
          <cell r="N1001">
            <v>45889</v>
          </cell>
        </row>
        <row r="1002">
          <cell r="D1002" t="str">
            <v>DAPOP</v>
          </cell>
          <cell r="E1002" t="str">
            <v>WKBM0001</v>
          </cell>
          <cell r="K1002">
            <v>3060</v>
          </cell>
          <cell r="N1002">
            <v>45881</v>
          </cell>
        </row>
        <row r="1003">
          <cell r="D1003" t="str">
            <v>DAPOP</v>
          </cell>
          <cell r="E1003" t="str">
            <v>WKBM0001</v>
          </cell>
          <cell r="K1003">
            <v>4020</v>
          </cell>
          <cell r="N1003">
            <v>45881</v>
          </cell>
        </row>
        <row r="1004">
          <cell r="D1004" t="str">
            <v>DAPOP</v>
          </cell>
          <cell r="E1004" t="str">
            <v>WKBM0001</v>
          </cell>
          <cell r="K1004">
            <v>4020</v>
          </cell>
          <cell r="N1004">
            <v>45880</v>
          </cell>
        </row>
        <row r="1005">
          <cell r="D1005" t="str">
            <v>DAPOP</v>
          </cell>
          <cell r="E1005" t="str">
            <v>WKBM0001</v>
          </cell>
          <cell r="K1005">
            <v>4020</v>
          </cell>
          <cell r="N1005">
            <v>45877</v>
          </cell>
        </row>
        <row r="1006">
          <cell r="D1006" t="str">
            <v>DAPOP</v>
          </cell>
          <cell r="E1006" t="str">
            <v>WKBM0001</v>
          </cell>
          <cell r="K1006">
            <v>4020</v>
          </cell>
          <cell r="N1006">
            <v>45876</v>
          </cell>
        </row>
        <row r="1007">
          <cell r="D1007" t="str">
            <v>MISS RÔSE</v>
          </cell>
          <cell r="E1007" t="str">
            <v>WKBM0001</v>
          </cell>
          <cell r="K1007">
            <v>2736</v>
          </cell>
          <cell r="N1007">
            <v>45882</v>
          </cell>
        </row>
        <row r="1008">
          <cell r="D1008" t="str">
            <v>MISS RÔSE</v>
          </cell>
          <cell r="E1008" t="str">
            <v>WKBM0001</v>
          </cell>
          <cell r="K1008">
            <v>2544</v>
          </cell>
          <cell r="N1008">
            <v>45881</v>
          </cell>
        </row>
        <row r="1009">
          <cell r="D1009" t="str">
            <v>MISS RÔSE</v>
          </cell>
          <cell r="E1009" t="str">
            <v>WKBM0001</v>
          </cell>
          <cell r="K1009">
            <v>1248</v>
          </cell>
          <cell r="N1009">
            <v>45881</v>
          </cell>
        </row>
        <row r="1010">
          <cell r="D1010" t="str">
            <v>MISS RÔSE</v>
          </cell>
          <cell r="E1010" t="str">
            <v>WKBM0001</v>
          </cell>
          <cell r="K1010">
            <v>1536</v>
          </cell>
          <cell r="N1010">
            <v>45881</v>
          </cell>
        </row>
        <row r="1011">
          <cell r="D1011" t="str">
            <v>MISS RÔSE</v>
          </cell>
          <cell r="E1011" t="str">
            <v>WKBM0001</v>
          </cell>
          <cell r="K1011">
            <v>2544</v>
          </cell>
          <cell r="N1011">
            <v>45881</v>
          </cell>
        </row>
        <row r="1012">
          <cell r="D1012" t="str">
            <v>MISS RÔSE</v>
          </cell>
          <cell r="E1012" t="str">
            <v>WKBM0001</v>
          </cell>
          <cell r="K1012">
            <v>2544</v>
          </cell>
          <cell r="N1012">
            <v>45880</v>
          </cell>
        </row>
        <row r="1013">
          <cell r="D1013" t="str">
            <v>MISS RÔSE</v>
          </cell>
          <cell r="E1013" t="str">
            <v>WKBM0001</v>
          </cell>
          <cell r="K1013">
            <v>240</v>
          </cell>
          <cell r="N1013">
            <v>45880</v>
          </cell>
        </row>
        <row r="1014">
          <cell r="D1014" t="str">
            <v>DAPOP</v>
          </cell>
          <cell r="E1014" t="str">
            <v>WKBM0001</v>
          </cell>
          <cell r="K1014">
            <v>4020</v>
          </cell>
          <cell r="N1014">
            <v>45876</v>
          </cell>
        </row>
        <row r="1015">
          <cell r="D1015" t="str">
            <v>DAPOP</v>
          </cell>
          <cell r="E1015" t="str">
            <v>WKBM0001</v>
          </cell>
          <cell r="K1015">
            <v>4020</v>
          </cell>
          <cell r="N1015">
            <v>45876</v>
          </cell>
        </row>
        <row r="1016">
          <cell r="D1016" t="str">
            <v>DAPOP</v>
          </cell>
          <cell r="E1016" t="str">
            <v>WKBM0001</v>
          </cell>
          <cell r="K1016">
            <v>4020</v>
          </cell>
          <cell r="N1016">
            <v>45874</v>
          </cell>
        </row>
        <row r="1017">
          <cell r="D1017" t="str">
            <v>DAPOP</v>
          </cell>
          <cell r="E1017" t="str">
            <v>WKBM0001</v>
          </cell>
          <cell r="K1017">
            <v>4020</v>
          </cell>
          <cell r="N1017">
            <v>45874</v>
          </cell>
        </row>
        <row r="1018">
          <cell r="D1018" t="str">
            <v>DAPOP</v>
          </cell>
          <cell r="E1018" t="str">
            <v>WKBM0001</v>
          </cell>
          <cell r="K1018">
            <v>4020</v>
          </cell>
          <cell r="N1018">
            <v>45873</v>
          </cell>
        </row>
        <row r="1019">
          <cell r="D1019" t="str">
            <v>PARAISO DAS ESSÊNCIAS</v>
          </cell>
          <cell r="E1019" t="str">
            <v>WKBM0001</v>
          </cell>
          <cell r="K1019">
            <v>270</v>
          </cell>
          <cell r="N1019">
            <v>45877</v>
          </cell>
        </row>
        <row r="1020">
          <cell r="D1020" t="str">
            <v>PARAISO DAS ESSÊNCIAS</v>
          </cell>
          <cell r="E1020" t="str">
            <v>WKBM0001</v>
          </cell>
          <cell r="K1020">
            <v>5</v>
          </cell>
          <cell r="N1020">
            <v>45877</v>
          </cell>
        </row>
        <row r="1021">
          <cell r="D1021" t="str">
            <v>PARAISO DAS ESSÊNCIAS</v>
          </cell>
          <cell r="E1021" t="str">
            <v>WKBM0001</v>
          </cell>
          <cell r="K1021">
            <v>555</v>
          </cell>
          <cell r="N1021">
            <v>45877</v>
          </cell>
        </row>
        <row r="1022">
          <cell r="D1022" t="str">
            <v>PARAISO DAS ESSÊNCIAS</v>
          </cell>
          <cell r="E1022" t="str">
            <v>WKBM0001</v>
          </cell>
          <cell r="K1022">
            <v>555</v>
          </cell>
          <cell r="N1022">
            <v>45877</v>
          </cell>
        </row>
        <row r="1023">
          <cell r="D1023" t="str">
            <v>PARAISO DAS ESSÊNCIAS</v>
          </cell>
          <cell r="E1023" t="str">
            <v>WKBM0001</v>
          </cell>
          <cell r="K1023">
            <v>555</v>
          </cell>
          <cell r="N1023">
            <v>45876</v>
          </cell>
        </row>
        <row r="1024">
          <cell r="D1024" t="str">
            <v>PARAISO DAS ESSÊNCIAS</v>
          </cell>
          <cell r="E1024" t="str">
            <v>WKBM0001</v>
          </cell>
          <cell r="K1024">
            <v>555</v>
          </cell>
          <cell r="N1024">
            <v>45876</v>
          </cell>
        </row>
        <row r="1025">
          <cell r="D1025" t="str">
            <v>PARAISO DAS ESSÊNCIAS</v>
          </cell>
          <cell r="E1025" t="str">
            <v>WKBM0001</v>
          </cell>
          <cell r="K1025">
            <v>546</v>
          </cell>
          <cell r="N1025">
            <v>45876</v>
          </cell>
        </row>
        <row r="1026">
          <cell r="D1026" t="str">
            <v>PARAISO DAS ESSÊNCIAS</v>
          </cell>
          <cell r="E1026" t="str">
            <v>WKBM0001</v>
          </cell>
          <cell r="K1026">
            <v>546</v>
          </cell>
          <cell r="N1026">
            <v>45876</v>
          </cell>
        </row>
        <row r="1027">
          <cell r="D1027" t="str">
            <v>MISS RÔSE</v>
          </cell>
          <cell r="E1027" t="str">
            <v>WKBM0001</v>
          </cell>
          <cell r="K1027">
            <v>2352</v>
          </cell>
          <cell r="N1027">
            <v>45874</v>
          </cell>
        </row>
        <row r="1028">
          <cell r="D1028" t="str">
            <v>MISS RÔSE</v>
          </cell>
          <cell r="E1028" t="str">
            <v>WKBM0001</v>
          </cell>
          <cell r="K1028">
            <v>2544</v>
          </cell>
          <cell r="N1028">
            <v>45874</v>
          </cell>
        </row>
        <row r="1029">
          <cell r="D1029" t="str">
            <v>MISS RÔSE</v>
          </cell>
          <cell r="E1029" t="str">
            <v>WKBM0001</v>
          </cell>
          <cell r="K1029">
            <v>2544</v>
          </cell>
          <cell r="N1029">
            <v>45874</v>
          </cell>
        </row>
        <row r="1030">
          <cell r="D1030" t="str">
            <v>MISS RÔSE</v>
          </cell>
          <cell r="E1030" t="str">
            <v>WKBM0001</v>
          </cell>
          <cell r="K1030">
            <v>2496</v>
          </cell>
          <cell r="N1030">
            <v>45874</v>
          </cell>
        </row>
        <row r="1031">
          <cell r="D1031" t="str">
            <v>MISS RÔSE</v>
          </cell>
          <cell r="E1031" t="str">
            <v>WKBM0001</v>
          </cell>
          <cell r="K1031">
            <v>2544</v>
          </cell>
          <cell r="N1031">
            <v>45874</v>
          </cell>
        </row>
        <row r="1032">
          <cell r="D1032" t="str">
            <v>MISS RÔSE</v>
          </cell>
          <cell r="E1032" t="str">
            <v>WKBM0001</v>
          </cell>
          <cell r="K1032">
            <v>2990</v>
          </cell>
          <cell r="N1032">
            <v>45873</v>
          </cell>
        </row>
        <row r="1033">
          <cell r="D1033" t="str">
            <v>MISS RÔSE</v>
          </cell>
          <cell r="E1033" t="str">
            <v>WKBM0001</v>
          </cell>
          <cell r="K1033">
            <v>1248</v>
          </cell>
          <cell r="N1033">
            <v>45873</v>
          </cell>
        </row>
        <row r="1034">
          <cell r="D1034" t="str">
            <v>MISS RÔSE</v>
          </cell>
          <cell r="E1034" t="str">
            <v>WKBM0001</v>
          </cell>
          <cell r="K1034">
            <v>2544</v>
          </cell>
          <cell r="N1034">
            <v>45870</v>
          </cell>
        </row>
        <row r="1035">
          <cell r="D1035" t="str">
            <v>MISS RÔSE</v>
          </cell>
          <cell r="E1035" t="str">
            <v>WKBM0001</v>
          </cell>
          <cell r="K1035">
            <v>2592</v>
          </cell>
          <cell r="N1035">
            <v>45870</v>
          </cell>
        </row>
        <row r="1036">
          <cell r="D1036" t="str">
            <v>MISS RÔSE</v>
          </cell>
          <cell r="E1036" t="str">
            <v>WKBM0001</v>
          </cell>
          <cell r="K1036">
            <v>2544</v>
          </cell>
          <cell r="N1036">
            <v>45870</v>
          </cell>
        </row>
        <row r="1037">
          <cell r="D1037" t="str">
            <v>MISS RÔSE</v>
          </cell>
          <cell r="E1037" t="str">
            <v>WKBM0001</v>
          </cell>
          <cell r="K1037">
            <v>2544</v>
          </cell>
          <cell r="N1037">
            <v>45869</v>
          </cell>
        </row>
        <row r="1038">
          <cell r="D1038" t="str">
            <v>MISS RÔSE</v>
          </cell>
          <cell r="E1038" t="str">
            <v>WKBM0001</v>
          </cell>
          <cell r="K1038">
            <v>1008</v>
          </cell>
          <cell r="N1038">
            <v>45869</v>
          </cell>
        </row>
        <row r="1039">
          <cell r="D1039" t="str">
            <v>GLOW</v>
          </cell>
          <cell r="E1039" t="str">
            <v>WKBM0001</v>
          </cell>
          <cell r="K1039">
            <v>1680</v>
          </cell>
          <cell r="N1039">
            <v>45869</v>
          </cell>
        </row>
        <row r="1040">
          <cell r="D1040" t="str">
            <v>GLOW</v>
          </cell>
          <cell r="E1040" t="str">
            <v>WKBM0001</v>
          </cell>
          <cell r="K1040">
            <v>1680</v>
          </cell>
          <cell r="N1040">
            <v>45869</v>
          </cell>
        </row>
        <row r="1041">
          <cell r="D1041" t="str">
            <v>GLOW</v>
          </cell>
          <cell r="E1041" t="str">
            <v>WKBM0001</v>
          </cell>
          <cell r="K1041">
            <v>1680</v>
          </cell>
          <cell r="N1041">
            <v>45869</v>
          </cell>
        </row>
        <row r="1042">
          <cell r="D1042" t="str">
            <v>MISS RÔSE</v>
          </cell>
          <cell r="E1042" t="str">
            <v>WKBM0001</v>
          </cell>
          <cell r="K1042">
            <v>1536</v>
          </cell>
          <cell r="N1042">
            <v>45869</v>
          </cell>
        </row>
        <row r="1043">
          <cell r="D1043" t="str">
            <v>GLOW</v>
          </cell>
          <cell r="E1043" t="str">
            <v>WKBM0001</v>
          </cell>
          <cell r="K1043">
            <v>1248</v>
          </cell>
          <cell r="N1043">
            <v>45868</v>
          </cell>
        </row>
        <row r="1044">
          <cell r="D1044" t="str">
            <v>GLOW</v>
          </cell>
          <cell r="E1044" t="str">
            <v>WKBM0001</v>
          </cell>
          <cell r="K1044">
            <v>1680</v>
          </cell>
          <cell r="N1044">
            <v>45868</v>
          </cell>
        </row>
        <row r="1045">
          <cell r="D1045" t="str">
            <v>GLOW</v>
          </cell>
          <cell r="E1045" t="str">
            <v>WKBM0001</v>
          </cell>
          <cell r="K1045">
            <v>1680</v>
          </cell>
          <cell r="N1045">
            <v>45868</v>
          </cell>
        </row>
        <row r="1046">
          <cell r="D1046" t="str">
            <v>GLOW</v>
          </cell>
          <cell r="E1046" t="str">
            <v>WKBM0001</v>
          </cell>
          <cell r="K1046">
            <v>1680</v>
          </cell>
          <cell r="N1046">
            <v>45868</v>
          </cell>
        </row>
        <row r="1047">
          <cell r="D1047" t="str">
            <v>MISS RÔSE</v>
          </cell>
          <cell r="E1047" t="str">
            <v>WKBM0001</v>
          </cell>
          <cell r="K1047">
            <v>768</v>
          </cell>
          <cell r="N1047">
            <v>45868</v>
          </cell>
        </row>
        <row r="1048">
          <cell r="D1048" t="str">
            <v>MISS RÔSE</v>
          </cell>
          <cell r="E1048" t="str">
            <v>WKBM0001</v>
          </cell>
          <cell r="K1048">
            <v>2544</v>
          </cell>
          <cell r="N1048">
            <v>45868</v>
          </cell>
        </row>
        <row r="1049">
          <cell r="D1049" t="str">
            <v>GLOW</v>
          </cell>
          <cell r="E1049" t="str">
            <v>WKBM0001</v>
          </cell>
          <cell r="K1049">
            <v>1584</v>
          </cell>
          <cell r="N1049">
            <v>45867</v>
          </cell>
        </row>
        <row r="1050">
          <cell r="D1050" t="str">
            <v>GLOW</v>
          </cell>
          <cell r="E1050" t="str">
            <v>WKBM0001</v>
          </cell>
          <cell r="K1050">
            <v>1680</v>
          </cell>
          <cell r="N1050">
            <v>45867</v>
          </cell>
        </row>
        <row r="1051">
          <cell r="D1051" t="str">
            <v>GLOW</v>
          </cell>
          <cell r="E1051" t="str">
            <v>WKBM0001</v>
          </cell>
          <cell r="K1051">
            <v>1680</v>
          </cell>
          <cell r="N1051">
            <v>45867</v>
          </cell>
        </row>
        <row r="1052">
          <cell r="D1052" t="str">
            <v>GLOW</v>
          </cell>
          <cell r="E1052" t="str">
            <v>WKBM0001</v>
          </cell>
          <cell r="K1052">
            <v>1680</v>
          </cell>
          <cell r="N1052">
            <v>45867</v>
          </cell>
        </row>
        <row r="1053">
          <cell r="D1053" t="str">
            <v>MISS RÔSE</v>
          </cell>
          <cell r="E1053" t="str">
            <v>WKBM0001</v>
          </cell>
          <cell r="K1053">
            <v>2544</v>
          </cell>
          <cell r="N1053">
            <v>45867</v>
          </cell>
        </row>
        <row r="1054">
          <cell r="D1054" t="str">
            <v>MISS RÔSE</v>
          </cell>
          <cell r="E1054" t="str">
            <v>WKBM0001</v>
          </cell>
          <cell r="K1054">
            <v>2544</v>
          </cell>
          <cell r="N1054">
            <v>45867</v>
          </cell>
        </row>
        <row r="1055">
          <cell r="D1055" t="str">
            <v>MISS RÔSE</v>
          </cell>
          <cell r="E1055" t="str">
            <v>WKBM0001</v>
          </cell>
          <cell r="K1055">
            <v>2544</v>
          </cell>
          <cell r="N1055">
            <v>45867</v>
          </cell>
        </row>
        <row r="1056">
          <cell r="D1056" t="str">
            <v>GLOW</v>
          </cell>
          <cell r="E1056" t="str">
            <v>WKBM0001</v>
          </cell>
          <cell r="K1056">
            <v>1056</v>
          </cell>
          <cell r="N1056">
            <v>45866</v>
          </cell>
        </row>
        <row r="1057">
          <cell r="D1057" t="str">
            <v>GLOW</v>
          </cell>
          <cell r="E1057" t="str">
            <v>WKBM0001</v>
          </cell>
          <cell r="K1057">
            <v>1680</v>
          </cell>
          <cell r="N1057">
            <v>45866</v>
          </cell>
        </row>
        <row r="1058">
          <cell r="D1058" t="str">
            <v>GLOW</v>
          </cell>
          <cell r="E1058" t="str">
            <v>WKBM0001</v>
          </cell>
          <cell r="K1058">
            <v>1680</v>
          </cell>
          <cell r="N1058">
            <v>45866</v>
          </cell>
        </row>
        <row r="1059">
          <cell r="D1059" t="str">
            <v>GLOW</v>
          </cell>
          <cell r="E1059" t="str">
            <v>WKBM0001</v>
          </cell>
          <cell r="K1059">
            <v>1680</v>
          </cell>
          <cell r="N1059">
            <v>45866</v>
          </cell>
        </row>
        <row r="1060">
          <cell r="D1060" t="str">
            <v>GLOW</v>
          </cell>
          <cell r="E1060" t="str">
            <v>WKBM0001</v>
          </cell>
          <cell r="K1060">
            <v>1680</v>
          </cell>
          <cell r="N1060">
            <v>45863</v>
          </cell>
        </row>
        <row r="1061">
          <cell r="D1061" t="str">
            <v>GLOW</v>
          </cell>
          <cell r="E1061" t="str">
            <v>WKBM0001</v>
          </cell>
          <cell r="K1061">
            <v>1680</v>
          </cell>
          <cell r="N1061">
            <v>45863</v>
          </cell>
        </row>
        <row r="1062">
          <cell r="D1062" t="str">
            <v>GLOW</v>
          </cell>
          <cell r="E1062" t="str">
            <v>WKBM0001</v>
          </cell>
          <cell r="K1062">
            <v>1824</v>
          </cell>
          <cell r="N1062">
            <v>45863</v>
          </cell>
        </row>
        <row r="1063">
          <cell r="D1063" t="str">
            <v>MISS RÔSE</v>
          </cell>
          <cell r="E1063" t="str">
            <v>WKBM0001</v>
          </cell>
          <cell r="K1063">
            <v>2544</v>
          </cell>
          <cell r="N1063">
            <v>45866</v>
          </cell>
        </row>
        <row r="1064">
          <cell r="D1064" t="str">
            <v>MISS RÔSE</v>
          </cell>
          <cell r="E1064" t="str">
            <v>WKBM0001</v>
          </cell>
          <cell r="K1064">
            <v>2544</v>
          </cell>
          <cell r="N1064">
            <v>45866</v>
          </cell>
        </row>
        <row r="1065">
          <cell r="D1065" t="str">
            <v>MISS RÔSE</v>
          </cell>
          <cell r="E1065" t="str">
            <v>WKBM0001</v>
          </cell>
          <cell r="K1065">
            <v>2544</v>
          </cell>
          <cell r="N1065">
            <v>45863</v>
          </cell>
        </row>
        <row r="1066">
          <cell r="D1066" t="str">
            <v>MISS RÔSE</v>
          </cell>
          <cell r="E1066" t="str">
            <v>WKBM0001</v>
          </cell>
          <cell r="K1066">
            <v>2640</v>
          </cell>
          <cell r="N1066">
            <v>45860</v>
          </cell>
        </row>
        <row r="1067">
          <cell r="D1067" t="str">
            <v>MISS RÔSE</v>
          </cell>
          <cell r="E1067" t="str">
            <v>WKBM0001</v>
          </cell>
          <cell r="K1067">
            <v>2544</v>
          </cell>
          <cell r="N1067">
            <v>45860</v>
          </cell>
        </row>
        <row r="1068">
          <cell r="D1068" t="str">
            <v>MISS RÔSE</v>
          </cell>
          <cell r="E1068" t="str">
            <v>WKBM0001</v>
          </cell>
          <cell r="K1068">
            <v>2544</v>
          </cell>
          <cell r="N1068">
            <v>45860</v>
          </cell>
        </row>
        <row r="1069">
          <cell r="D1069" t="str">
            <v>MISS RÔSE</v>
          </cell>
          <cell r="E1069" t="str">
            <v>WKBM0001</v>
          </cell>
          <cell r="K1069">
            <v>2544</v>
          </cell>
          <cell r="N1069">
            <v>45860</v>
          </cell>
        </row>
        <row r="1070">
          <cell r="D1070" t="str">
            <v>DAPOP</v>
          </cell>
          <cell r="E1070" t="str">
            <v>WKBM0001</v>
          </cell>
          <cell r="K1070">
            <v>1260</v>
          </cell>
          <cell r="N1070">
            <v>45860</v>
          </cell>
        </row>
        <row r="1071">
          <cell r="D1071" t="str">
            <v>DAPOP</v>
          </cell>
          <cell r="E1071" t="str">
            <v>WKBM0001</v>
          </cell>
          <cell r="K1071">
            <v>4620</v>
          </cell>
          <cell r="N1071">
            <v>45860</v>
          </cell>
        </row>
        <row r="1072">
          <cell r="D1072" t="str">
            <v>DAPOP</v>
          </cell>
          <cell r="E1072" t="str">
            <v>WKBM0001</v>
          </cell>
          <cell r="K1072">
            <v>4620</v>
          </cell>
          <cell r="N1072">
            <v>45860</v>
          </cell>
        </row>
        <row r="1073">
          <cell r="D1073" t="str">
            <v>DAPOP</v>
          </cell>
          <cell r="E1073" t="str">
            <v>WKBM0001</v>
          </cell>
          <cell r="K1073">
            <v>4620</v>
          </cell>
          <cell r="N1073">
            <v>45860</v>
          </cell>
        </row>
        <row r="1074">
          <cell r="D1074" t="str">
            <v>DAPOP</v>
          </cell>
          <cell r="E1074" t="str">
            <v>WKBM0001</v>
          </cell>
          <cell r="K1074">
            <v>4620</v>
          </cell>
          <cell r="N1074">
            <v>45860</v>
          </cell>
        </row>
        <row r="1075">
          <cell r="D1075" t="str">
            <v xml:space="preserve">GOTA ZEN </v>
          </cell>
          <cell r="E1075" t="str">
            <v>WKBM0001</v>
          </cell>
          <cell r="K1075">
            <v>2016</v>
          </cell>
          <cell r="N1075" t="str">
            <v>-</v>
          </cell>
        </row>
        <row r="1076">
          <cell r="D1076" t="str">
            <v xml:space="preserve">GOTA ZEN </v>
          </cell>
          <cell r="E1076" t="str">
            <v>WKBM0001</v>
          </cell>
          <cell r="K1076">
            <v>2016</v>
          </cell>
          <cell r="N1076" t="str">
            <v>-</v>
          </cell>
        </row>
        <row r="1077">
          <cell r="D1077" t="str">
            <v xml:space="preserve">GOTA ZEN </v>
          </cell>
          <cell r="E1077" t="str">
            <v>WKBM0001</v>
          </cell>
          <cell r="K1077">
            <v>2016</v>
          </cell>
          <cell r="N1077" t="str">
            <v>-</v>
          </cell>
        </row>
        <row r="1078">
          <cell r="D1078" t="str">
            <v xml:space="preserve">GOTA ZEN </v>
          </cell>
          <cell r="E1078" t="str">
            <v>WKBM0001</v>
          </cell>
          <cell r="K1078">
            <v>2016</v>
          </cell>
          <cell r="N1078" t="str">
            <v>-</v>
          </cell>
        </row>
        <row r="1079">
          <cell r="D1079" t="str">
            <v xml:space="preserve">GOTA ZEN </v>
          </cell>
          <cell r="E1079" t="str">
            <v>WKBM0001</v>
          </cell>
          <cell r="K1079">
            <v>2016</v>
          </cell>
          <cell r="N1079" t="str">
            <v>-</v>
          </cell>
        </row>
        <row r="1080">
          <cell r="D1080" t="str">
            <v xml:space="preserve">GOTA ZEN </v>
          </cell>
          <cell r="E1080" t="str">
            <v>WKBM0001</v>
          </cell>
          <cell r="K1080">
            <v>2016</v>
          </cell>
          <cell r="N1080" t="str">
            <v>-</v>
          </cell>
        </row>
        <row r="1081">
          <cell r="D1081" t="str">
            <v>MISS RÔSE</v>
          </cell>
          <cell r="E1081" t="str">
            <v>WKBM0001</v>
          </cell>
          <cell r="K1081">
            <v>7632</v>
          </cell>
          <cell r="N1081" t="str">
            <v>-</v>
          </cell>
        </row>
        <row r="1082">
          <cell r="D1082" t="str">
            <v>DAPOP</v>
          </cell>
          <cell r="E1082" t="str">
            <v>WKBM0001</v>
          </cell>
          <cell r="K1082">
            <v>4620</v>
          </cell>
          <cell r="N1082" t="str">
            <v>-</v>
          </cell>
        </row>
        <row r="1083">
          <cell r="D1083" t="str">
            <v>DAPOP</v>
          </cell>
          <cell r="E1083" t="str">
            <v>WKBM0001</v>
          </cell>
          <cell r="K1083">
            <v>15420</v>
          </cell>
          <cell r="N1083" t="str">
            <v>-</v>
          </cell>
        </row>
        <row r="1084">
          <cell r="D1084" t="str">
            <v>DAPOP</v>
          </cell>
          <cell r="E1084" t="str">
            <v>WKBM0001</v>
          </cell>
          <cell r="K1084">
            <v>19980</v>
          </cell>
          <cell r="N1084" t="str">
            <v>-</v>
          </cell>
        </row>
        <row r="1085">
          <cell r="D1085" t="str">
            <v>DAPOP</v>
          </cell>
          <cell r="E1085" t="str">
            <v>WKBM0001</v>
          </cell>
          <cell r="K1085">
            <v>20220</v>
          </cell>
          <cell r="N1085" t="str">
            <v>-</v>
          </cell>
        </row>
        <row r="1086">
          <cell r="D1086" t="str">
            <v>MISS RÔSE</v>
          </cell>
          <cell r="E1086" t="str">
            <v>WKBM0001</v>
          </cell>
          <cell r="K1086">
            <v>2688</v>
          </cell>
          <cell r="N1086" t="str">
            <v>-</v>
          </cell>
        </row>
        <row r="1087">
          <cell r="D1087" t="str">
            <v>DAPOP</v>
          </cell>
          <cell r="E1087" t="str">
            <v>WKBM0001</v>
          </cell>
          <cell r="K1087">
            <v>4620</v>
          </cell>
          <cell r="N1087" t="str">
            <v>-</v>
          </cell>
        </row>
        <row r="1088">
          <cell r="D1088" t="str">
            <v>DAPOP</v>
          </cell>
          <cell r="E1088" t="str">
            <v>WKBM0001</v>
          </cell>
          <cell r="K1088">
            <v>4620</v>
          </cell>
          <cell r="N1088" t="str">
            <v>-</v>
          </cell>
        </row>
        <row r="1089">
          <cell r="D1089" t="str">
            <v>DAPOP</v>
          </cell>
          <cell r="E1089" t="str">
            <v>WKBM0001</v>
          </cell>
          <cell r="K1089">
            <v>10800</v>
          </cell>
          <cell r="N1089" t="str">
            <v>-</v>
          </cell>
        </row>
        <row r="1090">
          <cell r="D1090" t="str">
            <v>MISS RÔSE</v>
          </cell>
          <cell r="E1090" t="str">
            <v>WKBM0001</v>
          </cell>
          <cell r="K1090">
            <v>2736</v>
          </cell>
          <cell r="N1090" t="str">
            <v>-</v>
          </cell>
        </row>
        <row r="1091">
          <cell r="D1091" t="str">
            <v>PARAISO DAS ESSÊNCIAS</v>
          </cell>
          <cell r="E1091" t="str">
            <v>WKBM0001</v>
          </cell>
          <cell r="K1091">
            <v>100</v>
          </cell>
          <cell r="N1091" t="str">
            <v>-</v>
          </cell>
        </row>
        <row r="1092">
          <cell r="D1092" t="str">
            <v>PARAISO DAS ESSÊNCIAS</v>
          </cell>
          <cell r="E1092" t="str">
            <v>WKBM0001</v>
          </cell>
          <cell r="K1092">
            <v>400</v>
          </cell>
          <cell r="N1092" t="str">
            <v>-</v>
          </cell>
        </row>
        <row r="1093">
          <cell r="D1093" t="str">
            <v>MISS RÔSE</v>
          </cell>
          <cell r="E1093" t="str">
            <v>WKBM0001</v>
          </cell>
          <cell r="K1093">
            <v>8352</v>
          </cell>
          <cell r="N1093" t="str">
            <v>-</v>
          </cell>
        </row>
        <row r="1094">
          <cell r="D1094" t="str">
            <v>DAPOP</v>
          </cell>
          <cell r="E1094" t="str">
            <v>WKBM0001</v>
          </cell>
          <cell r="K1094">
            <v>19980</v>
          </cell>
          <cell r="N1094" t="str">
            <v>-</v>
          </cell>
        </row>
        <row r="1095">
          <cell r="D1095" t="str">
            <v>MOUTIER</v>
          </cell>
          <cell r="E1095" t="str">
            <v>WKBM0001</v>
          </cell>
          <cell r="K1095">
            <v>512</v>
          </cell>
          <cell r="N1095" t="str">
            <v>-</v>
          </cell>
        </row>
        <row r="1096">
          <cell r="D1096" t="str">
            <v>MOUTIER</v>
          </cell>
          <cell r="E1096" t="str">
            <v>WKBM0001</v>
          </cell>
          <cell r="K1096">
            <v>516</v>
          </cell>
          <cell r="N1096" t="str">
            <v>-</v>
          </cell>
        </row>
        <row r="1097">
          <cell r="D1097" t="str">
            <v>MOUTIER</v>
          </cell>
          <cell r="E1097" t="str">
            <v>WKBM0001</v>
          </cell>
          <cell r="K1097">
            <v>500</v>
          </cell>
          <cell r="N1097" t="str">
            <v>-</v>
          </cell>
        </row>
        <row r="1098">
          <cell r="D1098" t="str">
            <v>MOUTIER</v>
          </cell>
          <cell r="E1098" t="str">
            <v>WKBM0001</v>
          </cell>
          <cell r="K1098">
            <v>508</v>
          </cell>
          <cell r="N1098" t="str">
            <v>-</v>
          </cell>
        </row>
        <row r="1099">
          <cell r="D1099" t="str">
            <v>MOUTIER</v>
          </cell>
          <cell r="E1099" t="str">
            <v>WKBM0001</v>
          </cell>
          <cell r="K1099">
            <v>519</v>
          </cell>
          <cell r="N1099" t="str">
            <v>-</v>
          </cell>
        </row>
        <row r="1100">
          <cell r="D1100" t="str">
            <v>MOUTIER</v>
          </cell>
          <cell r="E1100" t="str">
            <v>WKBM0001</v>
          </cell>
          <cell r="K1100">
            <v>516</v>
          </cell>
          <cell r="N1100" t="str">
            <v>-</v>
          </cell>
        </row>
        <row r="1101">
          <cell r="D1101" t="str">
            <v>MOUTIER</v>
          </cell>
          <cell r="E1101" t="str">
            <v>WKBM0001</v>
          </cell>
          <cell r="K1101">
            <v>522</v>
          </cell>
          <cell r="N1101" t="str">
            <v>-</v>
          </cell>
        </row>
        <row r="1102">
          <cell r="D1102" t="str">
            <v>MOUTIER</v>
          </cell>
          <cell r="E1102" t="str">
            <v>WKBM0001</v>
          </cell>
          <cell r="K1102">
            <v>516</v>
          </cell>
          <cell r="N1102" t="str">
            <v>-</v>
          </cell>
        </row>
        <row r="1103">
          <cell r="D1103" t="str">
            <v>MOUTIER</v>
          </cell>
          <cell r="E1103" t="str">
            <v>WKBM0001</v>
          </cell>
          <cell r="K1103">
            <v>324</v>
          </cell>
          <cell r="N1103" t="str">
            <v>-</v>
          </cell>
        </row>
        <row r="1104">
          <cell r="D1104" t="str">
            <v>MOUTIER</v>
          </cell>
          <cell r="E1104" t="str">
            <v>WKBM0001</v>
          </cell>
          <cell r="K1104">
            <v>497</v>
          </cell>
          <cell r="N1104" t="str">
            <v>-</v>
          </cell>
        </row>
        <row r="1105">
          <cell r="D1105" t="str">
            <v>MOUTIER</v>
          </cell>
          <cell r="E1105" t="str">
            <v>WKBM0001</v>
          </cell>
          <cell r="K1105">
            <v>507</v>
          </cell>
          <cell r="N1105" t="str">
            <v>-</v>
          </cell>
        </row>
        <row r="1106">
          <cell r="D1106" t="str">
            <v>MOUTIER</v>
          </cell>
          <cell r="E1106" t="str">
            <v>WKBM0001</v>
          </cell>
          <cell r="K1106">
            <v>510</v>
          </cell>
          <cell r="N1106" t="str">
            <v>-</v>
          </cell>
        </row>
        <row r="1107">
          <cell r="D1107" t="str">
            <v>MISS RÔSE</v>
          </cell>
          <cell r="E1107" t="str">
            <v>WKBM0001</v>
          </cell>
          <cell r="K1107">
            <v>10368</v>
          </cell>
          <cell r="N1107" t="str">
            <v>-</v>
          </cell>
        </row>
        <row r="1108">
          <cell r="D1108" t="str">
            <v>MISS RÔSE</v>
          </cell>
          <cell r="E1108" t="str">
            <v>WKBM0001</v>
          </cell>
          <cell r="K1108">
            <v>2016</v>
          </cell>
          <cell r="N1108" t="str">
            <v>-</v>
          </cell>
        </row>
        <row r="1109">
          <cell r="D1109" t="str">
            <v>MISS RÔSE</v>
          </cell>
          <cell r="E1109" t="str">
            <v>WKBM0001</v>
          </cell>
          <cell r="K1109">
            <v>9168</v>
          </cell>
          <cell r="N1109" t="str">
            <v>-</v>
          </cell>
        </row>
        <row r="1110">
          <cell r="D1110" t="str">
            <v>MISS RÔSE</v>
          </cell>
          <cell r="E1110" t="str">
            <v>WKBM0001</v>
          </cell>
          <cell r="K1110">
            <v>3312</v>
          </cell>
          <cell r="N1110" t="str">
            <v>-</v>
          </cell>
        </row>
        <row r="1111">
          <cell r="D1111" t="str">
            <v>MOUTIER</v>
          </cell>
          <cell r="E1111" t="str">
            <v>WKBM0001</v>
          </cell>
          <cell r="K1111">
            <v>206</v>
          </cell>
          <cell r="N1111" t="str">
            <v>-</v>
          </cell>
        </row>
        <row r="1112">
          <cell r="D1112" t="str">
            <v>MOUTIER</v>
          </cell>
          <cell r="E1112" t="str">
            <v>WKBM0001</v>
          </cell>
          <cell r="K1112">
            <v>514</v>
          </cell>
          <cell r="N1112" t="str">
            <v>-</v>
          </cell>
        </row>
        <row r="1113">
          <cell r="D1113" t="str">
            <v>MOUTIER</v>
          </cell>
          <cell r="E1113" t="str">
            <v>WKBM0001</v>
          </cell>
          <cell r="K1113">
            <v>506</v>
          </cell>
          <cell r="N1113" t="str">
            <v>-</v>
          </cell>
        </row>
        <row r="1114">
          <cell r="D1114" t="str">
            <v>MOUTIER</v>
          </cell>
          <cell r="E1114" t="str">
            <v>WKBM0001</v>
          </cell>
          <cell r="K1114">
            <v>324</v>
          </cell>
          <cell r="N1114" t="str">
            <v>-</v>
          </cell>
        </row>
        <row r="1115">
          <cell r="D1115" t="str">
            <v>MOUTIER</v>
          </cell>
          <cell r="E1115" t="str">
            <v>WKBM0001</v>
          </cell>
          <cell r="K1115">
            <v>336</v>
          </cell>
          <cell r="N1115" t="str">
            <v>-</v>
          </cell>
        </row>
        <row r="1116">
          <cell r="D1116" t="str">
            <v>MOUTIER</v>
          </cell>
          <cell r="E1116" t="str">
            <v>WKBM0001</v>
          </cell>
          <cell r="K1116">
            <v>335</v>
          </cell>
          <cell r="N1116" t="str">
            <v>-</v>
          </cell>
        </row>
        <row r="1117">
          <cell r="D1117" t="str">
            <v>MOUTIER</v>
          </cell>
          <cell r="E1117" t="str">
            <v>WKBM0001</v>
          </cell>
          <cell r="K1117">
            <v>506</v>
          </cell>
          <cell r="N1117" t="str">
            <v>-</v>
          </cell>
        </row>
        <row r="1118">
          <cell r="D1118" t="str">
            <v>MOUTIER</v>
          </cell>
          <cell r="E1118" t="str">
            <v>WKBM0001</v>
          </cell>
          <cell r="K1118">
            <v>506</v>
          </cell>
          <cell r="N1118" t="str">
            <v>-</v>
          </cell>
        </row>
        <row r="1119">
          <cell r="D1119" t="str">
            <v>MOUTIER</v>
          </cell>
          <cell r="E1119" t="str">
            <v>WKBM0001</v>
          </cell>
          <cell r="K1119">
            <v>180</v>
          </cell>
          <cell r="N1119" t="str">
            <v>-</v>
          </cell>
        </row>
        <row r="1120">
          <cell r="D1120" t="str">
            <v>MISS RÔSE</v>
          </cell>
          <cell r="E1120" t="str">
            <v>WKBM0001</v>
          </cell>
          <cell r="K1120">
            <v>1392</v>
          </cell>
          <cell r="N1120" t="str">
            <v>-</v>
          </cell>
        </row>
        <row r="1121">
          <cell r="D1121" t="str">
            <v>MISS RÔSE</v>
          </cell>
          <cell r="E1121" t="str">
            <v>WKBM0001</v>
          </cell>
          <cell r="K1121">
            <v>11088</v>
          </cell>
          <cell r="N1121" t="str">
            <v>-</v>
          </cell>
        </row>
        <row r="1122">
          <cell r="D1122" t="str">
            <v>MOUTIER</v>
          </cell>
          <cell r="E1122" t="str">
            <v>WKBM0001</v>
          </cell>
          <cell r="K1122">
            <v>300</v>
          </cell>
          <cell r="N1122" t="str">
            <v>-</v>
          </cell>
        </row>
        <row r="1123">
          <cell r="D1123" t="str">
            <v>MOUTIER</v>
          </cell>
          <cell r="E1123" t="str">
            <v>WKBM0001</v>
          </cell>
          <cell r="K1123">
            <v>502</v>
          </cell>
          <cell r="N1123" t="str">
            <v>-</v>
          </cell>
        </row>
        <row r="1124">
          <cell r="D1124" t="str">
            <v>MOUTIER</v>
          </cell>
          <cell r="E1124" t="str">
            <v>WKBM0001</v>
          </cell>
          <cell r="K1124">
            <v>507</v>
          </cell>
          <cell r="N1124" t="str">
            <v>-</v>
          </cell>
        </row>
        <row r="1125">
          <cell r="D1125" t="str">
            <v>MOUTIER</v>
          </cell>
          <cell r="E1125" t="str">
            <v>WKBM0001</v>
          </cell>
          <cell r="K1125">
            <v>1542</v>
          </cell>
          <cell r="N1125" t="str">
            <v>-</v>
          </cell>
        </row>
        <row r="1126">
          <cell r="D1126" t="str">
            <v>MOUTIER</v>
          </cell>
          <cell r="E1126" t="str">
            <v>WKBM0001</v>
          </cell>
          <cell r="K1126">
            <v>180</v>
          </cell>
          <cell r="N1126" t="str">
            <v>-</v>
          </cell>
        </row>
        <row r="1127">
          <cell r="D1127" t="str">
            <v>MOUTIER</v>
          </cell>
          <cell r="E1127" t="str">
            <v>WKBM0001</v>
          </cell>
          <cell r="K1127">
            <v>180</v>
          </cell>
          <cell r="N1127" t="str">
            <v>-</v>
          </cell>
        </row>
        <row r="1128">
          <cell r="D1128" t="str">
            <v>MOUTIER</v>
          </cell>
          <cell r="E1128" t="str">
            <v>WKBM0001</v>
          </cell>
          <cell r="K1128">
            <v>180</v>
          </cell>
          <cell r="N1128" t="str">
            <v>-</v>
          </cell>
        </row>
        <row r="1129">
          <cell r="D1129" t="str">
            <v>PARAISO DAS ESSÊNCIAS</v>
          </cell>
          <cell r="E1129" t="str">
            <v>WKBM0001</v>
          </cell>
          <cell r="K1129">
            <v>1071</v>
          </cell>
          <cell r="N1129" t="str">
            <v>-</v>
          </cell>
        </row>
        <row r="1130">
          <cell r="D1130" t="str">
            <v>PARAISO DAS ESSÊNCIAS</v>
          </cell>
          <cell r="E1130" t="str">
            <v>WKBM0001</v>
          </cell>
          <cell r="K1130">
            <v>1008</v>
          </cell>
          <cell r="N1130" t="str">
            <v>-</v>
          </cell>
        </row>
        <row r="1131">
          <cell r="D1131" t="str">
            <v>PARAISO DAS ESSÊNCIAS</v>
          </cell>
          <cell r="E1131" t="str">
            <v>WKBM0001</v>
          </cell>
          <cell r="K1131">
            <v>1082</v>
          </cell>
          <cell r="N1131" t="str">
            <v>-</v>
          </cell>
        </row>
        <row r="1132">
          <cell r="D1132" t="str">
            <v>MISS RÔSE</v>
          </cell>
          <cell r="E1132" t="str">
            <v>WKBM0001</v>
          </cell>
          <cell r="K1132">
            <v>3552</v>
          </cell>
          <cell r="N1132" t="str">
            <v>-</v>
          </cell>
        </row>
        <row r="1133">
          <cell r="D1133" t="str">
            <v>MISS RÔSE</v>
          </cell>
          <cell r="E1133" t="str">
            <v>WKBM0001</v>
          </cell>
          <cell r="K1133">
            <v>7872</v>
          </cell>
          <cell r="N1133" t="str">
            <v>-</v>
          </cell>
        </row>
        <row r="1134">
          <cell r="D1134" t="str">
            <v>MISS RÔSE</v>
          </cell>
          <cell r="E1134" t="str">
            <v>WKBM0001</v>
          </cell>
          <cell r="K1134">
            <v>9744</v>
          </cell>
          <cell r="N1134" t="str">
            <v>-</v>
          </cell>
        </row>
        <row r="1135">
          <cell r="D1135" t="str">
            <v>MISS RÔSE</v>
          </cell>
          <cell r="E1135" t="str">
            <v>WKBM0001</v>
          </cell>
          <cell r="K1135">
            <v>2736</v>
          </cell>
          <cell r="N1135" t="str">
            <v>-</v>
          </cell>
        </row>
        <row r="1136">
          <cell r="D1136" t="str">
            <v>MISS RÔSE</v>
          </cell>
          <cell r="E1136" t="str">
            <v>WKBM0001</v>
          </cell>
          <cell r="K1136">
            <v>12480</v>
          </cell>
          <cell r="N1136" t="str">
            <v>-</v>
          </cell>
        </row>
        <row r="1137">
          <cell r="D1137" t="str">
            <v>SAFIRA</v>
          </cell>
          <cell r="E1137" t="str">
            <v>WKBM0001</v>
          </cell>
          <cell r="K1137">
            <v>5940</v>
          </cell>
          <cell r="N1137" t="str">
            <v>-</v>
          </cell>
        </row>
        <row r="1138">
          <cell r="D1138" t="str">
            <v>SAFIRA</v>
          </cell>
          <cell r="E1138" t="str">
            <v>WKBM0001</v>
          </cell>
          <cell r="K1138">
            <v>2160</v>
          </cell>
          <cell r="N1138" t="str">
            <v>-</v>
          </cell>
        </row>
        <row r="1139">
          <cell r="D1139" t="str">
            <v>SAFIRA</v>
          </cell>
          <cell r="E1139" t="str">
            <v>WKBM0001</v>
          </cell>
          <cell r="K1139">
            <v>4752</v>
          </cell>
          <cell r="N1139" t="str">
            <v>-</v>
          </cell>
        </row>
        <row r="1140">
          <cell r="D1140" t="str">
            <v>ANDRÉ</v>
          </cell>
          <cell r="E1140" t="str">
            <v>WKBM0001</v>
          </cell>
          <cell r="K1140">
            <v>892</v>
          </cell>
          <cell r="N1140" t="str">
            <v>-</v>
          </cell>
        </row>
        <row r="1141">
          <cell r="D1141" t="str">
            <v>ANDRÉ</v>
          </cell>
          <cell r="E1141" t="str">
            <v>WKBM0001</v>
          </cell>
          <cell r="K1141">
            <v>902</v>
          </cell>
          <cell r="N1141" t="str">
            <v>-</v>
          </cell>
        </row>
        <row r="1142">
          <cell r="D1142" t="str">
            <v>MOUTIER</v>
          </cell>
          <cell r="E1142" t="str">
            <v>WKBM0001</v>
          </cell>
          <cell r="K1142">
            <v>1655</v>
          </cell>
          <cell r="N1142" t="str">
            <v>-</v>
          </cell>
        </row>
        <row r="1143">
          <cell r="D1143" t="str">
            <v>MOUTIER</v>
          </cell>
          <cell r="E1143" t="str">
            <v>WKBM0001</v>
          </cell>
          <cell r="K1143">
            <v>500</v>
          </cell>
          <cell r="N1143" t="str">
            <v>-</v>
          </cell>
        </row>
        <row r="1144">
          <cell r="D1144" t="str">
            <v>MOUTIER</v>
          </cell>
          <cell r="E1144" t="str">
            <v>WKBM0001</v>
          </cell>
          <cell r="K1144">
            <v>500</v>
          </cell>
          <cell r="N1144" t="str">
            <v>-</v>
          </cell>
        </row>
        <row r="1145">
          <cell r="D1145" t="str">
            <v>MOUTIER</v>
          </cell>
          <cell r="E1145" t="str">
            <v>WKBM0001</v>
          </cell>
          <cell r="K1145">
            <v>501</v>
          </cell>
          <cell r="N1145" t="str">
            <v>-</v>
          </cell>
        </row>
        <row r="1146">
          <cell r="D1146" t="str">
            <v>MOUTIER</v>
          </cell>
          <cell r="E1146" t="str">
            <v>WKBM0001</v>
          </cell>
          <cell r="K1146">
            <v>300</v>
          </cell>
          <cell r="N1146" t="str">
            <v>-</v>
          </cell>
        </row>
        <row r="1147">
          <cell r="D1147" t="str">
            <v>EU &amp; NICE PERFUMARIA</v>
          </cell>
          <cell r="E1147" t="str">
            <v>WKBM0001</v>
          </cell>
          <cell r="K1147">
            <v>60</v>
          </cell>
          <cell r="N1147" t="str">
            <v>-</v>
          </cell>
        </row>
        <row r="1148">
          <cell r="D1148" t="str">
            <v>ELINALVA SILVA OLIVEIRA</v>
          </cell>
          <cell r="E1148" t="str">
            <v>WKBM0001</v>
          </cell>
          <cell r="K1148">
            <v>57</v>
          </cell>
          <cell r="N1148" t="str">
            <v>-</v>
          </cell>
        </row>
        <row r="1149">
          <cell r="D1149" t="str">
            <v>SAFIRA</v>
          </cell>
          <cell r="E1149" t="str">
            <v>WKBM0001</v>
          </cell>
          <cell r="K1149">
            <v>6082</v>
          </cell>
          <cell r="N1149" t="str">
            <v>-</v>
          </cell>
        </row>
        <row r="1150">
          <cell r="D1150" t="str">
            <v>SAFIRA</v>
          </cell>
          <cell r="E1150" t="str">
            <v>WKBM0001</v>
          </cell>
          <cell r="K1150">
            <v>3240</v>
          </cell>
          <cell r="N1150" t="str">
            <v>-</v>
          </cell>
        </row>
        <row r="1151">
          <cell r="D1151" t="str">
            <v>DAPOP</v>
          </cell>
          <cell r="E1151" t="str">
            <v>WKBM0001</v>
          </cell>
          <cell r="K1151">
            <v>9000</v>
          </cell>
          <cell r="N1151" t="str">
            <v>-</v>
          </cell>
        </row>
        <row r="1152">
          <cell r="D1152" t="str">
            <v>PARAISO DAS ESSÊNCIAS</v>
          </cell>
          <cell r="E1152" t="str">
            <v>WKBM0001</v>
          </cell>
          <cell r="K1152">
            <v>500</v>
          </cell>
          <cell r="N1152" t="str">
            <v>-</v>
          </cell>
        </row>
        <row r="1153">
          <cell r="D1153" t="str">
            <v>PARAISO DAS ESSÊNCIAS</v>
          </cell>
          <cell r="E1153" t="str">
            <v>WKBM0001</v>
          </cell>
          <cell r="K1153">
            <v>500</v>
          </cell>
          <cell r="N1153" t="str">
            <v>-</v>
          </cell>
        </row>
        <row r="1154">
          <cell r="D1154" t="str">
            <v>PARAISO DAS ESSÊNCIAS</v>
          </cell>
          <cell r="E1154" t="str">
            <v>WKBM0001</v>
          </cell>
          <cell r="K1154">
            <v>500</v>
          </cell>
          <cell r="N1154" t="str">
            <v>-</v>
          </cell>
        </row>
        <row r="1155">
          <cell r="D1155" t="str">
            <v>PARAISO DAS ESSÊNCIAS</v>
          </cell>
          <cell r="E1155" t="str">
            <v>WKBM0001</v>
          </cell>
          <cell r="K1155">
            <v>1005</v>
          </cell>
          <cell r="N1155" t="str">
            <v>-</v>
          </cell>
        </row>
        <row r="1156">
          <cell r="D1156" t="str">
            <v>PARAISO DAS ESSÊNCIAS</v>
          </cell>
          <cell r="E1156" t="str">
            <v>WKBM0001</v>
          </cell>
          <cell r="K1156">
            <v>500</v>
          </cell>
          <cell r="N1156" t="str">
            <v>-</v>
          </cell>
        </row>
        <row r="1157">
          <cell r="D1157" t="str">
            <v>ANDRÉ</v>
          </cell>
          <cell r="E1157" t="str">
            <v>WKBM0001</v>
          </cell>
          <cell r="K1157">
            <v>720</v>
          </cell>
          <cell r="N1157" t="str">
            <v>-</v>
          </cell>
        </row>
        <row r="1158">
          <cell r="D1158" t="str">
            <v>ANDRÉ</v>
          </cell>
          <cell r="E1158" t="str">
            <v>WKBM0001</v>
          </cell>
          <cell r="K1158">
            <v>360</v>
          </cell>
          <cell r="N1158" t="str">
            <v>-</v>
          </cell>
        </row>
        <row r="1159">
          <cell r="D1159" t="str">
            <v>ANDRÉ</v>
          </cell>
          <cell r="E1159" t="str">
            <v>WKBM0001</v>
          </cell>
          <cell r="K1159">
            <v>144</v>
          </cell>
          <cell r="N1159" t="str">
            <v>-</v>
          </cell>
        </row>
        <row r="1160">
          <cell r="D1160" t="str">
            <v>ANDRÉ</v>
          </cell>
          <cell r="E1160" t="str">
            <v>WKBM0001</v>
          </cell>
          <cell r="K1160">
            <v>720</v>
          </cell>
          <cell r="N1160" t="str">
            <v>-</v>
          </cell>
        </row>
        <row r="1161">
          <cell r="D1161" t="str">
            <v>ANDRÉ</v>
          </cell>
          <cell r="E1161" t="str">
            <v>WKBM0001</v>
          </cell>
          <cell r="K1161">
            <v>1870</v>
          </cell>
          <cell r="N1161" t="str">
            <v>-</v>
          </cell>
        </row>
        <row r="1162">
          <cell r="D1162" t="str">
            <v>MOUTIER</v>
          </cell>
          <cell r="E1162" t="str">
            <v>WKBM0001</v>
          </cell>
          <cell r="K1162">
            <v>816</v>
          </cell>
          <cell r="N1162" t="str">
            <v>-</v>
          </cell>
        </row>
        <row r="1163">
          <cell r="D1163" t="str">
            <v>MOUTIER</v>
          </cell>
          <cell r="E1163" t="str">
            <v>WKBM0001</v>
          </cell>
          <cell r="K1163">
            <v>211</v>
          </cell>
          <cell r="N1163" t="str">
            <v>-</v>
          </cell>
        </row>
        <row r="1164">
          <cell r="D1164" t="str">
            <v>WIKE MAKE</v>
          </cell>
          <cell r="E1164" t="str">
            <v>WKBS0003</v>
          </cell>
          <cell r="K1164">
            <v>4080</v>
          </cell>
          <cell r="N1164">
            <v>46184</v>
          </cell>
        </row>
        <row r="1165">
          <cell r="D1165" t="str">
            <v>WIKE MAKE</v>
          </cell>
          <cell r="E1165" t="str">
            <v>WKBS0003</v>
          </cell>
          <cell r="K1165">
            <v>3840</v>
          </cell>
          <cell r="N1165">
            <v>46184</v>
          </cell>
        </row>
        <row r="1166">
          <cell r="D1166" t="str">
            <v>WIKE MAKE</v>
          </cell>
          <cell r="E1166" t="str">
            <v>WKBS0003</v>
          </cell>
          <cell r="K1166">
            <v>4128</v>
          </cell>
          <cell r="N1166">
            <v>46184</v>
          </cell>
        </row>
        <row r="1167">
          <cell r="D1167" t="str">
            <v>WIKE MAKE</v>
          </cell>
          <cell r="E1167" t="str">
            <v>WKBS0003</v>
          </cell>
          <cell r="K1167">
            <v>2880</v>
          </cell>
          <cell r="N1167">
            <v>46184</v>
          </cell>
        </row>
        <row r="1168">
          <cell r="D1168" t="str">
            <v>WIKE MAKE</v>
          </cell>
          <cell r="E1168" t="str">
            <v>WKBS0003</v>
          </cell>
          <cell r="K1168">
            <v>22</v>
          </cell>
          <cell r="N1168">
            <v>46185</v>
          </cell>
        </row>
        <row r="1169">
          <cell r="D1169" t="str">
            <v>WIKE MAKE</v>
          </cell>
          <cell r="E1169" t="str">
            <v>WKBS0003</v>
          </cell>
          <cell r="K1169">
            <v>912</v>
          </cell>
          <cell r="N1169">
            <v>46185</v>
          </cell>
        </row>
        <row r="1170">
          <cell r="D1170" t="str">
            <v>MISS RÔSE</v>
          </cell>
          <cell r="E1170" t="str">
            <v>MRARBS09</v>
          </cell>
          <cell r="K1170">
            <v>2160</v>
          </cell>
          <cell r="N1170">
            <v>46188</v>
          </cell>
        </row>
        <row r="1171">
          <cell r="D1171" t="str">
            <v>MISS RÔSE</v>
          </cell>
          <cell r="E1171" t="str">
            <v>MRARBS09</v>
          </cell>
          <cell r="K1171">
            <v>2400</v>
          </cell>
          <cell r="N1171">
            <v>46188</v>
          </cell>
        </row>
        <row r="1172">
          <cell r="D1172" t="str">
            <v>MISS RÔSE</v>
          </cell>
          <cell r="E1172" t="str">
            <v>MRARBS09</v>
          </cell>
          <cell r="K1172">
            <v>30</v>
          </cell>
          <cell r="N1172">
            <v>46188</v>
          </cell>
        </row>
        <row r="1173">
          <cell r="D1173" t="str">
            <v>MISS RÔSE</v>
          </cell>
          <cell r="E1173" t="str">
            <v>MRARBS09</v>
          </cell>
          <cell r="K1173">
            <v>2256</v>
          </cell>
          <cell r="N1173">
            <v>46188</v>
          </cell>
        </row>
        <row r="1174">
          <cell r="D1174" t="str">
            <v>MISS RÔSE</v>
          </cell>
          <cell r="E1174" t="str">
            <v>MRARBS09</v>
          </cell>
          <cell r="K1174">
            <v>2400</v>
          </cell>
          <cell r="N1174">
            <v>46188</v>
          </cell>
        </row>
        <row r="1175">
          <cell r="D1175" t="str">
            <v>WIKE MAKE</v>
          </cell>
          <cell r="E1175" t="str">
            <v>WKBS0004</v>
          </cell>
          <cell r="K1175">
            <v>240</v>
          </cell>
          <cell r="N1175">
            <v>46189</v>
          </cell>
        </row>
        <row r="1176">
          <cell r="D1176" t="str">
            <v>MISS RÔSE</v>
          </cell>
          <cell r="E1176" t="str">
            <v>WKBM0001</v>
          </cell>
          <cell r="K1176">
            <v>30</v>
          </cell>
          <cell r="N1176">
            <v>46161</v>
          </cell>
        </row>
        <row r="1177">
          <cell r="D1177" t="str">
            <v>MISS RÔSE</v>
          </cell>
          <cell r="E1177" t="str">
            <v>WKBM0001</v>
          </cell>
          <cell r="K1177">
            <v>1392</v>
          </cell>
          <cell r="N1177">
            <v>46161</v>
          </cell>
        </row>
        <row r="1178">
          <cell r="D1178" t="str">
            <v>MISS RÔSE</v>
          </cell>
          <cell r="E1178" t="str">
            <v>MRARBS05</v>
          </cell>
          <cell r="K1178">
            <v>2352</v>
          </cell>
          <cell r="N1178">
            <v>46162</v>
          </cell>
        </row>
        <row r="1179">
          <cell r="D1179" t="str">
            <v>MISS RÔSE</v>
          </cell>
          <cell r="E1179" t="str">
            <v>MRARBS05</v>
          </cell>
          <cell r="K1179">
            <v>2112</v>
          </cell>
          <cell r="N1179">
            <v>46162</v>
          </cell>
        </row>
        <row r="1180">
          <cell r="D1180" t="str">
            <v>MISS RÔSE</v>
          </cell>
          <cell r="E1180" t="str">
            <v>MRARBS12</v>
          </cell>
          <cell r="K1180">
            <v>2592</v>
          </cell>
          <cell r="N1180">
            <v>46042</v>
          </cell>
        </row>
        <row r="1181">
          <cell r="D1181" t="str">
            <v>MISS RÔSE</v>
          </cell>
          <cell r="E1181" t="str">
            <v>MRARBS12</v>
          </cell>
          <cell r="K1181">
            <v>2400</v>
          </cell>
          <cell r="N1181">
            <v>46041</v>
          </cell>
        </row>
        <row r="1182">
          <cell r="D1182" t="str">
            <v>MISS RÔSE</v>
          </cell>
          <cell r="E1182" t="str">
            <v>MRARBS12</v>
          </cell>
          <cell r="K1182">
            <v>2352</v>
          </cell>
          <cell r="N1182">
            <v>46041</v>
          </cell>
        </row>
        <row r="1183">
          <cell r="D1183" t="str">
            <v>AMEERATI</v>
          </cell>
          <cell r="E1183" t="str">
            <v>AMABHD06</v>
          </cell>
          <cell r="K1183">
            <v>7</v>
          </cell>
          <cell r="N1183">
            <v>46009</v>
          </cell>
        </row>
        <row r="1184">
          <cell r="D1184" t="str">
            <v>AMEERATI</v>
          </cell>
          <cell r="E1184" t="str">
            <v>AMABHD03</v>
          </cell>
          <cell r="K1184">
            <v>13</v>
          </cell>
          <cell r="N1184">
            <v>46009</v>
          </cell>
        </row>
        <row r="1185">
          <cell r="D1185" t="str">
            <v>AMEERATI</v>
          </cell>
          <cell r="E1185" t="str">
            <v>AMABHD02</v>
          </cell>
          <cell r="K1185">
            <v>13</v>
          </cell>
          <cell r="N1185">
            <v>46009</v>
          </cell>
        </row>
        <row r="1186">
          <cell r="D1186" t="str">
            <v>AMEERATI</v>
          </cell>
          <cell r="E1186" t="str">
            <v>AMABHD07</v>
          </cell>
          <cell r="K1186">
            <v>13</v>
          </cell>
          <cell r="N1186">
            <v>46009</v>
          </cell>
        </row>
        <row r="1187">
          <cell r="D1187" t="str">
            <v>AMEERATI</v>
          </cell>
          <cell r="E1187" t="str">
            <v>AMABHD04</v>
          </cell>
          <cell r="K1187">
            <v>16</v>
          </cell>
          <cell r="N1187">
            <v>46009</v>
          </cell>
        </row>
        <row r="1188">
          <cell r="D1188" t="str">
            <v>AMEERATI</v>
          </cell>
          <cell r="E1188" t="str">
            <v>AMABHD05</v>
          </cell>
          <cell r="K1188">
            <v>22</v>
          </cell>
          <cell r="N1188">
            <v>46009</v>
          </cell>
        </row>
        <row r="1189">
          <cell r="D1189" t="str">
            <v>AMEERATI</v>
          </cell>
          <cell r="E1189" t="str">
            <v>AMABHD01</v>
          </cell>
          <cell r="K1189">
            <v>18</v>
          </cell>
          <cell r="N1189">
            <v>46009</v>
          </cell>
        </row>
        <row r="1190">
          <cell r="D1190" t="str">
            <v>AMEERATI</v>
          </cell>
          <cell r="E1190" t="str">
            <v>AMABBS06</v>
          </cell>
          <cell r="K1190">
            <v>22</v>
          </cell>
          <cell r="N1190">
            <v>46009</v>
          </cell>
        </row>
        <row r="1191">
          <cell r="D1191" t="str">
            <v>AMEERATI</v>
          </cell>
          <cell r="E1191" t="str">
            <v>AMABBS04</v>
          </cell>
          <cell r="K1191">
            <v>18</v>
          </cell>
          <cell r="N1191">
            <v>46009</v>
          </cell>
        </row>
        <row r="1192">
          <cell r="D1192" t="str">
            <v>AMEERATI</v>
          </cell>
          <cell r="E1192" t="str">
            <v>AMABBS05</v>
          </cell>
          <cell r="K1192">
            <v>18</v>
          </cell>
          <cell r="N1192">
            <v>46009</v>
          </cell>
        </row>
        <row r="1193">
          <cell r="D1193" t="str">
            <v>AMEERATI</v>
          </cell>
          <cell r="E1193" t="str">
            <v>AMABHD06</v>
          </cell>
          <cell r="K1193">
            <v>456</v>
          </cell>
          <cell r="N1193">
            <v>46009</v>
          </cell>
        </row>
        <row r="1194">
          <cell r="D1194" t="str">
            <v>AMEERATI</v>
          </cell>
          <cell r="E1194" t="str">
            <v>AMABHD03</v>
          </cell>
          <cell r="K1194">
            <v>408</v>
          </cell>
          <cell r="N1194">
            <v>46009</v>
          </cell>
        </row>
        <row r="1195">
          <cell r="D1195" t="str">
            <v>AMEERATI</v>
          </cell>
          <cell r="E1195" t="str">
            <v>AMABHD02</v>
          </cell>
          <cell r="K1195">
            <v>480</v>
          </cell>
          <cell r="N1195">
            <v>46009</v>
          </cell>
        </row>
        <row r="1196">
          <cell r="D1196" t="str">
            <v>AMEERATI</v>
          </cell>
          <cell r="E1196" t="str">
            <v>AMABHD07</v>
          </cell>
          <cell r="K1196">
            <v>408</v>
          </cell>
          <cell r="N1196">
            <v>46009</v>
          </cell>
        </row>
        <row r="1197">
          <cell r="D1197" t="str">
            <v>AMEERATI</v>
          </cell>
          <cell r="E1197" t="str">
            <v>AMABHD04</v>
          </cell>
          <cell r="K1197">
            <v>408</v>
          </cell>
          <cell r="N1197">
            <v>46009</v>
          </cell>
        </row>
        <row r="1198">
          <cell r="D1198" t="str">
            <v>AMEERATI</v>
          </cell>
          <cell r="E1198" t="str">
            <v>AMABHD08</v>
          </cell>
          <cell r="K1198">
            <v>432</v>
          </cell>
          <cell r="N1198">
            <v>46009</v>
          </cell>
        </row>
        <row r="1199">
          <cell r="D1199" t="str">
            <v>AMEERATI</v>
          </cell>
          <cell r="E1199" t="str">
            <v>AMABHD05</v>
          </cell>
          <cell r="K1199">
            <v>672</v>
          </cell>
          <cell r="N1199">
            <v>46009</v>
          </cell>
        </row>
        <row r="1200">
          <cell r="D1200" t="str">
            <v>AMEERATI</v>
          </cell>
          <cell r="E1200" t="str">
            <v>AMABHD01</v>
          </cell>
          <cell r="K1200">
            <v>480</v>
          </cell>
          <cell r="N1200">
            <v>46009</v>
          </cell>
        </row>
        <row r="1201">
          <cell r="D1201" t="str">
            <v>AMEERATI</v>
          </cell>
          <cell r="E1201" t="str">
            <v>AMABBS06</v>
          </cell>
          <cell r="K1201">
            <v>840</v>
          </cell>
          <cell r="N1201">
            <v>46009</v>
          </cell>
        </row>
        <row r="1202">
          <cell r="D1202" t="str">
            <v>AMEERATI</v>
          </cell>
          <cell r="E1202" t="str">
            <v>AMABBS04</v>
          </cell>
          <cell r="K1202">
            <v>840</v>
          </cell>
          <cell r="N1202">
            <v>46009</v>
          </cell>
        </row>
        <row r="1203">
          <cell r="D1203" t="str">
            <v>AMEERATI</v>
          </cell>
          <cell r="E1203" t="str">
            <v>AMABBS05</v>
          </cell>
          <cell r="K1203">
            <v>864</v>
          </cell>
          <cell r="N1203">
            <v>46009</v>
          </cell>
        </row>
        <row r="1204">
          <cell r="D1204" t="str">
            <v>KURYOS</v>
          </cell>
          <cell r="E1204" t="str">
            <v>KUBPBA02</v>
          </cell>
          <cell r="K1204">
            <v>280</v>
          </cell>
          <cell r="N1204">
            <v>46008</v>
          </cell>
        </row>
        <row r="1205">
          <cell r="D1205" t="str">
            <v>KURYOS</v>
          </cell>
          <cell r="E1205" t="str">
            <v>KUBPBA02</v>
          </cell>
          <cell r="K1205">
            <v>294</v>
          </cell>
          <cell r="N1205">
            <v>46008</v>
          </cell>
        </row>
        <row r="1206">
          <cell r="D1206" t="str">
            <v>KURYOS</v>
          </cell>
          <cell r="E1206" t="str">
            <v>KUBPBA02</v>
          </cell>
          <cell r="K1206">
            <v>280</v>
          </cell>
          <cell r="N1206">
            <v>46008</v>
          </cell>
        </row>
        <row r="1207">
          <cell r="D1207" t="str">
            <v>KURYOS</v>
          </cell>
          <cell r="E1207" t="str">
            <v>KUBPBA02</v>
          </cell>
          <cell r="K1207">
            <v>168</v>
          </cell>
          <cell r="N1207">
            <v>46008</v>
          </cell>
        </row>
        <row r="1208">
          <cell r="D1208" t="str">
            <v>AMEERATI</v>
          </cell>
          <cell r="E1208" t="str">
            <v>AMABBS03</v>
          </cell>
          <cell r="K1208">
            <v>15</v>
          </cell>
          <cell r="N1208">
            <v>46008</v>
          </cell>
        </row>
        <row r="1209">
          <cell r="D1209" t="str">
            <v>AMEERATI</v>
          </cell>
          <cell r="E1209" t="str">
            <v>AMABBS07</v>
          </cell>
          <cell r="K1209">
            <v>5</v>
          </cell>
          <cell r="N1209">
            <v>46008</v>
          </cell>
        </row>
        <row r="1210">
          <cell r="D1210" t="str">
            <v>AMEERATI</v>
          </cell>
          <cell r="E1210" t="str">
            <v>AMABBS08</v>
          </cell>
          <cell r="K1210">
            <v>20</v>
          </cell>
          <cell r="N1210">
            <v>46008</v>
          </cell>
        </row>
        <row r="1211">
          <cell r="D1211" t="str">
            <v>AMEERATI</v>
          </cell>
          <cell r="E1211" t="str">
            <v>AMABBS03</v>
          </cell>
          <cell r="K1211">
            <v>840</v>
          </cell>
          <cell r="N1211">
            <v>46008</v>
          </cell>
        </row>
        <row r="1212">
          <cell r="D1212" t="str">
            <v>AMEERATI</v>
          </cell>
          <cell r="E1212" t="str">
            <v>AMABBS07</v>
          </cell>
          <cell r="K1212">
            <v>864</v>
          </cell>
          <cell r="N1212">
            <v>46008</v>
          </cell>
        </row>
        <row r="1213">
          <cell r="D1213" t="str">
            <v>AMEERATI</v>
          </cell>
          <cell r="E1213" t="str">
            <v>AMABBS08</v>
          </cell>
          <cell r="K1213">
            <v>840</v>
          </cell>
          <cell r="N1213">
            <v>46008</v>
          </cell>
        </row>
        <row r="1214">
          <cell r="D1214" t="str">
            <v>MISS RÔSE</v>
          </cell>
          <cell r="E1214" t="str">
            <v>MRARBS02</v>
          </cell>
          <cell r="K1214">
            <v>2544</v>
          </cell>
          <cell r="N1214">
            <v>46007</v>
          </cell>
        </row>
        <row r="1215">
          <cell r="D1215" t="str">
            <v>MISS RÔSE</v>
          </cell>
          <cell r="E1215" t="str">
            <v>MRARBS02</v>
          </cell>
          <cell r="K1215">
            <v>2544</v>
          </cell>
          <cell r="N1215">
            <v>46007</v>
          </cell>
        </row>
        <row r="1216">
          <cell r="D1216" t="str">
            <v>MISS RÔSE</v>
          </cell>
          <cell r="E1216" t="str">
            <v>MRARBS02</v>
          </cell>
          <cell r="K1216">
            <v>2544</v>
          </cell>
          <cell r="N1216">
            <v>46007</v>
          </cell>
        </row>
        <row r="1217">
          <cell r="D1217" t="str">
            <v>MISS RÔSE</v>
          </cell>
          <cell r="E1217" t="str">
            <v>MRARBS02</v>
          </cell>
          <cell r="K1217">
            <v>2544</v>
          </cell>
          <cell r="N1217">
            <v>46007</v>
          </cell>
        </row>
        <row r="1218">
          <cell r="D1218" t="str">
            <v>MISS RÔSE</v>
          </cell>
          <cell r="E1218" t="str">
            <v>MRARBS02</v>
          </cell>
          <cell r="K1218">
            <v>2544</v>
          </cell>
          <cell r="N1218">
            <v>46007</v>
          </cell>
        </row>
        <row r="1219">
          <cell r="D1219" t="str">
            <v>MISS RÔSE</v>
          </cell>
          <cell r="E1219" t="str">
            <v>MRARBS02</v>
          </cell>
          <cell r="K1219">
            <v>768</v>
          </cell>
          <cell r="N1219">
            <v>46007</v>
          </cell>
        </row>
        <row r="1220">
          <cell r="D1220" t="str">
            <v>AMEERATI</v>
          </cell>
          <cell r="E1220" t="str">
            <v>AMABBS02</v>
          </cell>
          <cell r="K1220">
            <v>15</v>
          </cell>
          <cell r="N1220">
            <v>46007</v>
          </cell>
        </row>
        <row r="1221">
          <cell r="D1221" t="str">
            <v>AMEERATI</v>
          </cell>
          <cell r="E1221" t="str">
            <v>AMABBS01</v>
          </cell>
          <cell r="K1221">
            <v>15</v>
          </cell>
          <cell r="N1221">
            <v>46007</v>
          </cell>
        </row>
        <row r="1222">
          <cell r="D1222" t="str">
            <v>AMEERATI</v>
          </cell>
          <cell r="E1222" t="str">
            <v>AMABBS02</v>
          </cell>
          <cell r="K1222">
            <v>840</v>
          </cell>
          <cell r="N1222">
            <v>46007</v>
          </cell>
        </row>
        <row r="1223">
          <cell r="D1223" t="str">
            <v>AMEERATI</v>
          </cell>
          <cell r="E1223" t="str">
            <v>AMABBS01</v>
          </cell>
          <cell r="K1223">
            <v>840</v>
          </cell>
          <cell r="N1223">
            <v>46007</v>
          </cell>
        </row>
        <row r="1224">
          <cell r="D1224" t="str">
            <v>MISS RÔSE</v>
          </cell>
          <cell r="E1224" t="str">
            <v>MRARHD03</v>
          </cell>
          <cell r="K1224">
            <v>2544</v>
          </cell>
          <cell r="N1224">
            <v>46006</v>
          </cell>
        </row>
        <row r="1225">
          <cell r="D1225" t="str">
            <v>MISS RÔSE</v>
          </cell>
          <cell r="E1225" t="str">
            <v>MRARHD02</v>
          </cell>
          <cell r="K1225">
            <v>2544</v>
          </cell>
          <cell r="N1225">
            <v>46006</v>
          </cell>
        </row>
        <row r="1226">
          <cell r="D1226" t="str">
            <v>MISS RÔSE</v>
          </cell>
          <cell r="E1226" t="str">
            <v>MRARHD02</v>
          </cell>
          <cell r="K1226">
            <v>47</v>
          </cell>
          <cell r="N1226">
            <v>46006</v>
          </cell>
        </row>
        <row r="1227">
          <cell r="D1227" t="str">
            <v>MISS RÔSE</v>
          </cell>
          <cell r="E1227" t="str">
            <v>MRARBS03</v>
          </cell>
          <cell r="K1227">
            <v>2544</v>
          </cell>
          <cell r="N1227">
            <v>46006</v>
          </cell>
        </row>
        <row r="1228">
          <cell r="D1228" t="str">
            <v>MISS RÔSE</v>
          </cell>
          <cell r="E1228" t="str">
            <v>MRARBS03</v>
          </cell>
          <cell r="K1228">
            <v>2544</v>
          </cell>
          <cell r="N1228">
            <v>46006</v>
          </cell>
        </row>
        <row r="1229">
          <cell r="D1229" t="str">
            <v>MISS RÔSE</v>
          </cell>
          <cell r="E1229" t="str">
            <v>MRARBS03</v>
          </cell>
          <cell r="K1229">
            <v>2544</v>
          </cell>
          <cell r="N1229">
            <v>46006</v>
          </cell>
        </row>
        <row r="1230">
          <cell r="D1230" t="str">
            <v>MISS RÔSE</v>
          </cell>
          <cell r="E1230" t="str">
            <v>MRARBS03</v>
          </cell>
          <cell r="K1230">
            <v>2544</v>
          </cell>
          <cell r="N1230">
            <v>46006</v>
          </cell>
        </row>
        <row r="1231">
          <cell r="D1231" t="str">
            <v>MISS RÔSE</v>
          </cell>
          <cell r="E1231" t="str">
            <v>MRARBS03</v>
          </cell>
          <cell r="K1231">
            <v>768</v>
          </cell>
          <cell r="N1231">
            <v>46006</v>
          </cell>
        </row>
        <row r="1232">
          <cell r="D1232" t="str">
            <v>MISS RÔSE</v>
          </cell>
          <cell r="E1232" t="str">
            <v>MRARHD02</v>
          </cell>
          <cell r="K1232">
            <v>2544</v>
          </cell>
          <cell r="N1232">
            <v>46006</v>
          </cell>
        </row>
        <row r="1233">
          <cell r="D1233" t="str">
            <v>MISS RÔSE</v>
          </cell>
          <cell r="E1233" t="str">
            <v>MRARHD02</v>
          </cell>
          <cell r="K1233">
            <v>1536</v>
          </cell>
          <cell r="N1233">
            <v>46006</v>
          </cell>
        </row>
        <row r="1234">
          <cell r="D1234" t="str">
            <v>AMEERATI</v>
          </cell>
          <cell r="E1234" t="str">
            <v>AMNCBS05</v>
          </cell>
          <cell r="K1234">
            <v>816</v>
          </cell>
          <cell r="N1234">
            <v>46002</v>
          </cell>
        </row>
        <row r="1235">
          <cell r="D1235" t="str">
            <v>BRIA BEAUTY</v>
          </cell>
          <cell r="E1235" t="str">
            <v>BBSJBS03-2</v>
          </cell>
          <cell r="K1235">
            <v>4080</v>
          </cell>
          <cell r="N1235">
            <v>46001</v>
          </cell>
        </row>
        <row r="1236">
          <cell r="D1236" t="str">
            <v>BRIA BEAUTY</v>
          </cell>
          <cell r="E1236" t="str">
            <v>BBSJBS03-2</v>
          </cell>
          <cell r="K1236">
            <v>560</v>
          </cell>
          <cell r="N1236">
            <v>46001</v>
          </cell>
        </row>
        <row r="1237">
          <cell r="D1237" t="str">
            <v>BRIA BEAUTY</v>
          </cell>
          <cell r="E1237" t="str">
            <v>BBSJBS03-2</v>
          </cell>
          <cell r="K1237">
            <v>4080</v>
          </cell>
          <cell r="N1237">
            <v>46001</v>
          </cell>
        </row>
        <row r="1238">
          <cell r="D1238" t="str">
            <v>MISS RÔSE</v>
          </cell>
          <cell r="E1238" t="str">
            <v>MR104/D</v>
          </cell>
          <cell r="K1238">
            <v>2544</v>
          </cell>
          <cell r="N1238">
            <v>46001</v>
          </cell>
        </row>
        <row r="1239">
          <cell r="D1239" t="str">
            <v>MISS RÔSE</v>
          </cell>
          <cell r="E1239" t="str">
            <v>MR104/D</v>
          </cell>
          <cell r="K1239">
            <v>1536</v>
          </cell>
          <cell r="N1239">
            <v>46001</v>
          </cell>
        </row>
        <row r="1240">
          <cell r="D1240" t="str">
            <v>MISS RÔSE</v>
          </cell>
          <cell r="E1240" t="str">
            <v>MR104/D</v>
          </cell>
          <cell r="K1240">
            <v>2544</v>
          </cell>
          <cell r="N1240">
            <v>46001</v>
          </cell>
        </row>
        <row r="1241">
          <cell r="D1241" t="str">
            <v>AMEERATI</v>
          </cell>
          <cell r="E1241" t="str">
            <v>AMNCHD06</v>
          </cell>
          <cell r="K1241">
            <v>816</v>
          </cell>
          <cell r="N1241">
            <v>46000</v>
          </cell>
        </row>
        <row r="1242">
          <cell r="D1242" t="str">
            <v>AMEERATI</v>
          </cell>
          <cell r="E1242" t="str">
            <v>AMNCHD08</v>
          </cell>
          <cell r="K1242">
            <v>624</v>
          </cell>
          <cell r="N1242">
            <v>46000</v>
          </cell>
        </row>
        <row r="1243">
          <cell r="D1243" t="str">
            <v>MISS RÔSE</v>
          </cell>
          <cell r="E1243" t="str">
            <v>MRARHD01</v>
          </cell>
          <cell r="K1243">
            <v>624</v>
          </cell>
          <cell r="N1243">
            <v>45999</v>
          </cell>
        </row>
        <row r="1244">
          <cell r="D1244" t="str">
            <v>AMEERATI</v>
          </cell>
          <cell r="E1244" t="str">
            <v>AMNCHD07</v>
          </cell>
          <cell r="K1244">
            <v>840</v>
          </cell>
          <cell r="N1244">
            <v>45999</v>
          </cell>
        </row>
        <row r="1245">
          <cell r="D1245" t="str">
            <v>AMEERATI</v>
          </cell>
          <cell r="E1245" t="str">
            <v>AMNCHD04</v>
          </cell>
          <cell r="K1245">
            <v>840</v>
          </cell>
          <cell r="N1245">
            <v>45999</v>
          </cell>
        </row>
        <row r="1246">
          <cell r="D1246" t="str">
            <v>AMEERATI</v>
          </cell>
          <cell r="E1246" t="str">
            <v>AMNCHD05</v>
          </cell>
          <cell r="K1246">
            <v>840</v>
          </cell>
          <cell r="N1246">
            <v>45999</v>
          </cell>
        </row>
        <row r="1247">
          <cell r="D1247" t="str">
            <v>AMEERATI</v>
          </cell>
          <cell r="E1247" t="str">
            <v>AMNCHD03</v>
          </cell>
          <cell r="K1247">
            <v>840</v>
          </cell>
          <cell r="N1247">
            <v>45999</v>
          </cell>
        </row>
        <row r="1248">
          <cell r="D1248" t="str">
            <v>AMEERATI</v>
          </cell>
          <cell r="E1248" t="str">
            <v>AMNCHD03</v>
          </cell>
          <cell r="K1248">
            <v>840</v>
          </cell>
          <cell r="N1248">
            <v>45999</v>
          </cell>
        </row>
        <row r="1249">
          <cell r="D1249" t="str">
            <v>MISS RÔSE</v>
          </cell>
          <cell r="E1249" t="str">
            <v>MRARHD01</v>
          </cell>
          <cell r="K1249">
            <v>2544</v>
          </cell>
          <cell r="N1249">
            <v>45996</v>
          </cell>
        </row>
        <row r="1250">
          <cell r="D1250" t="str">
            <v>MISS RÔSE</v>
          </cell>
          <cell r="E1250" t="str">
            <v>MRARHD01</v>
          </cell>
          <cell r="K1250">
            <v>2544</v>
          </cell>
          <cell r="N1250">
            <v>45996</v>
          </cell>
        </row>
        <row r="1251">
          <cell r="D1251" t="str">
            <v>MISS RÔSE</v>
          </cell>
          <cell r="E1251" t="str">
            <v>MRARHD03</v>
          </cell>
          <cell r="K1251">
            <v>2544</v>
          </cell>
          <cell r="N1251">
            <v>45996</v>
          </cell>
        </row>
        <row r="1252">
          <cell r="D1252" t="str">
            <v>MISS RÔSE</v>
          </cell>
          <cell r="E1252" t="str">
            <v>MRARHD03</v>
          </cell>
          <cell r="K1252">
            <v>1536</v>
          </cell>
          <cell r="N1252">
            <v>45996</v>
          </cell>
        </row>
        <row r="1253">
          <cell r="D1253" t="str">
            <v>DAPOP</v>
          </cell>
          <cell r="E1253" t="str">
            <v>DP2370</v>
          </cell>
          <cell r="K1253">
            <v>1500</v>
          </cell>
          <cell r="N1253">
            <v>45993</v>
          </cell>
        </row>
        <row r="1254">
          <cell r="D1254" t="str">
            <v>AMEERATI</v>
          </cell>
          <cell r="E1254" t="str">
            <v>AMNCBS04</v>
          </cell>
          <cell r="K1254">
            <v>960</v>
          </cell>
          <cell r="N1254">
            <v>45988</v>
          </cell>
        </row>
        <row r="1255">
          <cell r="D1255" t="str">
            <v>DYNASTY</v>
          </cell>
          <cell r="E1255" t="str">
            <v>DYPFPF03</v>
          </cell>
          <cell r="K1255">
            <v>180</v>
          </cell>
          <cell r="N1255">
            <v>45985</v>
          </cell>
        </row>
        <row r="1256">
          <cell r="D1256" t="str">
            <v>DYNASTY</v>
          </cell>
          <cell r="E1256" t="str">
            <v>DYPFPF04</v>
          </cell>
          <cell r="K1256">
            <v>1080</v>
          </cell>
          <cell r="N1256">
            <v>45985</v>
          </cell>
        </row>
        <row r="1257">
          <cell r="D1257" t="str">
            <v>DYNASTY</v>
          </cell>
          <cell r="E1257" t="str">
            <v>DYPFPF04</v>
          </cell>
          <cell r="K1257">
            <v>59</v>
          </cell>
          <cell r="N1257">
            <v>45985</v>
          </cell>
        </row>
        <row r="1258">
          <cell r="D1258" t="str">
            <v>DYNASTY</v>
          </cell>
          <cell r="E1258" t="str">
            <v>DYPFPF03</v>
          </cell>
          <cell r="K1258">
            <v>360</v>
          </cell>
          <cell r="N1258">
            <v>45985</v>
          </cell>
        </row>
        <row r="1259">
          <cell r="D1259" t="str">
            <v>DYNASTY</v>
          </cell>
          <cell r="E1259" t="str">
            <v>DYPFPF03</v>
          </cell>
          <cell r="K1259">
            <v>9</v>
          </cell>
          <cell r="N1259">
            <v>45985</v>
          </cell>
        </row>
        <row r="1260">
          <cell r="D1260" t="str">
            <v>DYNASTY</v>
          </cell>
          <cell r="E1260" t="str">
            <v>DYPFPF04</v>
          </cell>
          <cell r="K1260">
            <v>360</v>
          </cell>
          <cell r="N1260">
            <v>45985</v>
          </cell>
        </row>
        <row r="1261">
          <cell r="D1261" t="str">
            <v>DYNASTY</v>
          </cell>
          <cell r="E1261" t="str">
            <v>DYPFPF01</v>
          </cell>
          <cell r="K1261">
            <v>960</v>
          </cell>
          <cell r="N1261">
            <v>45981</v>
          </cell>
        </row>
        <row r="1262">
          <cell r="D1262" t="str">
            <v>DYNASTY</v>
          </cell>
          <cell r="E1262" t="str">
            <v>DYPFPF01</v>
          </cell>
          <cell r="K1262">
            <v>64</v>
          </cell>
          <cell r="N1262">
            <v>45981</v>
          </cell>
        </row>
        <row r="1263">
          <cell r="D1263" t="str">
            <v>DYNASTY</v>
          </cell>
          <cell r="E1263" t="str">
            <v>DYPFPF02</v>
          </cell>
          <cell r="K1263">
            <v>1080</v>
          </cell>
          <cell r="N1263">
            <v>45981</v>
          </cell>
        </row>
        <row r="1264">
          <cell r="D1264" t="str">
            <v>DYNASTY</v>
          </cell>
          <cell r="E1264" t="str">
            <v>DYPFPF02</v>
          </cell>
          <cell r="K1264">
            <v>57</v>
          </cell>
          <cell r="N1264">
            <v>45981</v>
          </cell>
        </row>
        <row r="1265">
          <cell r="D1265" t="str">
            <v>DYNASTY</v>
          </cell>
          <cell r="E1265" t="str">
            <v>DYPFPF01</v>
          </cell>
          <cell r="K1265">
            <v>360</v>
          </cell>
          <cell r="N1265">
            <v>45981</v>
          </cell>
        </row>
        <row r="1266">
          <cell r="D1266" t="str">
            <v>DYNASTY</v>
          </cell>
          <cell r="E1266" t="str">
            <v>DYPFPF02</v>
          </cell>
          <cell r="K1266">
            <v>360</v>
          </cell>
          <cell r="N1266">
            <v>45981</v>
          </cell>
        </row>
        <row r="1267">
          <cell r="D1267" t="str">
            <v>MISS RÔSE</v>
          </cell>
          <cell r="E1267" t="str">
            <v>MRARBS02</v>
          </cell>
          <cell r="K1267">
            <v>1488</v>
          </cell>
          <cell r="N1267">
            <v>45975</v>
          </cell>
        </row>
        <row r="1268">
          <cell r="D1268" t="str">
            <v>MISS RÔSE</v>
          </cell>
          <cell r="E1268" t="str">
            <v>MRARBS05</v>
          </cell>
          <cell r="K1268">
            <v>2544</v>
          </cell>
          <cell r="N1268">
            <v>45968</v>
          </cell>
        </row>
        <row r="1269">
          <cell r="D1269" t="str">
            <v>MISS RÔSE</v>
          </cell>
          <cell r="E1269" t="str">
            <v>MRARBS05</v>
          </cell>
          <cell r="K1269">
            <v>2544</v>
          </cell>
          <cell r="N1269">
            <v>45961</v>
          </cell>
        </row>
        <row r="1270">
          <cell r="D1270" t="str">
            <v>MISS RÔSE</v>
          </cell>
          <cell r="E1270" t="str">
            <v>MRARBS05</v>
          </cell>
          <cell r="K1270">
            <v>2544</v>
          </cell>
          <cell r="N1270">
            <v>45961</v>
          </cell>
        </row>
        <row r="1271">
          <cell r="D1271" t="str">
            <v>MISS RÔSE</v>
          </cell>
          <cell r="E1271" t="str">
            <v>MRARBS05</v>
          </cell>
          <cell r="K1271">
            <v>2544</v>
          </cell>
          <cell r="N1271">
            <v>45961</v>
          </cell>
        </row>
        <row r="1272">
          <cell r="D1272" t="str">
            <v>MISS RÔSE</v>
          </cell>
          <cell r="E1272" t="str">
            <v>MRARBS05</v>
          </cell>
          <cell r="K1272">
            <v>2544</v>
          </cell>
          <cell r="N1272">
            <v>45961</v>
          </cell>
        </row>
        <row r="1273">
          <cell r="D1273" t="str">
            <v>ISA BEAUTY</v>
          </cell>
          <cell r="E1273" t="str">
            <v>IBARGB04</v>
          </cell>
          <cell r="K1273">
            <v>2400</v>
          </cell>
          <cell r="N1273">
            <v>45947</v>
          </cell>
        </row>
        <row r="1274">
          <cell r="D1274" t="str">
            <v>MAAKE</v>
          </cell>
          <cell r="E1274" t="str">
            <v>MAOEOL02</v>
          </cell>
          <cell r="K1274">
            <v>3024</v>
          </cell>
          <cell r="N1274">
            <v>45938</v>
          </cell>
        </row>
        <row r="1275">
          <cell r="D1275" t="str">
            <v xml:space="preserve">MAAKE </v>
          </cell>
          <cell r="E1275" t="str">
            <v>MAOEOL02</v>
          </cell>
          <cell r="K1275">
            <v>3744</v>
          </cell>
          <cell r="N1275">
            <v>45938</v>
          </cell>
        </row>
        <row r="1276">
          <cell r="D1276" t="str">
            <v xml:space="preserve">MAAKE </v>
          </cell>
          <cell r="E1276" t="str">
            <v>MAOEOL03</v>
          </cell>
          <cell r="K1276">
            <v>3456</v>
          </cell>
          <cell r="N1276">
            <v>45938</v>
          </cell>
        </row>
        <row r="1277">
          <cell r="D1277" t="str">
            <v>MISS RÔSE</v>
          </cell>
          <cell r="E1277"/>
          <cell r="K1277">
            <v>2688</v>
          </cell>
          <cell r="N1277">
            <v>45895</v>
          </cell>
        </row>
        <row r="1278">
          <cell r="D1278" t="str">
            <v>MISS RÔSE</v>
          </cell>
          <cell r="E1278"/>
          <cell r="K1278">
            <v>2544</v>
          </cell>
          <cell r="N1278">
            <v>45895</v>
          </cell>
        </row>
        <row r="1279">
          <cell r="D1279" t="str">
            <v>MISS RÔSE</v>
          </cell>
          <cell r="E1279"/>
          <cell r="K1279">
            <v>2544</v>
          </cell>
          <cell r="N1279">
            <v>45895</v>
          </cell>
        </row>
        <row r="1280">
          <cell r="D1280" t="str">
            <v>MISS RÔSE</v>
          </cell>
          <cell r="E1280"/>
          <cell r="K1280">
            <v>2544</v>
          </cell>
          <cell r="N1280">
            <v>45895</v>
          </cell>
        </row>
        <row r="1281">
          <cell r="D1281" t="str">
            <v>MISS RÔSE</v>
          </cell>
          <cell r="E1281"/>
          <cell r="K1281">
            <v>2688</v>
          </cell>
          <cell r="N1281">
            <v>45894</v>
          </cell>
        </row>
        <row r="1282">
          <cell r="D1282" t="str">
            <v>MISS RÔSE</v>
          </cell>
          <cell r="E1282"/>
          <cell r="K1282">
            <v>2592</v>
          </cell>
          <cell r="N1282">
            <v>45894</v>
          </cell>
        </row>
        <row r="1283">
          <cell r="D1283" t="str">
            <v>MISS RÔSE</v>
          </cell>
          <cell r="E1283"/>
          <cell r="K1283">
            <v>2544</v>
          </cell>
          <cell r="N1283">
            <v>45894</v>
          </cell>
        </row>
        <row r="1284">
          <cell r="D1284" t="str">
            <v>MISS RÔSE</v>
          </cell>
          <cell r="E1284"/>
          <cell r="K1284">
            <v>2544</v>
          </cell>
          <cell r="N1284">
            <v>45894</v>
          </cell>
        </row>
        <row r="1285">
          <cell r="D1285" t="str">
            <v>MISS RÔSE</v>
          </cell>
          <cell r="E1285"/>
          <cell r="K1285">
            <v>2544</v>
          </cell>
          <cell r="N1285">
            <v>45890</v>
          </cell>
        </row>
        <row r="1286">
          <cell r="D1286" t="str">
            <v>BRIA BEAUTY</v>
          </cell>
          <cell r="E1286" t="str">
            <v>BBSJBS01-2</v>
          </cell>
          <cell r="K1286">
            <v>4080</v>
          </cell>
          <cell r="N1286"/>
        </row>
        <row r="1287">
          <cell r="D1287" t="str">
            <v>MISS RÔSE</v>
          </cell>
          <cell r="E1287" t="str">
            <v>MRARHD03</v>
          </cell>
          <cell r="K1287">
            <v>2544</v>
          </cell>
          <cell r="N1287"/>
        </row>
        <row r="1288">
          <cell r="D1288" t="str">
            <v>GLOW</v>
          </cell>
          <cell r="E1288" t="str">
            <v>GLMKAM04</v>
          </cell>
          <cell r="K1288">
            <v>1680</v>
          </cell>
          <cell r="N1288"/>
        </row>
        <row r="1289">
          <cell r="D1289" t="str">
            <v>GLOW</v>
          </cell>
          <cell r="E1289" t="str">
            <v>GLMKAM04</v>
          </cell>
          <cell r="K1289">
            <v>1680</v>
          </cell>
          <cell r="N1289"/>
        </row>
        <row r="1290">
          <cell r="D1290" t="str">
            <v>GLOW</v>
          </cell>
          <cell r="E1290" t="str">
            <v>GLMKAM04</v>
          </cell>
          <cell r="K1290">
            <v>1680</v>
          </cell>
          <cell r="N1290"/>
        </row>
        <row r="1291">
          <cell r="D1291" t="str">
            <v>GLOW</v>
          </cell>
          <cell r="E1291" t="str">
            <v>GLMKAM04</v>
          </cell>
          <cell r="K1291">
            <v>1680</v>
          </cell>
          <cell r="N1291"/>
        </row>
        <row r="1292">
          <cell r="D1292" t="str">
            <v>GLOW</v>
          </cell>
          <cell r="E1292" t="str">
            <v>GLMKAM04</v>
          </cell>
          <cell r="K1292">
            <v>1680</v>
          </cell>
          <cell r="N1292"/>
        </row>
        <row r="1293">
          <cell r="D1293" t="str">
            <v>GLOW</v>
          </cell>
          <cell r="E1293" t="str">
            <v>GLMKAM04</v>
          </cell>
          <cell r="K1293">
            <v>1680</v>
          </cell>
          <cell r="N1293"/>
        </row>
        <row r="1294">
          <cell r="D1294" t="str">
            <v>GLOW</v>
          </cell>
          <cell r="E1294" t="str">
            <v>GLMKAM06</v>
          </cell>
          <cell r="K1294">
            <v>624</v>
          </cell>
          <cell r="N1294"/>
        </row>
        <row r="1295">
          <cell r="D1295" t="str">
            <v>GLOW</v>
          </cell>
          <cell r="E1295" t="str">
            <v>GLMKAM06</v>
          </cell>
          <cell r="K1295">
            <v>1680</v>
          </cell>
          <cell r="N1295"/>
        </row>
        <row r="1296">
          <cell r="D1296" t="str">
            <v>GLOW</v>
          </cell>
          <cell r="E1296" t="str">
            <v>GLMKAM06</v>
          </cell>
          <cell r="K1296">
            <v>1680</v>
          </cell>
          <cell r="N1296"/>
        </row>
        <row r="1297">
          <cell r="D1297" t="str">
            <v>GLOW</v>
          </cell>
          <cell r="E1297" t="str">
            <v>GLMKAM06</v>
          </cell>
          <cell r="K1297">
            <v>1680</v>
          </cell>
          <cell r="N1297"/>
        </row>
        <row r="1298">
          <cell r="D1298" t="str">
            <v>GLOW</v>
          </cell>
          <cell r="E1298" t="str">
            <v>GLMKAM04</v>
          </cell>
          <cell r="K1298">
            <v>1680</v>
          </cell>
          <cell r="N1298"/>
        </row>
        <row r="1299">
          <cell r="D1299" t="str">
            <v>GLOW</v>
          </cell>
          <cell r="E1299" t="str">
            <v>GLMKAM04</v>
          </cell>
          <cell r="K1299">
            <v>1680</v>
          </cell>
          <cell r="N1299"/>
        </row>
        <row r="1300">
          <cell r="D1300" t="str">
            <v>MISS RÔSE</v>
          </cell>
          <cell r="E1300"/>
          <cell r="K1300">
            <v>528</v>
          </cell>
          <cell r="N1300"/>
        </row>
        <row r="1301">
          <cell r="D1301" t="str">
            <v>ISA BEAUTY</v>
          </cell>
          <cell r="E1301" t="str">
            <v>IBCHEC02</v>
          </cell>
          <cell r="K1301">
            <v>5000</v>
          </cell>
          <cell r="N1301"/>
        </row>
        <row r="1302">
          <cell r="D1302" t="str">
            <v>ISA BEAUTY</v>
          </cell>
          <cell r="E1302"/>
          <cell r="K1302">
            <v>2496</v>
          </cell>
          <cell r="N1302"/>
        </row>
        <row r="1303">
          <cell r="D1303" t="str">
            <v>ISA BEAUTY</v>
          </cell>
          <cell r="E1303"/>
          <cell r="K1303">
            <v>888</v>
          </cell>
          <cell r="N1303"/>
        </row>
        <row r="1304">
          <cell r="D1304" t="str">
            <v>ISA BEAUTY</v>
          </cell>
          <cell r="E1304"/>
          <cell r="K1304">
            <v>2496</v>
          </cell>
          <cell r="N1304"/>
        </row>
        <row r="1305">
          <cell r="D1305" t="str">
            <v>ISA BEAUTY</v>
          </cell>
          <cell r="E1305"/>
          <cell r="K1305">
            <v>4752</v>
          </cell>
          <cell r="N1305"/>
        </row>
        <row r="1306">
          <cell r="D1306" t="str">
            <v>ISA BEAUTY</v>
          </cell>
          <cell r="E1306"/>
          <cell r="K1306">
            <v>4896</v>
          </cell>
          <cell r="N1306"/>
        </row>
        <row r="1307">
          <cell r="D1307" t="str">
            <v>ISA BEAUTY</v>
          </cell>
          <cell r="E1307" t="str">
            <v>IBCHEC01</v>
          </cell>
          <cell r="K1307">
            <v>5000</v>
          </cell>
          <cell r="N1307"/>
        </row>
        <row r="1308">
          <cell r="D1308" t="str">
            <v>ISA BEAUTY</v>
          </cell>
          <cell r="E1308" t="str">
            <v>IBCHEC01</v>
          </cell>
          <cell r="K1308">
            <v>5000</v>
          </cell>
          <cell r="N1308"/>
        </row>
        <row r="1309">
          <cell r="D1309" t="str">
            <v>ISA BEAUTY</v>
          </cell>
          <cell r="E1309" t="str">
            <v>IBCHEC02</v>
          </cell>
          <cell r="K1309">
            <v>5000</v>
          </cell>
          <cell r="N1309"/>
        </row>
        <row r="1310">
          <cell r="D1310" t="str">
            <v>MISS RÔSE</v>
          </cell>
          <cell r="E1310"/>
          <cell r="K1310">
            <v>1920</v>
          </cell>
          <cell r="N1310"/>
        </row>
        <row r="1311">
          <cell r="D1311" t="str">
            <v>MISS RÔSE</v>
          </cell>
          <cell r="E1311"/>
          <cell r="K1311">
            <v>2016</v>
          </cell>
          <cell r="N1311"/>
        </row>
        <row r="1312">
          <cell r="D1312" t="str">
            <v>MISS RÔSE</v>
          </cell>
          <cell r="E1312"/>
          <cell r="K1312">
            <v>1152</v>
          </cell>
          <cell r="N1312"/>
        </row>
        <row r="1313">
          <cell r="D1313" t="str">
            <v>MISS RÔSE</v>
          </cell>
          <cell r="E1313"/>
          <cell r="K1313">
            <v>2544</v>
          </cell>
          <cell r="N1313"/>
        </row>
        <row r="1314">
          <cell r="D1314" t="str">
            <v>ISA BEAUTY</v>
          </cell>
          <cell r="E1314"/>
          <cell r="K1314">
            <v>2352</v>
          </cell>
          <cell r="N1314"/>
        </row>
        <row r="1315">
          <cell r="D1315" t="str">
            <v>ISA BEAUTY</v>
          </cell>
          <cell r="E1315"/>
          <cell r="K1315">
            <v>1056</v>
          </cell>
          <cell r="N1315"/>
        </row>
        <row r="1316">
          <cell r="D1316" t="str">
            <v>ISA BEAUTY</v>
          </cell>
          <cell r="E1316"/>
          <cell r="K1316">
            <v>5088</v>
          </cell>
          <cell r="N1316"/>
        </row>
        <row r="1317">
          <cell r="D1317" t="str">
            <v>ISA BEAUTY</v>
          </cell>
          <cell r="E1317"/>
          <cell r="K1317">
            <v>1056</v>
          </cell>
          <cell r="N1317"/>
        </row>
        <row r="1318">
          <cell r="D1318" t="str">
            <v>ISA BEAUTY</v>
          </cell>
          <cell r="E1318"/>
          <cell r="K1318">
            <v>1776</v>
          </cell>
          <cell r="N1318"/>
        </row>
        <row r="1319">
          <cell r="D1319" t="str">
            <v>ISA BEAUTY</v>
          </cell>
          <cell r="E1319"/>
          <cell r="K1319">
            <v>5040</v>
          </cell>
          <cell r="N1319"/>
        </row>
        <row r="1320">
          <cell r="D1320" t="str">
            <v>ISA BEAUTY</v>
          </cell>
          <cell r="E1320"/>
          <cell r="K1320">
            <v>2400</v>
          </cell>
          <cell r="N1320"/>
        </row>
        <row r="1321">
          <cell r="D1321" t="str">
            <v>ISA BEAUTY</v>
          </cell>
          <cell r="E1321"/>
          <cell r="K1321">
            <v>1056</v>
          </cell>
          <cell r="N1321"/>
        </row>
        <row r="1322">
          <cell r="D1322" t="str">
            <v>MISS RÔSE</v>
          </cell>
          <cell r="E1322"/>
          <cell r="K1322">
            <v>2544</v>
          </cell>
          <cell r="N1322"/>
        </row>
        <row r="1323">
          <cell r="D1323" t="str">
            <v>MISS RÔSE</v>
          </cell>
          <cell r="E1323"/>
          <cell r="K1323">
            <v>2544</v>
          </cell>
          <cell r="N1323"/>
        </row>
        <row r="1324">
          <cell r="D1324" t="str">
            <v>MISS RÔSE</v>
          </cell>
          <cell r="E1324"/>
          <cell r="K1324">
            <v>2544</v>
          </cell>
          <cell r="N1324"/>
        </row>
        <row r="1325">
          <cell r="D1325" t="str">
            <v>MISS RÔSE</v>
          </cell>
          <cell r="E1325"/>
          <cell r="K1325">
            <v>2544</v>
          </cell>
          <cell r="N1325"/>
        </row>
        <row r="1326">
          <cell r="D1326" t="str">
            <v>MISS RÔSE</v>
          </cell>
          <cell r="E1326"/>
          <cell r="K1326">
            <v>2544</v>
          </cell>
          <cell r="N1326"/>
        </row>
        <row r="1327">
          <cell r="D1327" t="str">
            <v>MISS RÔSE</v>
          </cell>
          <cell r="E1327"/>
          <cell r="K1327">
            <v>1392</v>
          </cell>
          <cell r="N1327"/>
        </row>
        <row r="1328">
          <cell r="D1328" t="str">
            <v>MISS RÔSE</v>
          </cell>
          <cell r="E1328"/>
          <cell r="K1328">
            <v>2544</v>
          </cell>
          <cell r="N1328"/>
        </row>
        <row r="1329">
          <cell r="D1329" t="str">
            <v>MISS RÔSE</v>
          </cell>
          <cell r="E1329"/>
          <cell r="K1329">
            <v>2544</v>
          </cell>
          <cell r="N1329"/>
        </row>
        <row r="1330">
          <cell r="D1330" t="str">
            <v>MISS RÔSE</v>
          </cell>
          <cell r="E1330"/>
          <cell r="K1330">
            <v>2544</v>
          </cell>
          <cell r="N1330"/>
        </row>
        <row r="1331">
          <cell r="D1331" t="str">
            <v>MISS RÔSE</v>
          </cell>
          <cell r="E1331"/>
          <cell r="K1331">
            <v>2544</v>
          </cell>
          <cell r="N1331"/>
        </row>
        <row r="1332">
          <cell r="D1332" t="str">
            <v>ISA BEAUTY</v>
          </cell>
          <cell r="E1332"/>
          <cell r="K1332">
            <v>400</v>
          </cell>
          <cell r="N1332"/>
        </row>
        <row r="1333">
          <cell r="D1333" t="str">
            <v>ISA BEAUTY</v>
          </cell>
          <cell r="E1333"/>
          <cell r="K1333">
            <v>720</v>
          </cell>
          <cell r="N1333"/>
        </row>
        <row r="1334">
          <cell r="D1334" t="str">
            <v>ISA BEAUTY</v>
          </cell>
          <cell r="E1334"/>
          <cell r="K1334">
            <v>960</v>
          </cell>
          <cell r="N1334"/>
        </row>
        <row r="1335">
          <cell r="D1335" t="str">
            <v>ISA BEAUTY</v>
          </cell>
          <cell r="E1335"/>
          <cell r="K1335">
            <v>560</v>
          </cell>
          <cell r="N1335"/>
        </row>
        <row r="1336">
          <cell r="D1336" t="str">
            <v>ISA BEAUTY</v>
          </cell>
          <cell r="E1336"/>
          <cell r="K1336">
            <v>960</v>
          </cell>
          <cell r="N1336"/>
        </row>
        <row r="1337">
          <cell r="D1337" t="str">
            <v>ISA BEAUTY</v>
          </cell>
          <cell r="E1337"/>
          <cell r="K1337">
            <v>600</v>
          </cell>
          <cell r="N1337"/>
        </row>
        <row r="1338">
          <cell r="D1338" t="str">
            <v>ISA BEAUTY</v>
          </cell>
          <cell r="E1338"/>
          <cell r="K1338">
            <v>1000</v>
          </cell>
          <cell r="N1338"/>
        </row>
        <row r="1339">
          <cell r="D1339" t="str">
            <v>ISA BEAUTY</v>
          </cell>
          <cell r="E1339"/>
          <cell r="K1339">
            <v>1000</v>
          </cell>
          <cell r="N1339"/>
        </row>
        <row r="1340">
          <cell r="D1340" t="str">
            <v>ISA BEAUTY</v>
          </cell>
          <cell r="E1340"/>
          <cell r="K1340">
            <v>1000</v>
          </cell>
          <cell r="N1340"/>
        </row>
        <row r="1341">
          <cell r="D1341" t="str">
            <v>GLOW</v>
          </cell>
          <cell r="E1341" t="str">
            <v xml:space="preserve"> </v>
          </cell>
          <cell r="K1341">
            <v>1680</v>
          </cell>
          <cell r="N1341"/>
        </row>
        <row r="1342">
          <cell r="D1342" t="str">
            <v>GLOW</v>
          </cell>
          <cell r="E1342"/>
          <cell r="K1342">
            <v>1680</v>
          </cell>
          <cell r="N1342"/>
        </row>
        <row r="1343">
          <cell r="D1343" t="str">
            <v>GLOW</v>
          </cell>
          <cell r="E1343"/>
          <cell r="K1343">
            <v>1680</v>
          </cell>
          <cell r="N1343"/>
        </row>
        <row r="1344">
          <cell r="D1344" t="str">
            <v>GLOW</v>
          </cell>
          <cell r="E1344"/>
          <cell r="K1344">
            <v>1680</v>
          </cell>
          <cell r="N1344"/>
        </row>
        <row r="1345">
          <cell r="D1345" t="str">
            <v>GLOW</v>
          </cell>
          <cell r="E1345"/>
          <cell r="K1345">
            <v>1680</v>
          </cell>
          <cell r="N1345"/>
        </row>
        <row r="1346">
          <cell r="D1346" t="str">
            <v>GLOW</v>
          </cell>
          <cell r="E1346"/>
          <cell r="K1346">
            <v>1680</v>
          </cell>
          <cell r="N1346"/>
        </row>
        <row r="1347">
          <cell r="D1347" t="str">
            <v>GLOW</v>
          </cell>
          <cell r="E1347"/>
          <cell r="K1347">
            <v>1680</v>
          </cell>
          <cell r="N1347"/>
        </row>
        <row r="1348">
          <cell r="D1348" t="str">
            <v>GLOW</v>
          </cell>
          <cell r="E1348"/>
          <cell r="K1348">
            <v>1680</v>
          </cell>
          <cell r="N1348"/>
        </row>
        <row r="1349">
          <cell r="D1349" t="str">
            <v>GLOW</v>
          </cell>
          <cell r="E1349"/>
          <cell r="K1349">
            <v>1680</v>
          </cell>
          <cell r="N1349"/>
        </row>
        <row r="1350">
          <cell r="D1350" t="str">
            <v>GLOW</v>
          </cell>
          <cell r="E1350"/>
          <cell r="K1350">
            <v>1056</v>
          </cell>
          <cell r="N1350"/>
        </row>
        <row r="1351">
          <cell r="D1351" t="str">
            <v>GLOW</v>
          </cell>
          <cell r="E1351"/>
          <cell r="K1351">
            <v>1680</v>
          </cell>
          <cell r="N1351"/>
        </row>
        <row r="1352">
          <cell r="D1352" t="str">
            <v>GLOW</v>
          </cell>
          <cell r="E1352"/>
          <cell r="K1352">
            <v>1680</v>
          </cell>
          <cell r="N1352"/>
        </row>
        <row r="1353">
          <cell r="D1353" t="str">
            <v>GLOW</v>
          </cell>
          <cell r="E1353"/>
          <cell r="K1353">
            <v>1632</v>
          </cell>
          <cell r="N1353"/>
        </row>
        <row r="1354">
          <cell r="D1354" t="str">
            <v>GLOW</v>
          </cell>
          <cell r="E1354"/>
          <cell r="K1354">
            <v>1680</v>
          </cell>
          <cell r="N1354"/>
        </row>
        <row r="1355">
          <cell r="D1355" t="str">
            <v>GLOW</v>
          </cell>
          <cell r="E1355"/>
          <cell r="K1355">
            <v>1680</v>
          </cell>
          <cell r="N1355"/>
        </row>
        <row r="1356">
          <cell r="D1356" t="str">
            <v>GLOW</v>
          </cell>
          <cell r="E1356"/>
          <cell r="K1356">
            <v>1680</v>
          </cell>
          <cell r="N1356"/>
        </row>
        <row r="1357">
          <cell r="D1357" t="str">
            <v>GLOW</v>
          </cell>
          <cell r="E1357"/>
          <cell r="K1357">
            <v>1680</v>
          </cell>
          <cell r="N1357"/>
        </row>
        <row r="1358">
          <cell r="D1358" t="str">
            <v>GLOW</v>
          </cell>
          <cell r="E1358"/>
          <cell r="K1358">
            <v>1680</v>
          </cell>
          <cell r="N1358"/>
        </row>
        <row r="1359">
          <cell r="D1359" t="str">
            <v>GLOW</v>
          </cell>
          <cell r="E1359"/>
          <cell r="K1359">
            <v>1680</v>
          </cell>
          <cell r="N1359"/>
        </row>
        <row r="1360">
          <cell r="D1360" t="str">
            <v>GLOW</v>
          </cell>
          <cell r="E1360"/>
          <cell r="K1360">
            <v>1680</v>
          </cell>
          <cell r="N1360"/>
        </row>
        <row r="1361">
          <cell r="D1361" t="str">
            <v>GLOW</v>
          </cell>
          <cell r="E1361"/>
          <cell r="K1361">
            <v>1680</v>
          </cell>
          <cell r="N1361"/>
        </row>
        <row r="1362">
          <cell r="D1362" t="str">
            <v>ISA BEAUTY</v>
          </cell>
          <cell r="E1362"/>
          <cell r="K1362">
            <v>520</v>
          </cell>
          <cell r="N1362"/>
        </row>
        <row r="1363">
          <cell r="D1363" t="str">
            <v>ISA BEAUTY</v>
          </cell>
          <cell r="E1363"/>
          <cell r="K1363">
            <v>720</v>
          </cell>
          <cell r="N1363"/>
        </row>
        <row r="1364">
          <cell r="D1364" t="str">
            <v>ISA BEAUTY</v>
          </cell>
          <cell r="E1364"/>
          <cell r="K1364">
            <v>760</v>
          </cell>
          <cell r="N1364"/>
        </row>
        <row r="1365">
          <cell r="D1365" t="str">
            <v>ISA BEAUTY</v>
          </cell>
          <cell r="E1365"/>
          <cell r="K1365">
            <v>960</v>
          </cell>
          <cell r="N1365"/>
        </row>
        <row r="1366">
          <cell r="D1366" t="str">
            <v>DAPOP</v>
          </cell>
          <cell r="E1366"/>
          <cell r="K1366">
            <v>40700</v>
          </cell>
          <cell r="N1366" t="str">
            <v>-</v>
          </cell>
        </row>
        <row r="1367">
          <cell r="D1367" t="str">
            <v>MISS RÔSE</v>
          </cell>
          <cell r="E1367"/>
          <cell r="K1367">
            <v>3102</v>
          </cell>
          <cell r="N1367" t="str">
            <v>-</v>
          </cell>
        </row>
        <row r="1368">
          <cell r="D1368" t="str">
            <v>KURYOS</v>
          </cell>
          <cell r="E1368" t="str">
            <v>MR105/C</v>
          </cell>
          <cell r="K1368">
            <v>684</v>
          </cell>
          <cell r="N1368">
            <v>45978</v>
          </cell>
        </row>
        <row r="1369">
          <cell r="D1369" t="str">
            <v>KURYOS</v>
          </cell>
          <cell r="E1369" t="str">
            <v>MR105/C</v>
          </cell>
          <cell r="K1369">
            <v>1908</v>
          </cell>
          <cell r="N1369">
            <v>45974</v>
          </cell>
        </row>
        <row r="1370">
          <cell r="D1370" t="str">
            <v>DAPOP</v>
          </cell>
          <cell r="E1370" t="str">
            <v>DP2370</v>
          </cell>
          <cell r="K1370">
            <v>17</v>
          </cell>
          <cell r="N1370"/>
        </row>
        <row r="1371">
          <cell r="D1371" t="str">
            <v>DAPOP</v>
          </cell>
          <cell r="E1371" t="str">
            <v>DP2370</v>
          </cell>
          <cell r="K1371">
            <v>1500</v>
          </cell>
          <cell r="N1371"/>
        </row>
        <row r="1372">
          <cell r="D1372" t="str">
            <v>DAPOP</v>
          </cell>
          <cell r="E1372" t="str">
            <v>DP2370</v>
          </cell>
          <cell r="K1372">
            <v>1800</v>
          </cell>
          <cell r="N1372"/>
        </row>
        <row r="1373">
          <cell r="D1373" t="str">
            <v>DAPOP</v>
          </cell>
          <cell r="E1373" t="str">
            <v>DP2370</v>
          </cell>
          <cell r="K1373">
            <v>1500</v>
          </cell>
          <cell r="N1373"/>
        </row>
        <row r="1374">
          <cell r="D1374" t="str">
            <v>MISS RÔSE</v>
          </cell>
          <cell r="E1374" t="str">
            <v>MRARBS07</v>
          </cell>
          <cell r="K1374">
            <v>33</v>
          </cell>
          <cell r="N1374">
            <v>46167</v>
          </cell>
        </row>
        <row r="1375">
          <cell r="D1375" t="str">
            <v>MISS RÔSE</v>
          </cell>
          <cell r="E1375" t="str">
            <v>MRARBS07</v>
          </cell>
          <cell r="K1375">
            <v>2208</v>
          </cell>
          <cell r="N1375">
            <v>46167</v>
          </cell>
        </row>
        <row r="1376">
          <cell r="D1376" t="str">
            <v>MISS RÔSE</v>
          </cell>
          <cell r="E1376" t="str">
            <v>MRARBS07</v>
          </cell>
          <cell r="K1376">
            <v>2400</v>
          </cell>
          <cell r="N1376">
            <v>46167</v>
          </cell>
        </row>
        <row r="1377">
          <cell r="D1377"/>
          <cell r="E1377"/>
          <cell r="K1377"/>
          <cell r="N1377"/>
        </row>
      </sheetData>
      <sheetData sheetId="4"/>
      <sheetData sheetId="5"/>
      <sheetData sheetId="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0B73770-FF10-4F53-9136-9869E655D4C2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865a1c6b-4e41-4e38-8ee5-c8c88506717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FD403-A8B0-46CC-AE8B-4A46912A5BCC}">
  <sheetPr codeName="Sheet2" filterMode="1">
    <pageSetUpPr autoPageBreaks="0"/>
  </sheetPr>
  <dimension ref="A1:ZZ435"/>
  <sheetViews>
    <sheetView showGridLines="0" tabSelected="1" zoomScale="71" zoomScaleNormal="62" workbookViewId="0">
      <pane xSplit="14" ySplit="4" topLeftCell="W5" activePane="bottomRight" state="frozen"/>
      <selection pane="topRight"/>
      <selection pane="bottomLeft"/>
      <selection pane="bottomRight" activeCell="L4" sqref="L4"/>
    </sheetView>
  </sheetViews>
  <sheetFormatPr defaultColWidth="9.140625" defaultRowHeight="15" x14ac:dyDescent="0.25"/>
  <cols>
    <col min="1" max="1" width="4.5703125" bestFit="1" customWidth="1"/>
    <col min="2" max="2" width="17.42578125" bestFit="1" customWidth="1"/>
    <col min="3" max="3" width="11.42578125" bestFit="1" customWidth="1"/>
    <col min="4" max="4" width="18.140625" bestFit="1" customWidth="1"/>
    <col min="5" max="5" width="66.28515625" bestFit="1" customWidth="1"/>
    <col min="6" max="6" width="13.5703125" bestFit="1" customWidth="1"/>
    <col min="7" max="7" width="17.5703125" bestFit="1" customWidth="1"/>
    <col min="8" max="8" width="11.28515625" bestFit="1" customWidth="1"/>
    <col min="9" max="9" width="15.7109375" customWidth="1"/>
    <col min="10" max="10" width="17.140625" bestFit="1" customWidth="1"/>
    <col min="11" max="11" width="11.28515625" bestFit="1" customWidth="1"/>
    <col min="12" max="12" width="11.28515625" customWidth="1"/>
    <col min="13" max="13" width="10.7109375" customWidth="1"/>
    <col min="14" max="14" width="14.42578125" bestFit="1" customWidth="1"/>
    <col min="15" max="15" width="13.42578125" bestFit="1" customWidth="1"/>
    <col min="16" max="16" width="5.28515625" bestFit="1" customWidth="1"/>
    <col min="17" max="17" width="10.28515625" bestFit="1" customWidth="1"/>
    <col min="18" max="20" width="10.7109375" customWidth="1"/>
    <col min="21" max="21" width="12.140625" customWidth="1"/>
    <col min="22" max="23" width="10.7109375" customWidth="1"/>
    <col min="24" max="24" width="14.140625" customWidth="1"/>
    <col min="25" max="25" width="9.85546875" customWidth="1"/>
    <col min="26" max="27" width="13.42578125" customWidth="1"/>
    <col min="28" max="28" width="12.7109375" customWidth="1"/>
    <col min="29" max="31" width="10.7109375" customWidth="1"/>
    <col min="32" max="32" width="11.5703125" bestFit="1" customWidth="1"/>
    <col min="33" max="33" width="12" customWidth="1"/>
    <col min="34" max="34" width="10.7109375" customWidth="1"/>
    <col min="35" max="35" width="11.5703125" bestFit="1" customWidth="1"/>
    <col min="36" max="41" width="10.7109375" customWidth="1"/>
    <col min="42" max="42" width="18.5703125" bestFit="1" customWidth="1"/>
    <col min="43" max="43" width="10.5703125" customWidth="1"/>
    <col min="44" max="76" width="9.140625" customWidth="1"/>
    <col min="77" max="78" width="13.28515625" bestFit="1" customWidth="1"/>
  </cols>
  <sheetData>
    <row r="1" spans="1:702" x14ac:dyDescent="0.25">
      <c r="A1" s="102">
        <v>1</v>
      </c>
      <c r="B1" s="102">
        <f t="shared" ref="B1:P1" si="0">A1+1</f>
        <v>2</v>
      </c>
      <c r="C1" s="102">
        <f t="shared" si="0"/>
        <v>3</v>
      </c>
      <c r="D1" s="102">
        <f t="shared" si="0"/>
        <v>4</v>
      </c>
      <c r="E1" s="102">
        <f t="shared" si="0"/>
        <v>5</v>
      </c>
      <c r="F1" s="102">
        <f t="shared" si="0"/>
        <v>6</v>
      </c>
      <c r="G1" s="102">
        <f t="shared" si="0"/>
        <v>7</v>
      </c>
      <c r="H1" s="102">
        <f t="shared" si="0"/>
        <v>8</v>
      </c>
      <c r="I1" s="102">
        <f t="shared" si="0"/>
        <v>9</v>
      </c>
      <c r="J1" s="102">
        <f t="shared" si="0"/>
        <v>10</v>
      </c>
      <c r="K1" s="102">
        <f t="shared" si="0"/>
        <v>11</v>
      </c>
      <c r="L1" s="102">
        <f t="shared" si="0"/>
        <v>12</v>
      </c>
      <c r="M1" s="102">
        <f t="shared" si="0"/>
        <v>13</v>
      </c>
      <c r="N1" s="102">
        <f t="shared" si="0"/>
        <v>14</v>
      </c>
      <c r="O1" s="102">
        <f t="shared" si="0"/>
        <v>15</v>
      </c>
      <c r="P1" s="102">
        <f t="shared" si="0"/>
        <v>16</v>
      </c>
      <c r="Q1" s="102">
        <f t="shared" ref="Q1:V1" si="1">P1+1</f>
        <v>17</v>
      </c>
      <c r="R1" s="102">
        <f t="shared" si="1"/>
        <v>18</v>
      </c>
      <c r="S1" s="102">
        <f t="shared" si="1"/>
        <v>19</v>
      </c>
      <c r="T1" s="102">
        <f t="shared" si="1"/>
        <v>20</v>
      </c>
      <c r="U1" s="102">
        <f t="shared" si="1"/>
        <v>21</v>
      </c>
      <c r="V1" s="102">
        <f t="shared" si="1"/>
        <v>22</v>
      </c>
      <c r="W1" s="102">
        <f t="shared" ref="W1:Z1" si="2">V1+1</f>
        <v>23</v>
      </c>
      <c r="X1" s="102">
        <f t="shared" si="2"/>
        <v>24</v>
      </c>
      <c r="Y1" s="102">
        <f t="shared" si="2"/>
        <v>25</v>
      </c>
      <c r="Z1" s="102">
        <f t="shared" si="2"/>
        <v>26</v>
      </c>
      <c r="AA1" s="102">
        <f t="shared" ref="AA1" si="3">Z1+1</f>
        <v>27</v>
      </c>
      <c r="AB1" s="102">
        <f t="shared" ref="AB1" si="4">AA1+1</f>
        <v>28</v>
      </c>
      <c r="AC1" s="102">
        <f t="shared" ref="AC1" si="5">AB1+1</f>
        <v>29</v>
      </c>
      <c r="AD1" s="102">
        <f t="shared" ref="AD1" si="6">AC1+1</f>
        <v>30</v>
      </c>
      <c r="AE1" s="102">
        <f t="shared" ref="AE1" si="7">AD1+1</f>
        <v>31</v>
      </c>
      <c r="AF1" s="102">
        <f t="shared" ref="AF1" si="8">AE1+1</f>
        <v>32</v>
      </c>
      <c r="AG1" s="102">
        <f t="shared" ref="AG1" si="9">AF1+1</f>
        <v>33</v>
      </c>
      <c r="AH1" s="102">
        <f t="shared" ref="AH1" si="10">AG1+1</f>
        <v>34</v>
      </c>
      <c r="AI1" s="102">
        <f t="shared" ref="AI1" si="11">AH1+1</f>
        <v>35</v>
      </c>
      <c r="AJ1" s="102">
        <f t="shared" ref="AJ1" si="12">AI1+1</f>
        <v>36</v>
      </c>
      <c r="AK1" s="102">
        <f t="shared" ref="AK1" si="13">AJ1+1</f>
        <v>37</v>
      </c>
      <c r="AL1" s="102">
        <f t="shared" ref="AL1" si="14">AK1+1</f>
        <v>38</v>
      </c>
      <c r="AM1" s="102">
        <f t="shared" ref="AM1" si="15">AL1+1</f>
        <v>39</v>
      </c>
      <c r="AN1" s="102">
        <f t="shared" ref="AN1" si="16">AM1+1</f>
        <v>40</v>
      </c>
      <c r="AO1" s="102">
        <f t="shared" ref="AO1" si="17">AN1+1</f>
        <v>41</v>
      </c>
      <c r="AP1" s="102">
        <f t="shared" ref="AP1" si="18">AO1+1</f>
        <v>42</v>
      </c>
      <c r="ZZ1">
        <f ca="1">TODAY()</f>
        <v>46210</v>
      </c>
    </row>
    <row r="2" spans="1:702" ht="27.75" customHeight="1" x14ac:dyDescent="0.25">
      <c r="B2" s="72" t="s">
        <v>0</v>
      </c>
      <c r="C2" s="73"/>
      <c r="D2" s="73"/>
      <c r="E2" s="74"/>
      <c r="F2" s="74"/>
      <c r="G2" s="75"/>
      <c r="H2" s="82"/>
      <c r="I2" s="73"/>
      <c r="J2" s="75"/>
      <c r="K2" s="75"/>
      <c r="L2" s="76"/>
      <c r="M2" s="74"/>
      <c r="N2" s="73"/>
      <c r="O2" s="94"/>
      <c r="P2" s="74"/>
      <c r="Q2" s="74"/>
      <c r="R2" s="74"/>
      <c r="S2" s="74"/>
      <c r="T2" s="74"/>
      <c r="U2" s="74"/>
      <c r="V2" s="92"/>
      <c r="W2" s="92"/>
      <c r="X2" s="74"/>
      <c r="Y2" s="74"/>
      <c r="Z2" s="74"/>
      <c r="AA2" s="74"/>
      <c r="AB2" s="74"/>
      <c r="AC2" s="77"/>
      <c r="AD2" s="74"/>
      <c r="AE2" s="77"/>
      <c r="AF2" s="77"/>
      <c r="AG2" s="77"/>
      <c r="AH2" s="77"/>
      <c r="AI2" s="77"/>
      <c r="AJ2" s="77"/>
      <c r="AK2" s="77"/>
      <c r="AL2" s="74"/>
      <c r="AM2" s="74"/>
      <c r="AN2" s="74"/>
      <c r="AO2" s="74"/>
      <c r="AP2" s="78"/>
    </row>
    <row r="3" spans="1:702" ht="5.0999999999999996" customHeight="1" x14ac:dyDescent="0.25">
      <c r="C3" s="1"/>
      <c r="D3" s="1"/>
      <c r="E3" s="1"/>
      <c r="F3" s="1"/>
      <c r="H3" s="1"/>
      <c r="I3" s="1"/>
      <c r="M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2"/>
      <c r="AP3" s="58"/>
    </row>
    <row r="4" spans="1:702" ht="30.75" customHeight="1" x14ac:dyDescent="0.25">
      <c r="B4" s="60" t="s">
        <v>1</v>
      </c>
      <c r="C4" s="20" t="s">
        <v>2</v>
      </c>
      <c r="D4" s="60" t="s">
        <v>3</v>
      </c>
      <c r="E4" s="20" t="s">
        <v>4</v>
      </c>
      <c r="F4" s="20" t="s">
        <v>5</v>
      </c>
      <c r="G4" s="60" t="s">
        <v>6</v>
      </c>
      <c r="H4" s="97" t="s">
        <v>7</v>
      </c>
      <c r="I4" s="60" t="s">
        <v>8</v>
      </c>
      <c r="J4" s="79" t="s">
        <v>9</v>
      </c>
      <c r="K4" s="79" t="s">
        <v>10</v>
      </c>
      <c r="L4" s="79" t="s">
        <v>11</v>
      </c>
      <c r="M4" s="79" t="s">
        <v>12</v>
      </c>
      <c r="N4" s="79" t="s">
        <v>13</v>
      </c>
      <c r="O4" s="22" t="s">
        <v>14</v>
      </c>
      <c r="P4" s="22" t="s">
        <v>439</v>
      </c>
      <c r="Q4" s="104" t="s">
        <v>422</v>
      </c>
      <c r="R4" s="79" t="s">
        <v>15</v>
      </c>
      <c r="S4" s="79" t="s">
        <v>16</v>
      </c>
      <c r="T4" s="79" t="s">
        <v>17</v>
      </c>
      <c r="U4" s="79" t="s">
        <v>18</v>
      </c>
      <c r="V4" s="98" t="s">
        <v>423</v>
      </c>
      <c r="W4" s="106" t="s">
        <v>424</v>
      </c>
      <c r="X4" s="98" t="s">
        <v>19</v>
      </c>
      <c r="Y4" s="98" t="s">
        <v>20</v>
      </c>
      <c r="Z4" s="98" t="s">
        <v>431</v>
      </c>
      <c r="AA4" s="107" t="s">
        <v>432</v>
      </c>
      <c r="AB4" s="22" t="s">
        <v>22</v>
      </c>
      <c r="AC4" s="99" t="s">
        <v>23</v>
      </c>
      <c r="AD4" s="100" t="s">
        <v>24</v>
      </c>
      <c r="AE4" s="100" t="s">
        <v>25</v>
      </c>
      <c r="AF4" s="100" t="s">
        <v>26</v>
      </c>
      <c r="AG4" s="100" t="s">
        <v>27</v>
      </c>
      <c r="AH4" s="101" t="s">
        <v>28</v>
      </c>
      <c r="AI4" s="101" t="s">
        <v>29</v>
      </c>
      <c r="AJ4" s="100" t="s">
        <v>30</v>
      </c>
      <c r="AK4" s="100" t="s">
        <v>415</v>
      </c>
      <c r="AL4" s="100" t="s">
        <v>31</v>
      </c>
      <c r="AM4" s="100" t="s">
        <v>32</v>
      </c>
      <c r="AN4" s="100" t="s">
        <v>33</v>
      </c>
      <c r="AO4" s="15" t="s">
        <v>34</v>
      </c>
      <c r="AP4" s="109" t="s">
        <v>35</v>
      </c>
      <c r="AQ4" s="110" t="s">
        <v>434</v>
      </c>
    </row>
    <row r="5" spans="1:702" s="36" customFormat="1" ht="25.15" hidden="1" customHeight="1" x14ac:dyDescent="0.25">
      <c r="A5" s="36">
        <v>1</v>
      </c>
      <c r="B5" s="38" t="s">
        <v>430</v>
      </c>
      <c r="C5" s="70" t="str">
        <f>INDEX([1]Produtos!$G:$G,MATCH($D5,[1]Produtos!$B:$B,0))</f>
        <v>MISS RÔSE</v>
      </c>
      <c r="D5" s="24" t="s">
        <v>41</v>
      </c>
      <c r="E5" s="70" t="str">
        <f>INDEX([1]Produtos!$C:$C,MATCH($D5,[1]Produtos!$B:$B,0))&amp;IF($F5&lt;&gt;"-"," - "&amp;LEFT($F5,1),"")&amp;" &gt; "&amp;$B5</f>
        <v>BODY SPLASH AURORA IMPERIAL &gt; PROG 01 25/03/26</v>
      </c>
      <c r="F5" s="51" t="s">
        <v>38</v>
      </c>
      <c r="G5" s="38">
        <v>46106</v>
      </c>
      <c r="H5" s="39">
        <v>30000</v>
      </c>
      <c r="I5" s="24" t="s">
        <v>42</v>
      </c>
      <c r="J5" s="68" cm="1">
        <f t="array" ref="J5">IFERROR(INDEX('[2]Previsão Envase'!$D$5:$D$4867, MATCH(1,('[2]Previsão Envase'!$F$5:$F$4867=$E5)+('[2]Previsão Envase'!$G$5:$G$4867=$E5)+('[2]Previsão Envase'!$H$5:$H$4867=$E5),0)),"")</f>
        <v>46161</v>
      </c>
      <c r="K5" s="68" t="str">
        <f>IF(COUNTIF('[2]Previsão Envase'!$F:$F,E5)&gt;0,"Linha 1",
IF(COUNTIF('[2]Previsão Envase'!$G:$G,E5)&gt;0,"Linha 2",
IF(COUNTIF('[2]Previsão Envase'!$H:$H,E5)&gt;0,"Linha 3","")))</f>
        <v>Linha 1</v>
      </c>
      <c r="L5" s="96">
        <f>COUNTIF('[2]Previsão Envase'!$F:$H,E5)-COUNTIF('[2]Previsão Envase'!$F$1:$H$4,E5)</f>
        <v>17</v>
      </c>
      <c r="M5" s="35">
        <f t="shared" ref="M5:M68" si="19">IFERROR(L5*S5,"-")</f>
        <v>14340.992616294881</v>
      </c>
      <c r="N5" s="68" t="str">
        <f>IFERROR(MAX(_xlfn.MAXIFS('[2]Controle de Produção'!$C:$C,'[2]Controle de Produção'!$L:$L,$D5,'[2]Controle de Produção'!$P:$P,$C5,'[2]Controle de Produção'!$G:$G,$B5),_xlfn.MAXIFS([3]EXPEDIÇÃO!$N:$N,[3]EXPEDIÇÃO!$E:$E,$D5,[3]EXPEDIÇÃO!$D:$D,$C5,[3]EXPEDIÇÃO!$N:$N,"&gt;="&amp;$G5)),"")</f>
        <v/>
      </c>
      <c r="O5" s="70">
        <f>INDEX([1]Produtos!$E:$E,MATCH($D5,[1]Produtos!$B:$B,0))</f>
        <v>220</v>
      </c>
      <c r="P5" s="70" t="str">
        <f>INDEX([1]Produtos!$F:$F,MATCH($D5,[1]Produtos!$B:$B,0))</f>
        <v>ml</v>
      </c>
      <c r="Q5" s="105">
        <f>INDEX([1]Produtos!$Y:$Y,MATCH($D5,[1]Produtos!$B:$B,0))</f>
        <v>0.51</v>
      </c>
      <c r="R5" s="35">
        <f t="shared" ref="R5:R68" si="20">IFERROR(S5*9, "-")</f>
        <v>7592.2902086267013</v>
      </c>
      <c r="S5" s="27">
        <f>IFERROR(INDEX([1]Produtos!$L:$L,MATCH(D5,[1]Produtos!$B:$B,0)), "")</f>
        <v>843.58780095852239</v>
      </c>
      <c r="T5" s="28">
        <f t="shared" ref="T5:T68" si="21">IFERROR(ROUNDUP(H5/S5,1),"-")</f>
        <v>35.6</v>
      </c>
      <c r="U5" s="28" t="str">
        <f t="shared" ref="U5:U68" si="22">IFERROR(ROUNDDOWN(T5/8.8,0)&amp;"D e "&amp;ROUNDUP(MOD(T5,8.8),0)&amp;"h","-")</f>
        <v>4D e 1h</v>
      </c>
      <c r="V5" s="57">
        <f>IFERROR(SUMIFS('[2]Controle de Produção'!$K:$K,'[2]Controle de Produção'!$L:$L,D5,'[2]Controle de Produção'!$P:$P,C5,'[2]Controle de Produção'!$B:$B,"&gt;=" &amp; G5,'[2]Controle de Produção'!$C:$C,"&lt;=" &amp; N5, '[2]Controle de Produção'!$G:$G,B5), "")</f>
        <v>0</v>
      </c>
      <c r="W5" s="27" t="str">
        <f>IFERROR(SUMIFS([3]EXPEDIÇÃO!$K:$K,[3]EXPEDIÇÃO!$E:$E,D5,[3]EXPEDIÇÃO!$D:$D,C5,[3]EXPEDIÇÃO!$N:$N,"&gt;=" &amp; G5,[3]EXPEDIÇÃO!$N:$N,"&lt;="&amp;N5), "")</f>
        <v/>
      </c>
      <c r="X5" s="27">
        <f>COUNTIFS('[2]Controle de Produção'!$P:$P,C5,'[2]Controle de Produção'!$L:$L,D5,'[2]Controle de Produção'!$B:$B,"&gt;=" &amp; G5)</f>
        <v>13</v>
      </c>
      <c r="Y5" s="27">
        <f t="shared" ref="Y5:Y68" si="23">IFERROR(AVERAGE(V5/X5),"-")</f>
        <v>0</v>
      </c>
      <c r="Z5" s="27">
        <f>IFERROR(COUNTIFS('[2]Controle de Produção'!$L:$L,D5,'[2]Controle de Produção'!$P:$P,C5,'[2]Controle de Produção'!$B:$B,"&gt;=" &amp; G5,'[2]Controle de Produção'!$C:$C,"&lt;=" &amp; N5, '[2]Controle de Produção'!$G:$G,B5), "")</f>
        <v>0</v>
      </c>
      <c r="AA5" s="108" t="str">
        <f t="shared" ref="AA5:AA68" si="24">IF(OR(V5=0,H5=0),"",IF(V5="","",(V5-H5)/H5))</f>
        <v/>
      </c>
      <c r="AB5" s="41" t="str" cm="1">
        <f t="array" ref="AB5">_xlfn.IFS((H5*0.95)&lt;=V5,"Concluído",AND(V5 =0, J5&lt;&gt;""),"Programado",AND(V5=0,D5=""),"Desenvolv.",V5=0,"Não Iniciado",AND(V5&gt;0,V5&lt;H5,AO5=TRUE),"Em Produção",AND(V5&gt;0,V5&lt;H5,AO5=FALSE),"Produção Parcial")</f>
        <v>Programado</v>
      </c>
      <c r="AC5" s="42" t="b">
        <v>1</v>
      </c>
      <c r="AD5" s="32" t="b">
        <v>1</v>
      </c>
      <c r="AE5" s="32" t="b">
        <v>1</v>
      </c>
      <c r="AF5" s="32" t="b">
        <v>1</v>
      </c>
      <c r="AG5" s="32" t="s">
        <v>38</v>
      </c>
      <c r="AH5" s="32" t="s">
        <v>38</v>
      </c>
      <c r="AI5" s="32" t="b">
        <v>0</v>
      </c>
      <c r="AJ5" s="32" t="s">
        <v>38</v>
      </c>
      <c r="AK5" s="32" t="s">
        <v>38</v>
      </c>
      <c r="AL5" s="32" t="b">
        <v>1</v>
      </c>
      <c r="AM5" s="42" t="b">
        <v>1</v>
      </c>
      <c r="AN5" s="42" t="b">
        <v>1</v>
      </c>
      <c r="AO5" s="45" t="b" cm="1">
        <f t="array" ref="AO5">AND(COUNTIF(AC5:AN5,FALSE)=0,SUMPRODUCT(ISNUMBER(AC5:AN5)*1)=0)</f>
        <v>0</v>
      </c>
      <c r="AP5" s="59"/>
      <c r="AQ5" s="111">
        <f>IF(AB5="",99999999999,IFERROR(MATCH(AB5,{"Produção Parcial","Em Produção","Programado","Não Iniciado","Desenvolv.","Concluído"},0),7)*100000000+IF(ISNUMBER(J5),J5-46000,9999)*10000+IF(A5="",99,A5)*100+IF(C5="",99,CODE(LEFT(C5,1))))</f>
        <v>301610177</v>
      </c>
    </row>
    <row r="6" spans="1:702" s="36" customFormat="1" ht="25.15" hidden="1" customHeight="1" x14ac:dyDescent="0.25">
      <c r="A6" s="36">
        <v>4</v>
      </c>
      <c r="B6" s="116" t="s">
        <v>440</v>
      </c>
      <c r="C6" s="70" t="str">
        <f>INDEX([1]Produtos!$G:$G,MATCH($D6,[1]Produtos!$B:$B,0))</f>
        <v>FEBELLA BEAUTY</v>
      </c>
      <c r="D6" s="24" t="s">
        <v>442</v>
      </c>
      <c r="E6" s="70" t="str">
        <f>INDEX([1]Produtos!$C:$C,MATCH($D6,[1]Produtos!$B:$B,0))&amp;IF($F6&lt;&gt;"-"," - "&amp;LEFT($F6,1),"")&amp;" &gt; "&amp;$B6</f>
        <v>BODY SPLASH AMBER BLOOM 200ML -  &gt; 05</v>
      </c>
      <c r="F6" s="51"/>
      <c r="G6" s="38">
        <v>46142</v>
      </c>
      <c r="H6" s="39">
        <v>10000</v>
      </c>
      <c r="I6" s="24" t="s">
        <v>39</v>
      </c>
      <c r="J6" s="68" cm="1">
        <f t="array" ref="J6">IFERROR(INDEX('[2]Previsão Envase'!$D$5:$D$4867, MATCH(1,('[2]Previsão Envase'!$F$5:$F$4867=$E6)+('[2]Previsão Envase'!$G$5:$G$4867=$E6)+('[2]Previsão Envase'!$H$5:$H$4867=$E6),0)),"")</f>
        <v>46162</v>
      </c>
      <c r="K6" s="68" t="str">
        <f>IF(COUNTIF('[2]Previsão Envase'!$F:$F,E6)&gt;0,"Linha 1",
IF(COUNTIF('[2]Previsão Envase'!$G:$G,E6)&gt;0,"Linha 2",
IF(COUNTIF('[2]Previsão Envase'!$H:$H,E6)&gt;0,"Linha 3","")))</f>
        <v>Linha 1</v>
      </c>
      <c r="L6" s="96">
        <f>COUNTIF('[2]Previsão Envase'!$F:$H,E6)-COUNTIF('[2]Previsão Envase'!$F$1:$H$4,E6)</f>
        <v>14</v>
      </c>
      <c r="M6" s="35">
        <f t="shared" si="19"/>
        <v>0</v>
      </c>
      <c r="N6" s="68" t="str">
        <f>IFERROR(MAX(_xlfn.MAXIFS('[2]Controle de Produção'!$C:$C,'[2]Controle de Produção'!$L:$L,$D6,'[2]Controle de Produção'!$P:$P,$C6,'[2]Controle de Produção'!$G:$G,$B6),_xlfn.MAXIFS([3]EXPEDIÇÃO!$N:$N,[3]EXPEDIÇÃO!$E:$E,$D6,[3]EXPEDIÇÃO!$D:$D,$C6,[3]EXPEDIÇÃO!$N:$N,"&gt;="&amp;$G6)),"")</f>
        <v/>
      </c>
      <c r="O6" s="70">
        <f>INDEX([1]Produtos!$E:$E,MATCH($D6,[1]Produtos!$B:$B,0))</f>
        <v>200</v>
      </c>
      <c r="P6" s="70" t="str">
        <f>INDEX([1]Produtos!$F:$F,MATCH($D6,[1]Produtos!$B:$B,0))</f>
        <v>ml</v>
      </c>
      <c r="Q6" s="105">
        <f>INDEX([1]Produtos!$Y:$Y,MATCH($D6,[1]Produtos!$B:$B,0))</f>
        <v>1.2</v>
      </c>
      <c r="R6" s="35">
        <f t="shared" si="20"/>
        <v>0</v>
      </c>
      <c r="S6" s="27"/>
      <c r="T6" s="28" t="str">
        <f t="shared" si="21"/>
        <v>-</v>
      </c>
      <c r="U6" s="28" t="str">
        <f t="shared" si="22"/>
        <v>-</v>
      </c>
      <c r="V6" s="27">
        <f>IFERROR(SUMIFS('[2]Controle de Produção'!$K:$K,'[2]Controle de Produção'!$L:$L,D6,'[2]Controle de Produção'!$P:$P,C6,'[2]Controle de Produção'!$B:$B,"&gt;=" &amp; G6,'[2]Controle de Produção'!$C:$C,"&lt;=" &amp; N6, '[2]Controle de Produção'!$G:$G,B6), "")</f>
        <v>0</v>
      </c>
      <c r="W6" s="27" t="str">
        <f>IFERROR(SUMIFS([3]EXPEDIÇÃO!$K:$K,[3]EXPEDIÇÃO!$E:$E,D6,[3]EXPEDIÇÃO!$D:$D,C6,[3]EXPEDIÇÃO!$N:$N,"&gt;=" &amp; G6,[3]EXPEDIÇÃO!$N:$N,"&lt;="&amp;N6), "")</f>
        <v/>
      </c>
      <c r="X6" s="27">
        <f>COUNTIFS('[2]Controle de Produção'!$P:$P,C6,'[2]Controle de Produção'!$L:$L,D6,'[2]Controle de Produção'!$B:$B,"&gt;=" &amp; G6)</f>
        <v>3</v>
      </c>
      <c r="Y6" s="27">
        <f t="shared" si="23"/>
        <v>0</v>
      </c>
      <c r="Z6" s="27"/>
      <c r="AA6" s="108" t="str">
        <f t="shared" si="24"/>
        <v/>
      </c>
      <c r="AB6" s="41" t="str" cm="1">
        <f t="array" ref="AB6">_xlfn.IFS((H6*0.95)&lt;=V6,"Concluído",AND(V6 =0, J6&lt;&gt;""),"Programado",AND(V6=0,D6=""),"Desenvolv.",V6=0,"Não Iniciado",AND(V6&gt;0,V6&lt;H6,AO6=TRUE),"Em Produção",AND(V6&gt;0,V6&lt;H6,AO6=FALSE),"Produção Parcial")</f>
        <v>Programado</v>
      </c>
      <c r="AC6" s="42" t="b">
        <v>1</v>
      </c>
      <c r="AD6" s="32" t="b">
        <v>1</v>
      </c>
      <c r="AE6" s="32" t="b">
        <v>1</v>
      </c>
      <c r="AF6" s="32" t="b">
        <v>1</v>
      </c>
      <c r="AG6" s="32" t="s">
        <v>38</v>
      </c>
      <c r="AH6" s="32" t="s">
        <v>38</v>
      </c>
      <c r="AI6" s="32" t="b">
        <v>1</v>
      </c>
      <c r="AJ6" s="32" t="s">
        <v>38</v>
      </c>
      <c r="AK6" s="90" t="s">
        <v>38</v>
      </c>
      <c r="AL6" s="42" t="b">
        <v>1</v>
      </c>
      <c r="AM6" s="42" t="b">
        <v>1</v>
      </c>
      <c r="AN6" s="42" t="b">
        <v>1</v>
      </c>
      <c r="AO6" s="45" t="b" cm="1">
        <f t="array" ref="AO6">AND(COUNTIF(AC6:AN6,FALSE)=0,SUMPRODUCT(ISNUMBER(AC6:AN6)*1)=0)</f>
        <v>1</v>
      </c>
      <c r="AP6" s="59"/>
      <c r="AQ6" s="111">
        <f>IF(AB6="",99999999999,IFERROR(MATCH(AB6,{"Produção Parcial","Em Produção","Programado","Não Iniciado","Desenvolv.","Concluído"},0),7)*100000000+IF(ISNUMBER(J6),J6-46000,9999)*10000+IF(A6="",99,A6)*100+IF(C6="",99,CODE(LEFT(C6,1))))</f>
        <v>301620470</v>
      </c>
    </row>
    <row r="7" spans="1:702" s="36" customFormat="1" ht="25.15" hidden="1" customHeight="1" x14ac:dyDescent="0.25">
      <c r="A7" s="36">
        <v>5</v>
      </c>
      <c r="B7" s="112" t="s">
        <v>438</v>
      </c>
      <c r="C7" s="70" t="str">
        <f>INDEX([1]Produtos!$G:$G,MATCH($D7,[1]Produtos!$B:$B,0))</f>
        <v>MISS RÔSE</v>
      </c>
      <c r="D7" s="24" t="s">
        <v>74</v>
      </c>
      <c r="E7" s="70" t="str">
        <f>INDEX([1]Produtos!$C:$C,MATCH($D7,[1]Produtos!$B:$B,0))&amp;IF($F7&lt;&gt;"-"," - "&amp;LEFT($F7,1),"")&amp;" &gt; "&amp;$B7</f>
        <v>BODY SPLASH LEAO DO DESERTO BOURBON 200ml &gt; 0008</v>
      </c>
      <c r="F7" s="51" t="s">
        <v>38</v>
      </c>
      <c r="G7" s="38">
        <v>46149</v>
      </c>
      <c r="H7" s="39">
        <v>20000</v>
      </c>
      <c r="I7" s="24" t="s">
        <v>42</v>
      </c>
      <c r="J7" s="68" cm="1">
        <f t="array" ref="J7">IFERROR(INDEX('[2]Previsão Envase'!$D$5:$D$4867, MATCH(1,('[2]Previsão Envase'!$F$5:$F$4867=$E7)+('[2]Previsão Envase'!$G$5:$G$4867=$E7)+('[2]Previsão Envase'!$H$5:$H$4867=$E7),0)),"")</f>
        <v>46163</v>
      </c>
      <c r="K7" s="68" t="str">
        <f>IF(COUNTIF('[2]Previsão Envase'!$F:$F,E7)&gt;0,"Linha 1",
IF(COUNTIF('[2]Previsão Envase'!$G:$G,E7)&gt;0,"Linha 2",
IF(COUNTIF('[2]Previsão Envase'!$H:$H,E7)&gt;0,"Linha 3","")))</f>
        <v>Linha 2</v>
      </c>
      <c r="L7" s="96">
        <f>COUNTIF('[2]Previsão Envase'!$F:$H,E7)-COUNTIF('[2]Previsão Envase'!$F$1:$H$4,E7)</f>
        <v>26</v>
      </c>
      <c r="M7" s="35">
        <f t="shared" si="19"/>
        <v>21933.282824921582</v>
      </c>
      <c r="N7" s="68" t="str">
        <f>IFERROR(MAX(_xlfn.MAXIFS('[2]Controle de Produção'!$C:$C,'[2]Controle de Produção'!$L:$L,$D7,'[2]Controle de Produção'!$P:$P,$C7,'[2]Controle de Produção'!$G:$G,$B7),_xlfn.MAXIFS([3]EXPEDIÇÃO!$N:$N,[3]EXPEDIÇÃO!$E:$E,$D7,[3]EXPEDIÇÃO!$D:$D,$C7,[3]EXPEDIÇÃO!$N:$N,"&gt;="&amp;$G7)),"")</f>
        <v/>
      </c>
      <c r="O7" s="70">
        <f>INDEX([1]Produtos!$E:$E,MATCH($D7,[1]Produtos!$B:$B,0))</f>
        <v>215</v>
      </c>
      <c r="P7" s="70" t="str">
        <f>INDEX([1]Produtos!$F:$F,MATCH($D7,[1]Produtos!$B:$B,0))</f>
        <v>ml</v>
      </c>
      <c r="Q7" s="105">
        <f>INDEX([1]Produtos!$Y:$Y,MATCH($D7,[1]Produtos!$B:$B,0))</f>
        <v>0.85</v>
      </c>
      <c r="R7" s="35">
        <f t="shared" si="20"/>
        <v>7592.2902086267013</v>
      </c>
      <c r="S7" s="27">
        <f>IFERROR(INDEX([1]Produtos!$L:$L,MATCH(D7,[1]Produtos!$B:$B,0)), "")</f>
        <v>843.58780095852239</v>
      </c>
      <c r="T7" s="28">
        <f t="shared" si="21"/>
        <v>23.8</v>
      </c>
      <c r="U7" s="28" t="str">
        <f t="shared" si="22"/>
        <v>2D e 7h</v>
      </c>
      <c r="V7" s="57">
        <f>IFERROR(SUMIFS('[2]Controle de Produção'!$K:$K,'[2]Controle de Produção'!$L:$L,D7,'[2]Controle de Produção'!$P:$P,C7,'[2]Controle de Produção'!$B:$B,"&gt;=" &amp; G7,'[2]Controle de Produção'!$C:$C,"&lt;=" &amp; N7, '[2]Controle de Produção'!$G:$G,B7), "")</f>
        <v>0</v>
      </c>
      <c r="W7" s="27" t="str">
        <f>IFERROR(SUMIFS([3]EXPEDIÇÃO!$K:$K,[3]EXPEDIÇÃO!$E:$E,D7,[3]EXPEDIÇÃO!$D:$D,C7,[3]EXPEDIÇÃO!$N:$N,"&gt;=" &amp; G7,[3]EXPEDIÇÃO!$N:$N,"&lt;="&amp;N7), "")</f>
        <v/>
      </c>
      <c r="X7" s="27">
        <f>COUNTIFS('[2]Controle de Produção'!$P:$P,C7,'[2]Controle de Produção'!$L:$L,D7,'[2]Controle de Produção'!$B:$B,"&gt;=" &amp; G7)</f>
        <v>16</v>
      </c>
      <c r="Y7" s="27">
        <f t="shared" si="23"/>
        <v>0</v>
      </c>
      <c r="Z7" s="27">
        <f>IFERROR(COUNTIFS('[2]Controle de Produção'!$L:$L,D7,'[2]Controle de Produção'!$P:$P,C7,'[2]Controle de Produção'!$B:$B,"&gt;=" &amp; G7,'[2]Controle de Produção'!$C:$C,"&lt;=" &amp; N7, '[2]Controle de Produção'!$G:$G,B7), "")</f>
        <v>0</v>
      </c>
      <c r="AA7" s="108" t="str">
        <f t="shared" si="24"/>
        <v/>
      </c>
      <c r="AB7" s="41" t="str" cm="1">
        <f t="array" ref="AB7">_xlfn.IFS((H7*0.95)&lt;=V7,"Concluído",AND(V7 =0, J7&lt;&gt;""),"Programado",AND(V7=0,D7=""),"Desenvolv.",V7=0,"Não Iniciado",AND(V7&gt;0,V7&lt;H7,AO7=TRUE),"Em Produção",AND(V7&gt;0,V7&lt;H7,AO7=FALSE),"Produção Parcial")</f>
        <v>Programado</v>
      </c>
      <c r="AC7" s="32" t="b">
        <v>1</v>
      </c>
      <c r="AD7" s="32" t="b">
        <v>1</v>
      </c>
      <c r="AE7" s="32" t="b">
        <v>1</v>
      </c>
      <c r="AF7" s="32" t="b">
        <v>1</v>
      </c>
      <c r="AG7" s="32" t="b">
        <v>1</v>
      </c>
      <c r="AH7" s="32" t="s">
        <v>38</v>
      </c>
      <c r="AI7" s="32" t="b">
        <v>1</v>
      </c>
      <c r="AJ7" s="32" t="s">
        <v>38</v>
      </c>
      <c r="AK7" s="32" t="s">
        <v>38</v>
      </c>
      <c r="AL7" s="32" t="b">
        <v>1</v>
      </c>
      <c r="AM7" s="32" t="b">
        <v>1</v>
      </c>
      <c r="AN7" s="32" t="b">
        <v>1</v>
      </c>
      <c r="AO7" s="45" t="b" cm="1">
        <f t="array" ref="AO7">AND(COUNTIF(AC7:AN7,FALSE)=0,SUMPRODUCT(ISNUMBER(AC7:AN7)*1)=0)</f>
        <v>1</v>
      </c>
      <c r="AP7" s="59"/>
      <c r="AQ7" s="111">
        <f>IF(AB7="",99999999999,IFERROR(MATCH(AB7,{"Produção Parcial","Em Produção","Programado","Não Iniciado","Desenvolv.","Concluído"},0),7)*100000000+IF(ISNUMBER(J7),J7-46000,9999)*10000+IF(A7="",99,A7)*100+IF(C7="",99,CODE(LEFT(C7,1))))</f>
        <v>301630577</v>
      </c>
    </row>
    <row r="8" spans="1:702" s="36" customFormat="1" ht="25.15" hidden="1" customHeight="1" x14ac:dyDescent="0.25">
      <c r="A8" s="36">
        <v>5</v>
      </c>
      <c r="B8" s="112" t="s">
        <v>438</v>
      </c>
      <c r="C8" s="70" t="str">
        <f>INDEX([1]Produtos!$G:$G,MATCH($D8,[1]Produtos!$B:$B,0))</f>
        <v>MISS RÔSE</v>
      </c>
      <c r="D8" s="24" t="s">
        <v>75</v>
      </c>
      <c r="E8" s="70" t="str">
        <f>INDEX([1]Produtos!$C:$C,MATCH($D8,[1]Produtos!$B:$B,0))&amp;IF($F8&lt;&gt;"-"," - "&amp;LEFT($F8,1),"")&amp;" &gt; "&amp;$B8</f>
        <v>BODY SPLASH CEU INFINITO 200ml &gt; 0008</v>
      </c>
      <c r="F8" s="51" t="s">
        <v>38</v>
      </c>
      <c r="G8" s="38">
        <v>46149</v>
      </c>
      <c r="H8" s="39">
        <v>16000</v>
      </c>
      <c r="I8" s="24" t="s">
        <v>42</v>
      </c>
      <c r="J8" s="68" cm="1">
        <f t="array" ref="J8">IFERROR(INDEX('[2]Previsão Envase'!$D$5:$D$4867, MATCH(1,('[2]Previsão Envase'!$F$5:$F$4867=$E8)+('[2]Previsão Envase'!$G$5:$G$4867=$E8)+('[2]Previsão Envase'!$H$5:$H$4867=$E8),0)),"")</f>
        <v>46168</v>
      </c>
      <c r="K8" s="68" t="str">
        <f>IF(COUNTIF('[2]Previsão Envase'!$F:$F,E8)&gt;0,"Linha 1",
IF(COUNTIF('[2]Previsão Envase'!$G:$G,E8)&gt;0,"Linha 2",
IF(COUNTIF('[2]Previsão Envase'!$H:$H,E8)&gt;0,"Linha 3","")))</f>
        <v>Linha 2</v>
      </c>
      <c r="L8" s="96">
        <f>COUNTIF('[2]Previsão Envase'!$F:$H,E8)-COUNTIF('[2]Previsão Envase'!$F$1:$H$4,E8)</f>
        <v>32</v>
      </c>
      <c r="M8" s="35">
        <f t="shared" si="19"/>
        <v>26994.809630672717</v>
      </c>
      <c r="N8" s="68" t="str">
        <f>IFERROR(MAX(_xlfn.MAXIFS('[2]Controle de Produção'!$C:$C,'[2]Controle de Produção'!$L:$L,$D8,'[2]Controle de Produção'!$P:$P,$C8,'[2]Controle de Produção'!$G:$G,$B8),_xlfn.MAXIFS([3]EXPEDIÇÃO!$N:$N,[3]EXPEDIÇÃO!$E:$E,$D8,[3]EXPEDIÇÃO!$D:$D,$C8,[3]EXPEDIÇÃO!$N:$N,"&gt;="&amp;$G8)),"")</f>
        <v/>
      </c>
      <c r="O8" s="70">
        <f>INDEX([1]Produtos!$E:$E,MATCH($D8,[1]Produtos!$B:$B,0))</f>
        <v>215</v>
      </c>
      <c r="P8" s="70" t="str">
        <f>INDEX([1]Produtos!$F:$F,MATCH($D8,[1]Produtos!$B:$B,0))</f>
        <v>ml</v>
      </c>
      <c r="Q8" s="105">
        <f>INDEX([1]Produtos!$Y:$Y,MATCH($D8,[1]Produtos!$B:$B,0))</f>
        <v>0.85</v>
      </c>
      <c r="R8" s="35">
        <f t="shared" si="20"/>
        <v>7592.2902086267013</v>
      </c>
      <c r="S8" s="27">
        <f>IFERROR(INDEX([1]Produtos!$L:$L,MATCH(D8,[1]Produtos!$B:$B,0)), "")</f>
        <v>843.58780095852239</v>
      </c>
      <c r="T8" s="28">
        <f t="shared" si="21"/>
        <v>19</v>
      </c>
      <c r="U8" s="28" t="str">
        <f t="shared" si="22"/>
        <v>2D e 2h</v>
      </c>
      <c r="V8" s="27">
        <f>IFERROR(SUMIFS('[2]Controle de Produção'!$K:$K,'[2]Controle de Produção'!$L:$L,D8,'[2]Controle de Produção'!$P:$P,C8,'[2]Controle de Produção'!$B:$B,"&gt;=" &amp; G8,'[2]Controle de Produção'!$C:$C,"&lt;=" &amp; N8, '[2]Controle de Produção'!$G:$G,B8), "")</f>
        <v>0</v>
      </c>
      <c r="W8" s="27" t="str">
        <f>IFERROR(SUMIFS([3]EXPEDIÇÃO!$K:$K,[3]EXPEDIÇÃO!$E:$E,D8,[3]EXPEDIÇÃO!$D:$D,C8,[3]EXPEDIÇÃO!$N:$N,"&gt;=" &amp; G8,[3]EXPEDIÇÃO!$N:$N,"&lt;="&amp;N8), "")</f>
        <v/>
      </c>
      <c r="X8" s="27">
        <f>COUNTIFS('[2]Controle de Produção'!$P:$P,C8,'[2]Controle de Produção'!$L:$L,D8,'[2]Controle de Produção'!$B:$B,"&gt;=" &amp; G8)</f>
        <v>4</v>
      </c>
      <c r="Y8" s="27">
        <f t="shared" si="23"/>
        <v>0</v>
      </c>
      <c r="Z8" s="27">
        <f>IFERROR(COUNTIFS('[2]Controle de Produção'!$L:$L,D8,'[2]Controle de Produção'!$P:$P,C8,'[2]Controle de Produção'!$B:$B,"&gt;=" &amp; G8,'[2]Controle de Produção'!$C:$C,"&lt;=" &amp; N8, '[2]Controle de Produção'!$G:$G,B8), "")</f>
        <v>0</v>
      </c>
      <c r="AA8" s="108" t="str">
        <f t="shared" si="24"/>
        <v/>
      </c>
      <c r="AB8" s="41" t="str" cm="1">
        <f t="array" ref="AB8">_xlfn.IFS((H8*0.95)&lt;=V8,"Concluído",AND(V8 =0, J8&lt;&gt;""),"Programado",AND(V8=0,D8=""),"Desenvolv.",V8=0,"Não Iniciado",AND(V8&gt;0,V8&lt;H8,AO8=TRUE),"Em Produção",AND(V8&gt;0,V8&lt;H8,AO8=FALSE),"Produção Parcial")</f>
        <v>Programado</v>
      </c>
      <c r="AC8" s="42" t="b">
        <v>1</v>
      </c>
      <c r="AD8" s="32" t="b">
        <v>1</v>
      </c>
      <c r="AE8" s="32" t="b">
        <v>1</v>
      </c>
      <c r="AF8" s="32" t="b">
        <v>0</v>
      </c>
      <c r="AG8" s="32" t="b">
        <v>0</v>
      </c>
      <c r="AH8" s="32" t="s">
        <v>38</v>
      </c>
      <c r="AI8" s="32" t="b">
        <v>0</v>
      </c>
      <c r="AJ8" s="32" t="s">
        <v>38</v>
      </c>
      <c r="AK8" s="90" t="s">
        <v>38</v>
      </c>
      <c r="AL8" s="42" t="b">
        <v>0</v>
      </c>
      <c r="AM8" s="42" t="b">
        <v>0</v>
      </c>
      <c r="AN8" s="42" t="b">
        <v>0</v>
      </c>
      <c r="AO8" s="45" t="b" cm="1">
        <f t="array" ref="AO8">AND(COUNTIF(AC8:AN8,FALSE)=0,SUMPRODUCT(ISNUMBER(AC8:AN8)*1)=0)</f>
        <v>0</v>
      </c>
      <c r="AP8" s="59"/>
      <c r="AQ8" s="111">
        <f>IF(AB8="",99999999999,IFERROR(MATCH(AB8,{"Produção Parcial","Em Produção","Programado","Não Iniciado","Desenvolv.","Concluído"},0),7)*100000000+IF(ISNUMBER(J8),J8-46000,9999)*10000+IF(A8="",99,A8)*100+IF(C8="",99,CODE(LEFT(C8,1))))</f>
        <v>301680577</v>
      </c>
    </row>
    <row r="9" spans="1:702" ht="25.35" hidden="1" customHeight="1" x14ac:dyDescent="0.25">
      <c r="A9" s="36">
        <v>5</v>
      </c>
      <c r="B9" s="112" t="s">
        <v>438</v>
      </c>
      <c r="C9" s="70" t="str">
        <f>INDEX([1]Produtos!$G:$G,MATCH($D9,[1]Produtos!$B:$B,0))</f>
        <v>MISS RÔSE</v>
      </c>
      <c r="D9" s="24" t="s">
        <v>71</v>
      </c>
      <c r="E9" s="70" t="str">
        <f>INDEX([1]Produtos!$C:$C,MATCH($D9,[1]Produtos!$B:$B,0))&amp;IF($F9&lt;&gt;"-"," - "&amp;LEFT($F9,1),"")&amp;" &gt; "&amp;$B9</f>
        <v>BODY SPLASH AMBAR REAL 200ml &gt; 0008</v>
      </c>
      <c r="F9" s="51" t="s">
        <v>38</v>
      </c>
      <c r="G9" s="38">
        <v>46149</v>
      </c>
      <c r="H9" s="39">
        <v>16000</v>
      </c>
      <c r="I9" s="24" t="s">
        <v>42</v>
      </c>
      <c r="J9" s="68" cm="1">
        <f t="array" ref="J9">IFERROR(INDEX('[2]Previsão Envase'!$D$5:$D$4867, MATCH(1,('[2]Previsão Envase'!$F$5:$F$4867=$E9)+('[2]Previsão Envase'!$G$5:$G$4867=$E9)+('[2]Previsão Envase'!$H$5:$H$4867=$E9),0)),"")</f>
        <v>46171</v>
      </c>
      <c r="K9" s="68" t="str">
        <f>IF(COUNTIF('[2]Previsão Envase'!$F:$F,E9)&gt;0,"Linha 1",
IF(COUNTIF('[2]Previsão Envase'!$G:$G,E9)&gt;0,"Linha 2",
IF(COUNTIF('[2]Previsão Envase'!$H:$H,E9)&gt;0,"Linha 3","")))</f>
        <v>Linha 1</v>
      </c>
      <c r="L9" s="96">
        <f>COUNTIF('[2]Previsão Envase'!$F:$H,E9)-COUNTIF('[2]Previsão Envase'!$F$1:$H$4,E9)</f>
        <v>30</v>
      </c>
      <c r="M9" s="35">
        <f t="shared" si="19"/>
        <v>25307.63402875567</v>
      </c>
      <c r="N9" s="68" t="str">
        <f>IFERROR(MAX(_xlfn.MAXIFS('[2]Controle de Produção'!$C:$C,'[2]Controle de Produção'!$L:$L,$D9,'[2]Controle de Produção'!$P:$P,$C9,'[2]Controle de Produção'!$G:$G,$B9),_xlfn.MAXIFS([3]EXPEDIÇÃO!$N:$N,[3]EXPEDIÇÃO!$E:$E,$D9,[3]EXPEDIÇÃO!$D:$D,$C9,[3]EXPEDIÇÃO!$N:$N,"&gt;="&amp;$G9)),"")</f>
        <v/>
      </c>
      <c r="O9" s="70">
        <f>INDEX([1]Produtos!$E:$E,MATCH($D9,[1]Produtos!$B:$B,0))</f>
        <v>215</v>
      </c>
      <c r="P9" s="70" t="str">
        <f>INDEX([1]Produtos!$F:$F,MATCH($D9,[1]Produtos!$B:$B,0))</f>
        <v>ml</v>
      </c>
      <c r="Q9" s="105">
        <f>INDEX([1]Produtos!$Y:$Y,MATCH($D9,[1]Produtos!$B:$B,0))</f>
        <v>0.85</v>
      </c>
      <c r="R9" s="35">
        <f t="shared" si="20"/>
        <v>7592.2902086267013</v>
      </c>
      <c r="S9" s="27">
        <f>IFERROR(INDEX([1]Produtos!$L:$L,MATCH(D9,[1]Produtos!$B:$B,0)), "")</f>
        <v>843.58780095852239</v>
      </c>
      <c r="T9" s="28">
        <f t="shared" si="21"/>
        <v>19</v>
      </c>
      <c r="U9" s="28" t="str">
        <f t="shared" si="22"/>
        <v>2D e 2h</v>
      </c>
      <c r="V9" s="27">
        <f>IFERROR(SUMIFS('[2]Controle de Produção'!$K:$K,'[2]Controle de Produção'!$L:$L,D9,'[2]Controle de Produção'!$P:$P,C9,'[2]Controle de Produção'!$B:$B,"&gt;=" &amp; G9,'[2]Controle de Produção'!$C:$C,"&lt;=" &amp; N9, '[2]Controle de Produção'!$G:$G,B9), "")</f>
        <v>0</v>
      </c>
      <c r="W9" s="27" t="str">
        <f>IFERROR(SUMIFS([3]EXPEDIÇÃO!$K:$K,[3]EXPEDIÇÃO!$E:$E,D9,[3]EXPEDIÇÃO!$D:$D,C9,[3]EXPEDIÇÃO!$N:$N,"&gt;=" &amp; G9,[3]EXPEDIÇÃO!$N:$N,"&lt;="&amp;N9), "")</f>
        <v/>
      </c>
      <c r="X9" s="27">
        <f>COUNTIFS('[2]Controle de Produção'!$P:$P,C9,'[2]Controle de Produção'!$L:$L,D9,'[2]Controle de Produção'!$B:$B,"&gt;=" &amp; G9)</f>
        <v>5</v>
      </c>
      <c r="Y9" s="27">
        <f t="shared" si="23"/>
        <v>0</v>
      </c>
      <c r="Z9" s="27">
        <f>IFERROR(COUNTIFS('[2]Controle de Produção'!$L:$L,D9,'[2]Controle de Produção'!$P:$P,C9,'[2]Controle de Produção'!$B:$B,"&gt;=" &amp; G9,'[2]Controle de Produção'!$C:$C,"&lt;=" &amp; N9, '[2]Controle de Produção'!$G:$G,B9), "")</f>
        <v>0</v>
      </c>
      <c r="AA9" s="108" t="str">
        <f t="shared" si="24"/>
        <v/>
      </c>
      <c r="AB9" s="41" t="str" cm="1">
        <f t="array" ref="AB9">_xlfn.IFS((H9*0.95)&lt;=V9,"Concluído",AND(V9 =0, J9&lt;&gt;""),"Programado",AND(V9=0,D9=""),"Desenvolv.",V9=0,"Não Iniciado",AND(V9&gt;0,V9&lt;H9,AO9=TRUE),"Em Produção",AND(V9&gt;0,V9&lt;H9,AO9=FALSE),"Produção Parcial")</f>
        <v>Programado</v>
      </c>
      <c r="AC9" s="42" t="b">
        <v>1</v>
      </c>
      <c r="AD9" s="42" t="b">
        <v>1</v>
      </c>
      <c r="AE9" s="32" t="b">
        <v>1</v>
      </c>
      <c r="AF9" s="32" t="b">
        <v>1</v>
      </c>
      <c r="AG9" s="32" t="b">
        <v>1</v>
      </c>
      <c r="AH9" s="42" t="s">
        <v>38</v>
      </c>
      <c r="AI9" s="32" t="b">
        <v>1</v>
      </c>
      <c r="AJ9" s="42" t="s">
        <v>38</v>
      </c>
      <c r="AK9" s="42" t="s">
        <v>38</v>
      </c>
      <c r="AL9" s="42" t="b">
        <v>1</v>
      </c>
      <c r="AM9" s="42" t="b">
        <v>1</v>
      </c>
      <c r="AN9" s="42" t="b">
        <v>1</v>
      </c>
      <c r="AO9" s="45" t="b" cm="1">
        <f t="array" ref="AO9">AND(COUNTIF(AC9:AN9,FALSE)=0,SUMPRODUCT(ISNUMBER(AC9:AN9)*1)=0)</f>
        <v>1</v>
      </c>
      <c r="AP9" s="59"/>
      <c r="AQ9" s="111">
        <f>IF(AB9="",99999999999,IFERROR(MATCH(AB9,{"Produção Parcial","Em Produção","Programado","Não Iniciado","Desenvolv.","Concluído"},0),7)*100000000+IF(ISNUMBER(J9),J9-46000,9999)*10000+IF(A9="",99,A9)*100+IF(C9="",99,CODE(LEFT(C9,1))))</f>
        <v>301710577</v>
      </c>
      <c r="AR9" s="36"/>
      <c r="AS9" s="36"/>
    </row>
    <row r="10" spans="1:702" ht="25.35" hidden="1" customHeight="1" x14ac:dyDescent="0.25">
      <c r="A10" s="36">
        <v>4</v>
      </c>
      <c r="B10" s="38" t="s">
        <v>88</v>
      </c>
      <c r="C10" s="70" t="str">
        <f>INDEX([1]Produtos!$G:$G,MATCH($D10,[1]Produtos!$B:$B,0))</f>
        <v>WIKE MAKE</v>
      </c>
      <c r="D10" s="24" t="s">
        <v>90</v>
      </c>
      <c r="E10" s="70" t="str">
        <f>INDEX([1]Produtos!$C:$C,MATCH($D10,[1]Produtos!$B:$B,0))&amp;IF($F10&lt;&gt;"-"," - "&amp;LEFT($F10,1),"")&amp;" &gt; "&amp;$B10</f>
        <v>BODY SPLASH CLAIRE 120ml &gt; FABIANO 22/01/26</v>
      </c>
      <c r="F10" s="51" t="s">
        <v>38</v>
      </c>
      <c r="G10" s="38">
        <v>46044</v>
      </c>
      <c r="H10" s="39">
        <v>20000</v>
      </c>
      <c r="I10" s="24" t="s">
        <v>39</v>
      </c>
      <c r="J10" s="68" cm="1">
        <f t="array" ref="J10">IFERROR(INDEX('[2]Previsão Envase'!$D$5:$D$4867, MATCH(1,('[2]Previsão Envase'!$F$5:$F$4867=$E10)+('[2]Previsão Envase'!$G$5:$G$4867=$E10)+('[2]Previsão Envase'!$H$5:$H$4867=$E10),0)),"")</f>
        <v>46174</v>
      </c>
      <c r="K10" s="68" t="str">
        <f>IF(COUNTIF('[2]Previsão Envase'!$F:$F,E10)&gt;0,"Linha 1",
IF(COUNTIF('[2]Previsão Envase'!$G:$G,E10)&gt;0,"Linha 2",
IF(COUNTIF('[2]Previsão Envase'!$H:$H,E10)&gt;0,"Linha 3","")))</f>
        <v>Linha 1</v>
      </c>
      <c r="L10" s="96">
        <f>COUNTIF('[2]Previsão Envase'!$F:$H,E10)-COUNTIF('[2]Previsão Envase'!$F$1:$H$4,E10)</f>
        <v>28</v>
      </c>
      <c r="M10" s="35">
        <f t="shared" si="19"/>
        <v>23620.458426838628</v>
      </c>
      <c r="N10" s="68" t="str">
        <f>IFERROR(MAX(_xlfn.MAXIFS('[2]Controle de Produção'!$C:$C,'[2]Controle de Produção'!$L:$L,$D10,'[2]Controle de Produção'!$P:$P,$C10,'[2]Controle de Produção'!$G:$G,$B10),_xlfn.MAXIFS([3]EXPEDIÇÃO!$N:$N,[3]EXPEDIÇÃO!$E:$E,$D10,[3]EXPEDIÇÃO!$D:$D,$C10,[3]EXPEDIÇÃO!$N:$N,"&gt;="&amp;$G10)),"")</f>
        <v/>
      </c>
      <c r="O10" s="70">
        <f>INDEX([1]Produtos!$E:$E,MATCH($D10,[1]Produtos!$B:$B,0))</f>
        <v>120</v>
      </c>
      <c r="P10" s="70" t="str">
        <f>INDEX([1]Produtos!$F:$F,MATCH($D10,[1]Produtos!$B:$B,0))</f>
        <v>ml</v>
      </c>
      <c r="Q10" s="105">
        <f>INDEX([1]Produtos!$Y:$Y,MATCH($D10,[1]Produtos!$B:$B,0))</f>
        <v>0.55000000000000004</v>
      </c>
      <c r="R10" s="35">
        <f t="shared" si="20"/>
        <v>7592.2902086267013</v>
      </c>
      <c r="S10" s="27">
        <f>IFERROR(INDEX([1]Produtos!$L:$L,MATCH(D10,[1]Produtos!$B:$B,0)), "")</f>
        <v>843.58780095852239</v>
      </c>
      <c r="T10" s="28">
        <f t="shared" si="21"/>
        <v>23.8</v>
      </c>
      <c r="U10" s="28" t="str">
        <f t="shared" si="22"/>
        <v>2D e 7h</v>
      </c>
      <c r="V10" s="27">
        <f>IFERROR(SUMIFS('[2]Controle de Produção'!$K:$K,'[2]Controle de Produção'!$L:$L,D10,'[2]Controle de Produção'!$P:$P,C10,'[2]Controle de Produção'!$B:$B,"&gt;=" &amp; G10,'[2]Controle de Produção'!$C:$C,"&lt;=" &amp; N10, '[2]Controle de Produção'!$G:$G,B10), "")</f>
        <v>0</v>
      </c>
      <c r="W10" s="27" t="str">
        <f>IFERROR(SUMIFS([3]EXPEDIÇÃO!$K:$K,[3]EXPEDIÇÃO!$E:$E,D10,[3]EXPEDIÇÃO!$D:$D,C10,[3]EXPEDIÇÃO!$N:$N,"&gt;=" &amp; G10,[3]EXPEDIÇÃO!$N:$N,"&lt;="&amp;N10), "")</f>
        <v/>
      </c>
      <c r="X10" s="27">
        <f>COUNTIFS('[2]Controle de Produção'!$P:$P,C10,'[2]Controle de Produção'!$L:$L,D10,'[2]Controle de Produção'!$B:$B,"&gt;=" &amp; G10)</f>
        <v>2</v>
      </c>
      <c r="Y10" s="27">
        <f t="shared" si="23"/>
        <v>0</v>
      </c>
      <c r="Z10" s="27">
        <f>IFERROR(COUNTIFS('[2]Controle de Produção'!$L:$L,D10,'[2]Controle de Produção'!$P:$P,C10,'[2]Controle de Produção'!$B:$B,"&gt;=" &amp; G10,'[2]Controle de Produção'!$C:$C,"&lt;=" &amp; N10, '[2]Controle de Produção'!$G:$G,B10), "")</f>
        <v>0</v>
      </c>
      <c r="AA10" s="108" t="str">
        <f t="shared" si="24"/>
        <v/>
      </c>
      <c r="AB10" s="41" t="str" cm="1">
        <f t="array" ref="AB10">_xlfn.IFS((H10*0.95)&lt;=V10,"Concluído",AND(V10 =0, J10&lt;&gt;""),"Programado",AND(V10=0,D10=""),"Desenvolv.",V10=0,"Não Iniciado",AND(V10&gt;0,V10&lt;H10,AO10=TRUE),"Em Produção",AND(V10&gt;0,V10&lt;H10,AO10=FALSE),"Produção Parcial")</f>
        <v>Programado</v>
      </c>
      <c r="AC10" s="42" t="b">
        <v>1</v>
      </c>
      <c r="AD10" s="42" t="b">
        <v>1</v>
      </c>
      <c r="AE10" s="42" t="b">
        <v>1</v>
      </c>
      <c r="AF10" s="42" t="b">
        <v>1</v>
      </c>
      <c r="AG10" s="42" t="s">
        <v>38</v>
      </c>
      <c r="AH10" s="42" t="s">
        <v>38</v>
      </c>
      <c r="AI10" s="42" t="b">
        <v>1</v>
      </c>
      <c r="AJ10" s="42" t="s">
        <v>38</v>
      </c>
      <c r="AK10" s="42" t="s">
        <v>38</v>
      </c>
      <c r="AL10" s="42" t="b">
        <v>1</v>
      </c>
      <c r="AM10" s="42" t="b">
        <v>1</v>
      </c>
      <c r="AN10" s="42" t="b">
        <v>1</v>
      </c>
      <c r="AO10" s="45" t="b" cm="1">
        <f t="array" ref="AO10">AND(COUNTIF(AC10:AN10,FALSE)=0,SUMPRODUCT(ISNUMBER(AC10:AN10)*1)=0)</f>
        <v>1</v>
      </c>
      <c r="AP10" s="59"/>
      <c r="AQ10" s="111">
        <f>IF(AB10="",99999999999,IFERROR(MATCH(AB10,{"Produção Parcial","Em Produção","Programado","Não Iniciado","Desenvolv.","Concluído"},0),7)*100000000+IF(ISNUMBER(J10),J10-46000,9999)*10000+IF(A10="",99,A10)*100+IF(C10="",99,CODE(LEFT(C10,1))))</f>
        <v>301740487</v>
      </c>
      <c r="AR10" s="36"/>
      <c r="AS10" s="36"/>
    </row>
    <row r="11" spans="1:702" ht="25.35" hidden="1" customHeight="1" x14ac:dyDescent="0.25">
      <c r="A11" s="36">
        <v>5</v>
      </c>
      <c r="B11" s="112" t="s">
        <v>438</v>
      </c>
      <c r="C11" s="70" t="str">
        <f>INDEX([1]Produtos!$G:$G,MATCH($D11,[1]Produtos!$B:$B,0))</f>
        <v>MISS RÔSE</v>
      </c>
      <c r="D11" s="24" t="s">
        <v>73</v>
      </c>
      <c r="E11" s="70" t="str">
        <f>INDEX([1]Produtos!$C:$C,MATCH($D11,[1]Produtos!$B:$B,0))&amp;IF($F11&lt;&gt;"-"," - "&amp;LEFT($F11,1),"")&amp;" &gt; "&amp;$B11</f>
        <v>BODY SPLASH CEU CELESTE 200ml &gt; 0008</v>
      </c>
      <c r="F11" s="51" t="s">
        <v>38</v>
      </c>
      <c r="G11" s="38">
        <v>46149</v>
      </c>
      <c r="H11" s="39">
        <v>11000</v>
      </c>
      <c r="I11" s="24" t="s">
        <v>42</v>
      </c>
      <c r="J11" s="68" cm="1">
        <f t="array" ref="J11">IFERROR(INDEX('[2]Previsão Envase'!$D$5:$D$4867, MATCH(1,('[2]Previsão Envase'!$F$5:$F$4867=$E11)+('[2]Previsão Envase'!$G$5:$G$4867=$E11)+('[2]Previsão Envase'!$H$5:$H$4867=$E11),0)),"")</f>
        <v>46174</v>
      </c>
      <c r="K11" s="68" t="str">
        <f>IF(COUNTIF('[2]Previsão Envase'!$F:$F,E11)&gt;0,"Linha 1",
IF(COUNTIF('[2]Previsão Envase'!$G:$G,E11)&gt;0,"Linha 2",
IF(COUNTIF('[2]Previsão Envase'!$H:$H,E11)&gt;0,"Linha 3","")))</f>
        <v>Linha 2</v>
      </c>
      <c r="L11" s="96">
        <f>COUNTIF('[2]Previsão Envase'!$F:$H,E11)-COUNTIF('[2]Previsão Envase'!$F$1:$H$4,E11)</f>
        <v>15</v>
      </c>
      <c r="M11" s="35">
        <f t="shared" si="19"/>
        <v>12653.817014377835</v>
      </c>
      <c r="N11" s="68" t="str">
        <f>IFERROR(MAX(_xlfn.MAXIFS('[2]Controle de Produção'!$C:$C,'[2]Controle de Produção'!$L:$L,$D11,'[2]Controle de Produção'!$P:$P,$C11,'[2]Controle de Produção'!$G:$G,$B11),_xlfn.MAXIFS([3]EXPEDIÇÃO!$N:$N,[3]EXPEDIÇÃO!$E:$E,$D11,[3]EXPEDIÇÃO!$D:$D,$C11,[3]EXPEDIÇÃO!$N:$N,"&gt;="&amp;$G11)),"")</f>
        <v/>
      </c>
      <c r="O11" s="70">
        <f>INDEX([1]Produtos!$E:$E,MATCH($D11,[1]Produtos!$B:$B,0))</f>
        <v>215</v>
      </c>
      <c r="P11" s="70" t="str">
        <f>INDEX([1]Produtos!$F:$F,MATCH($D11,[1]Produtos!$B:$B,0))</f>
        <v>ml</v>
      </c>
      <c r="Q11" s="105">
        <f>INDEX([1]Produtos!$Y:$Y,MATCH($D11,[1]Produtos!$B:$B,0))</f>
        <v>0.85</v>
      </c>
      <c r="R11" s="35">
        <f t="shared" si="20"/>
        <v>7592.2902086267013</v>
      </c>
      <c r="S11" s="27">
        <f>IFERROR(INDEX([1]Produtos!$L:$L,MATCH(D11,[1]Produtos!$B:$B,0)), "")</f>
        <v>843.58780095852239</v>
      </c>
      <c r="T11" s="28">
        <f t="shared" si="21"/>
        <v>13.1</v>
      </c>
      <c r="U11" s="28" t="str">
        <f t="shared" si="22"/>
        <v>1D e 5h</v>
      </c>
      <c r="V11" s="27">
        <f>IFERROR(SUMIFS('[2]Controle de Produção'!$K:$K,'[2]Controle de Produção'!$L:$L,D11,'[2]Controle de Produção'!$P:$P,C11,'[2]Controle de Produção'!$B:$B,"&gt;=" &amp; G11,'[2]Controle de Produção'!$C:$C,"&lt;=" &amp; N11, '[2]Controle de Produção'!$G:$G,B11), "")</f>
        <v>0</v>
      </c>
      <c r="W11" s="27" t="str">
        <f>IFERROR(SUMIFS([3]EXPEDIÇÃO!$K:$K,[3]EXPEDIÇÃO!$E:$E,D11,[3]EXPEDIÇÃO!$D:$D,C11,[3]EXPEDIÇÃO!$N:$N,"&gt;=" &amp; G11,[3]EXPEDIÇÃO!$N:$N,"&lt;="&amp;N11), "")</f>
        <v/>
      </c>
      <c r="X11" s="27">
        <f>COUNTIFS('[2]Controle de Produção'!$P:$P,C11,'[2]Controle de Produção'!$L:$L,D11,'[2]Controle de Produção'!$B:$B,"&gt;=" &amp; G11)</f>
        <v>5</v>
      </c>
      <c r="Y11" s="27">
        <f t="shared" si="23"/>
        <v>0</v>
      </c>
      <c r="Z11" s="27">
        <f>IFERROR(COUNTIFS('[2]Controle de Produção'!$L:$L,D11,'[2]Controle de Produção'!$P:$P,C11,'[2]Controle de Produção'!$B:$B,"&gt;=" &amp; G11,'[2]Controle de Produção'!$C:$C,"&lt;=" &amp; N11, '[2]Controle de Produção'!$G:$G,B11), "")</f>
        <v>0</v>
      </c>
      <c r="AA11" s="108" t="str">
        <f t="shared" si="24"/>
        <v/>
      </c>
      <c r="AB11" s="41" t="str" cm="1">
        <f t="array" ref="AB11">_xlfn.IFS((H11*0.95)&lt;=V11,"Concluído",AND(V11 =0, J11&lt;&gt;""),"Programado",AND(V11=0,D11=""),"Desenvolv.",V11=0,"Não Iniciado",AND(V11&gt;0,V11&lt;H11,AO11=TRUE),"Em Produção",AND(V11&gt;0,V11&lt;H11,AO11=FALSE),"Produção Parcial")</f>
        <v>Programado</v>
      </c>
      <c r="AC11" s="42" t="b">
        <v>1</v>
      </c>
      <c r="AD11" s="42" t="b">
        <v>1</v>
      </c>
      <c r="AE11" s="42" t="b">
        <v>1</v>
      </c>
      <c r="AF11" s="42" t="b">
        <v>1</v>
      </c>
      <c r="AG11" s="42" t="b">
        <v>1</v>
      </c>
      <c r="AH11" s="42" t="s">
        <v>38</v>
      </c>
      <c r="AI11" s="42" t="b">
        <v>1</v>
      </c>
      <c r="AJ11" s="42" t="s">
        <v>38</v>
      </c>
      <c r="AK11" s="42" t="s">
        <v>38</v>
      </c>
      <c r="AL11" s="42" t="b">
        <v>1</v>
      </c>
      <c r="AM11" s="42" t="b">
        <v>1</v>
      </c>
      <c r="AN11" s="42" t="b">
        <v>1</v>
      </c>
      <c r="AO11" s="45" t="b" cm="1">
        <f t="array" ref="AO11">AND(COUNTIF(AC11:AN11,FALSE)=0,SUMPRODUCT(ISNUMBER(AC11:AN11)*1)=0)</f>
        <v>1</v>
      </c>
      <c r="AP11" s="59"/>
      <c r="AQ11" s="111">
        <f>IF(AB11="",99999999999,IFERROR(MATCH(AB11,{"Produção Parcial","Em Produção","Programado","Não Iniciado","Desenvolv.","Concluído"},0),7)*100000000+IF(ISNUMBER(J11),J11-46000,9999)*10000+IF(A11="",99,A11)*100+IF(C11="",99,CODE(LEFT(C11,1))))</f>
        <v>301740577</v>
      </c>
      <c r="AR11" s="36"/>
      <c r="AS11" s="36"/>
    </row>
    <row r="12" spans="1:702" ht="25.35" hidden="1" customHeight="1" x14ac:dyDescent="0.25">
      <c r="A12" s="36">
        <v>4</v>
      </c>
      <c r="B12" s="38" t="s">
        <v>88</v>
      </c>
      <c r="C12" s="70" t="str">
        <f>INDEX([1]Produtos!$G:$G,MATCH($D12,[1]Produtos!$B:$B,0))</f>
        <v>WIKE MAKE</v>
      </c>
      <c r="D12" s="127" t="s">
        <v>157</v>
      </c>
      <c r="E12" s="70" t="str">
        <f>INDEX([1]Produtos!$C:$C,MATCH($D12,[1]Produtos!$B:$B,0))&amp;IF($F12&lt;&gt;"-"," - "&amp;LEFT($F12,1),"")&amp;" &gt; "&amp;$B12</f>
        <v>BODY SPLASH DESERTO DOURADO 120ml &gt; FABIANO 22/01/26</v>
      </c>
      <c r="F12" s="51" t="s">
        <v>38</v>
      </c>
      <c r="G12" s="38">
        <v>46044</v>
      </c>
      <c r="H12" s="39">
        <v>19000</v>
      </c>
      <c r="I12" s="24" t="s">
        <v>39</v>
      </c>
      <c r="J12" s="68" cm="1">
        <f t="array" ref="J12">IFERROR(INDEX('[2]Previsão Envase'!$D$5:$D$4867, MATCH(1,('[2]Previsão Envase'!$F$5:$F$4867=$E12)+('[2]Previsão Envase'!$G$5:$G$4867=$E12)+('[2]Previsão Envase'!$H$5:$H$4867=$E12),0)),"")</f>
        <v>46176</v>
      </c>
      <c r="K12" s="68" t="str">
        <f>IF(COUNTIF('[2]Previsão Envase'!$F:$F,E12)&gt;0,"Linha 1",
IF(COUNTIF('[2]Previsão Envase'!$G:$G,E12)&gt;0,"Linha 2",
IF(COUNTIF('[2]Previsão Envase'!$H:$H,E12)&gt;0,"Linha 3","")))</f>
        <v>Linha 1</v>
      </c>
      <c r="L12" s="96">
        <f>COUNTIF('[2]Previsão Envase'!$F:$H,E12)-COUNTIF('[2]Previsão Envase'!$F$1:$H$4,E12)</f>
        <v>28</v>
      </c>
      <c r="M12" s="35">
        <f t="shared" si="19"/>
        <v>23620.458426838628</v>
      </c>
      <c r="N12" s="68" t="str">
        <f>IFERROR(MAX(_xlfn.MAXIFS('[2]Controle de Produção'!$C:$C,'[2]Controle de Produção'!$L:$L,$D12,'[2]Controle de Produção'!$P:$P,$C12,'[2]Controle de Produção'!$G:$G,$B12),_xlfn.MAXIFS([3]EXPEDIÇÃO!$N:$N,[3]EXPEDIÇÃO!$E:$E,$D12,[3]EXPEDIÇÃO!$D:$D,$C12,[3]EXPEDIÇÃO!$N:$N,"&gt;="&amp;$G12)),"")</f>
        <v/>
      </c>
      <c r="O12" s="70">
        <f>INDEX([1]Produtos!$E:$E,MATCH($D12,[1]Produtos!$B:$B,0))</f>
        <v>120</v>
      </c>
      <c r="P12" s="70" t="str">
        <f>INDEX([1]Produtos!$F:$F,MATCH($D12,[1]Produtos!$B:$B,0))</f>
        <v>ml</v>
      </c>
      <c r="Q12" s="105">
        <f>INDEX([1]Produtos!$Y:$Y,MATCH($D12,[1]Produtos!$B:$B,0))</f>
        <v>0.55000000000000004</v>
      </c>
      <c r="R12" s="35">
        <f t="shared" si="20"/>
        <v>7592.2902086267013</v>
      </c>
      <c r="S12" s="27">
        <f>IFERROR(INDEX([1]Produtos!$L:$L,MATCH(D12,[1]Produtos!$B:$B,0)), "")</f>
        <v>843.58780095852239</v>
      </c>
      <c r="T12" s="28">
        <f t="shared" si="21"/>
        <v>22.6</v>
      </c>
      <c r="U12" s="28" t="str">
        <f t="shared" si="22"/>
        <v>2D e 5h</v>
      </c>
      <c r="V12" s="27">
        <f>IFERROR(SUMIFS('[2]Controle de Produção'!$K:$K,'[2]Controle de Produção'!$L:$L,D12,'[2]Controle de Produção'!$P:$P,C12,'[2]Controle de Produção'!$B:$B,"&gt;=" &amp; G12,'[2]Controle de Produção'!$C:$C,"&lt;=" &amp; N12, '[2]Controle de Produção'!$G:$G,B12), "")</f>
        <v>0</v>
      </c>
      <c r="W12" s="27" t="str">
        <f>IFERROR(SUMIFS([3]EXPEDIÇÃO!$K:$K,[3]EXPEDIÇÃO!$E:$E,D12,[3]EXPEDIÇÃO!$D:$D,C12,[3]EXPEDIÇÃO!$N:$N,"&gt;=" &amp; G12,[3]EXPEDIÇÃO!$N:$N,"&lt;="&amp;N12), "")</f>
        <v/>
      </c>
      <c r="X12" s="27">
        <f>COUNTIFS('[2]Controle de Produção'!$P:$P,C12,'[2]Controle de Produção'!$L:$L,D12,'[2]Controle de Produção'!$B:$B,"&gt;=" &amp; G12)</f>
        <v>3</v>
      </c>
      <c r="Y12" s="27">
        <f t="shared" si="23"/>
        <v>0</v>
      </c>
      <c r="Z12" s="27">
        <f>IFERROR(COUNTIFS('[2]Controle de Produção'!$L:$L,D12,'[2]Controle de Produção'!$P:$P,C12,'[2]Controle de Produção'!$B:$B,"&gt;=" &amp; G12,'[2]Controle de Produção'!$C:$C,"&lt;=" &amp; N12, '[2]Controle de Produção'!$G:$G,B12), "")</f>
        <v>0</v>
      </c>
      <c r="AA12" s="108" t="str">
        <f t="shared" si="24"/>
        <v/>
      </c>
      <c r="AB12" s="41" t="str" cm="1">
        <f t="array" ref="AB12">_xlfn.IFS((H12*0.95)&lt;=V12,"Concluído",AND(V12 =0, J12&lt;&gt;""),"Programado",AND(V12=0,D12=""),"Desenvolv.",V12=0,"Não Iniciado",AND(V12&gt;0,V12&lt;H12,AO12=TRUE),"Em Produção",AND(V12&gt;0,V12&lt;H12,AO12=FALSE),"Produção Parcial")</f>
        <v>Programado</v>
      </c>
      <c r="AC12" s="42" t="b">
        <v>1</v>
      </c>
      <c r="AD12" s="42" t="b">
        <v>1</v>
      </c>
      <c r="AE12" s="42" t="b">
        <v>1</v>
      </c>
      <c r="AF12" s="42" t="b">
        <v>1</v>
      </c>
      <c r="AG12" s="42" t="s">
        <v>38</v>
      </c>
      <c r="AH12" s="42" t="s">
        <v>38</v>
      </c>
      <c r="AI12" s="42" t="b">
        <v>1</v>
      </c>
      <c r="AJ12" s="42" t="s">
        <v>38</v>
      </c>
      <c r="AK12" s="42" t="s">
        <v>38</v>
      </c>
      <c r="AL12" s="42" t="b">
        <v>1</v>
      </c>
      <c r="AM12" s="42" t="b">
        <v>1</v>
      </c>
      <c r="AN12" s="42" t="b">
        <v>1</v>
      </c>
      <c r="AO12" s="45" t="b" cm="1">
        <f t="array" ref="AO12">AND(COUNTIF(AC12:AN12,FALSE)=0,SUMPRODUCT(ISNUMBER(AC12:AN12)*1)=0)</f>
        <v>1</v>
      </c>
      <c r="AP12" s="59"/>
      <c r="AQ12" s="111">
        <f>IF(AB12="",99999999999,IFERROR(MATCH(AB12,{"Produção Parcial","Em Produção","Programado","Não Iniciado","Desenvolv.","Concluído"},0),7)*100000000+IF(ISNUMBER(J12),J12-46000,9999)*10000+IF(A12="",99,A12)*100+IF(C12="",99,CODE(LEFT(C12,1))))</f>
        <v>301760487</v>
      </c>
      <c r="AR12" s="36"/>
      <c r="AS12" s="36" t="s">
        <v>459</v>
      </c>
    </row>
    <row r="13" spans="1:702" ht="25.35" hidden="1" customHeight="1" x14ac:dyDescent="0.25">
      <c r="A13" s="36">
        <v>1</v>
      </c>
      <c r="B13" s="38" t="s">
        <v>450</v>
      </c>
      <c r="C13" s="70" t="str">
        <f>INDEX([1]Produtos!$G:$G,MATCH($D13,[1]Produtos!$B:$B,0))</f>
        <v>MISS RÔSE</v>
      </c>
      <c r="D13" s="24" t="s">
        <v>451</v>
      </c>
      <c r="E13" s="70" t="str">
        <f>INDEX([1]Produtos!$C:$C,MATCH($D13,[1]Produtos!$B:$B,0))&amp;IF($F13&lt;&gt;"-"," - "&amp;LEFT($F13,1),"")&amp;" &gt; "&amp;$B13</f>
        <v>RE.BODY SPLASH LEAO DO DESERTO BOURBON 200ml &gt; RETRAB 01.2026</v>
      </c>
      <c r="F13" s="51" t="s">
        <v>38</v>
      </c>
      <c r="G13" s="38">
        <v>46044</v>
      </c>
      <c r="H13" s="39">
        <v>9201</v>
      </c>
      <c r="I13" s="24" t="s">
        <v>58</v>
      </c>
      <c r="J13" s="68" cm="1">
        <f t="array" ref="J13">IFERROR(INDEX('[2]Previsão Envase'!$D$5:$D$4867, MATCH(1,('[2]Previsão Envase'!$F$5:$F$4867=$E13)+('[2]Previsão Envase'!$G$5:$G$4867=$E13)+('[2]Previsão Envase'!$H$5:$H$4867=$E13),0)),"")</f>
        <v>46178</v>
      </c>
      <c r="K13" s="68" t="str">
        <f>IF(COUNTIF('[2]Previsão Envase'!$F:$F,E13)&gt;0,"Linha 1",
IF(COUNTIF('[2]Previsão Envase'!$G:$G,E13)&gt;0,"Linha 2",
IF(COUNTIF('[2]Previsão Envase'!$H:$H,E13)&gt;0,"Linha 3","")))</f>
        <v>Linha 1</v>
      </c>
      <c r="L13" s="96">
        <f>COUNTIF('[2]Previsão Envase'!$F:$H,E13)-COUNTIF('[2]Previsão Envase'!$F$1:$H$4,E13)</f>
        <v>22</v>
      </c>
      <c r="M13" s="35">
        <f t="shared" si="19"/>
        <v>18558.931621087493</v>
      </c>
      <c r="N13" s="68" t="str">
        <f>IFERROR(MAX(_xlfn.MAXIFS('[2]Controle de Produção'!$C:$C,'[2]Controle de Produção'!$L:$L,$D13,'[2]Controle de Produção'!$P:$P,$C13,'[2]Controle de Produção'!$G:$G,$B13),_xlfn.MAXIFS([3]EXPEDIÇÃO!$N:$N,[3]EXPEDIÇÃO!$E:$E,$D13,[3]EXPEDIÇÃO!$D:$D,$C13,[3]EXPEDIÇÃO!$N:$N,"&gt;="&amp;$G13)),"")</f>
        <v/>
      </c>
      <c r="O13" s="70">
        <f>INDEX([1]Produtos!$E:$E,MATCH($D13,[1]Produtos!$B:$B,0))</f>
        <v>215</v>
      </c>
      <c r="P13" s="70" t="str">
        <f>INDEX([1]Produtos!$F:$F,MATCH($D13,[1]Produtos!$B:$B,0))</f>
        <v>ml</v>
      </c>
      <c r="Q13" s="105">
        <f>INDEX([1]Produtos!$Y:$Y,MATCH($D13,[1]Produtos!$B:$B,0))</f>
        <v>0.85</v>
      </c>
      <c r="R13" s="35">
        <f t="shared" si="20"/>
        <v>7592.2902086267013</v>
      </c>
      <c r="S13" s="27">
        <f>IFERROR(INDEX([1]Produtos!$L:$L,MATCH(D13,[1]Produtos!$B:$B,0)), "")</f>
        <v>843.58780095852239</v>
      </c>
      <c r="T13" s="28">
        <f t="shared" si="21"/>
        <v>11</v>
      </c>
      <c r="U13" s="28" t="str">
        <f t="shared" si="22"/>
        <v>1D e 3h</v>
      </c>
      <c r="V13" s="27">
        <f>IFERROR(SUMIFS('[2]Controle de Produção'!$K:$K,'[2]Controle de Produção'!$L:$L,D13,'[2]Controle de Produção'!$P:$P,C13,'[2]Controle de Produção'!$B:$B,"&gt;=" &amp; G13,'[2]Controle de Produção'!$C:$C,"&lt;=" &amp; N13, '[2]Controle de Produção'!$G:$G,B13), "")</f>
        <v>0</v>
      </c>
      <c r="W13" s="27" t="str">
        <f>IFERROR(SUMIFS([3]EXPEDIÇÃO!$K:$K,[3]EXPEDIÇÃO!$E:$E,D13,[3]EXPEDIÇÃO!$D:$D,C13,[3]EXPEDIÇÃO!$N:$N,"&gt;=" &amp; G13,[3]EXPEDIÇÃO!$N:$N,"&lt;="&amp;N13), "")</f>
        <v/>
      </c>
      <c r="X13" s="27">
        <f>COUNTIFS('[2]Controle de Produção'!$P:$P,C13,'[2]Controle de Produção'!$L:$L,D13,'[2]Controle de Produção'!$B:$B,"&gt;=" &amp; G13)</f>
        <v>0</v>
      </c>
      <c r="Y13" s="27" t="str">
        <f t="shared" si="23"/>
        <v>-</v>
      </c>
      <c r="Z13" s="27">
        <f>IFERROR(COUNTIFS('[2]Controle de Produção'!$L:$L,D13,'[2]Controle de Produção'!$P:$P,C13,'[2]Controle de Produção'!$B:$B,"&gt;=" &amp; G13,'[2]Controle de Produção'!$C:$C,"&lt;=" &amp; N13, '[2]Controle de Produção'!$G:$G,B13), "")</f>
        <v>0</v>
      </c>
      <c r="AA13" s="108" t="str">
        <f t="shared" si="24"/>
        <v/>
      </c>
      <c r="AB13" s="41" t="str" cm="1">
        <f t="array" ref="AB13">_xlfn.IFS((H13*0.95)&lt;=V13,"Concluído",AND(V13 =0, J13&lt;&gt;""),"Programado",AND(V13=0,D13=""),"Desenvolv.",V13=0,"Não Iniciado",AND(V13&gt;0,V13&lt;H13,AO13=TRUE),"Em Produção",AND(V13&gt;0,V13&lt;H13,AO13=FALSE),"Produção Parcial")</f>
        <v>Programado</v>
      </c>
      <c r="AC13" s="42" t="b">
        <v>1</v>
      </c>
      <c r="AD13" s="42" t="b">
        <v>1</v>
      </c>
      <c r="AE13" s="42" t="b">
        <v>1</v>
      </c>
      <c r="AF13" s="42" t="b">
        <v>1</v>
      </c>
      <c r="AG13" s="42" t="s">
        <v>38</v>
      </c>
      <c r="AH13" s="42" t="s">
        <v>38</v>
      </c>
      <c r="AI13" s="42" t="b">
        <v>1</v>
      </c>
      <c r="AJ13" s="42" t="s">
        <v>38</v>
      </c>
      <c r="AK13" s="42" t="s">
        <v>38</v>
      </c>
      <c r="AL13" s="42" t="b">
        <v>1</v>
      </c>
      <c r="AM13" s="42" t="b">
        <v>1</v>
      </c>
      <c r="AN13" s="42" t="b">
        <v>1</v>
      </c>
      <c r="AO13" s="45" t="b" cm="1">
        <f t="array" ref="AO13">AND(COUNTIF(AC13:AN13,FALSE)=0,SUMPRODUCT(ISNUMBER(AC13:AN13)*1)=0)</f>
        <v>1</v>
      </c>
      <c r="AP13" s="59"/>
      <c r="AQ13" s="111">
        <f>IF(AB13="",99999999999,IFERROR(MATCH(AB13,{"Produção Parcial","Em Produção","Programado","Não Iniciado","Desenvolv.","Concluído"},0),7)*100000000+IF(ISNUMBER(J13),J13-46000,9999)*10000+IF(A13="",99,A13)*100+IF(C13="",99,CODE(LEFT(C13,1))))</f>
        <v>301780177</v>
      </c>
      <c r="AR13" s="36"/>
      <c r="AS13" s="36"/>
    </row>
    <row r="14" spans="1:702" ht="25.35" hidden="1" customHeight="1" x14ac:dyDescent="0.25">
      <c r="A14" s="36">
        <v>4</v>
      </c>
      <c r="B14" s="38" t="s">
        <v>88</v>
      </c>
      <c r="C14" s="70" t="str">
        <f>INDEX([1]Produtos!$G:$G,MATCH($D14,[1]Produtos!$B:$B,0))</f>
        <v>WIKE MAKE</v>
      </c>
      <c r="D14" s="24" t="s">
        <v>98</v>
      </c>
      <c r="E14" s="70" t="str">
        <f>INDEX([1]Produtos!$C:$C,MATCH($D14,[1]Produtos!$B:$B,0))&amp;IF($F14&lt;&gt;"-"," - "&amp;LEFT($F14,1),"")&amp;" &gt; "&amp;$B14</f>
        <v>BODY SPLASH IDOLA 120ml &gt; FABIANO 22/01/26</v>
      </c>
      <c r="F14" s="51" t="s">
        <v>38</v>
      </c>
      <c r="G14" s="38">
        <v>46044</v>
      </c>
      <c r="H14" s="39">
        <v>19000</v>
      </c>
      <c r="I14" s="24" t="s">
        <v>39</v>
      </c>
      <c r="J14" s="68" cm="1">
        <f t="array" ref="J14">IFERROR(INDEX('[2]Previsão Envase'!$D$5:$D$4867, MATCH(1,('[2]Previsão Envase'!$F$5:$F$4867=$E14)+('[2]Previsão Envase'!$G$5:$G$4867=$E14)+('[2]Previsão Envase'!$H$5:$H$4867=$E14),0)),"")</f>
        <v>46181</v>
      </c>
      <c r="K14" s="68" t="str">
        <f>IF(COUNTIF('[2]Previsão Envase'!$F:$F,E14)&gt;0,"Linha 1",
IF(COUNTIF('[2]Previsão Envase'!$G:$G,E14)&gt;0,"Linha 2",
IF(COUNTIF('[2]Previsão Envase'!$H:$H,E14)&gt;0,"Linha 3","")))</f>
        <v>Linha 2</v>
      </c>
      <c r="L14" s="96">
        <f>COUNTIF('[2]Previsão Envase'!$F:$H,E14)-COUNTIF('[2]Previsão Envase'!$F$1:$H$4,E14)</f>
        <v>30</v>
      </c>
      <c r="M14" s="35">
        <f t="shared" si="19"/>
        <v>25307.63402875567</v>
      </c>
      <c r="N14" s="68" t="str">
        <f>IFERROR(MAX(_xlfn.MAXIFS('[2]Controle de Produção'!$C:$C,'[2]Controle de Produção'!$L:$L,$D14,'[2]Controle de Produção'!$P:$P,$C14,'[2]Controle de Produção'!$G:$G,$B14),_xlfn.MAXIFS([3]EXPEDIÇÃO!$N:$N,[3]EXPEDIÇÃO!$E:$E,$D14,[3]EXPEDIÇÃO!$D:$D,$C14,[3]EXPEDIÇÃO!$N:$N,"&gt;="&amp;$G14)),"")</f>
        <v/>
      </c>
      <c r="O14" s="70">
        <f>INDEX([1]Produtos!$E:$E,MATCH($D14,[1]Produtos!$B:$B,0))</f>
        <v>120</v>
      </c>
      <c r="P14" s="70" t="str">
        <f>INDEX([1]Produtos!$F:$F,MATCH($D14,[1]Produtos!$B:$B,0))</f>
        <v>ml</v>
      </c>
      <c r="Q14" s="105">
        <f>INDEX([1]Produtos!$Y:$Y,MATCH($D14,[1]Produtos!$B:$B,0))</f>
        <v>0.55000000000000004</v>
      </c>
      <c r="R14" s="35">
        <f t="shared" si="20"/>
        <v>7592.2902086267013</v>
      </c>
      <c r="S14" s="27">
        <f>IFERROR(INDEX([1]Produtos!$L:$L,MATCH(D14,[1]Produtos!$B:$B,0)), "")</f>
        <v>843.58780095852239</v>
      </c>
      <c r="T14" s="28">
        <f t="shared" si="21"/>
        <v>22.6</v>
      </c>
      <c r="U14" s="28" t="str">
        <f t="shared" si="22"/>
        <v>2D e 5h</v>
      </c>
      <c r="V14" s="27">
        <f>IFERROR(SUMIFS('[2]Controle de Produção'!$K:$K,'[2]Controle de Produção'!$L:$L,D14,'[2]Controle de Produção'!$P:$P,C14,'[2]Controle de Produção'!$B:$B,"&gt;=" &amp; G14,'[2]Controle de Produção'!$C:$C,"&lt;=" &amp; N14, '[2]Controle de Produção'!$G:$G,B14), "")</f>
        <v>0</v>
      </c>
      <c r="W14" s="27" t="str">
        <f>IFERROR(SUMIFS([3]EXPEDIÇÃO!$K:$K,[3]EXPEDIÇÃO!$E:$E,D14,[3]EXPEDIÇÃO!$D:$D,C14,[3]EXPEDIÇÃO!$N:$N,"&gt;=" &amp; G14,[3]EXPEDIÇÃO!$N:$N,"&lt;="&amp;N14), "")</f>
        <v/>
      </c>
      <c r="X14" s="27">
        <f>COUNTIFS('[2]Controle de Produção'!$P:$P,C14,'[2]Controle de Produção'!$L:$L,D14,'[2]Controle de Produção'!$B:$B,"&gt;=" &amp; G14)</f>
        <v>5</v>
      </c>
      <c r="Y14" s="27">
        <f t="shared" si="23"/>
        <v>0</v>
      </c>
      <c r="Z14" s="27">
        <f>IFERROR(COUNTIFS('[2]Controle de Produção'!$L:$L,D14,'[2]Controle de Produção'!$P:$P,C14,'[2]Controle de Produção'!$B:$B,"&gt;=" &amp; G14,'[2]Controle de Produção'!$C:$C,"&lt;=" &amp; N14, '[2]Controle de Produção'!$G:$G,B14), "")</f>
        <v>0</v>
      </c>
      <c r="AA14" s="108" t="str">
        <f t="shared" si="24"/>
        <v/>
      </c>
      <c r="AB14" s="41" t="str" cm="1">
        <f t="array" ref="AB14">_xlfn.IFS((H14*0.95)&lt;=V14,"Concluído",AND(V14 =0, J14&lt;&gt;""),"Programado",AND(V14=0,D14=""),"Desenvolv.",V14=0,"Não Iniciado",AND(V14&gt;0,V14&lt;H14,AO14=TRUE),"Em Produção",AND(V14&gt;0,V14&lt;H14,AO14=FALSE),"Produção Parcial")</f>
        <v>Programado</v>
      </c>
      <c r="AC14" s="42" t="b">
        <v>1</v>
      </c>
      <c r="AD14" s="42" t="b">
        <v>1</v>
      </c>
      <c r="AE14" s="42" t="b">
        <v>1</v>
      </c>
      <c r="AF14" s="42" t="b">
        <v>1</v>
      </c>
      <c r="AG14" s="42" t="s">
        <v>38</v>
      </c>
      <c r="AH14" s="42" t="s">
        <v>38</v>
      </c>
      <c r="AI14" s="42" t="b">
        <v>1</v>
      </c>
      <c r="AJ14" s="42" t="s">
        <v>38</v>
      </c>
      <c r="AK14" s="42" t="s">
        <v>38</v>
      </c>
      <c r="AL14" s="42" t="b">
        <v>1</v>
      </c>
      <c r="AM14" s="42" t="b">
        <v>1</v>
      </c>
      <c r="AN14" s="42" t="b">
        <v>1</v>
      </c>
      <c r="AO14" s="45" t="b" cm="1">
        <f t="array" ref="AO14">AND(COUNTIF(AC14:AN14,FALSE)=0,SUMPRODUCT(ISNUMBER(AC14:AN14)*1)=0)</f>
        <v>1</v>
      </c>
      <c r="AP14" s="59"/>
      <c r="AQ14" s="111">
        <f>IF(AB14="",99999999999,IFERROR(MATCH(AB14,{"Produção Parcial","Em Produção","Programado","Não Iniciado","Desenvolv.","Concluído"},0),7)*100000000+IF(ISNUMBER(J14),J14-46000,9999)*10000+IF(A14="",99,A14)*100+IF(C14="",99,CODE(LEFT(C14,1))))</f>
        <v>301810487</v>
      </c>
      <c r="AR14" s="36"/>
      <c r="AS14" s="36"/>
    </row>
    <row r="15" spans="1:702" ht="25.35" hidden="1" customHeight="1" x14ac:dyDescent="0.25">
      <c r="A15" s="36">
        <v>4</v>
      </c>
      <c r="B15" s="38" t="s">
        <v>88</v>
      </c>
      <c r="C15" s="70" t="str">
        <f>INDEX([1]Produtos!$G:$G,MATCH($D15,[1]Produtos!$B:$B,0))</f>
        <v>WIKE MAKE</v>
      </c>
      <c r="D15" s="24" t="s">
        <v>156</v>
      </c>
      <c r="E15" s="70" t="str">
        <f>INDEX([1]Produtos!$C:$C,MATCH($D15,[1]Produtos!$B:$B,0))&amp;IF($F15&lt;&gt;"-"," - "&amp;LEFT($F15,1),"")&amp;" &gt; "&amp;$B15</f>
        <v>BODY SPLASH JARDIM DO ORIENTE 120ml &gt; FABIANO 22/01/26</v>
      </c>
      <c r="F15" s="51" t="s">
        <v>38</v>
      </c>
      <c r="G15" s="38">
        <v>46044</v>
      </c>
      <c r="H15" s="39">
        <v>20000</v>
      </c>
      <c r="I15" s="24" t="s">
        <v>39</v>
      </c>
      <c r="J15" s="68" cm="1">
        <f t="array" ref="J15">IFERROR(INDEX('[2]Previsão Envase'!$D$5:$D$4867, MATCH(1,('[2]Previsão Envase'!$F$5:$F$4867=$E15)+('[2]Previsão Envase'!$G$5:$G$4867=$E15)+('[2]Previsão Envase'!$H$5:$H$4867=$E15),0)),"")</f>
        <v>46183</v>
      </c>
      <c r="K15" s="68" t="str">
        <f>IF(COUNTIF('[2]Previsão Envase'!$F:$F,E15)&gt;0,"Linha 1",
IF(COUNTIF('[2]Previsão Envase'!$G:$G,E15)&gt;0,"Linha 2",
IF(COUNTIF('[2]Previsão Envase'!$H:$H,E15)&gt;0,"Linha 3","")))</f>
        <v>Linha 1</v>
      </c>
      <c r="L15" s="96">
        <f>COUNTIF('[2]Previsão Envase'!$F:$H,E15)-COUNTIF('[2]Previsão Envase'!$F$1:$H$4,E15)</f>
        <v>7</v>
      </c>
      <c r="M15" s="35">
        <f t="shared" si="19"/>
        <v>5905.114606709657</v>
      </c>
      <c r="N15" s="68" t="str">
        <f>IFERROR(MAX(_xlfn.MAXIFS('[2]Controle de Produção'!$C:$C,'[2]Controle de Produção'!$L:$L,$D15,'[2]Controle de Produção'!$P:$P,$C15,'[2]Controle de Produção'!$G:$G,$B15),_xlfn.MAXIFS([3]EXPEDIÇÃO!$N:$N,[3]EXPEDIÇÃO!$E:$E,$D15,[3]EXPEDIÇÃO!$D:$D,$C15,[3]EXPEDIÇÃO!$N:$N,"&gt;="&amp;$G15)),"")</f>
        <v/>
      </c>
      <c r="O15" s="70">
        <f>INDEX([1]Produtos!$E:$E,MATCH($D15,[1]Produtos!$B:$B,0))</f>
        <v>120</v>
      </c>
      <c r="P15" s="70" t="str">
        <f>INDEX([1]Produtos!$F:$F,MATCH($D15,[1]Produtos!$B:$B,0))</f>
        <v>ml</v>
      </c>
      <c r="Q15" s="105">
        <f>INDEX([1]Produtos!$Y:$Y,MATCH($D15,[1]Produtos!$B:$B,0))</f>
        <v>0.55000000000000004</v>
      </c>
      <c r="R15" s="35">
        <f t="shared" si="20"/>
        <v>7592.2902086267013</v>
      </c>
      <c r="S15" s="27">
        <f>IFERROR(INDEX([1]Produtos!$L:$L,MATCH(D15,[1]Produtos!$B:$B,0)), "")</f>
        <v>843.58780095852239</v>
      </c>
      <c r="T15" s="28">
        <f t="shared" si="21"/>
        <v>23.8</v>
      </c>
      <c r="U15" s="28" t="str">
        <f t="shared" si="22"/>
        <v>2D e 7h</v>
      </c>
      <c r="V15" s="27">
        <f>IFERROR(SUMIFS('[2]Controle de Produção'!$K:$K,'[2]Controle de Produção'!$L:$L,D15,'[2]Controle de Produção'!$P:$P,C15,'[2]Controle de Produção'!$B:$B,"&gt;=" &amp; G15,'[2]Controle de Produção'!$C:$C,"&lt;=" &amp; N15, '[2]Controle de Produção'!$G:$G,B15), "")</f>
        <v>0</v>
      </c>
      <c r="W15" s="27" t="str">
        <f>IFERROR(SUMIFS([3]EXPEDIÇÃO!$K:$K,[3]EXPEDIÇÃO!$E:$E,D15,[3]EXPEDIÇÃO!$D:$D,C15,[3]EXPEDIÇÃO!$N:$N,"&gt;=" &amp; G15,[3]EXPEDIÇÃO!$N:$N,"&lt;="&amp;N15), "")</f>
        <v/>
      </c>
      <c r="X15" s="27">
        <f>COUNTIFS('[2]Controle de Produção'!$P:$P,C15,'[2]Controle de Produção'!$L:$L,D15,'[2]Controle de Produção'!$B:$B,"&gt;=" &amp; G15)</f>
        <v>3</v>
      </c>
      <c r="Y15" s="27">
        <f t="shared" si="23"/>
        <v>0</v>
      </c>
      <c r="Z15" s="27">
        <f>IFERROR(COUNTIFS('[2]Controle de Produção'!$L:$L,D15,'[2]Controle de Produção'!$P:$P,C15,'[2]Controle de Produção'!$B:$B,"&gt;=" &amp; G15,'[2]Controle de Produção'!$C:$C,"&lt;=" &amp; N15, '[2]Controle de Produção'!$G:$G,B15), "")</f>
        <v>0</v>
      </c>
      <c r="AA15" s="108" t="str">
        <f t="shared" si="24"/>
        <v/>
      </c>
      <c r="AB15" s="41" t="str" cm="1">
        <f t="array" ref="AB15">_xlfn.IFS((H15*0.95)&lt;=V15,"Concluído",AND(V15 =0, J15&lt;&gt;""),"Programado",AND(V15=0,D15=""),"Desenvolv.",V15=0,"Não Iniciado",AND(V15&gt;0,V15&lt;H15,AO15=TRUE),"Em Produção",AND(V15&gt;0,V15&lt;H15,AO15=FALSE),"Produção Parcial")</f>
        <v>Programado</v>
      </c>
      <c r="AC15" s="42" t="b">
        <v>1</v>
      </c>
      <c r="AD15" s="42" t="b">
        <v>1</v>
      </c>
      <c r="AE15" s="42" t="b">
        <v>1</v>
      </c>
      <c r="AF15" s="42" t="b">
        <v>1</v>
      </c>
      <c r="AG15" s="42" t="s">
        <v>38</v>
      </c>
      <c r="AH15" s="42" t="s">
        <v>38</v>
      </c>
      <c r="AI15" s="42" t="b">
        <v>1</v>
      </c>
      <c r="AJ15" s="42" t="s">
        <v>38</v>
      </c>
      <c r="AK15" s="42" t="s">
        <v>38</v>
      </c>
      <c r="AL15" s="42" t="b">
        <v>1</v>
      </c>
      <c r="AM15" s="42" t="b">
        <v>1</v>
      </c>
      <c r="AN15" s="42" t="b">
        <v>1</v>
      </c>
      <c r="AO15" s="45" t="b" cm="1">
        <f t="array" ref="AO15">AND(COUNTIF(AC15:AN15,FALSE)=0,SUMPRODUCT(ISNUMBER(AC15:AN15)*1)=0)</f>
        <v>1</v>
      </c>
      <c r="AP15" s="59"/>
      <c r="AQ15" s="111">
        <f>IF(AB15="",99999999999,IFERROR(MATCH(AB15,{"Produção Parcial","Em Produção","Programado","Não Iniciado","Desenvolv.","Concluído"},0),7)*100000000+IF(ISNUMBER(J15),J15-46000,9999)*10000+IF(A15="",99,A15)*100+IF(C15="",99,CODE(LEFT(C15,1))))</f>
        <v>301830487</v>
      </c>
      <c r="AR15" s="36"/>
      <c r="AS15" s="36"/>
    </row>
    <row r="16" spans="1:702" ht="25.35" hidden="1" customHeight="1" x14ac:dyDescent="0.25">
      <c r="A16" s="36">
        <v>4</v>
      </c>
      <c r="B16" s="38" t="s">
        <v>88</v>
      </c>
      <c r="C16" s="70" t="str">
        <f>INDEX([1]Produtos!$G:$G,MATCH($D16,[1]Produtos!$B:$B,0))</f>
        <v>WIKE MAKE</v>
      </c>
      <c r="D16" s="24" t="s">
        <v>155</v>
      </c>
      <c r="E16" s="70" t="str">
        <f>INDEX([1]Produtos!$C:$C,MATCH($D16,[1]Produtos!$B:$B,0))&amp;IF($F16&lt;&gt;"-"," - "&amp;LEFT($F16,1),"")&amp;" &gt; "&amp;$B16</f>
        <v>BODY SPLASH NOITE DE AMBAR 120ml &gt; FABIANO 22/01/26</v>
      </c>
      <c r="F16" s="51" t="s">
        <v>38</v>
      </c>
      <c r="G16" s="38">
        <v>46044</v>
      </c>
      <c r="H16" s="39">
        <v>20000</v>
      </c>
      <c r="I16" s="24" t="s">
        <v>39</v>
      </c>
      <c r="J16" s="68" cm="1">
        <f t="array" ref="J16">IFERROR(INDEX('[2]Previsão Envase'!$D$5:$D$4867, MATCH(1,('[2]Previsão Envase'!$F$5:$F$4867=$E16)+('[2]Previsão Envase'!$G$5:$G$4867=$E16)+('[2]Previsão Envase'!$H$5:$H$4867=$E16),0)),"")</f>
        <v>46184</v>
      </c>
      <c r="K16" s="68" t="str">
        <f>IF(COUNTIF('[2]Previsão Envase'!$F:$F,E16)&gt;0,"Linha 1",
IF(COUNTIF('[2]Previsão Envase'!$G:$G,E16)&gt;0,"Linha 2",
IF(COUNTIF('[2]Previsão Envase'!$H:$H,E16)&gt;0,"Linha 3","")))</f>
        <v>Linha 1</v>
      </c>
      <c r="L16" s="96">
        <f>COUNTIF('[2]Previsão Envase'!$F:$H,E16)-COUNTIF('[2]Previsão Envase'!$F$1:$H$4,E16)</f>
        <v>21</v>
      </c>
      <c r="M16" s="35">
        <f t="shared" si="19"/>
        <v>17715.343820128972</v>
      </c>
      <c r="N16" s="68" t="str">
        <f>IFERROR(MAX(_xlfn.MAXIFS('[2]Controle de Produção'!$C:$C,'[2]Controle de Produção'!$L:$L,$D16,'[2]Controle de Produção'!$P:$P,$C16,'[2]Controle de Produção'!$G:$G,$B16),_xlfn.MAXIFS([3]EXPEDIÇÃO!$N:$N,[3]EXPEDIÇÃO!$E:$E,$D16,[3]EXPEDIÇÃO!$D:$D,$C16,[3]EXPEDIÇÃO!$N:$N,"&gt;="&amp;$G16)),"")</f>
        <v/>
      </c>
      <c r="O16" s="70">
        <f>INDEX([1]Produtos!$E:$E,MATCH($D16,[1]Produtos!$B:$B,0))</f>
        <v>120</v>
      </c>
      <c r="P16" s="70" t="str">
        <f>INDEX([1]Produtos!$F:$F,MATCH($D16,[1]Produtos!$B:$B,0))</f>
        <v>ml</v>
      </c>
      <c r="Q16" s="105">
        <f>INDEX([1]Produtos!$Y:$Y,MATCH($D16,[1]Produtos!$B:$B,0))</f>
        <v>0.55000000000000004</v>
      </c>
      <c r="R16" s="35">
        <f t="shared" si="20"/>
        <v>7592.2902086267013</v>
      </c>
      <c r="S16" s="27">
        <f>IFERROR(INDEX([1]Produtos!$L:$L,MATCH(D16,[1]Produtos!$B:$B,0)), "")</f>
        <v>843.58780095852239</v>
      </c>
      <c r="T16" s="28">
        <f t="shared" si="21"/>
        <v>23.8</v>
      </c>
      <c r="U16" s="28" t="str">
        <f t="shared" si="22"/>
        <v>2D e 7h</v>
      </c>
      <c r="V16" s="27">
        <f>IFERROR(SUMIFS('[2]Controle de Produção'!$K:$K,'[2]Controle de Produção'!$L:$L,D16,'[2]Controle de Produção'!$P:$P,C16,'[2]Controle de Produção'!$B:$B,"&gt;=" &amp; G16,'[2]Controle de Produção'!$C:$C,"&lt;=" &amp; N16, '[2]Controle de Produção'!$G:$G,B16), "")</f>
        <v>0</v>
      </c>
      <c r="W16" s="27" t="str">
        <f>IFERROR(SUMIFS([3]EXPEDIÇÃO!$K:$K,[3]EXPEDIÇÃO!$E:$E,D16,[3]EXPEDIÇÃO!$D:$D,C16,[3]EXPEDIÇÃO!$N:$N,"&gt;=" &amp; G16,[3]EXPEDIÇÃO!$N:$N,"&lt;="&amp;N16), "")</f>
        <v/>
      </c>
      <c r="X16" s="27">
        <f>COUNTIFS('[2]Controle de Produção'!$P:$P,C16,'[2]Controle de Produção'!$L:$L,D16,'[2]Controle de Produção'!$B:$B,"&gt;=" &amp; G16)</f>
        <v>5</v>
      </c>
      <c r="Y16" s="27">
        <f t="shared" si="23"/>
        <v>0</v>
      </c>
      <c r="Z16" s="27">
        <f>IFERROR(COUNTIFS('[2]Controle de Produção'!$L:$L,D16,'[2]Controle de Produção'!$P:$P,C16,'[2]Controle de Produção'!$B:$B,"&gt;=" &amp; G16,'[2]Controle de Produção'!$C:$C,"&lt;=" &amp; N16, '[2]Controle de Produção'!$G:$G,B16), "")</f>
        <v>0</v>
      </c>
      <c r="AA16" s="108" t="str">
        <f t="shared" si="24"/>
        <v/>
      </c>
      <c r="AB16" s="41" t="str" cm="1">
        <f t="array" ref="AB16">_xlfn.IFS((H16*0.95)&lt;=V16,"Concluído",AND(V16 =0, J16&lt;&gt;""),"Programado",AND(V16=0,D16=""),"Desenvolv.",V16=0,"Não Iniciado",AND(V16&gt;0,V16&lt;H16,AO16=TRUE),"Em Produção",AND(V16&gt;0,V16&lt;H16,AO16=FALSE),"Produção Parcial")</f>
        <v>Programado</v>
      </c>
      <c r="AC16" s="42" t="b">
        <v>1</v>
      </c>
      <c r="AD16" s="42" t="b">
        <v>1</v>
      </c>
      <c r="AE16" s="42" t="b">
        <v>1</v>
      </c>
      <c r="AF16" s="42" t="b">
        <v>1</v>
      </c>
      <c r="AG16" s="42" t="s">
        <v>38</v>
      </c>
      <c r="AH16" s="42" t="s">
        <v>38</v>
      </c>
      <c r="AI16" s="42" t="b">
        <v>1</v>
      </c>
      <c r="AJ16" s="42" t="s">
        <v>38</v>
      </c>
      <c r="AK16" s="42" t="s">
        <v>38</v>
      </c>
      <c r="AL16" s="42" t="b">
        <v>1</v>
      </c>
      <c r="AM16" s="42" t="b">
        <v>1</v>
      </c>
      <c r="AN16" s="42" t="b">
        <v>1</v>
      </c>
      <c r="AO16" s="45" t="b" cm="1">
        <f t="array" ref="AO16">AND(COUNTIF(AC16:AN16,FALSE)=0,SUMPRODUCT(ISNUMBER(AC16:AN16)*1)=0)</f>
        <v>1</v>
      </c>
      <c r="AP16" s="59"/>
      <c r="AQ16" s="111">
        <f>IF(AB16="",99999999999,IFERROR(MATCH(AB16,{"Produção Parcial","Em Produção","Programado","Não Iniciado","Desenvolv.","Concluído"},0),7)*100000000+IF(ISNUMBER(J16),J16-46000,9999)*10000+IF(A16="",99,A16)*100+IF(C16="",99,CODE(LEFT(C16,1))))</f>
        <v>301840487</v>
      </c>
      <c r="AR16" s="36"/>
      <c r="AS16" s="36"/>
    </row>
    <row r="17" spans="1:45" ht="25.35" hidden="1" customHeight="1" x14ac:dyDescent="0.25">
      <c r="A17" s="36">
        <v>4</v>
      </c>
      <c r="B17" s="112" t="s">
        <v>436</v>
      </c>
      <c r="C17" s="70" t="str">
        <f>INDEX([1]Produtos!$G:$G,MATCH($D17,[1]Produtos!$B:$B,0))</f>
        <v>MISS RÔSE</v>
      </c>
      <c r="D17" s="24" t="s">
        <v>77</v>
      </c>
      <c r="E17" s="70" t="str">
        <f>INDEX([1]Produtos!$C:$C,MATCH($D17,[1]Produtos!$B:$B,0))&amp;IF($F17&lt;&gt;"-"," - "&amp;LEFT($F17,1),"")&amp;" &gt; "&amp;$B17</f>
        <v>BODY SPLASH FORÇA DO LEAO &gt; 0006</v>
      </c>
      <c r="F17" s="51" t="s">
        <v>38</v>
      </c>
      <c r="G17" s="38">
        <v>46128</v>
      </c>
      <c r="H17" s="39">
        <v>60000</v>
      </c>
      <c r="I17" s="24" t="s">
        <v>42</v>
      </c>
      <c r="J17" s="68" cm="1">
        <f t="array" ref="J17">IFERROR(INDEX('[2]Previsão Envase'!$D$5:$D$4867, MATCH(1,('[2]Previsão Envase'!$F$5:$F$4867=$E17)+('[2]Previsão Envase'!$G$5:$G$4867=$E17)+('[2]Previsão Envase'!$H$5:$H$4867=$E17),0)),"")</f>
        <v>46185</v>
      </c>
      <c r="K17" s="68" t="str">
        <f>IF(COUNTIF('[2]Previsão Envase'!$F:$F,E17)&gt;0,"Linha 1",
IF(COUNTIF('[2]Previsão Envase'!$G:$G,E17)&gt;0,"Linha 2",
IF(COUNTIF('[2]Previsão Envase'!$H:$H,E17)&gt;0,"Linha 3","")))</f>
        <v>Linha 1</v>
      </c>
      <c r="L17" s="96">
        <f>COUNTIF('[2]Previsão Envase'!$F:$H,E17)-COUNTIF('[2]Previsão Envase'!$F$1:$H$4,E17)</f>
        <v>17</v>
      </c>
      <c r="M17" s="35">
        <f t="shared" si="19"/>
        <v>14340.992616294881</v>
      </c>
      <c r="N17" s="68" t="str">
        <f>IFERROR(MAX(_xlfn.MAXIFS('[2]Controle de Produção'!$C:$C,'[2]Controle de Produção'!$L:$L,$D17,'[2]Controle de Produção'!$P:$P,$C17,'[2]Controle de Produção'!$G:$G,$B17),_xlfn.MAXIFS([3]EXPEDIÇÃO!$N:$N,[3]EXPEDIÇÃO!$E:$E,$D17,[3]EXPEDIÇÃO!$D:$D,$C17,[3]EXPEDIÇÃO!$N:$N,"&gt;="&amp;$G17)),"")</f>
        <v/>
      </c>
      <c r="O17" s="70">
        <f>INDEX([1]Produtos!$E:$E,MATCH($D17,[1]Produtos!$B:$B,0))</f>
        <v>220</v>
      </c>
      <c r="P17" s="70" t="str">
        <f>INDEX([1]Produtos!$F:$F,MATCH($D17,[1]Produtos!$B:$B,0))</f>
        <v>ml</v>
      </c>
      <c r="Q17" s="105">
        <f>INDEX([1]Produtos!$Y:$Y,MATCH($D17,[1]Produtos!$B:$B,0))</f>
        <v>1.1000000000000001</v>
      </c>
      <c r="R17" s="35">
        <f t="shared" si="20"/>
        <v>7592.2902086267013</v>
      </c>
      <c r="S17" s="27">
        <f>IFERROR(INDEX([1]Produtos!$L:$L,MATCH(D17,[1]Produtos!$B:$B,0)), "")</f>
        <v>843.58780095852239</v>
      </c>
      <c r="T17" s="28">
        <f t="shared" si="21"/>
        <v>71.199999999999989</v>
      </c>
      <c r="U17" s="28" t="str">
        <f t="shared" si="22"/>
        <v>8D e 1h</v>
      </c>
      <c r="V17" s="27">
        <f>IFERROR(SUMIFS('[2]Controle de Produção'!$K:$K,'[2]Controle de Produção'!$L:$L,D17,'[2]Controle de Produção'!$P:$P,C17,'[2]Controle de Produção'!$B:$B,"&gt;=" &amp; G17,'[2]Controle de Produção'!$C:$C,"&lt;=" &amp; N17, '[2]Controle de Produção'!$G:$G,B17), "")</f>
        <v>0</v>
      </c>
      <c r="W17" s="27" t="str">
        <f>IFERROR(SUMIFS([3]EXPEDIÇÃO!$K:$K,[3]EXPEDIÇÃO!$E:$E,D17,[3]EXPEDIÇÃO!$D:$D,C17,[3]EXPEDIÇÃO!$N:$N,"&gt;=" &amp; G17,[3]EXPEDIÇÃO!$N:$N,"&lt;="&amp;N17), "")</f>
        <v/>
      </c>
      <c r="X17" s="27">
        <f>COUNTIFS('[2]Controle de Produção'!$P:$P,C17,'[2]Controle de Produção'!$L:$L,D17,'[2]Controle de Produção'!$B:$B,"&gt;=" &amp; G17)</f>
        <v>12</v>
      </c>
      <c r="Y17" s="27">
        <f t="shared" si="23"/>
        <v>0</v>
      </c>
      <c r="Z17" s="27">
        <f>IFERROR(COUNTIFS('[2]Controle de Produção'!$L:$L,D17,'[2]Controle de Produção'!$P:$P,C17,'[2]Controle de Produção'!$B:$B,"&gt;=" &amp; G17,'[2]Controle de Produção'!$C:$C,"&lt;=" &amp; N17, '[2]Controle de Produção'!$G:$G,B17), "")</f>
        <v>0</v>
      </c>
      <c r="AA17" s="108" t="str">
        <f t="shared" si="24"/>
        <v/>
      </c>
      <c r="AB17" s="41" t="str" cm="1">
        <f t="array" ref="AB17">_xlfn.IFS((H17*0.95)&lt;=V17,"Concluído",AND(V17 =0, J17&lt;&gt;""),"Programado",AND(V17=0,D17=""),"Desenvolv.",V17=0,"Não Iniciado",AND(V17&gt;0,V17&lt;H17,AO17=TRUE),"Em Produção",AND(V17&gt;0,V17&lt;H17,AO17=FALSE),"Produção Parcial")</f>
        <v>Programado</v>
      </c>
      <c r="AC17" s="42" t="b">
        <v>1</v>
      </c>
      <c r="AD17" s="42" t="b">
        <v>1</v>
      </c>
      <c r="AE17" s="42" t="b">
        <v>1</v>
      </c>
      <c r="AF17" s="42" t="b">
        <v>1</v>
      </c>
      <c r="AG17" s="42" t="b">
        <v>1</v>
      </c>
      <c r="AH17" s="42" t="s">
        <v>38</v>
      </c>
      <c r="AI17" s="42" t="b">
        <v>1</v>
      </c>
      <c r="AJ17" s="42" t="s">
        <v>38</v>
      </c>
      <c r="AK17" s="42" t="s">
        <v>38</v>
      </c>
      <c r="AL17" s="42" t="b">
        <v>1</v>
      </c>
      <c r="AM17" s="42" t="b">
        <v>1</v>
      </c>
      <c r="AN17" s="42" t="b">
        <v>1</v>
      </c>
      <c r="AO17" s="45" t="b" cm="1">
        <f t="array" ref="AO17">AND(COUNTIF(AC17:AN17,FALSE)=0,SUMPRODUCT(ISNUMBER(AC17:AN17)*1)=0)</f>
        <v>1</v>
      </c>
      <c r="AP17" s="59"/>
      <c r="AQ17" s="111">
        <f>IF(AB17="",99999999999,IFERROR(MATCH(AB17,{"Produção Parcial","Em Produção","Programado","Não Iniciado","Desenvolv.","Concluído"},0),7)*100000000+IF(ISNUMBER(J17),J17-46000,9999)*10000+IF(A17="",99,A17)*100+IF(C17="",99,CODE(LEFT(C17,1))))</f>
        <v>301850477</v>
      </c>
      <c r="AR17" s="36"/>
      <c r="AS17" s="36"/>
    </row>
    <row r="18" spans="1:45" ht="25.35" hidden="1" customHeight="1" x14ac:dyDescent="0.25">
      <c r="A18" s="36">
        <v>5</v>
      </c>
      <c r="B18" s="112" t="s">
        <v>438</v>
      </c>
      <c r="C18" s="70" t="str">
        <f>INDEX([1]Produtos!$G:$G,MATCH($D18,[1]Produtos!$B:$B,0))</f>
        <v>MISS RÔSE</v>
      </c>
      <c r="D18" s="24" t="s">
        <v>101</v>
      </c>
      <c r="E18" s="70" t="str">
        <f>INDEX([1]Produtos!$C:$C,MATCH($D18,[1]Produtos!$B:$B,0))&amp;IF($F18&lt;&gt;"-"," - "&amp;LEFT($F18,1),"")&amp;" &gt; "&amp;$B18</f>
        <v>BODY SPLASH DESPERTAR DAS FLORES 200ml &gt; 0008</v>
      </c>
      <c r="F18" s="51" t="s">
        <v>38</v>
      </c>
      <c r="G18" s="38">
        <v>46149</v>
      </c>
      <c r="H18" s="39">
        <v>15000</v>
      </c>
      <c r="I18" s="24" t="s">
        <v>42</v>
      </c>
      <c r="J18" s="68" cm="1">
        <f t="array" ref="J18">IFERROR(INDEX('[2]Previsão Envase'!$D$5:$D$4867, MATCH(1,('[2]Previsão Envase'!$F$5:$F$4867=$E18)+('[2]Previsão Envase'!$G$5:$G$4867=$E18)+('[2]Previsão Envase'!$H$5:$H$4867=$E18),0)),"")</f>
        <v>46185</v>
      </c>
      <c r="K18" s="68" t="str">
        <f>IF(COUNTIF('[2]Previsão Envase'!$F:$F,E18)&gt;0,"Linha 1",
IF(COUNTIF('[2]Previsão Envase'!$G:$G,E18)&gt;0,"Linha 2",
IF(COUNTIF('[2]Previsão Envase'!$H:$H,E18)&gt;0,"Linha 3","")))</f>
        <v>Linha 1</v>
      </c>
      <c r="L18" s="96">
        <f>COUNTIF('[2]Previsão Envase'!$F:$H,E18)-COUNTIF('[2]Previsão Envase'!$F$1:$H$4,E18)</f>
        <v>11</v>
      </c>
      <c r="M18" s="35">
        <f t="shared" si="19"/>
        <v>9279.4658105437466</v>
      </c>
      <c r="N18" s="68" t="str">
        <f>IFERROR(MAX(_xlfn.MAXIFS('[2]Controle de Produção'!$C:$C,'[2]Controle de Produção'!$L:$L,$D18,'[2]Controle de Produção'!$P:$P,$C18,'[2]Controle de Produção'!$G:$G,$B18),_xlfn.MAXIFS([3]EXPEDIÇÃO!$N:$N,[3]EXPEDIÇÃO!$E:$E,$D18,[3]EXPEDIÇÃO!$D:$D,$C18,[3]EXPEDIÇÃO!$N:$N,"&gt;="&amp;$G18)),"")</f>
        <v/>
      </c>
      <c r="O18" s="70">
        <f>INDEX([1]Produtos!$E:$E,MATCH($D18,[1]Produtos!$B:$B,0))</f>
        <v>215</v>
      </c>
      <c r="P18" s="70" t="str">
        <f>INDEX([1]Produtos!$F:$F,MATCH($D18,[1]Produtos!$B:$B,0))</f>
        <v>ml</v>
      </c>
      <c r="Q18" s="105">
        <f>INDEX([1]Produtos!$Y:$Y,MATCH($D18,[1]Produtos!$B:$B,0))</f>
        <v>0.85000000000000009</v>
      </c>
      <c r="R18" s="35">
        <f t="shared" si="20"/>
        <v>7592.2902086267013</v>
      </c>
      <c r="S18" s="27">
        <f>IFERROR(INDEX([1]Produtos!$L:$L,MATCH(D18,[1]Produtos!$B:$B,0)), "")</f>
        <v>843.58780095852239</v>
      </c>
      <c r="T18" s="28">
        <f t="shared" si="21"/>
        <v>17.8</v>
      </c>
      <c r="U18" s="28" t="str">
        <f t="shared" si="22"/>
        <v>2D e 1h</v>
      </c>
      <c r="V18" s="27">
        <f>IFERROR(SUMIFS('[2]Controle de Produção'!$K:$K,'[2]Controle de Produção'!$L:$L,D18,'[2]Controle de Produção'!$P:$P,C18,'[2]Controle de Produção'!$B:$B,"&gt;=" &amp; G18,'[2]Controle de Produção'!$C:$C,"&lt;=" &amp; N18, '[2]Controle de Produção'!$G:$G,B18), "")</f>
        <v>0</v>
      </c>
      <c r="W18" s="27" t="str">
        <f>IFERROR(SUMIFS([3]EXPEDIÇÃO!$K:$K,[3]EXPEDIÇÃO!$E:$E,D18,[3]EXPEDIÇÃO!$D:$D,C18,[3]EXPEDIÇÃO!$N:$N,"&gt;=" &amp; G18,[3]EXPEDIÇÃO!$N:$N,"&lt;="&amp;N18), "")</f>
        <v/>
      </c>
      <c r="X18" s="27">
        <f>COUNTIFS('[2]Controle de Produção'!$P:$P,C18,'[2]Controle de Produção'!$L:$L,D18,'[2]Controle de Produção'!$B:$B,"&gt;=" &amp; G18)</f>
        <v>4</v>
      </c>
      <c r="Y18" s="27">
        <f t="shared" si="23"/>
        <v>0</v>
      </c>
      <c r="Z18" s="27">
        <f>IFERROR(COUNTIFS('[2]Controle de Produção'!$L:$L,D18,'[2]Controle de Produção'!$P:$P,C18,'[2]Controle de Produção'!$B:$B,"&gt;=" &amp; G18,'[2]Controle de Produção'!$C:$C,"&lt;=" &amp; N18, '[2]Controle de Produção'!$G:$G,B18), "")</f>
        <v>0</v>
      </c>
      <c r="AA18" s="108" t="str">
        <f t="shared" si="24"/>
        <v/>
      </c>
      <c r="AB18" s="41" t="str" cm="1">
        <f t="array" ref="AB18">_xlfn.IFS((H18*0.95)&lt;=V18,"Concluído",AND(V18 =0, J18&lt;&gt;""),"Programado",AND(V18=0,D18=""),"Desenvolv.",V18=0,"Não Iniciado",AND(V18&gt;0,V18&lt;H18,AO18=TRUE),"Em Produção",AND(V18&gt;0,V18&lt;H18,AO18=FALSE),"Produção Parcial")</f>
        <v>Programado</v>
      </c>
      <c r="AC18" s="42" t="b">
        <v>1</v>
      </c>
      <c r="AD18" s="42" t="b">
        <v>1</v>
      </c>
      <c r="AE18" s="42" t="b">
        <v>1</v>
      </c>
      <c r="AF18" s="42" t="b">
        <v>1</v>
      </c>
      <c r="AG18" s="42" t="b">
        <v>1</v>
      </c>
      <c r="AH18" s="42" t="s">
        <v>38</v>
      </c>
      <c r="AI18" s="42" t="b">
        <v>1</v>
      </c>
      <c r="AJ18" s="42" t="s">
        <v>38</v>
      </c>
      <c r="AK18" s="42" t="s">
        <v>38</v>
      </c>
      <c r="AL18" s="42" t="b">
        <v>1</v>
      </c>
      <c r="AM18" s="42" t="b">
        <v>0</v>
      </c>
      <c r="AN18" s="42" t="b">
        <v>0</v>
      </c>
      <c r="AO18" s="45" t="b" cm="1">
        <f t="array" ref="AO18">AND(COUNTIF(AC18:AN18,FALSE)=0,SUMPRODUCT(ISNUMBER(AC18:AN18)*1)=0)</f>
        <v>0</v>
      </c>
      <c r="AP18" s="59"/>
      <c r="AQ18" s="111">
        <f>IF(AB18="",99999999999,IFERROR(MATCH(AB18,{"Produção Parcial","Em Produção","Programado","Não Iniciado","Desenvolv.","Concluído"},0),7)*100000000+IF(ISNUMBER(J18),J18-46000,9999)*10000+IF(A18="",99,A18)*100+IF(C18="",99,CODE(LEFT(C18,1))))</f>
        <v>301850577</v>
      </c>
      <c r="AR18" s="36"/>
      <c r="AS18" s="36"/>
    </row>
    <row r="19" spans="1:45" ht="25.35" hidden="1" customHeight="1" x14ac:dyDescent="0.25">
      <c r="A19" s="36">
        <v>4</v>
      </c>
      <c r="B19" s="38" t="s">
        <v>88</v>
      </c>
      <c r="C19" s="70" t="str">
        <f>INDEX([1]Produtos!$G:$G,MATCH($D19,[1]Produtos!$B:$B,0))</f>
        <v>WIKE MAKE</v>
      </c>
      <c r="D19" s="24" t="s">
        <v>89</v>
      </c>
      <c r="E19" s="70" t="str">
        <f>INDEX([1]Produtos!$C:$C,MATCH($D19,[1]Produtos!$B:$B,0))&amp;IF($F19&lt;&gt;"-"," - "&amp;LEFT($F19,1),"")&amp;" &gt; "&amp;$B19</f>
        <v>BODY SPLASH LINDA VIDA 120ml &gt; FABIANO 22/01/26</v>
      </c>
      <c r="F19" s="51" t="s">
        <v>38</v>
      </c>
      <c r="G19" s="38">
        <v>46044</v>
      </c>
      <c r="H19" s="39">
        <v>20000</v>
      </c>
      <c r="I19" s="24" t="s">
        <v>39</v>
      </c>
      <c r="J19" s="68" cm="1">
        <f t="array" ref="J19">IFERROR(INDEX('[2]Previsão Envase'!$D$5:$D$4867, MATCH(1,('[2]Previsão Envase'!$F$5:$F$4867=$E19)+('[2]Previsão Envase'!$G$5:$G$4867=$E19)+('[2]Previsão Envase'!$H$5:$H$4867=$E19),0)),"")</f>
        <v>46188</v>
      </c>
      <c r="K19" s="68" t="str">
        <f>IF(COUNTIF('[2]Previsão Envase'!$F:$F,E19)&gt;0,"Linha 1",
IF(COUNTIF('[2]Previsão Envase'!$G:$G,E19)&gt;0,"Linha 2",
IF(COUNTIF('[2]Previsão Envase'!$H:$H,E19)&gt;0,"Linha 3","")))</f>
        <v>Linha 1</v>
      </c>
      <c r="L19" s="96">
        <f>COUNTIF('[2]Previsão Envase'!$F:$H,E19)-COUNTIF('[2]Previsão Envase'!$F$1:$H$4,E19)</f>
        <v>23</v>
      </c>
      <c r="M19" s="35">
        <f t="shared" si="19"/>
        <v>19402.519422046014</v>
      </c>
      <c r="N19" s="68" t="str">
        <f>IFERROR(MAX(_xlfn.MAXIFS('[2]Controle de Produção'!$C:$C,'[2]Controle de Produção'!$L:$L,$D19,'[2]Controle de Produção'!$P:$P,$C19,'[2]Controle de Produção'!$G:$G,$B19),_xlfn.MAXIFS([3]EXPEDIÇÃO!$N:$N,[3]EXPEDIÇÃO!$E:$E,$D19,[3]EXPEDIÇÃO!$D:$D,$C19,[3]EXPEDIÇÃO!$N:$N,"&gt;="&amp;$G19)),"")</f>
        <v/>
      </c>
      <c r="O19" s="70">
        <f>INDEX([1]Produtos!$E:$E,MATCH($D19,[1]Produtos!$B:$B,0))</f>
        <v>120</v>
      </c>
      <c r="P19" s="70" t="str">
        <f>INDEX([1]Produtos!$F:$F,MATCH($D19,[1]Produtos!$B:$B,0))</f>
        <v>ml</v>
      </c>
      <c r="Q19" s="105">
        <f>INDEX([1]Produtos!$Y:$Y,MATCH($D19,[1]Produtos!$B:$B,0))</f>
        <v>0.55000000000000004</v>
      </c>
      <c r="R19" s="35">
        <f t="shared" si="20"/>
        <v>7592.2902086267013</v>
      </c>
      <c r="S19" s="27">
        <f>IFERROR(INDEX([1]Produtos!$L:$L,MATCH(D19,[1]Produtos!$B:$B,0)), "")</f>
        <v>843.58780095852239</v>
      </c>
      <c r="T19" s="28">
        <f t="shared" si="21"/>
        <v>23.8</v>
      </c>
      <c r="U19" s="28" t="str">
        <f t="shared" si="22"/>
        <v>2D e 7h</v>
      </c>
      <c r="V19" s="27">
        <f>IFERROR(SUMIFS('[2]Controle de Produção'!$K:$K,'[2]Controle de Produção'!$L:$L,D19,'[2]Controle de Produção'!$P:$P,C19,'[2]Controle de Produção'!$B:$B,"&gt;=" &amp; G19,'[2]Controle de Produção'!$C:$C,"&lt;=" &amp; N19, '[2]Controle de Produção'!$G:$G,B19), "")</f>
        <v>0</v>
      </c>
      <c r="W19" s="27" t="str">
        <f>IFERROR(SUMIFS([3]EXPEDIÇÃO!$K:$K,[3]EXPEDIÇÃO!$E:$E,D19,[3]EXPEDIÇÃO!$D:$D,C19,[3]EXPEDIÇÃO!$N:$N,"&gt;=" &amp; G19,[3]EXPEDIÇÃO!$N:$N,"&lt;="&amp;N19), "")</f>
        <v/>
      </c>
      <c r="X19" s="27">
        <f>COUNTIFS('[2]Controle de Produção'!$P:$P,C19,'[2]Controle de Produção'!$L:$L,D19,'[2]Controle de Produção'!$B:$B,"&gt;=" &amp; G19)</f>
        <v>5</v>
      </c>
      <c r="Y19" s="27">
        <f t="shared" si="23"/>
        <v>0</v>
      </c>
      <c r="Z19" s="27">
        <f>IFERROR(COUNTIFS('[2]Controle de Produção'!$L:$L,D19,'[2]Controle de Produção'!$P:$P,C19,'[2]Controle de Produção'!$B:$B,"&gt;=" &amp; G19,'[2]Controle de Produção'!$C:$C,"&lt;=" &amp; N19, '[2]Controle de Produção'!$G:$G,B19), "")</f>
        <v>0</v>
      </c>
      <c r="AA19" s="108" t="str">
        <f t="shared" si="24"/>
        <v/>
      </c>
      <c r="AB19" s="41" t="str" cm="1">
        <f t="array" ref="AB19">_xlfn.IFS((H19*0.95)&lt;=V19,"Concluído",AND(V19 =0, J19&lt;&gt;""),"Programado",AND(V19=0,D19=""),"Desenvolv.",V19=0,"Não Iniciado",AND(V19&gt;0,V19&lt;H19,AO19=TRUE),"Em Produção",AND(V19&gt;0,V19&lt;H19,AO19=FALSE),"Produção Parcial")</f>
        <v>Programado</v>
      </c>
      <c r="AC19" s="42" t="b">
        <v>1</v>
      </c>
      <c r="AD19" s="42" t="b">
        <v>1</v>
      </c>
      <c r="AE19" s="42" t="b">
        <v>1</v>
      </c>
      <c r="AF19" s="42" t="b">
        <v>1</v>
      </c>
      <c r="AG19" s="42" t="s">
        <v>38</v>
      </c>
      <c r="AH19" s="42" t="s">
        <v>38</v>
      </c>
      <c r="AI19" s="42" t="b">
        <v>1</v>
      </c>
      <c r="AJ19" s="42" t="s">
        <v>38</v>
      </c>
      <c r="AK19" s="42" t="s">
        <v>38</v>
      </c>
      <c r="AL19" s="42" t="b">
        <v>1</v>
      </c>
      <c r="AM19" s="42" t="b">
        <v>1</v>
      </c>
      <c r="AN19" s="42" t="b">
        <v>1</v>
      </c>
      <c r="AO19" s="45" t="b" cm="1">
        <f t="array" ref="AO19">AND(COUNTIF(AC19:AN19,FALSE)=0,SUMPRODUCT(ISNUMBER(AC19:AN19)*1)=0)</f>
        <v>1</v>
      </c>
      <c r="AP19" s="59"/>
      <c r="AQ19" s="111">
        <f>IF(AB19="",99999999999,IFERROR(MATCH(AB19,{"Produção Parcial","Em Produção","Programado","Não Iniciado","Desenvolv.","Concluído"},0),7)*100000000+IF(ISNUMBER(J19),J19-46000,9999)*10000+IF(A19="",99,A19)*100+IF(C19="",99,CODE(LEFT(C19,1))))</f>
        <v>301880487</v>
      </c>
      <c r="AR19" s="36"/>
      <c r="AS19" s="36"/>
    </row>
    <row r="20" spans="1:45" ht="25.35" hidden="1" customHeight="1" x14ac:dyDescent="0.25">
      <c r="A20" s="36">
        <v>5</v>
      </c>
      <c r="B20" s="112" t="s">
        <v>438</v>
      </c>
      <c r="C20" s="70" t="str">
        <f>INDEX([1]Produtos!$G:$G,MATCH($D20,[1]Produtos!$B:$B,0))</f>
        <v>MISS RÔSE</v>
      </c>
      <c r="D20" s="24" t="s">
        <v>69</v>
      </c>
      <c r="E20" s="70" t="str">
        <f>INDEX([1]Produtos!$C:$C,MATCH($D20,[1]Produtos!$B:$B,0))&amp;IF($F20&lt;&gt;"-"," - "&amp;LEFT($F20,1),"")&amp;" &gt; "&amp;$B20</f>
        <v>BODY SPLASH FLOR D AURA 200ml &gt; 0008</v>
      </c>
      <c r="F20" s="51" t="s">
        <v>38</v>
      </c>
      <c r="G20" s="38">
        <v>46149</v>
      </c>
      <c r="H20" s="39">
        <v>15000</v>
      </c>
      <c r="I20" s="24" t="s">
        <v>42</v>
      </c>
      <c r="J20" s="68" cm="1">
        <f t="array" ref="J20">IFERROR(INDEX('[2]Previsão Envase'!$D$5:$D$4867, MATCH(1,('[2]Previsão Envase'!$F$5:$F$4867=$E20)+('[2]Previsão Envase'!$G$5:$G$4867=$E20)+('[2]Previsão Envase'!$H$5:$H$4867=$E20),0)),"")</f>
        <v>46188</v>
      </c>
      <c r="K20" s="68" t="str">
        <f>IF(COUNTIF('[2]Previsão Envase'!$F:$F,E20)&gt;0,"Linha 1",
IF(COUNTIF('[2]Previsão Envase'!$G:$G,E20)&gt;0,"Linha 2",
IF(COUNTIF('[2]Previsão Envase'!$H:$H,E20)&gt;0,"Linha 3","")))</f>
        <v>Linha 1</v>
      </c>
      <c r="L20" s="96">
        <f>COUNTIF('[2]Previsão Envase'!$F:$H,E20)-COUNTIF('[2]Previsão Envase'!$F$1:$H$4,E20)</f>
        <v>4</v>
      </c>
      <c r="M20" s="35">
        <f t="shared" si="19"/>
        <v>3374.3512038340896</v>
      </c>
      <c r="N20" s="68" t="str">
        <f>IFERROR(MAX(_xlfn.MAXIFS('[2]Controle de Produção'!$C:$C,'[2]Controle de Produção'!$L:$L,$D20,'[2]Controle de Produção'!$P:$P,$C20,'[2]Controle de Produção'!$G:$G,$B20),_xlfn.MAXIFS([3]EXPEDIÇÃO!$N:$N,[3]EXPEDIÇÃO!$E:$E,$D20,[3]EXPEDIÇÃO!$D:$D,$C20,[3]EXPEDIÇÃO!$N:$N,"&gt;="&amp;$G20)),"")</f>
        <v/>
      </c>
      <c r="O20" s="70">
        <f>INDEX([1]Produtos!$E:$E,MATCH($D20,[1]Produtos!$B:$B,0))</f>
        <v>215</v>
      </c>
      <c r="P20" s="70" t="str">
        <f>INDEX([1]Produtos!$F:$F,MATCH($D20,[1]Produtos!$B:$B,0))</f>
        <v>ml</v>
      </c>
      <c r="Q20" s="105">
        <f>INDEX([1]Produtos!$Y:$Y,MATCH($D20,[1]Produtos!$B:$B,0))</f>
        <v>0.85</v>
      </c>
      <c r="R20" s="35">
        <f t="shared" si="20"/>
        <v>7592.2902086267013</v>
      </c>
      <c r="S20" s="27">
        <f>IFERROR(INDEX([1]Produtos!$L:$L,MATCH(D20,[1]Produtos!$B:$B,0)), "")</f>
        <v>843.58780095852239</v>
      </c>
      <c r="T20" s="28">
        <f t="shared" si="21"/>
        <v>17.8</v>
      </c>
      <c r="U20" s="28" t="str">
        <f t="shared" si="22"/>
        <v>2D e 1h</v>
      </c>
      <c r="V20" s="27">
        <f>IFERROR(SUMIFS('[2]Controle de Produção'!$K:$K,'[2]Controle de Produção'!$L:$L,D20,'[2]Controle de Produção'!$P:$P,C20,'[2]Controle de Produção'!$B:$B,"&gt;=" &amp; G20,'[2]Controle de Produção'!$C:$C,"&lt;=" &amp; N20, '[2]Controle de Produção'!$G:$G,B20), "")</f>
        <v>0</v>
      </c>
      <c r="W20" s="27" t="str">
        <f>IFERROR(SUMIFS([3]EXPEDIÇÃO!$K:$K,[3]EXPEDIÇÃO!$E:$E,D20,[3]EXPEDIÇÃO!$D:$D,C20,[3]EXPEDIÇÃO!$N:$N,"&gt;=" &amp; G20,[3]EXPEDIÇÃO!$N:$N,"&lt;="&amp;N20), "")</f>
        <v/>
      </c>
      <c r="X20" s="27">
        <f>COUNTIFS('[2]Controle de Produção'!$P:$P,C20,'[2]Controle de Produção'!$L:$L,D20,'[2]Controle de Produção'!$B:$B,"&gt;=" &amp; G20)</f>
        <v>2</v>
      </c>
      <c r="Y20" s="27">
        <f t="shared" si="23"/>
        <v>0</v>
      </c>
      <c r="Z20" s="27">
        <f>IFERROR(COUNTIFS('[2]Controle de Produção'!$L:$L,D20,'[2]Controle de Produção'!$P:$P,C20,'[2]Controle de Produção'!$B:$B,"&gt;=" &amp; G20,'[2]Controle de Produção'!$C:$C,"&lt;=" &amp; N20, '[2]Controle de Produção'!$G:$G,B20), "")</f>
        <v>0</v>
      </c>
      <c r="AA20" s="108" t="str">
        <f t="shared" si="24"/>
        <v/>
      </c>
      <c r="AB20" s="41" t="str" cm="1">
        <f t="array" ref="AB20">_xlfn.IFS((H20*0.95)&lt;=V20,"Concluído",AND(V20 =0, J20&lt;&gt;""),"Programado",AND(V20=0,D20=""),"Desenvolv.",V20=0,"Não Iniciado",AND(V20&gt;0,V20&lt;H20,AO20=TRUE),"Em Produção",AND(V20&gt;0,V20&lt;H20,AO20=FALSE),"Produção Parcial")</f>
        <v>Programado</v>
      </c>
      <c r="AC20" s="42" t="b">
        <v>1</v>
      </c>
      <c r="AD20" s="42" t="b">
        <v>1</v>
      </c>
      <c r="AE20" s="42" t="b">
        <v>1</v>
      </c>
      <c r="AF20" s="42" t="b">
        <v>1</v>
      </c>
      <c r="AG20" s="42" t="b">
        <v>1</v>
      </c>
      <c r="AH20" s="42" t="s">
        <v>38</v>
      </c>
      <c r="AI20" s="42" t="b">
        <v>1</v>
      </c>
      <c r="AJ20" s="42" t="s">
        <v>38</v>
      </c>
      <c r="AK20" s="42" t="s">
        <v>38</v>
      </c>
      <c r="AL20" s="42" t="b">
        <v>1</v>
      </c>
      <c r="AM20" s="42" t="b">
        <v>1</v>
      </c>
      <c r="AN20" s="42" t="b">
        <v>1</v>
      </c>
      <c r="AO20" s="45" t="b" cm="1">
        <f t="array" ref="AO20">AND(COUNTIF(AC20:AN20,FALSE)=0,SUMPRODUCT(ISNUMBER(AC20:AN20)*1)=0)</f>
        <v>1</v>
      </c>
      <c r="AP20" s="59"/>
      <c r="AQ20" s="111">
        <f>IF(AB20="",99999999999,IFERROR(MATCH(AB20,{"Produção Parcial","Em Produção","Programado","Não Iniciado","Desenvolv.","Concluído"},0),7)*100000000+IF(ISNUMBER(J20),J20-46000,9999)*10000+IF(A20="",99,A20)*100+IF(C20="",99,CODE(LEFT(C20,1))))</f>
        <v>301880577</v>
      </c>
      <c r="AR20" s="36"/>
      <c r="AS20" s="36"/>
    </row>
    <row r="21" spans="1:45" s="36" customFormat="1" ht="25.15" customHeight="1" x14ac:dyDescent="0.25">
      <c r="A21" s="36">
        <v>4</v>
      </c>
      <c r="B21" s="38" t="s">
        <v>138</v>
      </c>
      <c r="C21" s="70" t="str">
        <f>INDEX([1]Produtos!$G:$G,MATCH($D21,[1]Produtos!$B:$B,0))</f>
        <v>MISS RÔSE</v>
      </c>
      <c r="D21" s="117" t="s">
        <v>148</v>
      </c>
      <c r="E21" s="70" t="str">
        <f>INDEX([1]Produtos!$C:$C,MATCH($D21,[1]Produtos!$B:$B,0))&amp;IF($F21&lt;&gt;"-"," - "&amp;LEFT($F21,1),"")&amp;" &gt; "&amp;$B21</f>
        <v>FIXADOR FIX MATTE 120ml - 2 &gt; FABIANO 03/02/26</v>
      </c>
      <c r="F21" s="51" t="s">
        <v>141</v>
      </c>
      <c r="G21" s="38">
        <v>46115</v>
      </c>
      <c r="H21" s="39">
        <v>48000</v>
      </c>
      <c r="I21" s="24" t="s">
        <v>39</v>
      </c>
      <c r="J21" s="68" cm="1">
        <f t="array" ref="J21">IFERROR(INDEX('[2]Previsão Envase'!$D$5:$D$4867, MATCH(1,('[2]Previsão Envase'!$F$5:$F$4867=$E21)+('[2]Previsão Envase'!$G$5:$G$4867=$E21)+('[2]Previsão Envase'!$H$5:$H$4867=$E21),0)),"")</f>
        <v>46190</v>
      </c>
      <c r="K21" s="68" t="str">
        <f>IF(COUNTIF('[2]Previsão Envase'!$F:$F,E21)&gt;0,"Linha 1",
IF(COUNTIF('[2]Previsão Envase'!$G:$G,E21)&gt;0,"Linha 2",
IF(COUNTIF('[2]Previsão Envase'!$H:$H,E21)&gt;0,"Linha 3","")))</f>
        <v>Linha 1</v>
      </c>
      <c r="L21" s="96">
        <f>COUNTIF('[2]Previsão Envase'!$F:$H,E21)-COUNTIF('[2]Previsão Envase'!$F$1:$H$4,E21)</f>
        <v>53</v>
      </c>
      <c r="M21" s="35">
        <f t="shared" si="19"/>
        <v>41632.382694784406</v>
      </c>
      <c r="N21" s="68" t="str">
        <f>IFERROR(MAX(_xlfn.MAXIFS('[2]Controle de Produção'!$C:$C,'[2]Controle de Produção'!$L:$L,$D21,'[2]Controle de Produção'!$P:$P,$C21,'[2]Controle de Produção'!$G:$G,$B21),_xlfn.MAXIFS([3]EXPEDIÇÃO!$N:$N,[3]EXPEDIÇÃO!$E:$E,$D21,[3]EXPEDIÇÃO!$D:$D,$C21,[3]EXPEDIÇÃO!$N:$N,"&gt;="&amp;$G21)),"")</f>
        <v/>
      </c>
      <c r="O21" s="70">
        <f>INDEX([1]Produtos!$E:$E,MATCH($D21,[1]Produtos!$B:$B,0))</f>
        <v>120</v>
      </c>
      <c r="P21" s="70" t="str">
        <f>INDEX([1]Produtos!$F:$F,MATCH($D21,[1]Produtos!$B:$B,0))</f>
        <v>ml</v>
      </c>
      <c r="Q21" s="105">
        <f>INDEX([1]Produtos!$Y:$Y,MATCH($D21,[1]Produtos!$B:$B,0))</f>
        <v>0.55000000000000004</v>
      </c>
      <c r="R21" s="35">
        <f t="shared" si="20"/>
        <v>7069.6498915671636</v>
      </c>
      <c r="S21" s="27">
        <f>IFERROR(INDEX([1]Produtos!$L:$L,MATCH(D21,[1]Produtos!$B:$B,0)), "")</f>
        <v>785.51665461857374</v>
      </c>
      <c r="T21" s="28">
        <f t="shared" si="21"/>
        <v>61.2</v>
      </c>
      <c r="U21" s="28" t="str">
        <f t="shared" si="22"/>
        <v>6D e 9h</v>
      </c>
      <c r="V21" s="27">
        <f>IFERROR(SUMIFS('[2]Controle de Produção'!$K:$K,'[2]Controle de Produção'!$L:$L,D21,'[2]Controle de Produção'!$P:$P,C21,'[2]Controle de Produção'!$B:$B,"&gt;=" &amp; G21,'[2]Controle de Produção'!$C:$C,"&lt;=" &amp; N21, '[2]Controle de Produção'!$G:$G,B21), "")</f>
        <v>0</v>
      </c>
      <c r="W21" s="27" t="str">
        <f>IFERROR(SUMIFS([3]EXPEDIÇÃO!$K:$K,[3]EXPEDIÇÃO!$E:$E,D21,[3]EXPEDIÇÃO!$D:$D,C21,[3]EXPEDIÇÃO!$N:$N,"&gt;=" &amp; G21,[3]EXPEDIÇÃO!$N:$N,"&lt;="&amp;N21), "")</f>
        <v/>
      </c>
      <c r="X21" s="27">
        <f>COUNTIFS('[2]Controle de Produção'!$P:$P,C21,'[2]Controle de Produção'!$L:$L,D21,'[2]Controle de Produção'!$B:$B,"&gt;=" &amp; G21)</f>
        <v>4</v>
      </c>
      <c r="Y21" s="27">
        <f t="shared" si="23"/>
        <v>0</v>
      </c>
      <c r="Z21" s="27">
        <f>IFERROR(COUNTIFS('[2]Controle de Produção'!$L:$L,D21,'[2]Controle de Produção'!$P:$P,C21,'[2]Controle de Produção'!$B:$B,"&gt;=" &amp; G21,'[2]Controle de Produção'!$C:$C,"&lt;=" &amp; N21, '[2]Controle de Produção'!$G:$G,B21), "")</f>
        <v>0</v>
      </c>
      <c r="AA21" s="108" t="str">
        <f t="shared" si="24"/>
        <v/>
      </c>
      <c r="AB21" s="41" t="str" cm="1">
        <f t="array" ref="AB21">_xlfn.IFS((H21*0.95)&lt;=V21,"Concluído",AND(V21 =0, J21&lt;&gt;""),"Programado",AND(V21=0,D21=""),"Desenvolv.",V21=0,"Não Iniciado",AND(V21&gt;0,V21&lt;H21,AO21=TRUE),"Em Produção",AND(V21&gt;0,V21&lt;H21,AO21=FALSE),"Produção Parcial")</f>
        <v>Programado</v>
      </c>
      <c r="AC21" s="42" t="b">
        <v>1</v>
      </c>
      <c r="AD21" s="32" t="b">
        <v>1</v>
      </c>
      <c r="AE21" s="32" t="b">
        <v>1</v>
      </c>
      <c r="AF21" s="32" t="b">
        <v>1</v>
      </c>
      <c r="AG21" s="32" t="s">
        <v>38</v>
      </c>
      <c r="AH21" s="32" t="s">
        <v>38</v>
      </c>
      <c r="AI21" s="32" t="b">
        <v>0</v>
      </c>
      <c r="AJ21" s="42" t="b">
        <v>0</v>
      </c>
      <c r="AK21" s="42" t="b">
        <v>1</v>
      </c>
      <c r="AL21" s="42" t="b">
        <v>1</v>
      </c>
      <c r="AM21" s="32" t="b">
        <v>1</v>
      </c>
      <c r="AN21" s="42" t="b">
        <v>1</v>
      </c>
      <c r="AO21" s="45" t="b" cm="1">
        <f t="array" ref="AO21">AND(COUNTIF(AC21:AN21,FALSE)=0,SUMPRODUCT(ISNUMBER(AC21:AN21)*1)=0)</f>
        <v>0</v>
      </c>
      <c r="AP21" s="59"/>
      <c r="AQ21" s="111">
        <f>IF(AB21="",99999999999,IFERROR(MATCH(AB21,{"Produção Parcial","Em Produção","Programado","Não Iniciado","Desenvolv.","Concluído"},0),7)*100000000+IF(ISNUMBER(J21),J21-46000,9999)*10000+IF(A21="",99,A21)*100+IF(C21="",99,CODE(LEFT(C21,1))))</f>
        <v>301900477</v>
      </c>
      <c r="AR21"/>
      <c r="AS21"/>
    </row>
    <row r="22" spans="1:45" s="36" customFormat="1" ht="25.15" hidden="1" customHeight="1" x14ac:dyDescent="0.25">
      <c r="A22" s="36">
        <v>5</v>
      </c>
      <c r="B22" s="112" t="s">
        <v>437</v>
      </c>
      <c r="C22" s="70" t="str">
        <f>INDEX([1]Produtos!$G:$G,MATCH($D22,[1]Produtos!$B:$B,0))</f>
        <v>DAPOP</v>
      </c>
      <c r="D22" s="24" t="s">
        <v>236</v>
      </c>
      <c r="E22" s="70" t="str">
        <f>INDEX([1]Produtos!$C:$C,MATCH($D22,[1]Produtos!$B:$B,0))&amp;IF($F22&lt;&gt;"-"," - "&amp;LEFT($F22,1),"")&amp;" &gt; "&amp;$B22</f>
        <v>BODY SPLASH MATTE SORVETE DE BAUNILHA &gt; 0007</v>
      </c>
      <c r="F22" s="51" t="s">
        <v>38</v>
      </c>
      <c r="G22" s="38">
        <v>46013</v>
      </c>
      <c r="H22" s="39">
        <v>14400</v>
      </c>
      <c r="I22" s="24" t="s">
        <v>42</v>
      </c>
      <c r="J22" s="68" cm="1">
        <f t="array" ref="J22">IFERROR(INDEX('[2]Previsão Envase'!$D$5:$D$4867, MATCH(1,('[2]Previsão Envase'!$F$5:$F$4867=$E22)+('[2]Previsão Envase'!$G$5:$G$4867=$E22)+('[2]Previsão Envase'!$H$5:$H$4867=$E22),0)),"")</f>
        <v>46190</v>
      </c>
      <c r="K22" s="68" t="str">
        <f>IF(COUNTIF('[2]Previsão Envase'!$F:$F,E22)&gt;0,"Linha 1",
IF(COUNTIF('[2]Previsão Envase'!$G:$G,E22)&gt;0,"Linha 2",
IF(COUNTIF('[2]Previsão Envase'!$H:$H,E22)&gt;0,"Linha 3","")))</f>
        <v>Linha 1</v>
      </c>
      <c r="L22" s="96">
        <f>COUNTIF('[2]Previsão Envase'!$F:$H,E22)-COUNTIF('[2]Previsão Envase'!$F$1:$H$4,E22)</f>
        <v>18</v>
      </c>
      <c r="M22" s="35">
        <f t="shared" si="19"/>
        <v>15184.580417253403</v>
      </c>
      <c r="N22" s="68" t="str">
        <f>IFERROR(MAX(_xlfn.MAXIFS('[2]Controle de Produção'!$C:$C,'[2]Controle de Produção'!$L:$L,$D22,'[2]Controle de Produção'!$P:$P,$C22,'[2]Controle de Produção'!$G:$G,$B22),_xlfn.MAXIFS([3]EXPEDIÇÃO!$N:$N,[3]EXPEDIÇÃO!$E:$E,$D22,[3]EXPEDIÇÃO!$D:$D,$C22,[3]EXPEDIÇÃO!$N:$N,"&gt;="&amp;$G22)),"")</f>
        <v/>
      </c>
      <c r="O22" s="70">
        <f>INDEX([1]Produtos!$E:$E,MATCH($D22,[1]Produtos!$B:$B,0))</f>
        <v>120</v>
      </c>
      <c r="P22" s="70" t="str">
        <f>INDEX([1]Produtos!$F:$F,MATCH($D22,[1]Produtos!$B:$B,0))</f>
        <v>ml</v>
      </c>
      <c r="Q22" s="105">
        <f>INDEX([1]Produtos!$Y:$Y,MATCH($D22,[1]Produtos!$B:$B,0))</f>
        <v>0</v>
      </c>
      <c r="R22" s="35">
        <f t="shared" si="20"/>
        <v>7592.2902086267013</v>
      </c>
      <c r="S22" s="27">
        <f>IFERROR(INDEX([1]Produtos!$L:$L,MATCH(D22,[1]Produtos!$B:$B,0)), "")</f>
        <v>843.58780095852239</v>
      </c>
      <c r="T22" s="28">
        <f t="shared" si="21"/>
        <v>17.100000000000001</v>
      </c>
      <c r="U22" s="28" t="str">
        <f t="shared" si="22"/>
        <v>1D e 9h</v>
      </c>
      <c r="V22" s="27">
        <f>IFERROR(SUMIFS('[2]Controle de Produção'!$K:$K,'[2]Controle de Produção'!$L:$L,D22,'[2]Controle de Produção'!$P:$P,C22,'[2]Controle de Produção'!$B:$B,"&gt;=" &amp; G22,'[2]Controle de Produção'!$C:$C,"&lt;=" &amp; N22, '[2]Controle de Produção'!$G:$G,B22), "")</f>
        <v>0</v>
      </c>
      <c r="W22" s="27" t="str">
        <f>IFERROR(SUMIFS([3]EXPEDIÇÃO!$K:$K,[3]EXPEDIÇÃO!$E:$E,D22,[3]EXPEDIÇÃO!$D:$D,C22,[3]EXPEDIÇÃO!$N:$N,"&gt;=" &amp; G22,[3]EXPEDIÇÃO!$N:$N,"&lt;="&amp;N22), "")</f>
        <v/>
      </c>
      <c r="X22" s="27">
        <f>COUNTIFS('[2]Controle de Produção'!$P:$P,C22,'[2]Controle de Produção'!$L:$L,D22,'[2]Controle de Produção'!$B:$B,"&gt;=" &amp; G22)</f>
        <v>3</v>
      </c>
      <c r="Y22" s="27">
        <f t="shared" si="23"/>
        <v>0</v>
      </c>
      <c r="Z22" s="27">
        <f>IFERROR(COUNTIFS('[2]Controle de Produção'!$L:$L,D22,'[2]Controle de Produção'!$P:$P,C22,'[2]Controle de Produção'!$B:$B,"&gt;=" &amp; G22,'[2]Controle de Produção'!$C:$C,"&lt;=" &amp; N22, '[2]Controle de Produção'!$G:$G,B22), "")</f>
        <v>0</v>
      </c>
      <c r="AA22" s="108" t="str">
        <f t="shared" si="24"/>
        <v/>
      </c>
      <c r="AB22" s="41" t="str" cm="1">
        <f t="array" ref="AB22">_xlfn.IFS((H22*0.95)&lt;=V22,"Concluído",AND(V22 =0, J22&lt;&gt;""),"Programado",AND(V22=0,D22=""),"Desenvolv.",V22=0,"Não Iniciado",AND(V22&gt;0,V22&lt;H22,AO22=TRUE),"Em Produção",AND(V22&gt;0,V22&lt;H22,AO22=FALSE),"Produção Parcial")</f>
        <v>Programado</v>
      </c>
      <c r="AC22" s="42" t="b">
        <v>1</v>
      </c>
      <c r="AD22" s="42" t="b">
        <v>1</v>
      </c>
      <c r="AE22" s="32" t="b">
        <v>1</v>
      </c>
      <c r="AF22" s="32" t="b">
        <v>1</v>
      </c>
      <c r="AG22" s="32" t="s">
        <v>38</v>
      </c>
      <c r="AH22" s="32" t="s">
        <v>38</v>
      </c>
      <c r="AI22" s="32" t="b">
        <v>1</v>
      </c>
      <c r="AJ22" s="32" t="b">
        <v>1</v>
      </c>
      <c r="AK22" s="90" t="s">
        <v>38</v>
      </c>
      <c r="AL22" s="42" t="b">
        <v>1</v>
      </c>
      <c r="AM22" s="42" t="b">
        <v>1</v>
      </c>
      <c r="AN22" s="42" t="b">
        <v>1</v>
      </c>
      <c r="AO22" s="45" t="b" cm="1">
        <f t="array" ref="AO22">AND(COUNTIF(AC22:AN22,FALSE)=0,SUMPRODUCT(ISNUMBER(AC22:AN22)*1)=0)</f>
        <v>1</v>
      </c>
      <c r="AP22" s="59"/>
      <c r="AQ22" s="111">
        <f>IF(AB22="",99999999999,IFERROR(MATCH(AB22,{"Produção Parcial","Em Produção","Programado","Não Iniciado","Desenvolv.","Concluído"},0),7)*100000000+IF(ISNUMBER(J22),J22-46000,9999)*10000+IF(A22="",99,A22)*100+IF(C22="",99,CODE(LEFT(C22,1))))</f>
        <v>301900568</v>
      </c>
      <c r="AR22"/>
      <c r="AS22"/>
    </row>
    <row r="23" spans="1:45" s="36" customFormat="1" ht="25.15" hidden="1" customHeight="1" x14ac:dyDescent="0.25">
      <c r="A23" s="36">
        <v>5</v>
      </c>
      <c r="B23" s="112" t="s">
        <v>437</v>
      </c>
      <c r="C23" s="70" t="str">
        <f>INDEX([1]Produtos!$G:$G,MATCH($D23,[1]Produtos!$B:$B,0))</f>
        <v>DAPOP</v>
      </c>
      <c r="D23" s="24" t="s">
        <v>237</v>
      </c>
      <c r="E23" s="70" t="str">
        <f>INDEX([1]Produtos!$C:$C,MATCH($D23,[1]Produtos!$B:$B,0))&amp;IF($F23&lt;&gt;"-"," - "&amp;LEFT($F23,1),"")&amp;" &gt; "&amp;$B23</f>
        <v>BODY SPLASH MATTE DOCE SEDUÇÃO &gt; 0007</v>
      </c>
      <c r="F23" s="51" t="s">
        <v>38</v>
      </c>
      <c r="G23" s="38">
        <v>46013</v>
      </c>
      <c r="H23" s="39">
        <v>14400</v>
      </c>
      <c r="I23" s="24" t="s">
        <v>42</v>
      </c>
      <c r="J23" s="68" cm="1">
        <f t="array" ref="J23">IFERROR(INDEX('[2]Previsão Envase'!$D$5:$D$4867, MATCH(1,('[2]Previsão Envase'!$F$5:$F$4867=$E23)+('[2]Previsão Envase'!$G$5:$G$4867=$E23)+('[2]Previsão Envase'!$H$5:$H$4867=$E23),0)),"")</f>
        <v>46191</v>
      </c>
      <c r="K23" s="68" t="str">
        <f>IF(COUNTIF('[2]Previsão Envase'!$F:$F,E23)&gt;0,"Linha 1",
IF(COUNTIF('[2]Previsão Envase'!$G:$G,E23)&gt;0,"Linha 2",
IF(COUNTIF('[2]Previsão Envase'!$H:$H,E23)&gt;0,"Linha 3","")))</f>
        <v>Linha 1</v>
      </c>
      <c r="L23" s="96">
        <f>COUNTIF('[2]Previsão Envase'!$F:$H,E23)-COUNTIF('[2]Previsão Envase'!$F$1:$H$4,E23)</f>
        <v>24</v>
      </c>
      <c r="M23" s="35" t="str">
        <f t="shared" si="19"/>
        <v>-</v>
      </c>
      <c r="N23" s="68" t="str">
        <f>IFERROR(MAX(_xlfn.MAXIFS('[2]Controle de Produção'!$C:$C,'[2]Controle de Produção'!$L:$L,$D23,'[2]Controle de Produção'!$P:$P,$C23,'[2]Controle de Produção'!$G:$G,$B23),_xlfn.MAXIFS([3]EXPEDIÇÃO!$N:$N,[3]EXPEDIÇÃO!$E:$E,$D23,[3]EXPEDIÇÃO!$D:$D,$C23,[3]EXPEDIÇÃO!$N:$N,"&gt;="&amp;$G23)),"")</f>
        <v/>
      </c>
      <c r="O23" s="70">
        <f>INDEX([1]Produtos!$E:$E,MATCH($D23,[1]Produtos!$B:$B,0))</f>
        <v>120</v>
      </c>
      <c r="P23" s="70" t="str">
        <f>INDEX([1]Produtos!$F:$F,MATCH($D23,[1]Produtos!$B:$B,0))</f>
        <v>ml</v>
      </c>
      <c r="Q23" s="105">
        <f>INDEX([1]Produtos!$Y:$Y,MATCH($D23,[1]Produtos!$B:$B,0))</f>
        <v>0</v>
      </c>
      <c r="R23" s="35" t="str">
        <f t="shared" si="20"/>
        <v>-</v>
      </c>
      <c r="S23" s="27" t="s">
        <v>454</v>
      </c>
      <c r="T23" s="28" t="str">
        <f t="shared" si="21"/>
        <v>-</v>
      </c>
      <c r="U23" s="28" t="str">
        <f t="shared" si="22"/>
        <v>-</v>
      </c>
      <c r="V23" s="27">
        <f>IFERROR(SUMIFS('[2]Controle de Produção'!$K:$K,'[2]Controle de Produção'!$L:$L,D23,'[2]Controle de Produção'!$P:$P,C23,'[2]Controle de Produção'!$B:$B,"&gt;=" &amp; G23,'[2]Controle de Produção'!$C:$C,"&lt;=" &amp; N23, '[2]Controle de Produção'!$G:$G,B23), "")</f>
        <v>0</v>
      </c>
      <c r="W23" s="27" t="str">
        <f>IFERROR(SUMIFS([3]EXPEDIÇÃO!$K:$K,[3]EXPEDIÇÃO!$E:$E,D23,[3]EXPEDIÇÃO!$D:$D,C23,[3]EXPEDIÇÃO!$N:$N,"&gt;=" &amp; G23,[3]EXPEDIÇÃO!$N:$N,"&lt;="&amp;N23), "")</f>
        <v/>
      </c>
      <c r="X23" s="27">
        <f>COUNTIFS('[2]Controle de Produção'!$P:$P,C23,'[2]Controle de Produção'!$L:$L,D23,'[2]Controle de Produção'!$B:$B,"&gt;=" &amp; G23)</f>
        <v>1</v>
      </c>
      <c r="Y23" s="27">
        <f t="shared" si="23"/>
        <v>0</v>
      </c>
      <c r="Z23" s="27">
        <f>IFERROR(COUNTIFS('[2]Controle de Produção'!$L:$L,D23,'[2]Controle de Produção'!$P:$P,C23,'[2]Controle de Produção'!$B:$B,"&gt;=" &amp; G23,'[2]Controle de Produção'!$C:$C,"&lt;=" &amp; N23, '[2]Controle de Produção'!$G:$G,B23), "")</f>
        <v>0</v>
      </c>
      <c r="AA23" s="108" t="str">
        <f t="shared" si="24"/>
        <v/>
      </c>
      <c r="AB23" s="41" t="str" cm="1">
        <f t="array" ref="AB23">_xlfn.IFS((H23*0.95)&lt;=V23,"Concluído",AND(V23 =0, J23&lt;&gt;""),"Programado",AND(V23=0,D23=""),"Desenvolv.",V23=0,"Não Iniciado",AND(V23&gt;0,V23&lt;H23,AO23=TRUE),"Em Produção",AND(V23&gt;0,V23&lt;H23,AO23=FALSE),"Produção Parcial")</f>
        <v>Programado</v>
      </c>
      <c r="AC23" s="42" t="b">
        <v>1</v>
      </c>
      <c r="AD23" s="42" t="b">
        <v>1</v>
      </c>
      <c r="AE23" s="32" t="b">
        <v>1</v>
      </c>
      <c r="AF23" s="32" t="b">
        <v>1</v>
      </c>
      <c r="AG23" s="32" t="s">
        <v>38</v>
      </c>
      <c r="AH23" s="32" t="s">
        <v>38</v>
      </c>
      <c r="AI23" s="42" t="b">
        <v>1</v>
      </c>
      <c r="AJ23" s="42" t="b">
        <v>1</v>
      </c>
      <c r="AK23" s="42" t="s">
        <v>38</v>
      </c>
      <c r="AL23" s="42" t="b">
        <v>1</v>
      </c>
      <c r="AM23" s="32" t="b">
        <v>1</v>
      </c>
      <c r="AN23" s="42" t="b">
        <v>1</v>
      </c>
      <c r="AO23" s="45" t="b" cm="1">
        <f t="array" ref="AO23">AND(COUNTIF(AC23:AN23,FALSE)=0,SUMPRODUCT(ISNUMBER(AC23:AN23)*1)=0)</f>
        <v>1</v>
      </c>
      <c r="AP23" s="59"/>
      <c r="AQ23" s="111">
        <f>IF(AB23="",99999999999,IFERROR(MATCH(AB23,{"Produção Parcial","Em Produção","Programado","Não Iniciado","Desenvolv.","Concluído"},0),7)*100000000+IF(ISNUMBER(J23),J23-46000,9999)*10000+IF(A23="",99,A23)*100+IF(C23="",99,CODE(LEFT(C23,1))))</f>
        <v>301910568</v>
      </c>
      <c r="AR23"/>
      <c r="AS23"/>
    </row>
    <row r="24" spans="1:45" s="36" customFormat="1" ht="25.15" hidden="1" customHeight="1" x14ac:dyDescent="0.25">
      <c r="A24" s="36">
        <v>4</v>
      </c>
      <c r="B24" s="112" t="s">
        <v>453</v>
      </c>
      <c r="C24" s="70" t="str">
        <f>INDEX([1]Produtos!$G:$G,MATCH($D24,[1]Produtos!$B:$B,0))</f>
        <v>MISS RÔSE</v>
      </c>
      <c r="D24" s="24" t="s">
        <v>77</v>
      </c>
      <c r="E24" s="70" t="str">
        <f>INDEX([1]Produtos!$C:$C,MATCH($D24,[1]Produtos!$B:$B,0))&amp;IF($F24&lt;&gt;"-"," - "&amp;LEFT($F24,1),"")&amp;" &gt; "&amp;$B24</f>
        <v>BODY SPLASH FORÇA DO LEAO &gt; 0012</v>
      </c>
      <c r="F24" s="51" t="s">
        <v>38</v>
      </c>
      <c r="G24" s="38">
        <v>46168</v>
      </c>
      <c r="H24" s="39">
        <v>60000</v>
      </c>
      <c r="I24" s="24" t="s">
        <v>42</v>
      </c>
      <c r="J24" s="68" cm="1">
        <f t="array" ref="J24">IFERROR(INDEX('[2]Previsão Envase'!$D$5:$D$4867, MATCH(1,('[2]Previsão Envase'!$F$5:$F$4867=$E24)+('[2]Previsão Envase'!$G$5:$G$4867=$E24)+('[2]Previsão Envase'!$H$5:$H$4867=$E24),0)),"")</f>
        <v>46192</v>
      </c>
      <c r="K24" s="68" t="str">
        <f>IF(COUNTIF('[2]Previsão Envase'!$F:$F,E24)&gt;0,"Linha 1",
IF(COUNTIF('[2]Previsão Envase'!$G:$G,E24)&gt;0,"Linha 2",
IF(COUNTIF('[2]Previsão Envase'!$H:$H,E24)&gt;0,"Linha 3","")))</f>
        <v>Linha 1</v>
      </c>
      <c r="L24" s="96">
        <f>COUNTIF('[2]Previsão Envase'!$F:$H,E24)-COUNTIF('[2]Previsão Envase'!$F$1:$H$4,E24)</f>
        <v>20</v>
      </c>
      <c r="M24" s="35">
        <f t="shared" si="19"/>
        <v>16871.756019170447</v>
      </c>
      <c r="N24" s="68" t="str">
        <f>IFERROR(MAX(_xlfn.MAXIFS('[2]Controle de Produção'!$C:$C,'[2]Controle de Produção'!$L:$L,$D24,'[2]Controle de Produção'!$P:$P,$C24,'[2]Controle de Produção'!$G:$G,$B24),_xlfn.MAXIFS([3]EXPEDIÇÃO!$N:$N,[3]EXPEDIÇÃO!$E:$E,$D24,[3]EXPEDIÇÃO!$D:$D,$C24,[3]EXPEDIÇÃO!$N:$N,"&gt;="&amp;$G24)),"")</f>
        <v/>
      </c>
      <c r="O24" s="70">
        <f>INDEX([1]Produtos!$E:$E,MATCH($D24,[1]Produtos!$B:$B,0))</f>
        <v>220</v>
      </c>
      <c r="P24" s="70" t="str">
        <f>INDEX([1]Produtos!$F:$F,MATCH($D24,[1]Produtos!$B:$B,0))</f>
        <v>ml</v>
      </c>
      <c r="Q24" s="105">
        <f>INDEX([1]Produtos!$Y:$Y,MATCH($D24,[1]Produtos!$B:$B,0))</f>
        <v>1.1000000000000001</v>
      </c>
      <c r="R24" s="35">
        <f t="shared" si="20"/>
        <v>7592.2902086267013</v>
      </c>
      <c r="S24" s="27">
        <f>IFERROR(INDEX([1]Produtos!$L:$L,MATCH(D24,[1]Produtos!$B:$B,0)), "")</f>
        <v>843.58780095852239</v>
      </c>
      <c r="T24" s="28">
        <f t="shared" si="21"/>
        <v>71.199999999999989</v>
      </c>
      <c r="U24" s="28" t="str">
        <f t="shared" si="22"/>
        <v>8D e 1h</v>
      </c>
      <c r="V24" s="27">
        <f>IFERROR(SUMIFS('[2]Controle de Produção'!$K:$K,'[2]Controle de Produção'!$L:$L,D24,'[2]Controle de Produção'!$P:$P,C24,'[2]Controle de Produção'!$B:$B,"&gt;=" &amp; G24,'[2]Controle de Produção'!$C:$C,"&lt;=" &amp; N24, '[2]Controle de Produção'!$G:$G,B24), "")</f>
        <v>0</v>
      </c>
      <c r="W24" s="27" t="str">
        <f>IFERROR(SUMIFS([3]EXPEDIÇÃO!$K:$K,[3]EXPEDIÇÃO!$E:$E,D24,[3]EXPEDIÇÃO!$D:$D,C24,[3]EXPEDIÇÃO!$N:$N,"&gt;=" &amp; G24,[3]EXPEDIÇÃO!$N:$N,"&lt;="&amp;N24), "")</f>
        <v/>
      </c>
      <c r="X24" s="27">
        <f>COUNTIFS('[2]Controle de Produção'!$P:$P,C24,'[2]Controle de Produção'!$L:$L,D24,'[2]Controle de Produção'!$B:$B,"&gt;=" &amp; G24)</f>
        <v>10</v>
      </c>
      <c r="Y24" s="27">
        <f t="shared" si="23"/>
        <v>0</v>
      </c>
      <c r="Z24" s="27">
        <f>IFERROR(COUNTIFS('[2]Controle de Produção'!$L:$L,D24,'[2]Controle de Produção'!$P:$P,C24,'[2]Controle de Produção'!$B:$B,"&gt;=" &amp; G24,'[2]Controle de Produção'!$C:$C,"&lt;=" &amp; N24, '[2]Controle de Produção'!$G:$G,B24), "")</f>
        <v>0</v>
      </c>
      <c r="AA24" s="108" t="str">
        <f t="shared" si="24"/>
        <v/>
      </c>
      <c r="AB24" s="41" t="str" cm="1">
        <f t="array" ref="AB24">_xlfn.IFS((H24*0.95)&lt;=V24,"Concluído",AND(V24 =0, J24&lt;&gt;""),"Programado",AND(V24=0,D24=""),"Desenvolv.",V24=0,"Não Iniciado",AND(V24&gt;0,V24&lt;H24,AO24=TRUE),"Em Produção",AND(V24&gt;0,V24&lt;H24,AO24=FALSE),"Produção Parcial")</f>
        <v>Programado</v>
      </c>
      <c r="AC24" s="42" t="b">
        <v>0</v>
      </c>
      <c r="AD24" s="42" t="b">
        <v>0</v>
      </c>
      <c r="AE24" s="32" t="b">
        <v>0</v>
      </c>
      <c r="AF24" s="42" t="b">
        <v>1</v>
      </c>
      <c r="AG24" s="32" t="b">
        <v>1</v>
      </c>
      <c r="AH24" s="32" t="s">
        <v>38</v>
      </c>
      <c r="AI24" s="42" t="b">
        <v>0</v>
      </c>
      <c r="AJ24" s="32" t="s">
        <v>38</v>
      </c>
      <c r="AK24" s="32" t="s">
        <v>38</v>
      </c>
      <c r="AL24" s="32" t="b">
        <v>0</v>
      </c>
      <c r="AM24" s="42" t="b">
        <v>0</v>
      </c>
      <c r="AN24" s="42" t="b">
        <v>0</v>
      </c>
      <c r="AO24" s="45" t="b" cm="1">
        <f t="array" ref="AO24">AND(COUNTIF(AC24:AN24,FALSE)=0,SUMPRODUCT(ISNUMBER(AC24:AN24)*1)=0)</f>
        <v>0</v>
      </c>
      <c r="AP24" s="59"/>
      <c r="AQ24" s="111">
        <f>IF(AB24="",99999999999,IFERROR(MATCH(AB24,{"Produção Parcial","Em Produção","Programado","Não Iniciado","Desenvolv.","Concluído"},0),7)*100000000+IF(ISNUMBER(J24),J24-46000,9999)*10000+IF(A24="",99,A24)*100+IF(C24="",99,CODE(LEFT(C24,1))))</f>
        <v>301920477</v>
      </c>
      <c r="AR24"/>
      <c r="AS24"/>
    </row>
    <row r="25" spans="1:45" s="36" customFormat="1" ht="25.15" hidden="1" customHeight="1" x14ac:dyDescent="0.25">
      <c r="A25" s="36">
        <v>5</v>
      </c>
      <c r="B25" s="112" t="s">
        <v>437</v>
      </c>
      <c r="C25" s="70" t="str">
        <f>INDEX([1]Produtos!$G:$G,MATCH($D25,[1]Produtos!$B:$B,0))</f>
        <v>DAPOP</v>
      </c>
      <c r="D25" s="24" t="s">
        <v>235</v>
      </c>
      <c r="E25" s="70" t="str">
        <f>INDEX([1]Produtos!$C:$C,MATCH($D25,[1]Produtos!$B:$B,0))&amp;IF($F25&lt;&gt;"-"," - "&amp;LEFT($F25,1),"")&amp;" &gt; "&amp;$B25</f>
        <v>BODY SPLASH MATTE OITAVA MARAVILHA &gt; 0007</v>
      </c>
      <c r="F25" s="51" t="s">
        <v>38</v>
      </c>
      <c r="G25" s="38">
        <v>46013</v>
      </c>
      <c r="H25" s="39">
        <v>14400</v>
      </c>
      <c r="I25" s="24" t="s">
        <v>42</v>
      </c>
      <c r="J25" s="68" cm="1">
        <f t="array" ref="J25">IFERROR(INDEX('[2]Previsão Envase'!$D$5:$D$4867, MATCH(1,('[2]Previsão Envase'!$F$5:$F$4867=$E25)+('[2]Previsão Envase'!$G$5:$G$4867=$E25)+('[2]Previsão Envase'!$H$5:$H$4867=$E25),0)),"")</f>
        <v>46195</v>
      </c>
      <c r="K25" s="68" t="str">
        <f>IF(COUNTIF('[2]Previsão Envase'!$F:$F,E25)&gt;0,"Linha 1",
IF(COUNTIF('[2]Previsão Envase'!$G:$G,E25)&gt;0,"Linha 2",
IF(COUNTIF('[2]Previsão Envase'!$H:$H,E25)&gt;0,"Linha 3","")))</f>
        <v>Linha 2</v>
      </c>
      <c r="L25" s="96">
        <f>COUNTIF('[2]Previsão Envase'!$F:$H,E25)-COUNTIF('[2]Previsão Envase'!$F$1:$H$4,E25)</f>
        <v>18</v>
      </c>
      <c r="M25" s="35">
        <f t="shared" si="19"/>
        <v>15184.580417253403</v>
      </c>
      <c r="N25" s="68" t="str">
        <f>IFERROR(MAX(_xlfn.MAXIFS('[2]Controle de Produção'!$C:$C,'[2]Controle de Produção'!$L:$L,$D25,'[2]Controle de Produção'!$P:$P,$C25,'[2]Controle de Produção'!$G:$G,$B25),_xlfn.MAXIFS([3]EXPEDIÇÃO!$N:$N,[3]EXPEDIÇÃO!$E:$E,$D25,[3]EXPEDIÇÃO!$D:$D,$C25,[3]EXPEDIÇÃO!$N:$N,"&gt;="&amp;$G25)),"")</f>
        <v/>
      </c>
      <c r="O25" s="70">
        <f>INDEX([1]Produtos!$E:$E,MATCH($D25,[1]Produtos!$B:$B,0))</f>
        <v>120</v>
      </c>
      <c r="P25" s="70" t="str">
        <f>INDEX([1]Produtos!$F:$F,MATCH($D25,[1]Produtos!$B:$B,0))</f>
        <v>ml</v>
      </c>
      <c r="Q25" s="105">
        <f>INDEX([1]Produtos!$Y:$Y,MATCH($D25,[1]Produtos!$B:$B,0))</f>
        <v>0</v>
      </c>
      <c r="R25" s="35">
        <f t="shared" si="20"/>
        <v>7592.2902086267013</v>
      </c>
      <c r="S25" s="27">
        <f>IFERROR(INDEX([1]Produtos!$L:$L,MATCH(D25,[1]Produtos!$B:$B,0)), "")</f>
        <v>843.58780095852239</v>
      </c>
      <c r="T25" s="28">
        <f t="shared" si="21"/>
        <v>17.100000000000001</v>
      </c>
      <c r="U25" s="28" t="str">
        <f t="shared" si="22"/>
        <v>1D e 9h</v>
      </c>
      <c r="V25" s="27">
        <f>IFERROR(SUMIFS('[2]Controle de Produção'!$K:$K,'[2]Controle de Produção'!$L:$L,D25,'[2]Controle de Produção'!$P:$P,C25,'[2]Controle de Produção'!$B:$B,"&gt;=" &amp; G25,'[2]Controle de Produção'!$C:$C,"&lt;=" &amp; N25, '[2]Controle de Produção'!$G:$G,B25), "")</f>
        <v>0</v>
      </c>
      <c r="W25" s="27" t="str">
        <f>IFERROR(SUMIFS([3]EXPEDIÇÃO!$K:$K,[3]EXPEDIÇÃO!$E:$E,D25,[3]EXPEDIÇÃO!$D:$D,C25,[3]EXPEDIÇÃO!$N:$N,"&gt;=" &amp; G25,[3]EXPEDIÇÃO!$N:$N,"&lt;="&amp;N25), "")</f>
        <v/>
      </c>
      <c r="X25" s="27">
        <f>COUNTIFS('[2]Controle de Produção'!$P:$P,C25,'[2]Controle de Produção'!$L:$L,D25,'[2]Controle de Produção'!$B:$B,"&gt;=" &amp; G25)</f>
        <v>1</v>
      </c>
      <c r="Y25" s="27">
        <f t="shared" si="23"/>
        <v>0</v>
      </c>
      <c r="Z25" s="27">
        <f>IFERROR(COUNTIFS('[2]Controle de Produção'!$L:$L,D25,'[2]Controle de Produção'!$P:$P,C25,'[2]Controle de Produção'!$B:$B,"&gt;=" &amp; G25,'[2]Controle de Produção'!$C:$C,"&lt;=" &amp; N25, '[2]Controle de Produção'!$G:$G,B25), "")</f>
        <v>0</v>
      </c>
      <c r="AA25" s="108" t="str">
        <f t="shared" si="24"/>
        <v/>
      </c>
      <c r="AB25" s="41" t="str" cm="1">
        <f t="array" ref="AB25">_xlfn.IFS((H25*0.95)&lt;=V25,"Concluído",AND(V25 =0, J25&lt;&gt;""),"Programado",AND(V25=0,D25=""),"Desenvolv.",V25=0,"Não Iniciado",AND(V25&gt;0,V25&lt;H25,AO25=TRUE),"Em Produção",AND(V25&gt;0,V25&lt;H25,AO25=FALSE),"Produção Parcial")</f>
        <v>Programado</v>
      </c>
      <c r="AC25" s="42" t="b">
        <v>1</v>
      </c>
      <c r="AD25" s="42" t="b">
        <v>1</v>
      </c>
      <c r="AE25" s="32" t="b">
        <v>1</v>
      </c>
      <c r="AF25" s="48" t="b">
        <v>1</v>
      </c>
      <c r="AG25" s="42" t="s">
        <v>38</v>
      </c>
      <c r="AH25" s="32" t="s">
        <v>38</v>
      </c>
      <c r="AI25" s="42" t="b">
        <v>1</v>
      </c>
      <c r="AJ25" s="32" t="b">
        <v>1</v>
      </c>
      <c r="AK25" s="90" t="s">
        <v>38</v>
      </c>
      <c r="AL25" s="42" t="b">
        <v>1</v>
      </c>
      <c r="AM25" s="42" t="b">
        <v>1</v>
      </c>
      <c r="AN25" s="42" t="b">
        <v>1</v>
      </c>
      <c r="AO25" s="45" t="b" cm="1">
        <f t="array" ref="AO25">AND(COUNTIF(AC25:AN25,FALSE)=0,SUMPRODUCT(ISNUMBER(AC25:AN25)*1)=0)</f>
        <v>1</v>
      </c>
      <c r="AP25" s="59"/>
      <c r="AQ25" s="111">
        <f>IF(AB25="",99999999999,IFERROR(MATCH(AB25,{"Produção Parcial","Em Produção","Programado","Não Iniciado","Desenvolv.","Concluído"},0),7)*100000000+IF(ISNUMBER(J25),J25-46000,9999)*10000+IF(A25="",99,A25)*100+IF(C25="",99,CODE(LEFT(C25,1))))</f>
        <v>301950568</v>
      </c>
    </row>
    <row r="26" spans="1:45" ht="25.35" hidden="1" customHeight="1" x14ac:dyDescent="0.25">
      <c r="A26" s="36">
        <v>4</v>
      </c>
      <c r="B26" s="112" t="s">
        <v>452</v>
      </c>
      <c r="C26" s="70" t="str">
        <f>INDEX([1]Produtos!$G:$G,MATCH($D26,[1]Produtos!$B:$B,0))</f>
        <v>MISS RÔSE</v>
      </c>
      <c r="D26" s="24" t="s">
        <v>74</v>
      </c>
      <c r="E26" s="70" t="str">
        <f>INDEX([1]Produtos!$C:$C,MATCH($D26,[1]Produtos!$B:$B,0))&amp;IF($F26&lt;&gt;"-"," - "&amp;LEFT($F26,1),"")&amp;" &gt; "&amp;$B26</f>
        <v>BODY SPLASH LEAO DO DESERTO BOURBON 200ml &gt; 0011</v>
      </c>
      <c r="F26" s="51" t="s">
        <v>38</v>
      </c>
      <c r="G26" s="38">
        <v>46169</v>
      </c>
      <c r="H26" s="39">
        <v>60000</v>
      </c>
      <c r="I26" s="24" t="s">
        <v>42</v>
      </c>
      <c r="J26" s="68" cm="1">
        <f t="array" ref="J26">IFERROR(INDEX('[2]Previsão Envase'!$D$5:$D$4867, MATCH(1,('[2]Previsão Envase'!$F$5:$F$4867=$E26)+('[2]Previsão Envase'!$G$5:$G$4867=$E26)+('[2]Previsão Envase'!$H$5:$H$4867=$E26),0)),"")</f>
        <v>46197</v>
      </c>
      <c r="K26" s="68" t="str">
        <f>IF(COUNTIF('[2]Previsão Envase'!$F:$F,E26)&gt;0,"Linha 1",
IF(COUNTIF('[2]Previsão Envase'!$G:$G,E26)&gt;0,"Linha 2",
IF(COUNTIF('[2]Previsão Envase'!$H:$H,E26)&gt;0,"Linha 3","")))</f>
        <v>Linha 1</v>
      </c>
      <c r="L26" s="96">
        <f>COUNTIF('[2]Previsão Envase'!$F:$H,E26)-COUNTIF('[2]Previsão Envase'!$F$1:$H$4,E26)</f>
        <v>67</v>
      </c>
      <c r="M26" s="35">
        <f t="shared" si="19"/>
        <v>56520.382664220997</v>
      </c>
      <c r="N26" s="68" t="str">
        <f>IFERROR(MAX(_xlfn.MAXIFS('[2]Controle de Produção'!$C:$C,'[2]Controle de Produção'!$L:$L,$D26,'[2]Controle de Produção'!$P:$P,$C26,'[2]Controle de Produção'!$G:$G,$B26),_xlfn.MAXIFS([3]EXPEDIÇÃO!$N:$N,[3]EXPEDIÇÃO!$E:$E,$D26,[3]EXPEDIÇÃO!$D:$D,$C26,[3]EXPEDIÇÃO!$N:$N,"&gt;="&amp;$G26)),"")</f>
        <v/>
      </c>
      <c r="O26" s="70">
        <f>INDEX([1]Produtos!$E:$E,MATCH($D26,[1]Produtos!$B:$B,0))</f>
        <v>215</v>
      </c>
      <c r="P26" s="70" t="str">
        <f>INDEX([1]Produtos!$F:$F,MATCH($D26,[1]Produtos!$B:$B,0))</f>
        <v>ml</v>
      </c>
      <c r="Q26" s="105">
        <f>INDEX([1]Produtos!$Y:$Y,MATCH($D26,[1]Produtos!$B:$B,0))</f>
        <v>0.85</v>
      </c>
      <c r="R26" s="35">
        <f t="shared" si="20"/>
        <v>7592.2902086267013</v>
      </c>
      <c r="S26" s="27">
        <f>IFERROR(INDEX([1]Produtos!$L:$L,MATCH(D26,[1]Produtos!$B:$B,0)), "")</f>
        <v>843.58780095852239</v>
      </c>
      <c r="T26" s="28">
        <f t="shared" si="21"/>
        <v>71.199999999999989</v>
      </c>
      <c r="U26" s="28" t="str">
        <f t="shared" si="22"/>
        <v>8D e 1h</v>
      </c>
      <c r="V26" s="57">
        <f>IFERROR(SUMIFS('[2]Controle de Produção'!$K:$K,'[2]Controle de Produção'!$L:$L,D26,'[2]Controle de Produção'!$P:$P,C26,'[2]Controle de Produção'!$B:$B,"&gt;=" &amp; G26,'[2]Controle de Produção'!$C:$C,"&lt;=" &amp; N26, '[2]Controle de Produção'!$G:$G,B26), "")</f>
        <v>0</v>
      </c>
      <c r="W26" s="27" t="str">
        <f>IFERROR(SUMIFS([3]EXPEDIÇÃO!$K:$K,[3]EXPEDIÇÃO!$E:$E,D26,[3]EXPEDIÇÃO!$D:$D,C26,[3]EXPEDIÇÃO!$N:$N,"&gt;=" &amp; G26,[3]EXPEDIÇÃO!$N:$N,"&lt;="&amp;N26), "")</f>
        <v/>
      </c>
      <c r="X26" s="27">
        <f>COUNTIFS('[2]Controle de Produção'!$P:$P,C26,'[2]Controle de Produção'!$L:$L,D26,'[2]Controle de Produção'!$B:$B,"&gt;=" &amp; G26)</f>
        <v>11</v>
      </c>
      <c r="Y26" s="27">
        <f t="shared" si="23"/>
        <v>0</v>
      </c>
      <c r="Z26" s="27">
        <f>IFERROR(COUNTIFS('[2]Controle de Produção'!$L:$L,D26,'[2]Controle de Produção'!$P:$P,C26,'[2]Controle de Produção'!$B:$B,"&gt;=" &amp; G26,'[2]Controle de Produção'!$C:$C,"&lt;=" &amp; N26, '[2]Controle de Produção'!$G:$G,B26), "")</f>
        <v>0</v>
      </c>
      <c r="AA26" s="108" t="str">
        <f t="shared" si="24"/>
        <v/>
      </c>
      <c r="AB26" s="41" t="str" cm="1">
        <f t="array" ref="AB26">_xlfn.IFS((H26*0.95)&lt;=V26,"Concluído",AND(V26 =0, J26&lt;&gt;""),"Programado",AND(V26=0,D26=""),"Desenvolv.",V26=0,"Não Iniciado",AND(V26&gt;0,V26&lt;H26,AO26=TRUE),"Em Produção",AND(V26&gt;0,V26&lt;H26,AO26=FALSE),"Produção Parcial")</f>
        <v>Programado</v>
      </c>
      <c r="AC26" s="42" t="b">
        <v>0</v>
      </c>
      <c r="AD26" s="42" t="b">
        <v>0</v>
      </c>
      <c r="AE26" s="42" t="b">
        <v>1</v>
      </c>
      <c r="AF26" s="42" t="b">
        <v>0</v>
      </c>
      <c r="AG26" s="42" t="b">
        <v>0</v>
      </c>
      <c r="AH26" s="42" t="s">
        <v>38</v>
      </c>
      <c r="AI26" s="42" t="b">
        <v>0</v>
      </c>
      <c r="AJ26" s="32" t="s">
        <v>38</v>
      </c>
      <c r="AK26" s="90" t="s">
        <v>38</v>
      </c>
      <c r="AL26" s="42" t="b">
        <v>0</v>
      </c>
      <c r="AM26" s="42" t="b">
        <v>0</v>
      </c>
      <c r="AN26" s="42" t="b">
        <v>0</v>
      </c>
      <c r="AO26" s="45" t="b" cm="1">
        <f t="array" ref="AO26">AND(COUNTIF(AC26:AN26,FALSE)=0,SUMPRODUCT(ISNUMBER(AC26:AN26)*1)=0)</f>
        <v>0</v>
      </c>
      <c r="AP26" s="59"/>
      <c r="AQ26" s="111">
        <f>IF(AB26="",99999999999,IFERROR(MATCH(AB26,{"Produção Parcial","Em Produção","Programado","Não Iniciado","Desenvolv.","Concluído"},0),7)*100000000+IF(ISNUMBER(J26),J26-46000,9999)*10000+IF(A26="",99,A26)*100+IF(C26="",99,CODE(LEFT(C26,1))))</f>
        <v>301970477</v>
      </c>
    </row>
    <row r="27" spans="1:45" ht="25.35" hidden="1" customHeight="1" x14ac:dyDescent="0.25">
      <c r="A27" s="36">
        <v>5</v>
      </c>
      <c r="B27" s="112" t="s">
        <v>438</v>
      </c>
      <c r="C27" s="70" t="str">
        <f>INDEX([1]Produtos!$G:$G,MATCH($D27,[1]Produtos!$B:$B,0))</f>
        <v>MISS RÔSE</v>
      </c>
      <c r="D27" s="24" t="s">
        <v>37</v>
      </c>
      <c r="E27" s="70" t="str">
        <f>INDEX([1]Produtos!$C:$C,MATCH($D27,[1]Produtos!$B:$B,0))&amp;IF($F27&lt;&gt;"-"," - "&amp;LEFT($F27,1),"")&amp;" &gt; "&amp;$B27</f>
        <v>BODY SPLASH ROSA RAINHA 200ml &gt; 0008</v>
      </c>
      <c r="F27" s="51" t="s">
        <v>38</v>
      </c>
      <c r="G27" s="38">
        <v>46149</v>
      </c>
      <c r="H27" s="39">
        <v>15000</v>
      </c>
      <c r="I27" s="24" t="s">
        <v>42</v>
      </c>
      <c r="J27" s="68" cm="1">
        <f t="array" ref="J27">IFERROR(INDEX('[2]Previsão Envase'!$D$5:$D$4867, MATCH(1,('[2]Previsão Envase'!$F$5:$F$4867=$E27)+('[2]Previsão Envase'!$G$5:$G$4867=$E27)+('[2]Previsão Envase'!$H$5:$H$4867=$E27),0)),"")</f>
        <v>46197</v>
      </c>
      <c r="K27" s="68" t="str">
        <f>IF(COUNTIF('[2]Previsão Envase'!$F:$F,E27)&gt;0,"Linha 1",
IF(COUNTIF('[2]Previsão Envase'!$G:$G,E27)&gt;0,"Linha 2",
IF(COUNTIF('[2]Previsão Envase'!$H:$H,E27)&gt;0,"Linha 3","")))</f>
        <v>Linha 1</v>
      </c>
      <c r="L27" s="96">
        <f>COUNTIF('[2]Previsão Envase'!$F:$H,E27)-COUNTIF('[2]Previsão Envase'!$F$1:$H$4,E27)</f>
        <v>11</v>
      </c>
      <c r="M27" s="35">
        <f t="shared" si="19"/>
        <v>9279.4658105437466</v>
      </c>
      <c r="N27" s="68" t="str">
        <f>IFERROR(MAX(_xlfn.MAXIFS('[2]Controle de Produção'!$C:$C,'[2]Controle de Produção'!$L:$L,$D27,'[2]Controle de Produção'!$P:$P,$C27,'[2]Controle de Produção'!$G:$G,$B27),_xlfn.MAXIFS([3]EXPEDIÇÃO!$N:$N,[3]EXPEDIÇÃO!$E:$E,$D27,[3]EXPEDIÇÃO!$D:$D,$C27,[3]EXPEDIÇÃO!$N:$N,"&gt;="&amp;$G27)),"")</f>
        <v/>
      </c>
      <c r="O27" s="70">
        <f>INDEX([1]Produtos!$E:$E,MATCH($D27,[1]Produtos!$B:$B,0))</f>
        <v>215</v>
      </c>
      <c r="P27" s="70" t="str">
        <f>INDEX([1]Produtos!$F:$F,MATCH($D27,[1]Produtos!$B:$B,0))</f>
        <v>ml</v>
      </c>
      <c r="Q27" s="105">
        <f>INDEX([1]Produtos!$Y:$Y,MATCH($D27,[1]Produtos!$B:$B,0))</f>
        <v>0.85</v>
      </c>
      <c r="R27" s="35">
        <f t="shared" si="20"/>
        <v>7592.2902086267013</v>
      </c>
      <c r="S27" s="27">
        <f>IFERROR(INDEX([1]Produtos!$L:$L,MATCH(D27,[1]Produtos!$B:$B,0)), "")</f>
        <v>843.58780095852239</v>
      </c>
      <c r="T27" s="28">
        <f t="shared" si="21"/>
        <v>17.8</v>
      </c>
      <c r="U27" s="28" t="str">
        <f t="shared" si="22"/>
        <v>2D e 1h</v>
      </c>
      <c r="V27" s="27">
        <f>IFERROR(SUMIFS('[2]Controle de Produção'!$K:$K,'[2]Controle de Produção'!$L:$L,D27,'[2]Controle de Produção'!$P:$P,C27,'[2]Controle de Produção'!$B:$B,"&gt;=" &amp; G27,'[2]Controle de Produção'!$C:$C,"&lt;=" &amp; N27, '[2]Controle de Produção'!$G:$G,B27), "")</f>
        <v>0</v>
      </c>
      <c r="W27" s="27" t="str">
        <f>IFERROR(SUMIFS([3]EXPEDIÇÃO!$K:$K,[3]EXPEDIÇÃO!$E:$E,D27,[3]EXPEDIÇÃO!$D:$D,C27,[3]EXPEDIÇÃO!$N:$N,"&gt;=" &amp; G27,[3]EXPEDIÇÃO!$N:$N,"&lt;="&amp;N27), "")</f>
        <v/>
      </c>
      <c r="X27" s="27">
        <f>COUNTIFS('[2]Controle de Produção'!$P:$P,C27,'[2]Controle de Produção'!$L:$L,D27,'[2]Controle de Produção'!$B:$B,"&gt;=" &amp; G27)</f>
        <v>3</v>
      </c>
      <c r="Y27" s="27">
        <f t="shared" si="23"/>
        <v>0</v>
      </c>
      <c r="Z27" s="27">
        <f>IFERROR(COUNTIFS('[2]Controle de Produção'!$L:$L,D27,'[2]Controle de Produção'!$P:$P,C27,'[2]Controle de Produção'!$B:$B,"&gt;=" &amp; G27,'[2]Controle de Produção'!$C:$C,"&lt;=" &amp; N27, '[2]Controle de Produção'!$G:$G,B27), "")</f>
        <v>0</v>
      </c>
      <c r="AA27" s="108" t="str">
        <f t="shared" si="24"/>
        <v/>
      </c>
      <c r="AB27" s="41" t="str" cm="1">
        <f t="array" ref="AB27">_xlfn.IFS((H27*0.95)&lt;=V27,"Concluído",AND(V27 =0, J27&lt;&gt;""),"Programado",AND(V27=0,D27=""),"Desenvolv.",V27=0,"Não Iniciado",AND(V27&gt;0,V27&lt;H27,AO27=TRUE),"Em Produção",AND(V27&gt;0,V27&lt;H27,AO27=FALSE),"Produção Parcial")</f>
        <v>Programado</v>
      </c>
      <c r="AC27" s="42" t="b">
        <v>1</v>
      </c>
      <c r="AD27" s="42" t="b">
        <v>1</v>
      </c>
      <c r="AE27" s="42" t="b">
        <v>1</v>
      </c>
      <c r="AF27" s="42" t="b">
        <v>1</v>
      </c>
      <c r="AG27" s="42" t="b">
        <v>1</v>
      </c>
      <c r="AH27" s="42" t="s">
        <v>38</v>
      </c>
      <c r="AI27" s="42" t="b">
        <v>0</v>
      </c>
      <c r="AJ27" s="42" t="s">
        <v>38</v>
      </c>
      <c r="AK27" s="42" t="s">
        <v>38</v>
      </c>
      <c r="AL27" s="42" t="b">
        <v>1</v>
      </c>
      <c r="AM27" s="42" t="b">
        <v>1</v>
      </c>
      <c r="AN27" s="42" t="b">
        <v>1</v>
      </c>
      <c r="AO27" s="45" t="b" cm="1">
        <f t="array" ref="AO27">AND(COUNTIF(AC27:AN27,FALSE)=0,SUMPRODUCT(ISNUMBER(AC27:AN27)*1)=0)</f>
        <v>0</v>
      </c>
      <c r="AP27" s="59"/>
      <c r="AQ27" s="111">
        <f>IF(AB27="",99999999999,IFERROR(MATCH(AB27,{"Produção Parcial","Em Produção","Programado","Não Iniciado","Desenvolv.","Concluído"},0),7)*100000000+IF(ISNUMBER(J27),J27-46000,9999)*10000+IF(A27="",99,A27)*100+IF(C27="",99,CODE(LEFT(C27,1))))</f>
        <v>301970577</v>
      </c>
      <c r="AR27" s="36"/>
      <c r="AS27" s="36"/>
    </row>
    <row r="28" spans="1:45" ht="25.35" hidden="1" customHeight="1" x14ac:dyDescent="0.25">
      <c r="A28" s="36">
        <v>6</v>
      </c>
      <c r="B28" s="38" t="s">
        <v>121</v>
      </c>
      <c r="C28" s="70" t="str">
        <f>INDEX([1]Produtos!$G:$G,MATCH($D28,[1]Produtos!$B:$B,0))</f>
        <v>HABIBI PERFUMES</v>
      </c>
      <c r="D28" s="24" t="s">
        <v>128</v>
      </c>
      <c r="E28" s="70" t="str">
        <f>INDEX([1]Produtos!$C:$C,MATCH($D28,[1]Produtos!$B:$B,0))&amp;IF($F28&lt;&gt;"-"," - "&amp;LEFT($F28,1),"")&amp;" &gt; "&amp;$B28</f>
        <v>HIDRATANTE BISNAGA IMPERIUM 200g - 3 &gt; HABIBI 01</v>
      </c>
      <c r="F28" s="51" t="s">
        <v>85</v>
      </c>
      <c r="G28" s="38">
        <v>46160</v>
      </c>
      <c r="H28" s="39">
        <v>4000</v>
      </c>
      <c r="I28" s="24" t="s">
        <v>39</v>
      </c>
      <c r="J28" s="68" cm="1">
        <f t="array" ref="J28">IFERROR(INDEX('[2]Previsão Envase'!$D$5:$D$4867, MATCH(1,('[2]Previsão Envase'!$F$5:$F$4867=$E28)+('[2]Previsão Envase'!$G$5:$G$4867=$E28)+('[2]Previsão Envase'!$H$5:$H$4867=$E28),0)),"")</f>
        <v>46197</v>
      </c>
      <c r="K28" s="68" t="str">
        <f>IF(COUNTIF('[2]Previsão Envase'!$F:$F,E28)&gt;0,"Linha 1",
IF(COUNTIF('[2]Previsão Envase'!$G:$G,E28)&gt;0,"Linha 2",
IF(COUNTIF('[2]Previsão Envase'!$H:$H,E28)&gt;0,"Linha 3","")))</f>
        <v>Linha 3</v>
      </c>
      <c r="L28" s="96">
        <f>COUNTIF('[2]Previsão Envase'!$F:$H,E28)-COUNTIF('[2]Previsão Envase'!$F$1:$H$4,E28)</f>
        <v>11</v>
      </c>
      <c r="M28" s="35">
        <f t="shared" si="19"/>
        <v>6747.3874638681473</v>
      </c>
      <c r="N28" s="68" t="str">
        <f>IFERROR(MAX(_xlfn.MAXIFS('[2]Controle de Produção'!$C:$C,'[2]Controle de Produção'!$L:$L,$D28,'[2]Controle de Produção'!$P:$P,$C28,'[2]Controle de Produção'!$G:$G,$B28),_xlfn.MAXIFS([3]EXPEDIÇÃO!$N:$N,[3]EXPEDIÇÃO!$E:$E,$D28,[3]EXPEDIÇÃO!$D:$D,$C28,[3]EXPEDIÇÃO!$N:$N,"&gt;="&amp;$G28)),"")</f>
        <v/>
      </c>
      <c r="O28" s="70">
        <f>INDEX([1]Produtos!$E:$E,MATCH($D28,[1]Produtos!$B:$B,0))</f>
        <v>200</v>
      </c>
      <c r="P28" s="70" t="str">
        <f>INDEX([1]Produtos!$F:$F,MATCH($D28,[1]Produtos!$B:$B,0))</f>
        <v>g</v>
      </c>
      <c r="Q28" s="105">
        <f>INDEX([1]Produtos!$Y:$Y,MATCH($D28,[1]Produtos!$B:$B,0))</f>
        <v>2</v>
      </c>
      <c r="R28" s="35">
        <f t="shared" si="20"/>
        <v>5520.5897431648482</v>
      </c>
      <c r="S28" s="27">
        <f>IFERROR(INDEX([1]Produtos!$L:$L,MATCH(D28,[1]Produtos!$B:$B,0)), "")</f>
        <v>613.39886035164977</v>
      </c>
      <c r="T28" s="28">
        <f t="shared" si="21"/>
        <v>6.6</v>
      </c>
      <c r="U28" s="28" t="str">
        <f t="shared" si="22"/>
        <v>0D e 7h</v>
      </c>
      <c r="V28" s="27">
        <f>IFERROR(SUMIFS('[2]Controle de Produção'!$K:$K,'[2]Controle de Produção'!$L:$L,D28,'[2]Controle de Produção'!$P:$P,C28,'[2]Controle de Produção'!$B:$B,"&gt;=" &amp; G28,'[2]Controle de Produção'!$C:$C,"&lt;=" &amp; N28, '[2]Controle de Produção'!$G:$G,B28), "")</f>
        <v>0</v>
      </c>
      <c r="W28" s="27" t="str">
        <f>IFERROR(SUMIFS([3]EXPEDIÇÃO!$K:$K,[3]EXPEDIÇÃO!$E:$E,D28,[3]EXPEDIÇÃO!$D:$D,C28,[3]EXPEDIÇÃO!$N:$N,"&gt;=" &amp; G28,[3]EXPEDIÇÃO!$N:$N,"&lt;="&amp;N28), "")</f>
        <v/>
      </c>
      <c r="X28" s="27">
        <f>COUNTIFS('[2]Controle de Produção'!$P:$P,C28,'[2]Controle de Produção'!$L:$L,D28,'[2]Controle de Produção'!$B:$B,"&gt;=" &amp; G28)</f>
        <v>3</v>
      </c>
      <c r="Y28" s="27">
        <f t="shared" si="23"/>
        <v>0</v>
      </c>
      <c r="Z28" s="27">
        <f>IFERROR(COUNTIFS('[2]Controle de Produção'!$L:$L,D28,'[2]Controle de Produção'!$P:$P,C28,'[2]Controle de Produção'!$B:$B,"&gt;=" &amp; G28,'[2]Controle de Produção'!$C:$C,"&lt;=" &amp; N28, '[2]Controle de Produção'!$G:$G,B28), "")</f>
        <v>0</v>
      </c>
      <c r="AA28" s="108" t="str">
        <f t="shared" si="24"/>
        <v/>
      </c>
      <c r="AB28" s="41" t="str" cm="1">
        <f t="array" ref="AB28">_xlfn.IFS((H28*0.95)&lt;=V28,"Concluído",AND(V28 =0, J28&lt;&gt;""),"Programado",AND(V28=0,D28=""),"Desenvolv.",V28=0,"Não Iniciado",AND(V28&gt;0,V28&lt;H28,AO28=TRUE),"Em Produção",AND(V28&gt;0,V28&lt;H28,AO28=FALSE),"Produção Parcial")</f>
        <v>Programado</v>
      </c>
      <c r="AC28" s="42" t="b">
        <v>1</v>
      </c>
      <c r="AD28" s="42" t="b">
        <v>1</v>
      </c>
      <c r="AE28" s="42" t="s">
        <v>38</v>
      </c>
      <c r="AF28" s="42" t="b">
        <v>1</v>
      </c>
      <c r="AG28" s="42" t="b">
        <v>1</v>
      </c>
      <c r="AH28" s="42" t="b">
        <v>1</v>
      </c>
      <c r="AI28" s="42" t="s">
        <v>38</v>
      </c>
      <c r="AJ28" s="42" t="b">
        <v>1</v>
      </c>
      <c r="AK28" s="42" t="s">
        <v>38</v>
      </c>
      <c r="AL28" s="42" t="b">
        <v>1</v>
      </c>
      <c r="AM28" s="42" t="b">
        <v>1</v>
      </c>
      <c r="AN28" s="42" t="s">
        <v>38</v>
      </c>
      <c r="AO28" s="45" t="b" cm="1">
        <f t="array" ref="AO28">AND(COUNTIF(AC28:AN28,FALSE)=0,SUMPRODUCT(ISNUMBER(AC28:AN28)*1)=0)</f>
        <v>1</v>
      </c>
      <c r="AP28" s="59"/>
      <c r="AQ28" s="111">
        <f>IF(AB28="",99999999999,IFERROR(MATCH(AB28,{"Produção Parcial","Em Produção","Programado","Não Iniciado","Desenvolv.","Concluído"},0),7)*100000000+IF(ISNUMBER(J28),J28-46000,9999)*10000+IF(A28="",99,A28)*100+IF(C28="",99,CODE(LEFT(C28,1))))</f>
        <v>301970672</v>
      </c>
      <c r="AR28" s="36"/>
      <c r="AS28" s="36"/>
    </row>
    <row r="29" spans="1:45" ht="25.35" hidden="1" customHeight="1" x14ac:dyDescent="0.25">
      <c r="A29" s="36">
        <v>6</v>
      </c>
      <c r="B29" s="38" t="s">
        <v>121</v>
      </c>
      <c r="C29" s="70" t="str">
        <f>INDEX([1]Produtos!$G:$G,MATCH($D29,[1]Produtos!$B:$B,0))</f>
        <v>HABIBI PERFUMES</v>
      </c>
      <c r="D29" s="24" t="s">
        <v>126</v>
      </c>
      <c r="E29" s="70" t="str">
        <f>INDEX([1]Produtos!$C:$C,MATCH($D29,[1]Produtos!$B:$B,0))&amp;IF($F29&lt;&gt;"-"," - "&amp;LEFT($F29,1),"")&amp;" &gt; "&amp;$B29</f>
        <v>HIDRATANTE BISNAGA ROSE AURORA 200g - 3 &gt; HABIBI 01</v>
      </c>
      <c r="F29" s="51" t="s">
        <v>85</v>
      </c>
      <c r="G29" s="38">
        <v>46160</v>
      </c>
      <c r="H29" s="39">
        <v>4000</v>
      </c>
      <c r="I29" s="24" t="s">
        <v>39</v>
      </c>
      <c r="J29" s="68" cm="1">
        <f t="array" ref="J29">IFERROR(INDEX('[2]Previsão Envase'!$D$5:$D$4867, MATCH(1,('[2]Previsão Envase'!$F$5:$F$4867=$E29)+('[2]Previsão Envase'!$G$5:$G$4867=$E29)+('[2]Previsão Envase'!$H$5:$H$4867=$E29),0)),"")</f>
        <v>46197</v>
      </c>
      <c r="K29" s="68" t="str">
        <f>IF(COUNTIF('[2]Previsão Envase'!$F:$F,E29)&gt;0,"Linha 1",
IF(COUNTIF('[2]Previsão Envase'!$G:$G,E29)&gt;0,"Linha 2",
IF(COUNTIF('[2]Previsão Envase'!$H:$H,E29)&gt;0,"Linha 3","")))</f>
        <v>Linha 3</v>
      </c>
      <c r="L29" s="96">
        <f>COUNTIF('[2]Previsão Envase'!$F:$H,E29)-COUNTIF('[2]Previsão Envase'!$F$1:$H$4,E29)</f>
        <v>7</v>
      </c>
      <c r="M29" s="35">
        <f t="shared" si="19"/>
        <v>4293.7920224615482</v>
      </c>
      <c r="N29" s="68" t="str">
        <f>IFERROR(MAX(_xlfn.MAXIFS('[2]Controle de Produção'!$C:$C,'[2]Controle de Produção'!$L:$L,$D29,'[2]Controle de Produção'!$P:$P,$C29,'[2]Controle de Produção'!$G:$G,$B29),_xlfn.MAXIFS([3]EXPEDIÇÃO!$N:$N,[3]EXPEDIÇÃO!$E:$E,$D29,[3]EXPEDIÇÃO!$D:$D,$C29,[3]EXPEDIÇÃO!$N:$N,"&gt;="&amp;$G29)),"")</f>
        <v/>
      </c>
      <c r="O29" s="70">
        <f>INDEX([1]Produtos!$E:$E,MATCH($D29,[1]Produtos!$B:$B,0))</f>
        <v>200</v>
      </c>
      <c r="P29" s="70" t="str">
        <f>INDEX([1]Produtos!$F:$F,MATCH($D29,[1]Produtos!$B:$B,0))</f>
        <v>g</v>
      </c>
      <c r="Q29" s="105">
        <f>INDEX([1]Produtos!$Y:$Y,MATCH($D29,[1]Produtos!$B:$B,0))</f>
        <v>2</v>
      </c>
      <c r="R29" s="35">
        <f t="shared" si="20"/>
        <v>5520.5897431648482</v>
      </c>
      <c r="S29" s="27">
        <f>IFERROR(INDEX([1]Produtos!$L:$L,MATCH(D29,[1]Produtos!$B:$B,0)), "")</f>
        <v>613.39886035164977</v>
      </c>
      <c r="T29" s="28">
        <f t="shared" si="21"/>
        <v>6.6</v>
      </c>
      <c r="U29" s="28" t="str">
        <f t="shared" si="22"/>
        <v>0D e 7h</v>
      </c>
      <c r="V29" s="27">
        <f>IFERROR(SUMIFS('[2]Controle de Produção'!$K:$K,'[2]Controle de Produção'!$L:$L,D29,'[2]Controle de Produção'!$P:$P,C29,'[2]Controle de Produção'!$B:$B,"&gt;=" &amp; G29,'[2]Controle de Produção'!$C:$C,"&lt;=" &amp; N29, '[2]Controle de Produção'!$G:$G,B29), "")</f>
        <v>0</v>
      </c>
      <c r="W29" s="27" t="str">
        <f>IFERROR(SUMIFS([3]EXPEDIÇÃO!$K:$K,[3]EXPEDIÇÃO!$E:$E,D29,[3]EXPEDIÇÃO!$D:$D,C29,[3]EXPEDIÇÃO!$N:$N,"&gt;=" &amp; G29,[3]EXPEDIÇÃO!$N:$N,"&lt;="&amp;N29), "")</f>
        <v/>
      </c>
      <c r="X29" s="27">
        <f>COUNTIFS('[2]Controle de Produção'!$P:$P,C29,'[2]Controle de Produção'!$L:$L,D29,'[2]Controle de Produção'!$B:$B,"&gt;=" &amp; G29)</f>
        <v>3</v>
      </c>
      <c r="Y29" s="27">
        <f t="shared" si="23"/>
        <v>0</v>
      </c>
      <c r="Z29" s="27">
        <f>IFERROR(COUNTIFS('[2]Controle de Produção'!$L:$L,D29,'[2]Controle de Produção'!$P:$P,C29,'[2]Controle de Produção'!$B:$B,"&gt;=" &amp; G29,'[2]Controle de Produção'!$C:$C,"&lt;=" &amp; N29, '[2]Controle de Produção'!$G:$G,B29), "")</f>
        <v>0</v>
      </c>
      <c r="AA29" s="108" t="str">
        <f t="shared" si="24"/>
        <v/>
      </c>
      <c r="AB29" s="41" t="str" cm="1">
        <f t="array" ref="AB29">_xlfn.IFS((H29*0.95)&lt;=V29,"Concluído",AND(V29 =0, J29&lt;&gt;""),"Programado",AND(V29=0,D29=""),"Desenvolv.",V29=0,"Não Iniciado",AND(V29&gt;0,V29&lt;H29,AO29=TRUE),"Em Produção",AND(V29&gt;0,V29&lt;H29,AO29=FALSE),"Produção Parcial")</f>
        <v>Programado</v>
      </c>
      <c r="AC29" s="42" t="b">
        <v>1</v>
      </c>
      <c r="AD29" s="42" t="b">
        <v>1</v>
      </c>
      <c r="AE29" s="42" t="s">
        <v>38</v>
      </c>
      <c r="AF29" s="42" t="b">
        <v>1</v>
      </c>
      <c r="AG29" s="42" t="b">
        <v>1</v>
      </c>
      <c r="AH29" s="42" t="b">
        <v>1</v>
      </c>
      <c r="AI29" s="42" t="s">
        <v>38</v>
      </c>
      <c r="AJ29" s="42" t="b">
        <v>1</v>
      </c>
      <c r="AK29" s="42" t="s">
        <v>38</v>
      </c>
      <c r="AL29" s="42" t="b">
        <v>1</v>
      </c>
      <c r="AM29" s="42" t="b">
        <v>1</v>
      </c>
      <c r="AN29" s="42" t="b">
        <v>1</v>
      </c>
      <c r="AO29" s="45" t="b" cm="1">
        <f t="array" ref="AO29">AND(COUNTIF(AC29:AN29,FALSE)=0,SUMPRODUCT(ISNUMBER(AC29:AN29)*1)=0)</f>
        <v>1</v>
      </c>
      <c r="AP29" s="61"/>
      <c r="AQ29" s="111">
        <f>IF(AB29="",99999999999,IFERROR(MATCH(AB29,{"Produção Parcial","Em Produção","Programado","Não Iniciado","Desenvolv.","Concluído"},0),7)*100000000+IF(ISNUMBER(J29),J29-46000,9999)*10000+IF(A29="",99,A29)*100+IF(C29="",99,CODE(LEFT(C29,1))))</f>
        <v>301970672</v>
      </c>
      <c r="AR29" s="36"/>
      <c r="AS29" s="36"/>
    </row>
    <row r="30" spans="1:45" ht="25.35" hidden="1" customHeight="1" x14ac:dyDescent="0.25">
      <c r="A30" s="36">
        <v>4</v>
      </c>
      <c r="B30" s="38" t="s">
        <v>121</v>
      </c>
      <c r="C30" s="70" t="str">
        <f>INDEX([1]Produtos!$G:$G,MATCH($D30,[1]Produtos!$B:$B,0))</f>
        <v>HABIBI PERFUMES</v>
      </c>
      <c r="D30" s="24" t="s">
        <v>127</v>
      </c>
      <c r="E30" s="70" t="str">
        <f>INDEX([1]Produtos!$C:$C,MATCH($D30,[1]Produtos!$B:$B,0))&amp;IF($F30&lt;&gt;"-"," - "&amp;LEFT($F30,1),"")&amp;" &gt; "&amp;$B30</f>
        <v>HIDRATANTE BISNAGA ROSA SUBLIME 200g - 2 &gt; HABIBI 01</v>
      </c>
      <c r="F30" s="51" t="s">
        <v>84</v>
      </c>
      <c r="G30" s="38">
        <v>46127</v>
      </c>
      <c r="H30" s="39">
        <v>4000</v>
      </c>
      <c r="I30" s="24" t="s">
        <v>39</v>
      </c>
      <c r="J30" s="68" cm="1">
        <f t="array" ref="J30">IFERROR(INDEX('[2]Previsão Envase'!$D$5:$D$4867, MATCH(1,('[2]Previsão Envase'!$F$5:$F$4867=$E30)+('[2]Previsão Envase'!$G$5:$G$4867=$E30)+('[2]Previsão Envase'!$H$5:$H$4867=$E30),0)),"")</f>
        <v>46199</v>
      </c>
      <c r="K30" s="68" t="str">
        <f>IF(COUNTIF('[2]Previsão Envase'!$F:$F,E30)&gt;0,"Linha 1",
IF(COUNTIF('[2]Previsão Envase'!$G:$G,E30)&gt;0,"Linha 2",
IF(COUNTIF('[2]Previsão Envase'!$H:$H,E30)&gt;0,"Linha 3","")))</f>
        <v>Linha 3</v>
      </c>
      <c r="L30" s="96">
        <f>COUNTIF('[2]Previsão Envase'!$F:$H,E30)-COUNTIF('[2]Previsão Envase'!$F$1:$H$4,E30)</f>
        <v>2</v>
      </c>
      <c r="M30" s="35">
        <f t="shared" si="19"/>
        <v>1226.7977207032995</v>
      </c>
      <c r="N30" s="68" t="str">
        <f>IFERROR(MAX(_xlfn.MAXIFS('[2]Controle de Produção'!$C:$C,'[2]Controle de Produção'!$L:$L,$D30,'[2]Controle de Produção'!$P:$P,$C30,'[2]Controle de Produção'!$G:$G,$B30),_xlfn.MAXIFS([3]EXPEDIÇÃO!$N:$N,[3]EXPEDIÇÃO!$E:$E,$D30,[3]EXPEDIÇÃO!$D:$D,$C30,[3]EXPEDIÇÃO!$N:$N,"&gt;="&amp;$G30)),"")</f>
        <v/>
      </c>
      <c r="O30" s="70">
        <f>INDEX([1]Produtos!$E:$E,MATCH($D30,[1]Produtos!$B:$B,0))</f>
        <v>200</v>
      </c>
      <c r="P30" s="70" t="str">
        <f>INDEX([1]Produtos!$F:$F,MATCH($D30,[1]Produtos!$B:$B,0))</f>
        <v>g</v>
      </c>
      <c r="Q30" s="105">
        <f>INDEX([1]Produtos!$Y:$Y,MATCH($D30,[1]Produtos!$B:$B,0))</f>
        <v>2</v>
      </c>
      <c r="R30" s="35">
        <f t="shared" si="20"/>
        <v>5520.5897431648482</v>
      </c>
      <c r="S30" s="27">
        <f>IFERROR(INDEX([1]Produtos!$L:$L,MATCH(D30,[1]Produtos!$B:$B,0)), "")</f>
        <v>613.39886035164977</v>
      </c>
      <c r="T30" s="28">
        <f t="shared" si="21"/>
        <v>6.6</v>
      </c>
      <c r="U30" s="28" t="str">
        <f t="shared" si="22"/>
        <v>0D e 7h</v>
      </c>
      <c r="V30" s="57">
        <f>IFERROR(SUMIFS('[2]Controle de Produção'!$K:$K,'[2]Controle de Produção'!$L:$L,D30,'[2]Controle de Produção'!$P:$P,C30,'[2]Controle de Produção'!$B:$B,"&gt;=" &amp; G30,'[2]Controle de Produção'!$C:$C,"&lt;=" &amp; N30, '[2]Controle de Produção'!$G:$G,B30), "")</f>
        <v>0</v>
      </c>
      <c r="W30" s="27" t="str">
        <f>IFERROR(SUMIFS([3]EXPEDIÇÃO!$K:$K,[3]EXPEDIÇÃO!$E:$E,D30,[3]EXPEDIÇÃO!$D:$D,C30,[3]EXPEDIÇÃO!$N:$N,"&gt;=" &amp; G30,[3]EXPEDIÇÃO!$N:$N,"&lt;="&amp;N30), "")</f>
        <v/>
      </c>
      <c r="X30" s="27">
        <f>COUNTIFS('[2]Controle de Produção'!$P:$P,C30,'[2]Controle de Produção'!$L:$L,D30,'[2]Controle de Produção'!$B:$B,"&gt;=" &amp; G30)</f>
        <v>5</v>
      </c>
      <c r="Y30" s="27">
        <f t="shared" si="23"/>
        <v>0</v>
      </c>
      <c r="Z30" s="27">
        <f>IFERROR(COUNTIFS('[2]Controle de Produção'!$L:$L,D30,'[2]Controle de Produção'!$P:$P,C30,'[2]Controle de Produção'!$B:$B,"&gt;=" &amp; G30,'[2]Controle de Produção'!$C:$C,"&lt;=" &amp; N30, '[2]Controle de Produção'!$G:$G,B30), "")</f>
        <v>0</v>
      </c>
      <c r="AA30" s="108" t="str">
        <f t="shared" si="24"/>
        <v/>
      </c>
      <c r="AB30" s="41" t="str" cm="1">
        <f t="array" ref="AB30">_xlfn.IFS((H30*0.95)&lt;=V30,"Concluído",AND(V30 =0, J30&lt;&gt;""),"Programado",AND(V30=0,D30=""),"Desenvolv.",V30=0,"Não Iniciado",AND(V30&gt;0,V30&lt;H30,AO30=TRUE),"Em Produção",AND(V30&gt;0,V30&lt;H30,AO30=FALSE),"Produção Parcial")</f>
        <v>Programado</v>
      </c>
      <c r="AC30" s="42" t="b">
        <v>1</v>
      </c>
      <c r="AD30" s="42" t="b">
        <v>1</v>
      </c>
      <c r="AE30" s="42" t="s">
        <v>38</v>
      </c>
      <c r="AF30" s="42" t="b">
        <v>1</v>
      </c>
      <c r="AG30" s="42" t="b">
        <v>1</v>
      </c>
      <c r="AH30" s="42" t="b">
        <v>1</v>
      </c>
      <c r="AI30" s="42" t="s">
        <v>38</v>
      </c>
      <c r="AJ30" s="42" t="b">
        <v>1</v>
      </c>
      <c r="AK30" s="42" t="s">
        <v>38</v>
      </c>
      <c r="AL30" s="42" t="b">
        <v>1</v>
      </c>
      <c r="AM30" s="42" t="b">
        <v>1</v>
      </c>
      <c r="AN30" s="42" t="b">
        <v>1</v>
      </c>
      <c r="AO30" s="45" t="b" cm="1">
        <f t="array" ref="AO30">AND(COUNTIF(AC30:AN30,FALSE)=0,SUMPRODUCT(ISNUMBER(AC30:AN30)*1)=0)</f>
        <v>1</v>
      </c>
      <c r="AP30" s="59"/>
      <c r="AQ30" s="111">
        <f>IF(AB30="",99999999999,IFERROR(MATCH(AB30,{"Produção Parcial","Em Produção","Programado","Não Iniciado","Desenvolv.","Concluído"},0),7)*100000000+IF(ISNUMBER(J30),J30-46000,9999)*10000+IF(A30="",99,A30)*100+IF(C30="",99,CODE(LEFT(C30,1))))</f>
        <v>301990472</v>
      </c>
      <c r="AR30" s="36"/>
      <c r="AS30" s="36"/>
    </row>
    <row r="31" spans="1:45" ht="25.35" hidden="1" customHeight="1" x14ac:dyDescent="0.25">
      <c r="A31" s="36">
        <v>6</v>
      </c>
      <c r="B31" s="38" t="s">
        <v>121</v>
      </c>
      <c r="C31" s="70" t="str">
        <f>INDEX([1]Produtos!$G:$G,MATCH($D31,[1]Produtos!$B:$B,0))</f>
        <v>HABIBI PERFUMES</v>
      </c>
      <c r="D31" s="24" t="s">
        <v>127</v>
      </c>
      <c r="E31" s="70" t="str">
        <f>INDEX([1]Produtos!$C:$C,MATCH($D31,[1]Produtos!$B:$B,0))&amp;IF($F31&lt;&gt;"-"," - "&amp;LEFT($F31,1),"")&amp;" &gt; "&amp;$B31</f>
        <v>HIDRATANTE BISNAGA ROSA SUBLIME 200g - 3 &gt; HABIBI 01</v>
      </c>
      <c r="F31" s="51" t="s">
        <v>85</v>
      </c>
      <c r="G31" s="38">
        <v>46160</v>
      </c>
      <c r="H31" s="39">
        <v>4000</v>
      </c>
      <c r="I31" s="24" t="s">
        <v>39</v>
      </c>
      <c r="J31" s="68" cm="1">
        <f t="array" ref="J31">IFERROR(INDEX('[2]Previsão Envase'!$D$5:$D$4867, MATCH(1,('[2]Previsão Envase'!$F$5:$F$4867=$E31)+('[2]Previsão Envase'!$G$5:$G$4867=$E31)+('[2]Previsão Envase'!$H$5:$H$4867=$E31),0)),"")</f>
        <v>46199</v>
      </c>
      <c r="K31" s="68" t="str">
        <f>IF(COUNTIF('[2]Previsão Envase'!$F:$F,E31)&gt;0,"Linha 1",
IF(COUNTIF('[2]Previsão Envase'!$G:$G,E31)&gt;0,"Linha 2",
IF(COUNTIF('[2]Previsão Envase'!$H:$H,E31)&gt;0,"Linha 3","")))</f>
        <v>Linha 3</v>
      </c>
      <c r="L31" s="96">
        <f>COUNTIF('[2]Previsão Envase'!$F:$H,E31)-COUNTIF('[2]Previsão Envase'!$F$1:$H$4,E31)</f>
        <v>8</v>
      </c>
      <c r="M31" s="35">
        <f t="shared" si="19"/>
        <v>4907.1908828131982</v>
      </c>
      <c r="N31" s="68" t="str">
        <f>IFERROR(MAX(_xlfn.MAXIFS('[2]Controle de Produção'!$C:$C,'[2]Controle de Produção'!$L:$L,$D31,'[2]Controle de Produção'!$P:$P,$C31,'[2]Controle de Produção'!$G:$G,$B31),_xlfn.MAXIFS([3]EXPEDIÇÃO!$N:$N,[3]EXPEDIÇÃO!$E:$E,$D31,[3]EXPEDIÇÃO!$D:$D,$C31,[3]EXPEDIÇÃO!$N:$N,"&gt;="&amp;$G31)),"")</f>
        <v/>
      </c>
      <c r="O31" s="70">
        <f>INDEX([1]Produtos!$E:$E,MATCH($D31,[1]Produtos!$B:$B,0))</f>
        <v>200</v>
      </c>
      <c r="P31" s="70" t="str">
        <f>INDEX([1]Produtos!$F:$F,MATCH($D31,[1]Produtos!$B:$B,0))</f>
        <v>g</v>
      </c>
      <c r="Q31" s="105">
        <f>INDEX([1]Produtos!$Y:$Y,MATCH($D31,[1]Produtos!$B:$B,0))</f>
        <v>2</v>
      </c>
      <c r="R31" s="35">
        <f t="shared" si="20"/>
        <v>5520.5897431648482</v>
      </c>
      <c r="S31" s="27">
        <f>IFERROR(INDEX([1]Produtos!$L:$L,MATCH(D31,[1]Produtos!$B:$B,0)), "")</f>
        <v>613.39886035164977</v>
      </c>
      <c r="T31" s="28">
        <f t="shared" si="21"/>
        <v>6.6</v>
      </c>
      <c r="U31" s="28" t="str">
        <f t="shared" si="22"/>
        <v>0D e 7h</v>
      </c>
      <c r="V31" s="27">
        <f>IFERROR(SUMIFS('[2]Controle de Produção'!$K:$K,'[2]Controle de Produção'!$L:$L,D31,'[2]Controle de Produção'!$P:$P,C31,'[2]Controle de Produção'!$B:$B,"&gt;=" &amp; G31,'[2]Controle de Produção'!$C:$C,"&lt;=" &amp; N31, '[2]Controle de Produção'!$G:$G,B31), "")</f>
        <v>0</v>
      </c>
      <c r="W31" s="27" t="str">
        <f>IFERROR(SUMIFS([3]EXPEDIÇÃO!$K:$K,[3]EXPEDIÇÃO!$E:$E,D31,[3]EXPEDIÇÃO!$D:$D,C31,[3]EXPEDIÇÃO!$N:$N,"&gt;=" &amp; G31,[3]EXPEDIÇÃO!$N:$N,"&lt;="&amp;N31), "")</f>
        <v/>
      </c>
      <c r="X31" s="27">
        <f>COUNTIFS('[2]Controle de Produção'!$P:$P,C31,'[2]Controle de Produção'!$L:$L,D31,'[2]Controle de Produção'!$B:$B,"&gt;=" &amp; G31)</f>
        <v>2</v>
      </c>
      <c r="Y31" s="27">
        <f t="shared" si="23"/>
        <v>0</v>
      </c>
      <c r="Z31" s="27">
        <f>IFERROR(COUNTIFS('[2]Controle de Produção'!$L:$L,D31,'[2]Controle de Produção'!$P:$P,C31,'[2]Controle de Produção'!$B:$B,"&gt;=" &amp; G31,'[2]Controle de Produção'!$C:$C,"&lt;=" &amp; N31, '[2]Controle de Produção'!$G:$G,B31), "")</f>
        <v>0</v>
      </c>
      <c r="AA31" s="108" t="str">
        <f t="shared" si="24"/>
        <v/>
      </c>
      <c r="AB31" s="41" t="str" cm="1">
        <f t="array" ref="AB31">_xlfn.IFS((H31*0.95)&lt;=V31,"Concluído",AND(V31 =0, J31&lt;&gt;""),"Programado",AND(V31=0,D31=""),"Desenvolv.",V31=0,"Não Iniciado",AND(V31&gt;0,V31&lt;H31,AO31=TRUE),"Em Produção",AND(V31&gt;0,V31&lt;H31,AO31=FALSE),"Produção Parcial")</f>
        <v>Programado</v>
      </c>
      <c r="AC31" s="42" t="b">
        <v>1</v>
      </c>
      <c r="AD31" s="42" t="b">
        <v>1</v>
      </c>
      <c r="AE31" s="42" t="s">
        <v>38</v>
      </c>
      <c r="AF31" s="42" t="b">
        <v>1</v>
      </c>
      <c r="AG31" s="42" t="b">
        <v>1</v>
      </c>
      <c r="AH31" s="42" t="b">
        <v>1</v>
      </c>
      <c r="AI31" s="42" t="s">
        <v>38</v>
      </c>
      <c r="AJ31" s="42" t="b">
        <v>1</v>
      </c>
      <c r="AK31" s="42" t="s">
        <v>38</v>
      </c>
      <c r="AL31" s="42" t="b">
        <v>1</v>
      </c>
      <c r="AM31" s="42" t="b">
        <v>1</v>
      </c>
      <c r="AN31" s="42" t="s">
        <v>38</v>
      </c>
      <c r="AO31" s="45" t="b" cm="1">
        <f t="array" ref="AO31">AND(COUNTIF(AC31:AN31,FALSE)=0,SUMPRODUCT(ISNUMBER(AC31:AN31)*1)=0)</f>
        <v>1</v>
      </c>
      <c r="AP31" s="59"/>
      <c r="AQ31" s="111">
        <f>IF(AB31="",99999999999,IFERROR(MATCH(AB31,{"Produção Parcial","Em Produção","Programado","Não Iniciado","Desenvolv.","Concluído"},0),7)*100000000+IF(ISNUMBER(J31),J31-46000,9999)*10000+IF(A31="",99,A31)*100+IF(C31="",99,CODE(LEFT(C31,1))))</f>
        <v>301990672</v>
      </c>
      <c r="AR31" s="36"/>
      <c r="AS31" s="36"/>
    </row>
    <row r="32" spans="1:45" s="36" customFormat="1" ht="25.15" hidden="1" customHeight="1" x14ac:dyDescent="0.25">
      <c r="A32" s="36">
        <v>0</v>
      </c>
      <c r="B32" s="62" t="s">
        <v>81</v>
      </c>
      <c r="C32" s="24" t="str">
        <f>INDEX([1]Produtos!$G:$G,MATCH($D32,[1]Produtos!$B:$B,0))</f>
        <v>MISS RÔSE</v>
      </c>
      <c r="D32" s="24" t="s">
        <v>83</v>
      </c>
      <c r="E32" s="70" t="str">
        <f>INDEX([1]Produtos!$C:$C,MATCH($D32,[1]Produtos!$B:$B,0))&amp;IF($F32&lt;&gt;"-"," - "&amp;LEFT($F32,1),"")&amp;" &gt; "&amp;$B32</f>
        <v>BODY SPLASH DEUSA DO NILO &gt; Miss Rôse - Body Splash 1.0</v>
      </c>
      <c r="F32" s="51" t="s">
        <v>38</v>
      </c>
      <c r="G32" s="38">
        <v>45809</v>
      </c>
      <c r="H32" s="39">
        <v>10000</v>
      </c>
      <c r="I32" s="24" t="s">
        <v>39</v>
      </c>
      <c r="J32" s="68" cm="1">
        <f t="array" ref="J32">IFERROR(INDEX('[2]Previsão Envase'!$D$5:$D$4867, MATCH(1,('[2]Previsão Envase'!$F$5:$F$4867=$E32)+('[2]Previsão Envase'!$G$5:$G$4867=$E32)+('[2]Previsão Envase'!$H$5:$H$4867=$E32),0)),"")</f>
        <v>46203</v>
      </c>
      <c r="K32" s="68" t="str">
        <f>IF(COUNTIF('[2]Previsão Envase'!$F:$F,E32)&gt;0,"Linha 1",
IF(COUNTIF('[2]Previsão Envase'!$G:$G,E32)&gt;0,"Linha 2",
IF(COUNTIF('[2]Previsão Envase'!$H:$H,E32)&gt;0,"Linha 3","")))</f>
        <v>Linha 1</v>
      </c>
      <c r="L32" s="96">
        <f>COUNTIF('[2]Previsão Envase'!$F:$H,E32)-COUNTIF('[2]Previsão Envase'!$F$1:$H$4,E32)</f>
        <v>1</v>
      </c>
      <c r="M32" s="35">
        <f t="shared" si="19"/>
        <v>843.58780095852239</v>
      </c>
      <c r="N32" s="68" t="str">
        <f>IFERROR(MAX(_xlfn.MAXIFS('[2]Controle de Produção'!$C:$C,'[2]Controle de Produção'!$L:$L,$D32,'[2]Controle de Produção'!$P:$P,$C32,'[2]Controle de Produção'!$G:$G,$B32),_xlfn.MAXIFS([3]EXPEDIÇÃO!$N:$N,[3]EXPEDIÇÃO!$E:$E,$D32,[3]EXPEDIÇÃO!$D:$D,$C32,[3]EXPEDIÇÃO!$N:$N,"&gt;="&amp;$G32)),"")</f>
        <v/>
      </c>
      <c r="O32" s="70">
        <f>INDEX([1]Produtos!$E:$E,MATCH($D32,[1]Produtos!$B:$B,0))</f>
        <v>220</v>
      </c>
      <c r="P32" s="70" t="str">
        <f>INDEX([1]Produtos!$F:$F,MATCH($D32,[1]Produtos!$B:$B,0))</f>
        <v>ml</v>
      </c>
      <c r="Q32" s="105">
        <f>INDEX([1]Produtos!$Y:$Y,MATCH($D32,[1]Produtos!$B:$B,0))</f>
        <v>0.51</v>
      </c>
      <c r="R32" s="35">
        <f t="shared" si="20"/>
        <v>7592.2902086267013</v>
      </c>
      <c r="S32" s="27">
        <f>IFERROR(INDEX([1]Produtos!$L:$L,MATCH(D32,[1]Produtos!$B:$B,0)), "")</f>
        <v>843.58780095852239</v>
      </c>
      <c r="T32" s="28">
        <f t="shared" si="21"/>
        <v>11.9</v>
      </c>
      <c r="U32" s="28" t="str">
        <f t="shared" si="22"/>
        <v>1D e 4h</v>
      </c>
      <c r="V32" s="27">
        <f>IFERROR(SUMIFS('[2]Controle de Produção'!$K:$K,'[2]Controle de Produção'!$L:$L,D32,'[2]Controle de Produção'!$P:$P,C32,'[2]Controle de Produção'!$B:$B,"&gt;=" &amp; G32,'[2]Controle de Produção'!$C:$C,"&lt;=" &amp; N32, '[2]Controle de Produção'!$G:$G,B32), "")</f>
        <v>0</v>
      </c>
      <c r="W32" s="27" t="str">
        <f>IFERROR(SUMIFS([3]EXPEDIÇÃO!$K:$K,[3]EXPEDIÇÃO!$E:$E,D32,[3]EXPEDIÇÃO!$D:$D,C32,[3]EXPEDIÇÃO!$N:$N,"&gt;=" &amp; G32,[3]EXPEDIÇÃO!$N:$N,"&lt;="&amp;N32), "")</f>
        <v/>
      </c>
      <c r="X32" s="27">
        <f>COUNTIFS('[2]Controle de Produção'!$P:$P,C32,'[2]Controle de Produção'!$L:$L,D32,'[2]Controle de Produção'!$B:$B,"&gt;=" &amp; G32)</f>
        <v>33</v>
      </c>
      <c r="Y32" s="27">
        <f t="shared" si="23"/>
        <v>0</v>
      </c>
      <c r="Z32" s="27">
        <f>IFERROR(COUNTIFS('[2]Controle de Produção'!$L:$L,D32,'[2]Controle de Produção'!$P:$P,C32,'[2]Controle de Produção'!$B:$B,"&gt;=" &amp; G32,'[2]Controle de Produção'!$C:$C,"&lt;=" &amp; N32, '[2]Controle de Produção'!$G:$G,B32), "")</f>
        <v>0</v>
      </c>
      <c r="AA32" s="108" t="str">
        <f t="shared" si="24"/>
        <v/>
      </c>
      <c r="AB32" s="41" t="str" cm="1">
        <f t="array" ref="AB32">_xlfn.IFS((H32*0.95)&lt;=V32,"Concluído",AND(V32 =0, J32&lt;&gt;""),"Programado",AND(V32=0,D32=""),"Desenvolv.",V32=0,"Não Iniciado",AND(V32&gt;0,V32&lt;H32,AO32=TRUE),"Em Produção",AND(V32&gt;0,V32&lt;H32,AO32=FALSE),"Produção Parcial")</f>
        <v>Programado</v>
      </c>
      <c r="AC32" s="42" t="b">
        <v>1</v>
      </c>
      <c r="AD32" s="42" t="b">
        <v>1</v>
      </c>
      <c r="AE32" s="32" t="b">
        <v>1</v>
      </c>
      <c r="AF32" s="42" t="b">
        <v>1</v>
      </c>
      <c r="AG32" s="42" t="s">
        <v>38</v>
      </c>
      <c r="AH32" s="32" t="s">
        <v>38</v>
      </c>
      <c r="AI32" s="32" t="b">
        <v>1</v>
      </c>
      <c r="AJ32" s="32" t="b">
        <v>1</v>
      </c>
      <c r="AK32" s="90" t="s">
        <v>38</v>
      </c>
      <c r="AL32" s="42" t="b">
        <v>1</v>
      </c>
      <c r="AM32" s="42" t="b">
        <v>1</v>
      </c>
      <c r="AN32" s="86" t="b">
        <v>1</v>
      </c>
      <c r="AO32" s="45" t="b" cm="1">
        <f t="array" ref="AO32">AND(COUNTIF(AC32:AN32,FALSE)=0,SUMPRODUCT(ISNUMBER(AC32:AN32)*1)=0)</f>
        <v>1</v>
      </c>
      <c r="AP32" s="61"/>
      <c r="AQ32" s="111">
        <f>IF(AB32="",99999999999,IFERROR(MATCH(AB32,{"Produção Parcial","Em Produção","Programado","Não Iniciado","Desenvolv.","Concluído"},0),7)*100000000+IF(ISNUMBER(J32),J32-46000,9999)*10000+IF(A32="",99,A32)*100+IF(C32="",99,CODE(LEFT(C32,1))))</f>
        <v>302030077</v>
      </c>
    </row>
    <row r="33" spans="1:45" s="36" customFormat="1" ht="25.15" hidden="1" customHeight="1" x14ac:dyDescent="0.25">
      <c r="A33" s="36">
        <v>6</v>
      </c>
      <c r="B33" s="38" t="s">
        <v>121</v>
      </c>
      <c r="C33" s="70" t="str">
        <f>INDEX([1]Produtos!$G:$G,MATCH($D33,[1]Produtos!$B:$B,0))</f>
        <v>HABIBI PERFUMES</v>
      </c>
      <c r="D33" s="24" t="s">
        <v>122</v>
      </c>
      <c r="E33" s="70" t="str">
        <f>INDEX([1]Produtos!$C:$C,MATCH($D33,[1]Produtos!$B:$B,0))&amp;IF($F33&lt;&gt;"-"," - "&amp;LEFT($F33,1),"")&amp;" &gt; "&amp;$B33</f>
        <v>HIDRATANTE BISNAGA DELICADA 200g - 3 &gt; HABIBI 01</v>
      </c>
      <c r="F33" s="51" t="s">
        <v>85</v>
      </c>
      <c r="G33" s="38">
        <v>46160</v>
      </c>
      <c r="H33" s="39">
        <v>4000</v>
      </c>
      <c r="I33" s="24" t="s">
        <v>39</v>
      </c>
      <c r="J33" s="68" cm="1">
        <f t="array" ref="J33">IFERROR(INDEX('[2]Previsão Envase'!$D$5:$D$4867, MATCH(1,('[2]Previsão Envase'!$F$5:$F$4867=$E33)+('[2]Previsão Envase'!$G$5:$G$4867=$E33)+('[2]Previsão Envase'!$H$5:$H$4867=$E33),0)),"")</f>
        <v>46203</v>
      </c>
      <c r="K33" s="68" t="str">
        <f>IF(COUNTIF('[2]Previsão Envase'!$F:$F,E33)&gt;0,"Linha 1",
IF(COUNTIF('[2]Previsão Envase'!$G:$G,E33)&gt;0,"Linha 2",
IF(COUNTIF('[2]Previsão Envase'!$H:$H,E33)&gt;0,"Linha 3","")))</f>
        <v>Linha 3</v>
      </c>
      <c r="L33" s="96">
        <f>COUNTIF('[2]Previsão Envase'!$F:$H,E33)-COUNTIF('[2]Previsão Envase'!$F$1:$H$4,E33)</f>
        <v>17</v>
      </c>
      <c r="M33" s="35">
        <f t="shared" si="19"/>
        <v>10427.780625978046</v>
      </c>
      <c r="N33" s="68" t="str">
        <f>IFERROR(MAX(_xlfn.MAXIFS('[2]Controle de Produção'!$C:$C,'[2]Controle de Produção'!$L:$L,$D33,'[2]Controle de Produção'!$P:$P,$C33,'[2]Controle de Produção'!$G:$G,$B33),_xlfn.MAXIFS([3]EXPEDIÇÃO!$N:$N,[3]EXPEDIÇÃO!$E:$E,$D33,[3]EXPEDIÇÃO!$D:$D,$C33,[3]EXPEDIÇÃO!$N:$N,"&gt;="&amp;$G33)),"")</f>
        <v/>
      </c>
      <c r="O33" s="70">
        <f>INDEX([1]Produtos!$E:$E,MATCH($D33,[1]Produtos!$B:$B,0))</f>
        <v>200</v>
      </c>
      <c r="P33" s="70" t="str">
        <f>INDEX([1]Produtos!$F:$F,MATCH($D33,[1]Produtos!$B:$B,0))</f>
        <v>g</v>
      </c>
      <c r="Q33" s="105">
        <f>INDEX([1]Produtos!$Y:$Y,MATCH($D33,[1]Produtos!$B:$B,0))</f>
        <v>2</v>
      </c>
      <c r="R33" s="35">
        <f t="shared" si="20"/>
        <v>5520.5897431648482</v>
      </c>
      <c r="S33" s="27">
        <f>IFERROR(INDEX([1]Produtos!$L:$L,MATCH(D33,[1]Produtos!$B:$B,0)), "")</f>
        <v>613.39886035164977</v>
      </c>
      <c r="T33" s="28">
        <f t="shared" si="21"/>
        <v>6.6</v>
      </c>
      <c r="U33" s="28" t="str">
        <f t="shared" si="22"/>
        <v>0D e 7h</v>
      </c>
      <c r="V33" s="27">
        <f>IFERROR(SUMIFS('[2]Controle de Produção'!$K:$K,'[2]Controle de Produção'!$L:$L,D33,'[2]Controle de Produção'!$P:$P,C33,'[2]Controle de Produção'!$B:$B,"&gt;=" &amp; G33,'[2]Controle de Produção'!$C:$C,"&lt;=" &amp; N33, '[2]Controle de Produção'!$G:$G,B33), "")</f>
        <v>0</v>
      </c>
      <c r="W33" s="27" t="str">
        <f>IFERROR(SUMIFS([3]EXPEDIÇÃO!$K:$K,[3]EXPEDIÇÃO!$E:$E,D33,[3]EXPEDIÇÃO!$D:$D,C33,[3]EXPEDIÇÃO!$N:$N,"&gt;=" &amp; G33,[3]EXPEDIÇÃO!$N:$N,"&lt;="&amp;N33), "")</f>
        <v/>
      </c>
      <c r="X33" s="27">
        <f>COUNTIFS('[2]Controle de Produção'!$P:$P,C33,'[2]Controle de Produção'!$L:$L,D33,'[2]Controle de Produção'!$B:$B,"&gt;=" &amp; G33)</f>
        <v>2</v>
      </c>
      <c r="Y33" s="27">
        <f t="shared" si="23"/>
        <v>0</v>
      </c>
      <c r="Z33" s="27">
        <f>IFERROR(COUNTIFS('[2]Controle de Produção'!$L:$L,D33,'[2]Controle de Produção'!$P:$P,C33,'[2]Controle de Produção'!$B:$B,"&gt;=" &amp; G33,'[2]Controle de Produção'!$C:$C,"&lt;=" &amp; N33, '[2]Controle de Produção'!$G:$G,B33), "")</f>
        <v>0</v>
      </c>
      <c r="AA33" s="108" t="str">
        <f t="shared" si="24"/>
        <v/>
      </c>
      <c r="AB33" s="41" t="str" cm="1">
        <f t="array" ref="AB33">_xlfn.IFS((H33*0.95)&lt;=V33,"Concluído",AND(V33 =0, J33&lt;&gt;""),"Programado",AND(V33=0,D33=""),"Desenvolv.",V33=0,"Não Iniciado",AND(V33&gt;0,V33&lt;H33,AO33=TRUE),"Em Produção",AND(V33&gt;0,V33&lt;H33,AO33=FALSE),"Produção Parcial")</f>
        <v>Programado</v>
      </c>
      <c r="AC33" s="42" t="b">
        <v>1</v>
      </c>
      <c r="AD33" s="42" t="b">
        <v>1</v>
      </c>
      <c r="AE33" s="32" t="s">
        <v>38</v>
      </c>
      <c r="AF33" s="90" t="b">
        <v>1</v>
      </c>
      <c r="AG33" s="42" t="b">
        <v>1</v>
      </c>
      <c r="AH33" s="32" t="b">
        <v>1</v>
      </c>
      <c r="AI33" s="32" t="s">
        <v>38</v>
      </c>
      <c r="AJ33" s="32" t="b">
        <v>0</v>
      </c>
      <c r="AK33" s="90" t="s">
        <v>38</v>
      </c>
      <c r="AL33" s="42" t="b">
        <v>1</v>
      </c>
      <c r="AM33" s="42" t="b">
        <v>0</v>
      </c>
      <c r="AN33" s="42" t="s">
        <v>38</v>
      </c>
      <c r="AO33" s="45" t="b" cm="1">
        <f t="array" ref="AO33">AND(COUNTIF(AC33:AN33,FALSE)=0,SUMPRODUCT(ISNUMBER(AC33:AN33)*1)=0)</f>
        <v>0</v>
      </c>
      <c r="AP33" s="59"/>
      <c r="AQ33" s="111">
        <f>IF(AB33="",99999999999,IFERROR(MATCH(AB33,{"Produção Parcial","Em Produção","Programado","Não Iniciado","Desenvolv.","Concluído"},0),7)*100000000+IF(ISNUMBER(J33),J33-46000,9999)*10000+IF(A33="",99,A33)*100+IF(C33="",99,CODE(LEFT(C33,1))))</f>
        <v>302030672</v>
      </c>
    </row>
    <row r="34" spans="1:45" s="36" customFormat="1" ht="25.15" hidden="1" customHeight="1" x14ac:dyDescent="0.25">
      <c r="A34" s="36">
        <v>6</v>
      </c>
      <c r="B34" s="38" t="s">
        <v>121</v>
      </c>
      <c r="C34" s="70" t="str">
        <f>INDEX([1]Produtos!$G:$G,MATCH($D34,[1]Produtos!$B:$B,0))</f>
        <v>HABIBI PERFUMES</v>
      </c>
      <c r="D34" s="24" t="s">
        <v>125</v>
      </c>
      <c r="E34" s="70" t="str">
        <f>INDEX([1]Produtos!$C:$C,MATCH($D34,[1]Produtos!$B:$B,0))&amp;IF($F34&lt;&gt;"-"," - "&amp;LEFT($F34,1),"")&amp;" &gt; "&amp;$B34</f>
        <v>HIDRATANTE BISNAGA LUX AMBER 200g - 3 &gt; HABIBI 01</v>
      </c>
      <c r="F34" s="51" t="s">
        <v>85</v>
      </c>
      <c r="G34" s="38">
        <v>46160</v>
      </c>
      <c r="H34" s="39">
        <v>4000</v>
      </c>
      <c r="I34" s="24" t="s">
        <v>39</v>
      </c>
      <c r="J34" s="68" cm="1">
        <f t="array" ref="J34">IFERROR(INDEX('[2]Previsão Envase'!$D$5:$D$4867, MATCH(1,('[2]Previsão Envase'!$F$5:$F$4867=$E34)+('[2]Previsão Envase'!$G$5:$G$4867=$E34)+('[2]Previsão Envase'!$H$5:$H$4867=$E34),0)),"")</f>
        <v>46204</v>
      </c>
      <c r="K34" s="68" t="str">
        <f>IF(COUNTIF('[2]Previsão Envase'!$F:$F,E34)&gt;0,"Linha 1",
IF(COUNTIF('[2]Previsão Envase'!$G:$G,E34)&gt;0,"Linha 2",
IF(COUNTIF('[2]Previsão Envase'!$H:$H,E34)&gt;0,"Linha 3","")))</f>
        <v>Linha 3</v>
      </c>
      <c r="L34" s="96">
        <f>COUNTIF('[2]Previsão Envase'!$F:$H,E34)-COUNTIF('[2]Previsão Envase'!$F$1:$H$4,E34)</f>
        <v>22</v>
      </c>
      <c r="M34" s="35">
        <f t="shared" si="19"/>
        <v>13494.774927736295</v>
      </c>
      <c r="N34" s="68" t="str">
        <f>IFERROR(MAX(_xlfn.MAXIFS('[2]Controle de Produção'!$C:$C,'[2]Controle de Produção'!$L:$L,$D34,'[2]Controle de Produção'!$P:$P,$C34,'[2]Controle de Produção'!$G:$G,$B34),_xlfn.MAXIFS([3]EXPEDIÇÃO!$N:$N,[3]EXPEDIÇÃO!$E:$E,$D34,[3]EXPEDIÇÃO!$D:$D,$C34,[3]EXPEDIÇÃO!$N:$N,"&gt;="&amp;$G34)),"")</f>
        <v/>
      </c>
      <c r="O34" s="70">
        <f>INDEX([1]Produtos!$E:$E,MATCH($D34,[1]Produtos!$B:$B,0))</f>
        <v>200</v>
      </c>
      <c r="P34" s="70" t="str">
        <f>INDEX([1]Produtos!$F:$F,MATCH($D34,[1]Produtos!$B:$B,0))</f>
        <v>g</v>
      </c>
      <c r="Q34" s="105">
        <f>INDEX([1]Produtos!$Y:$Y,MATCH($D34,[1]Produtos!$B:$B,0))</f>
        <v>2</v>
      </c>
      <c r="R34" s="35">
        <f t="shared" si="20"/>
        <v>5520.5897431648482</v>
      </c>
      <c r="S34" s="27">
        <f>IFERROR(INDEX([1]Produtos!$L:$L,MATCH(D34,[1]Produtos!$B:$B,0)), "")</f>
        <v>613.39886035164977</v>
      </c>
      <c r="T34" s="28">
        <f t="shared" si="21"/>
        <v>6.6</v>
      </c>
      <c r="U34" s="28" t="str">
        <f t="shared" si="22"/>
        <v>0D e 7h</v>
      </c>
      <c r="V34" s="27">
        <f>IFERROR(SUMIFS('[2]Controle de Produção'!$K:$K,'[2]Controle de Produção'!$L:$L,D34,'[2]Controle de Produção'!$P:$P,C34,'[2]Controle de Produção'!$B:$B,"&gt;=" &amp; G34,'[2]Controle de Produção'!$C:$C,"&lt;=" &amp; N34, '[2]Controle de Produção'!$G:$G,B34), "")</f>
        <v>0</v>
      </c>
      <c r="W34" s="27" t="str">
        <f>IFERROR(SUMIFS([3]EXPEDIÇÃO!$K:$K,[3]EXPEDIÇÃO!$E:$E,D34,[3]EXPEDIÇÃO!$D:$D,C34,[3]EXPEDIÇÃO!$N:$N,"&gt;=" &amp; G34,[3]EXPEDIÇÃO!$N:$N,"&lt;="&amp;N34), "")</f>
        <v/>
      </c>
      <c r="X34" s="27">
        <f>COUNTIFS('[2]Controle de Produção'!$P:$P,C34,'[2]Controle de Produção'!$L:$L,D34,'[2]Controle de Produção'!$B:$B,"&gt;=" &amp; G34)</f>
        <v>2</v>
      </c>
      <c r="Y34" s="27">
        <f t="shared" si="23"/>
        <v>0</v>
      </c>
      <c r="Z34" s="27">
        <f>IFERROR(COUNTIFS('[2]Controle de Produção'!$L:$L,D34,'[2]Controle de Produção'!$P:$P,C34,'[2]Controle de Produção'!$B:$B,"&gt;=" &amp; G34,'[2]Controle de Produção'!$C:$C,"&lt;=" &amp; N34, '[2]Controle de Produção'!$G:$G,B34), "")</f>
        <v>0</v>
      </c>
      <c r="AA34" s="108" t="str">
        <f t="shared" si="24"/>
        <v/>
      </c>
      <c r="AB34" s="41" t="str" cm="1">
        <f t="array" ref="AB34">_xlfn.IFS((H34*0.95)&lt;=V34,"Concluído",AND(V34 =0, J34&lt;&gt;""),"Programado",AND(V34=0,D34=""),"Desenvolv.",V34=0,"Não Iniciado",AND(V34&gt;0,V34&lt;H34,AO34=TRUE),"Em Produção",AND(V34&gt;0,V34&lt;H34,AO34=FALSE),"Produção Parcial")</f>
        <v>Programado</v>
      </c>
      <c r="AC34" s="42" t="b">
        <v>1</v>
      </c>
      <c r="AD34" s="42" t="b">
        <v>1</v>
      </c>
      <c r="AE34" s="32" t="s">
        <v>38</v>
      </c>
      <c r="AF34" s="32" t="b">
        <v>1</v>
      </c>
      <c r="AG34" s="42" t="b">
        <v>1</v>
      </c>
      <c r="AH34" s="32" t="b">
        <v>1</v>
      </c>
      <c r="AI34" s="32" t="s">
        <v>38</v>
      </c>
      <c r="AJ34" s="32" t="b">
        <v>1</v>
      </c>
      <c r="AK34" s="90" t="s">
        <v>38</v>
      </c>
      <c r="AL34" s="42" t="b">
        <v>1</v>
      </c>
      <c r="AM34" s="42" t="b">
        <v>0</v>
      </c>
      <c r="AN34" s="42" t="s">
        <v>38</v>
      </c>
      <c r="AO34" s="45" t="b" cm="1">
        <f t="array" ref="AO34">AND(COUNTIF(AC34:AN34,FALSE)=0,SUMPRODUCT(ISNUMBER(AC34:AN34)*1)=0)</f>
        <v>0</v>
      </c>
      <c r="AP34" s="59"/>
      <c r="AQ34" s="111">
        <f>IF(AB34="",99999999999,IFERROR(MATCH(AB34,{"Produção Parcial","Em Produção","Programado","Não Iniciado","Desenvolv.","Concluído"},0),7)*100000000+IF(ISNUMBER(J34),J34-46000,9999)*10000+IF(A34="",99,A34)*100+IF(C34="",99,CODE(LEFT(C34,1))))</f>
        <v>302040672</v>
      </c>
    </row>
    <row r="35" spans="1:45" s="36" customFormat="1" ht="25.15" hidden="1" customHeight="1" x14ac:dyDescent="0.25">
      <c r="A35" s="36">
        <v>5</v>
      </c>
      <c r="B35" s="112" t="s">
        <v>457</v>
      </c>
      <c r="C35" s="70" t="str">
        <f>INDEX([1]Produtos!$G:$G,MATCH($D35,[1]Produtos!$B:$B,0))</f>
        <v>MENELA</v>
      </c>
      <c r="D35" s="126" t="s">
        <v>458</v>
      </c>
      <c r="E35" s="70" t="str">
        <f>INDEX([1]Produtos!$C:$C,MATCH($D35,[1]Produtos!$B:$B,0))&amp;IF($F35&lt;&gt;"-"," - "&amp;LEFT($F35,1),"")&amp;" &gt; "&amp;$B35</f>
        <v>PERFUME WHITE DRESS 100ML &gt; 0016</v>
      </c>
      <c r="F35" s="51" t="s">
        <v>38</v>
      </c>
      <c r="G35" s="38">
        <v>46196</v>
      </c>
      <c r="H35" s="39">
        <v>3500</v>
      </c>
      <c r="I35" s="24" t="s">
        <v>42</v>
      </c>
      <c r="J35" s="68" cm="1">
        <f t="array" ref="J35">IFERROR(INDEX('[2]Previsão Envase'!$D$5:$D$4867, MATCH(1,('[2]Previsão Envase'!$F$5:$F$4867=$E35)+('[2]Previsão Envase'!$G$5:$G$4867=$E35)+('[2]Previsão Envase'!$H$5:$H$4867=$E35),0)),"")</f>
        <v>46206</v>
      </c>
      <c r="K35" s="68" t="str">
        <f>IF(COUNTIF('[2]Previsão Envase'!$F:$F,E35)&gt;0,"Linha 1",
IF(COUNTIF('[2]Previsão Envase'!$G:$G,E35)&gt;0,"Linha 2",
IF(COUNTIF('[2]Previsão Envase'!$H:$H,E35)&gt;0,"Linha 3","")))</f>
        <v>Linha 2</v>
      </c>
      <c r="L35" s="96">
        <f>COUNTIF('[2]Previsão Envase'!$F:$H,E35)-COUNTIF('[2]Previsão Envase'!$F$1:$H$4,E35)</f>
        <v>22</v>
      </c>
      <c r="M35" s="35">
        <f t="shared" si="19"/>
        <v>3855.8095800221927</v>
      </c>
      <c r="N35" s="68" t="str">
        <f>IFERROR(MAX(_xlfn.MAXIFS('[2]Controle de Produção'!$C:$C,'[2]Controle de Produção'!$L:$L,$D35,'[2]Controle de Produção'!$P:$P,$C35,'[2]Controle de Produção'!$G:$G,$B35),_xlfn.MAXIFS([3]EXPEDIÇÃO!$N:$N,[3]EXPEDIÇÃO!$E:$E,$D35,[3]EXPEDIÇÃO!$D:$D,$C35,[3]EXPEDIÇÃO!$N:$N,"&gt;="&amp;$G35)),"")</f>
        <v/>
      </c>
      <c r="O35" s="70">
        <f>INDEX([1]Produtos!$E:$E,MATCH($D35,[1]Produtos!$B:$B,0))</f>
        <v>100</v>
      </c>
      <c r="P35" s="70" t="str">
        <f>INDEX([1]Produtos!$F:$F,MATCH($D35,[1]Produtos!$B:$B,0))</f>
        <v>ml</v>
      </c>
      <c r="Q35" s="105">
        <f>INDEX([1]Produtos!$Y:$Y,MATCH($D35,[1]Produtos!$B:$B,0))</f>
        <v>0</v>
      </c>
      <c r="R35" s="35">
        <f t="shared" si="20"/>
        <v>1577.3766463727152</v>
      </c>
      <c r="S35" s="27">
        <f>IFERROR(INDEX([1]Produtos!$L:$L,MATCH(D35,[1]Produtos!$B:$B,0)), "")</f>
        <v>175.26407181919058</v>
      </c>
      <c r="T35" s="28">
        <f t="shared" si="21"/>
        <v>20</v>
      </c>
      <c r="U35" s="28" t="str">
        <f t="shared" si="22"/>
        <v>2D e 3h</v>
      </c>
      <c r="V35" s="27">
        <f>IFERROR(SUMIFS('[2]Controle de Produção'!$K:$K,'[2]Controle de Produção'!$L:$L,D35,'[2]Controle de Produção'!$P:$P,C35,'[2]Controle de Produção'!$B:$B,"&gt;=" &amp; G35,'[2]Controle de Produção'!$C:$C,"&lt;=" &amp; N35, '[2]Controle de Produção'!$G:$G,B35), "")</f>
        <v>0</v>
      </c>
      <c r="W35" s="27" t="str">
        <f>IFERROR(SUMIFS([3]EXPEDIÇÃO!$K:$K,[3]EXPEDIÇÃO!$E:$E,D35,[3]EXPEDIÇÃO!$D:$D,C35,[3]EXPEDIÇÃO!$N:$N,"&gt;=" &amp; G35,[3]EXPEDIÇÃO!$N:$N,"&lt;="&amp;N35), "")</f>
        <v/>
      </c>
      <c r="X35" s="27">
        <f>COUNTIFS('[2]Controle de Produção'!$P:$P,C35,'[2]Controle de Produção'!$L:$L,D35,'[2]Controle de Produção'!$B:$B,"&gt;=" &amp; G35)</f>
        <v>0</v>
      </c>
      <c r="Y35" s="27" t="str">
        <f t="shared" si="23"/>
        <v>-</v>
      </c>
      <c r="Z35" s="27">
        <f>IFERROR(COUNTIFS('[2]Controle de Produção'!$L:$L,D35,'[2]Controle de Produção'!$P:$P,C35,'[2]Controle de Produção'!$B:$B,"&gt;=" &amp; G35,'[2]Controle de Produção'!$C:$C,"&lt;=" &amp; N35, '[2]Controle de Produção'!$G:$G,B35), "")</f>
        <v>0</v>
      </c>
      <c r="AA35" s="108" t="str">
        <f t="shared" si="24"/>
        <v/>
      </c>
      <c r="AB35" s="41" t="str" cm="1">
        <f t="array" ref="AB35">_xlfn.IFS((H35*0.95)&lt;=V35,"Concluído",AND(V35 =0, J35&lt;&gt;""),"Programado",AND(V35=0,D35=""),"Desenvolv.",V35=0,"Não Iniciado",AND(V35&gt;0,V35&lt;H35,AO35=TRUE),"Em Produção",AND(V35&gt;0,V35&lt;H35,AO35=FALSE),"Produção Parcial")</f>
        <v>Programado</v>
      </c>
      <c r="AC35" s="42" t="b">
        <v>1</v>
      </c>
      <c r="AD35" s="42" t="b">
        <v>1</v>
      </c>
      <c r="AE35" s="32" t="b">
        <v>1</v>
      </c>
      <c r="AF35" s="32" t="b">
        <v>1</v>
      </c>
      <c r="AG35" s="42" t="b">
        <v>1</v>
      </c>
      <c r="AH35" s="32" t="b">
        <v>1</v>
      </c>
      <c r="AI35" s="32" t="b">
        <v>1</v>
      </c>
      <c r="AJ35" s="32" t="b">
        <v>1</v>
      </c>
      <c r="AK35" s="90" t="s">
        <v>38</v>
      </c>
      <c r="AL35" s="42" t="b">
        <v>1</v>
      </c>
      <c r="AM35" s="42" t="b">
        <v>1</v>
      </c>
      <c r="AN35" s="42" t="b">
        <v>1</v>
      </c>
      <c r="AO35" s="45" t="b" cm="1">
        <f t="array" ref="AO35">AND(COUNTIF(AC35:AN35,FALSE)=0,SUMPRODUCT(ISNUMBER(AC35:AN35)*1)=0)</f>
        <v>1</v>
      </c>
      <c r="AP35" s="59"/>
      <c r="AQ35" s="111">
        <f>IF(AB35="",99999999999,IFERROR(MATCH(AB35,{"Produção Parcial","Em Produção","Programado","Não Iniciado","Desenvolv.","Concluído"},0),7)*100000000+IF(ISNUMBER(J35),J35-46000,9999)*10000+IF(A35="",99,A35)*100+IF(C35="",99,CODE(LEFT(C35,1))))</f>
        <v>302060577</v>
      </c>
    </row>
    <row r="36" spans="1:45" s="36" customFormat="1" ht="25.15" hidden="1" customHeight="1" x14ac:dyDescent="0.25">
      <c r="A36" s="36">
        <v>4</v>
      </c>
      <c r="B36" s="112" t="s">
        <v>452</v>
      </c>
      <c r="C36" s="70" t="str">
        <f>INDEX([1]Produtos!$G:$G,MATCH($D36,[1]Produtos!$B:$B,0))</f>
        <v>MISS RÔSE</v>
      </c>
      <c r="D36" s="24" t="s">
        <v>71</v>
      </c>
      <c r="E36" s="70" t="str">
        <f>INDEX([1]Produtos!$C:$C,MATCH($D36,[1]Produtos!$B:$B,0))&amp;IF($F36&lt;&gt;"-"," - "&amp;LEFT($F36,1),"")&amp;" &gt; "&amp;$B36</f>
        <v>BODY SPLASH AMBAR REAL 200ml &gt; 0011</v>
      </c>
      <c r="F36" s="51" t="s">
        <v>38</v>
      </c>
      <c r="G36" s="38">
        <v>46169</v>
      </c>
      <c r="H36" s="39">
        <v>30000</v>
      </c>
      <c r="I36" s="24" t="s">
        <v>42</v>
      </c>
      <c r="J36" s="68" cm="1">
        <f t="array" ref="J36">IFERROR(INDEX('[2]Previsão Envase'!$D$5:$D$4867, MATCH(1,('[2]Previsão Envase'!$F$5:$F$4867=$E36)+('[2]Previsão Envase'!$G$5:$G$4867=$E36)+('[2]Previsão Envase'!$H$5:$H$4867=$E36),0)),"")</f>
        <v>46209</v>
      </c>
      <c r="K36" s="68" t="str">
        <f>IF(COUNTIF('[2]Previsão Envase'!$F:$F,E36)&gt;0,"Linha 1",
IF(COUNTIF('[2]Previsão Envase'!$G:$G,E36)&gt;0,"Linha 2",
IF(COUNTIF('[2]Previsão Envase'!$H:$H,E36)&gt;0,"Linha 3","")))</f>
        <v>Linha 1</v>
      </c>
      <c r="L36" s="96">
        <f>COUNTIF('[2]Previsão Envase'!$F:$H,E36)-COUNTIF('[2]Previsão Envase'!$F$1:$H$4,E36)</f>
        <v>23</v>
      </c>
      <c r="M36" s="35">
        <f t="shared" si="19"/>
        <v>19402.519422046014</v>
      </c>
      <c r="N36" s="68" t="str">
        <f>IFERROR(MAX(_xlfn.MAXIFS('[2]Controle de Produção'!$C:$C,'[2]Controle de Produção'!$L:$L,$D36,'[2]Controle de Produção'!$P:$P,$C36,'[2]Controle de Produção'!$G:$G,$B36),_xlfn.MAXIFS([3]EXPEDIÇÃO!$N:$N,[3]EXPEDIÇÃO!$E:$E,$D36,[3]EXPEDIÇÃO!$D:$D,$C36,[3]EXPEDIÇÃO!$N:$N,"&gt;="&amp;$G36)),"")</f>
        <v/>
      </c>
      <c r="O36" s="70">
        <f>INDEX([1]Produtos!$E:$E,MATCH($D36,[1]Produtos!$B:$B,0))</f>
        <v>215</v>
      </c>
      <c r="P36" s="70" t="str">
        <f>INDEX([1]Produtos!$F:$F,MATCH($D36,[1]Produtos!$B:$B,0))</f>
        <v>ml</v>
      </c>
      <c r="Q36" s="105">
        <f>INDEX([1]Produtos!$Y:$Y,MATCH($D36,[1]Produtos!$B:$B,0))</f>
        <v>0.85</v>
      </c>
      <c r="R36" s="35">
        <f t="shared" si="20"/>
        <v>7592.2902086267013</v>
      </c>
      <c r="S36" s="27">
        <f>IFERROR(INDEX([1]Produtos!$L:$L,MATCH(D36,[1]Produtos!$B:$B,0)), "")</f>
        <v>843.58780095852239</v>
      </c>
      <c r="T36" s="28">
        <f t="shared" si="21"/>
        <v>35.6</v>
      </c>
      <c r="U36" s="28" t="str">
        <f t="shared" si="22"/>
        <v>4D e 1h</v>
      </c>
      <c r="V36" s="57">
        <f>IFERROR(SUMIFS('[2]Controle de Produção'!$K:$K,'[2]Controle de Produção'!$L:$L,D36,'[2]Controle de Produção'!$P:$P,C36,'[2]Controle de Produção'!$B:$B,"&gt;=" &amp; G36,'[2]Controle de Produção'!$C:$C,"&lt;=" &amp; N36, '[2]Controle de Produção'!$G:$G,B36), "")</f>
        <v>0</v>
      </c>
      <c r="W36" s="27" t="str">
        <f>IFERROR(SUMIFS([3]EXPEDIÇÃO!$K:$K,[3]EXPEDIÇÃO!$E:$E,D36,[3]EXPEDIÇÃO!$D:$D,C36,[3]EXPEDIÇÃO!$N:$N,"&gt;=" &amp; G36,[3]EXPEDIÇÃO!$N:$N,"&lt;="&amp;N36), "")</f>
        <v/>
      </c>
      <c r="X36" s="27">
        <f>COUNTIFS('[2]Controle de Produção'!$P:$P,C36,'[2]Controle de Produção'!$L:$L,D36,'[2]Controle de Produção'!$B:$B,"&gt;=" &amp; G36)</f>
        <v>5</v>
      </c>
      <c r="Y36" s="27">
        <f t="shared" si="23"/>
        <v>0</v>
      </c>
      <c r="Z36" s="27">
        <f>IFERROR(COUNTIFS('[2]Controle de Produção'!$L:$L,D36,'[2]Controle de Produção'!$P:$P,C36,'[2]Controle de Produção'!$B:$B,"&gt;=" &amp; G36,'[2]Controle de Produção'!$C:$C,"&lt;=" &amp; N36, '[2]Controle de Produção'!$G:$G,B36), "")</f>
        <v>0</v>
      </c>
      <c r="AA36" s="108" t="str">
        <f t="shared" si="24"/>
        <v/>
      </c>
      <c r="AB36" s="41" t="str" cm="1">
        <f t="array" ref="AB36">_xlfn.IFS((H36*0.95)&lt;=V36,"Concluído",AND(V36 =0, J36&lt;&gt;""),"Programado",AND(V36=0,D36=""),"Desenvolv.",V36=0,"Não Iniciado",AND(V36&gt;0,V36&lt;H36,AO36=TRUE),"Em Produção",AND(V36&gt;0,V36&lt;H36,AO36=FALSE),"Produção Parcial")</f>
        <v>Programado</v>
      </c>
      <c r="AC36" s="42" t="b">
        <v>1</v>
      </c>
      <c r="AD36" s="42" t="b">
        <v>1</v>
      </c>
      <c r="AE36" s="42" t="b">
        <v>1</v>
      </c>
      <c r="AF36" s="42" t="b">
        <v>1</v>
      </c>
      <c r="AG36" s="42" t="b">
        <v>1</v>
      </c>
      <c r="AH36" s="42" t="s">
        <v>38</v>
      </c>
      <c r="AI36" s="42" t="b">
        <v>1</v>
      </c>
      <c r="AJ36" s="42" t="s">
        <v>38</v>
      </c>
      <c r="AK36" s="42" t="s">
        <v>38</v>
      </c>
      <c r="AL36" s="42" t="b">
        <v>0</v>
      </c>
      <c r="AM36" s="42" t="b">
        <v>0</v>
      </c>
      <c r="AN36" s="42" t="b">
        <v>0</v>
      </c>
      <c r="AO36" s="45" t="b" cm="1">
        <f t="array" ref="AO36">AND(COUNTIF(AC36:AN36,FALSE)=0,SUMPRODUCT(ISNUMBER(AC36:AN36)*1)=0)</f>
        <v>0</v>
      </c>
      <c r="AP36" s="59"/>
      <c r="AQ36" s="111">
        <f>IF(AB36="",99999999999,IFERROR(MATCH(AB36,{"Produção Parcial","Em Produção","Programado","Não Iniciado","Desenvolv.","Concluído"},0),7)*100000000+IF(ISNUMBER(J36),J36-46000,9999)*10000+IF(A36="",99,A36)*100+IF(C36="",99,CODE(LEFT(C36,1))))</f>
        <v>302090477</v>
      </c>
    </row>
    <row r="37" spans="1:45" s="36" customFormat="1" ht="25.15" hidden="1" customHeight="1" x14ac:dyDescent="0.25">
      <c r="A37" s="36">
        <v>6</v>
      </c>
      <c r="B37" s="38" t="s">
        <v>121</v>
      </c>
      <c r="C37" s="70" t="str">
        <f>INDEX([1]Produtos!$G:$G,MATCH($D37,[1]Produtos!$B:$B,0))</f>
        <v>HABIBI PERFUMES</v>
      </c>
      <c r="D37" s="24" t="s">
        <v>123</v>
      </c>
      <c r="E37" s="70" t="str">
        <f>INDEX([1]Produtos!$C:$C,MATCH($D37,[1]Produtos!$B:$B,0))&amp;IF($F37&lt;&gt;"-"," - "&amp;LEFT($F37,1),"")&amp;" &gt; "&amp;$B37</f>
        <v>HIDRATANTE BISNAGA IMPERIUM BOURBON 200g - 3 &gt; HABIBI 01</v>
      </c>
      <c r="F37" s="51" t="s">
        <v>85</v>
      </c>
      <c r="G37" s="38">
        <v>46160</v>
      </c>
      <c r="H37" s="39">
        <v>4000</v>
      </c>
      <c r="I37" s="24" t="s">
        <v>39</v>
      </c>
      <c r="J37" s="68" cm="1">
        <f t="array" ref="J37">IFERROR(INDEX('[2]Previsão Envase'!$D$5:$D$4867, MATCH(1,('[2]Previsão Envase'!$F$5:$F$4867=$E37)+('[2]Previsão Envase'!$G$5:$G$4867=$E37)+('[2]Previsão Envase'!$H$5:$H$4867=$E37),0)),"")</f>
        <v>46209</v>
      </c>
      <c r="K37" s="68" t="str">
        <f>IF(COUNTIF('[2]Previsão Envase'!$F:$F,E37)&gt;0,"Linha 1",
IF(COUNTIF('[2]Previsão Envase'!$G:$G,E37)&gt;0,"Linha 2",
IF(COUNTIF('[2]Previsão Envase'!$H:$H,E37)&gt;0,"Linha 3","")))</f>
        <v>Linha 3</v>
      </c>
      <c r="L37" s="96">
        <f>COUNTIF('[2]Previsão Envase'!$F:$H,E37)-COUNTIF('[2]Previsão Envase'!$F$1:$H$4,E37)</f>
        <v>15</v>
      </c>
      <c r="M37" s="35">
        <f t="shared" si="19"/>
        <v>9200.9829052747464</v>
      </c>
      <c r="N37" s="68" t="str">
        <f>IFERROR(MAX(_xlfn.MAXIFS('[2]Controle de Produção'!$C:$C,'[2]Controle de Produção'!$L:$L,$D37,'[2]Controle de Produção'!$P:$P,$C37,'[2]Controle de Produção'!$G:$G,$B37),_xlfn.MAXIFS([3]EXPEDIÇÃO!$N:$N,[3]EXPEDIÇÃO!$E:$E,$D37,[3]EXPEDIÇÃO!$D:$D,$C37,[3]EXPEDIÇÃO!$N:$N,"&gt;="&amp;$G37)),"")</f>
        <v/>
      </c>
      <c r="O37" s="70">
        <f>INDEX([1]Produtos!$E:$E,MATCH($D37,[1]Produtos!$B:$B,0))</f>
        <v>200</v>
      </c>
      <c r="P37" s="70" t="str">
        <f>INDEX([1]Produtos!$F:$F,MATCH($D37,[1]Produtos!$B:$B,0))</f>
        <v>g</v>
      </c>
      <c r="Q37" s="105">
        <f>INDEX([1]Produtos!$Y:$Y,MATCH($D37,[1]Produtos!$B:$B,0))</f>
        <v>2</v>
      </c>
      <c r="R37" s="35">
        <f t="shared" si="20"/>
        <v>5520.5897431648482</v>
      </c>
      <c r="S37" s="27">
        <f>IFERROR(INDEX([1]Produtos!$L:$L,MATCH(D37,[1]Produtos!$B:$B,0)), "")</f>
        <v>613.39886035164977</v>
      </c>
      <c r="T37" s="28">
        <f t="shared" si="21"/>
        <v>6.6</v>
      </c>
      <c r="U37" s="28" t="str">
        <f t="shared" si="22"/>
        <v>0D e 7h</v>
      </c>
      <c r="V37" s="27">
        <f>IFERROR(SUMIFS('[2]Controle de Produção'!$K:$K,'[2]Controle de Produção'!$L:$L,D37,'[2]Controle de Produção'!$P:$P,C37,'[2]Controle de Produção'!$B:$B,"&gt;=" &amp; G37,'[2]Controle de Produção'!$C:$C,"&lt;=" &amp; N37, '[2]Controle de Produção'!$G:$G,B37), "")</f>
        <v>0</v>
      </c>
      <c r="W37" s="27" t="str">
        <f>IFERROR(SUMIFS([3]EXPEDIÇÃO!$K:$K,[3]EXPEDIÇÃO!$E:$E,D37,[3]EXPEDIÇÃO!$D:$D,C37,[3]EXPEDIÇÃO!$N:$N,"&gt;=" &amp; G37,[3]EXPEDIÇÃO!$N:$N,"&lt;="&amp;N37), "")</f>
        <v/>
      </c>
      <c r="X37" s="27">
        <f>COUNTIFS('[2]Controle de Produção'!$P:$P,C37,'[2]Controle de Produção'!$L:$L,D37,'[2]Controle de Produção'!$B:$B,"&gt;=" &amp; G37)</f>
        <v>0</v>
      </c>
      <c r="Y37" s="27" t="str">
        <f t="shared" si="23"/>
        <v>-</v>
      </c>
      <c r="Z37" s="27">
        <f>IFERROR(COUNTIFS('[2]Controle de Produção'!$L:$L,D37,'[2]Controle de Produção'!$P:$P,C37,'[2]Controle de Produção'!$B:$B,"&gt;=" &amp; G37,'[2]Controle de Produção'!$C:$C,"&lt;=" &amp; N37, '[2]Controle de Produção'!$G:$G,B37), "")</f>
        <v>0</v>
      </c>
      <c r="AA37" s="108" t="str">
        <f t="shared" si="24"/>
        <v/>
      </c>
      <c r="AB37" s="41" t="str" cm="1">
        <f t="array" ref="AB37">_xlfn.IFS((H37*0.95)&lt;=V37,"Concluído",AND(V37 =0, J37&lt;&gt;""),"Programado",AND(V37=0,D37=""),"Desenvolv.",V37=0,"Não Iniciado",AND(V37&gt;0,V37&lt;H37,AO37=TRUE),"Em Produção",AND(V37&gt;0,V37&lt;H37,AO37=FALSE),"Produção Parcial")</f>
        <v>Programado</v>
      </c>
      <c r="AC37" s="42" t="b">
        <v>1</v>
      </c>
      <c r="AD37" s="42" t="b">
        <v>1</v>
      </c>
      <c r="AE37" s="32" t="s">
        <v>38</v>
      </c>
      <c r="AF37" s="32" t="b">
        <v>1</v>
      </c>
      <c r="AG37" s="42" t="b">
        <v>1</v>
      </c>
      <c r="AH37" s="32" t="b">
        <v>1</v>
      </c>
      <c r="AI37" s="32" t="s">
        <v>38</v>
      </c>
      <c r="AJ37" s="32" t="b">
        <v>1</v>
      </c>
      <c r="AK37" s="90" t="s">
        <v>38</v>
      </c>
      <c r="AL37" s="42" t="b">
        <v>1</v>
      </c>
      <c r="AM37" s="42" t="b">
        <v>1</v>
      </c>
      <c r="AN37" s="42" t="s">
        <v>38</v>
      </c>
      <c r="AO37" s="45" t="b" cm="1">
        <f t="array" ref="AO37">AND(COUNTIF(AC37:AN37,FALSE)=0,SUMPRODUCT(ISNUMBER(AC37:AN37)*1)=0)</f>
        <v>1</v>
      </c>
      <c r="AP37" s="59"/>
      <c r="AQ37" s="111">
        <f>IF(AB37="",99999999999,IFERROR(MATCH(AB37,{"Produção Parcial","Em Produção","Programado","Não Iniciado","Desenvolv.","Concluído"},0),7)*100000000+IF(ISNUMBER(J37),J37-46000,9999)*10000+IF(A37="",99,A37)*100+IF(C37="",99,CODE(LEFT(C37,1))))</f>
        <v>302090672</v>
      </c>
    </row>
    <row r="38" spans="1:45" s="36" customFormat="1" ht="30" hidden="1" customHeight="1" x14ac:dyDescent="0.25">
      <c r="A38" s="36">
        <v>4</v>
      </c>
      <c r="B38" s="112" t="s">
        <v>455</v>
      </c>
      <c r="C38" s="70" t="str">
        <f>INDEX([1]Produtos!$G:$G,MATCH($D38,[1]Produtos!$B:$B,0))</f>
        <v>MISS RÔSE</v>
      </c>
      <c r="D38" s="24" t="s">
        <v>83</v>
      </c>
      <c r="E38" s="70" t="str">
        <f>INDEX([1]Produtos!$C:$C,MATCH($D38,[1]Produtos!$B:$B,0))&amp;IF($F38&lt;&gt;"-"," - "&amp;LEFT($F38,1),"")&amp;" &gt; "&amp;$B38</f>
        <v>BODY SPLASH DEUSA DO NILO &gt; 0014</v>
      </c>
      <c r="F38" s="51" t="s">
        <v>38</v>
      </c>
      <c r="G38" s="38">
        <v>46196</v>
      </c>
      <c r="H38" s="39">
        <v>20000</v>
      </c>
      <c r="I38" s="24" t="s">
        <v>42</v>
      </c>
      <c r="J38" s="68" cm="1">
        <f t="array" ref="J38">IFERROR(INDEX('[2]Previsão Envase'!$D$5:$D$4867, MATCH(1,('[2]Previsão Envase'!$F$5:$F$4867=$E38)+('[2]Previsão Envase'!$G$5:$G$4867=$E38)+('[2]Previsão Envase'!$H$5:$H$4867=$E38),0)),"")</f>
        <v>46211</v>
      </c>
      <c r="K38" s="68" t="str">
        <f>IF(COUNTIF('[2]Previsão Envase'!$F:$F,E38)&gt;0,"Linha 1",
IF(COUNTIF('[2]Previsão Envase'!$G:$G,E38)&gt;0,"Linha 2",
IF(COUNTIF('[2]Previsão Envase'!$H:$H,E38)&gt;0,"Linha 3","")))</f>
        <v>Linha 2</v>
      </c>
      <c r="L38" s="96">
        <f>COUNTIF('[2]Previsão Envase'!$F:$H,E38)-COUNTIF('[2]Previsão Envase'!$F$1:$H$4,E38)</f>
        <v>5</v>
      </c>
      <c r="M38" s="35">
        <f t="shared" si="19"/>
        <v>4217.9390047926117</v>
      </c>
      <c r="N38" s="68" t="str">
        <f>IFERROR(MAX(_xlfn.MAXIFS('[2]Controle de Produção'!$C:$C,'[2]Controle de Produção'!$L:$L,$D38,'[2]Controle de Produção'!$P:$P,$C38,'[2]Controle de Produção'!$G:$G,$B38),_xlfn.MAXIFS([3]EXPEDIÇÃO!$N:$N,[3]EXPEDIÇÃO!$E:$E,$D38,[3]EXPEDIÇÃO!$D:$D,$C38,[3]EXPEDIÇÃO!$N:$N,"&gt;="&amp;$G38)),"")</f>
        <v/>
      </c>
      <c r="O38" s="70">
        <f>INDEX([1]Produtos!$E:$E,MATCH($D38,[1]Produtos!$B:$B,0))</f>
        <v>220</v>
      </c>
      <c r="P38" s="70" t="str">
        <f>INDEX([1]Produtos!$F:$F,MATCH($D38,[1]Produtos!$B:$B,0))</f>
        <v>ml</v>
      </c>
      <c r="Q38" s="105">
        <f>INDEX([1]Produtos!$Y:$Y,MATCH($D38,[1]Produtos!$B:$B,0))</f>
        <v>0.51</v>
      </c>
      <c r="R38" s="35">
        <f t="shared" si="20"/>
        <v>7592.2902086267013</v>
      </c>
      <c r="S38" s="27">
        <f>IFERROR(INDEX([1]Produtos!$L:$L,MATCH(D38,[1]Produtos!$B:$B,0)), "")</f>
        <v>843.58780095852239</v>
      </c>
      <c r="T38" s="28">
        <f t="shared" si="21"/>
        <v>23.8</v>
      </c>
      <c r="U38" s="28" t="str">
        <f t="shared" si="22"/>
        <v>2D e 7h</v>
      </c>
      <c r="V38" s="57">
        <f>IFERROR(SUMIFS('[2]Controle de Produção'!$K:$K,'[2]Controle de Produção'!$L:$L,D38,'[2]Controle de Produção'!$P:$P,C38,'[2]Controle de Produção'!$B:$B,"&gt;=" &amp; G38,'[2]Controle de Produção'!$C:$C,"&lt;=" &amp; N38, '[2]Controle de Produção'!$G:$G,B38), "")</f>
        <v>0</v>
      </c>
      <c r="W38" s="27" t="str">
        <f>IFERROR(SUMIFS([3]EXPEDIÇÃO!$K:$K,[3]EXPEDIÇÃO!$E:$E,D38,[3]EXPEDIÇÃO!$D:$D,C38,[3]EXPEDIÇÃO!$N:$N,"&gt;=" &amp; G38,[3]EXPEDIÇÃO!$N:$N,"&lt;="&amp;N38), "")</f>
        <v/>
      </c>
      <c r="X38" s="27">
        <f>COUNTIFS('[2]Controle de Produção'!$P:$P,C38,'[2]Controle de Produção'!$L:$L,D38,'[2]Controle de Produção'!$B:$B,"&gt;=" &amp; G38)</f>
        <v>0</v>
      </c>
      <c r="Y38" s="27" t="str">
        <f t="shared" si="23"/>
        <v>-</v>
      </c>
      <c r="Z38" s="27">
        <f>IFERROR(COUNTIFS('[2]Controle de Produção'!$L:$L,D38,'[2]Controle de Produção'!$P:$P,C38,'[2]Controle de Produção'!$B:$B,"&gt;=" &amp; G38,'[2]Controle de Produção'!$C:$C,"&lt;=" &amp; N38, '[2]Controle de Produção'!$G:$G,B38), "")</f>
        <v>0</v>
      </c>
      <c r="AA38" s="108" t="str">
        <f t="shared" si="24"/>
        <v/>
      </c>
      <c r="AB38" s="41" t="str" cm="1">
        <f t="array" ref="AB38">_xlfn.IFS((H38*0.95)&lt;=V38,"Concluído",AND(V38 =0, J38&lt;&gt;""),"Programado",AND(V38=0,D38=""),"Desenvolv.",V38=0,"Não Iniciado",AND(V38&gt;0,V38&lt;H38,AO38=TRUE),"Em Produção",AND(V38&gt;0,V38&lt;H38,AO38=FALSE),"Produção Parcial")</f>
        <v>Programado</v>
      </c>
      <c r="AC38" s="42" t="b">
        <v>1</v>
      </c>
      <c r="AD38" s="42" t="b">
        <v>1</v>
      </c>
      <c r="AE38" s="42" t="b">
        <v>0</v>
      </c>
      <c r="AF38" s="42" t="b">
        <v>0</v>
      </c>
      <c r="AG38" s="42" t="s">
        <v>38</v>
      </c>
      <c r="AH38" s="32" t="s">
        <v>38</v>
      </c>
      <c r="AI38" s="32" t="b">
        <v>0</v>
      </c>
      <c r="AJ38" s="32" t="s">
        <v>38</v>
      </c>
      <c r="AK38" s="90" t="s">
        <v>38</v>
      </c>
      <c r="AL38" s="42" t="b">
        <v>0</v>
      </c>
      <c r="AM38" s="42" t="b">
        <v>0</v>
      </c>
      <c r="AN38" s="42" t="b">
        <v>0</v>
      </c>
      <c r="AO38" s="45" t="b" cm="1">
        <f t="array" ref="AO38">AND(COUNTIF(AC38:AN38,FALSE)=0,SUMPRODUCT(ISNUMBER(AC38:AN38)*1)=0)</f>
        <v>0</v>
      </c>
      <c r="AP38" s="59"/>
      <c r="AQ38" s="111">
        <f>IF(AB38="",99999999999,IFERROR(MATCH(AB38,{"Produção Parcial","Em Produção","Programado","Não Iniciado","Desenvolv.","Concluído"},0),7)*100000000+IF(ISNUMBER(J38),J38-46000,9999)*10000+IF(A38="",99,A38)*100+IF(C38="",99,CODE(LEFT(C38,1))))</f>
        <v>302110477</v>
      </c>
      <c r="AR38"/>
      <c r="AS38"/>
    </row>
    <row r="39" spans="1:45" s="36" customFormat="1" ht="30" hidden="1" customHeight="1" x14ac:dyDescent="0.25">
      <c r="A39" s="36">
        <v>6</v>
      </c>
      <c r="B39" s="38" t="s">
        <v>121</v>
      </c>
      <c r="C39" s="70" t="str">
        <f>INDEX([1]Produtos!$G:$G,MATCH($D39,[1]Produtos!$B:$B,0))</f>
        <v>HABIBI PERFUMES</v>
      </c>
      <c r="D39" s="24" t="s">
        <v>124</v>
      </c>
      <c r="E39" s="70" t="str">
        <f>INDEX([1]Produtos!$C:$C,MATCH($D39,[1]Produtos!$B:$B,0))&amp;IF($F39&lt;&gt;"-"," - "&amp;LEFT($F39,1),"")&amp;" &gt; "&amp;$B39</f>
        <v>HIDRATANTE BISNAGA ANGELUS 200g - 3 &gt; HABIBI 01</v>
      </c>
      <c r="F39" s="51" t="s">
        <v>85</v>
      </c>
      <c r="G39" s="38">
        <v>46160</v>
      </c>
      <c r="H39" s="39">
        <v>4000</v>
      </c>
      <c r="I39" s="24" t="s">
        <v>39</v>
      </c>
      <c r="J39" s="68" cm="1">
        <f t="array" ref="J39">IFERROR(INDEX('[2]Previsão Envase'!$D$5:$D$4867, MATCH(1,('[2]Previsão Envase'!$F$5:$F$4867=$E39)+('[2]Previsão Envase'!$G$5:$G$4867=$E39)+('[2]Previsão Envase'!$H$5:$H$4867=$E39),0)),"")</f>
        <v>46211</v>
      </c>
      <c r="K39" s="68" t="str">
        <f>IF(COUNTIF('[2]Previsão Envase'!$F:$F,E39)&gt;0,"Linha 1",
IF(COUNTIF('[2]Previsão Envase'!$G:$G,E39)&gt;0,"Linha 2",
IF(COUNTIF('[2]Previsão Envase'!$H:$H,E39)&gt;0,"Linha 3","")))</f>
        <v>Linha 3</v>
      </c>
      <c r="L39" s="96">
        <f>COUNTIF('[2]Previsão Envase'!$F:$H,E39)-COUNTIF('[2]Previsão Envase'!$F$1:$H$4,E39)</f>
        <v>5</v>
      </c>
      <c r="M39" s="35">
        <f t="shared" si="19"/>
        <v>3066.9943017582491</v>
      </c>
      <c r="N39" s="68" t="str">
        <f>IFERROR(MAX(_xlfn.MAXIFS('[2]Controle de Produção'!$C:$C,'[2]Controle de Produção'!$L:$L,$D39,'[2]Controle de Produção'!$P:$P,$C39,'[2]Controle de Produção'!$G:$G,$B39),_xlfn.MAXIFS([3]EXPEDIÇÃO!$N:$N,[3]EXPEDIÇÃO!$E:$E,$D39,[3]EXPEDIÇÃO!$D:$D,$C39,[3]EXPEDIÇÃO!$N:$N,"&gt;="&amp;$G39)),"")</f>
        <v/>
      </c>
      <c r="O39" s="70">
        <f>INDEX([1]Produtos!$E:$E,MATCH($D39,[1]Produtos!$B:$B,0))</f>
        <v>200</v>
      </c>
      <c r="P39" s="70" t="str">
        <f>INDEX([1]Produtos!$F:$F,MATCH($D39,[1]Produtos!$B:$B,0))</f>
        <v>g</v>
      </c>
      <c r="Q39" s="105">
        <f>INDEX([1]Produtos!$Y:$Y,MATCH($D39,[1]Produtos!$B:$B,0))</f>
        <v>2</v>
      </c>
      <c r="R39" s="35">
        <f t="shared" si="20"/>
        <v>5520.5897431648482</v>
      </c>
      <c r="S39" s="27">
        <f>IFERROR(INDEX([1]Produtos!$L:$L,MATCH(D39,[1]Produtos!$B:$B,0)), "")</f>
        <v>613.39886035164977</v>
      </c>
      <c r="T39" s="28">
        <f t="shared" si="21"/>
        <v>6.6</v>
      </c>
      <c r="U39" s="28" t="str">
        <f t="shared" si="22"/>
        <v>0D e 7h</v>
      </c>
      <c r="V39" s="27">
        <f>IFERROR(SUMIFS('[2]Controle de Produção'!$K:$K,'[2]Controle de Produção'!$L:$L,D39,'[2]Controle de Produção'!$P:$P,C39,'[2]Controle de Produção'!$B:$B,"&gt;=" &amp; G39,'[2]Controle de Produção'!$C:$C,"&lt;=" &amp; N39, '[2]Controle de Produção'!$G:$G,B39), "")</f>
        <v>0</v>
      </c>
      <c r="W39" s="27" t="str">
        <f>IFERROR(SUMIFS([3]EXPEDIÇÃO!$K:$K,[3]EXPEDIÇÃO!$E:$E,D39,[3]EXPEDIÇÃO!$D:$D,C39,[3]EXPEDIÇÃO!$N:$N,"&gt;=" &amp; G39,[3]EXPEDIÇÃO!$N:$N,"&lt;="&amp;N39), "")</f>
        <v/>
      </c>
      <c r="X39" s="27">
        <f>COUNTIFS('[2]Controle de Produção'!$P:$P,C39,'[2]Controle de Produção'!$L:$L,D39,'[2]Controle de Produção'!$B:$B,"&gt;=" &amp; G39)</f>
        <v>0</v>
      </c>
      <c r="Y39" s="27" t="str">
        <f t="shared" si="23"/>
        <v>-</v>
      </c>
      <c r="Z39" s="27">
        <f>IFERROR(COUNTIFS('[2]Controle de Produção'!$L:$L,D39,'[2]Controle de Produção'!$P:$P,C39,'[2]Controle de Produção'!$B:$B,"&gt;=" &amp; G39,'[2]Controle de Produção'!$C:$C,"&lt;=" &amp; N39, '[2]Controle de Produção'!$G:$G,B39), "")</f>
        <v>0</v>
      </c>
      <c r="AA39" s="108" t="str">
        <f t="shared" si="24"/>
        <v/>
      </c>
      <c r="AB39" s="41" t="str" cm="1">
        <f t="array" ref="AB39">_xlfn.IFS((H39*0.95)&lt;=V39,"Concluído",AND(V39 =0, J39&lt;&gt;""),"Programado",AND(V39=0,D39=""),"Desenvolv.",V39=0,"Não Iniciado",AND(V39&gt;0,V39&lt;H39,AO39=TRUE),"Em Produção",AND(V39&gt;0,V39&lt;H39,AO39=FALSE),"Produção Parcial")</f>
        <v>Programado</v>
      </c>
      <c r="AC39" s="42" t="b">
        <v>1</v>
      </c>
      <c r="AD39" s="42" t="b">
        <v>1</v>
      </c>
      <c r="AE39" s="32" t="s">
        <v>38</v>
      </c>
      <c r="AF39" s="32" t="b">
        <v>1</v>
      </c>
      <c r="AG39" s="42" t="b">
        <v>1</v>
      </c>
      <c r="AH39" s="32" t="b">
        <v>1</v>
      </c>
      <c r="AI39" s="32" t="s">
        <v>38</v>
      </c>
      <c r="AJ39" s="32" t="b">
        <v>1</v>
      </c>
      <c r="AK39" s="90" t="s">
        <v>38</v>
      </c>
      <c r="AL39" s="42" t="b">
        <v>1</v>
      </c>
      <c r="AM39" s="42" t="b">
        <v>1</v>
      </c>
      <c r="AN39" s="42" t="b">
        <v>1</v>
      </c>
      <c r="AO39" s="45" t="b" cm="1">
        <f t="array" ref="AO39">AND(COUNTIF(AC39:AN39,FALSE)=0,SUMPRODUCT(ISNUMBER(AC39:AN39)*1)=0)</f>
        <v>1</v>
      </c>
      <c r="AP39" s="59"/>
      <c r="AQ39" s="111">
        <f>IF(AB39="",99999999999,IFERROR(MATCH(AB39,{"Produção Parcial","Em Produção","Programado","Não Iniciado","Desenvolv.","Concluído"},0),7)*100000000+IF(ISNUMBER(J39),J39-46000,9999)*10000+IF(A39="",99,A39)*100+IF(C39="",99,CODE(LEFT(C39,1))))</f>
        <v>302110672</v>
      </c>
    </row>
    <row r="40" spans="1:45" s="36" customFormat="1" ht="30" hidden="1" customHeight="1" x14ac:dyDescent="0.25">
      <c r="A40" s="36">
        <v>4</v>
      </c>
      <c r="B40" s="112" t="s">
        <v>452</v>
      </c>
      <c r="C40" s="70" t="str">
        <f>INDEX([1]Produtos!$G:$G,MATCH($D40,[1]Produtos!$B:$B,0))</f>
        <v>MISS RÔSE</v>
      </c>
      <c r="D40" s="24" t="s">
        <v>37</v>
      </c>
      <c r="E40" s="70" t="str">
        <f>INDEX([1]Produtos!$C:$C,MATCH($D40,[1]Produtos!$B:$B,0))&amp;IF($F40&lt;&gt;"-"," - "&amp;LEFT($F40,1),"")&amp;" &gt; "&amp;$B40</f>
        <v>BODY SPLASH ROSA RAINHA 200ml &gt; 0011</v>
      </c>
      <c r="F40" s="51" t="s">
        <v>38</v>
      </c>
      <c r="G40" s="38">
        <v>46169</v>
      </c>
      <c r="H40" s="39">
        <v>30000</v>
      </c>
      <c r="I40" s="24" t="s">
        <v>42</v>
      </c>
      <c r="J40" s="68" cm="1">
        <f t="array" ref="J40">IFERROR(INDEX('[2]Previsão Envase'!$D$5:$D$4867, MATCH(1,('[2]Previsão Envase'!$F$5:$F$4867=$E40)+('[2]Previsão Envase'!$G$5:$G$4867=$E40)+('[2]Previsão Envase'!$H$5:$H$4867=$E40),0)),"")</f>
        <v>46216</v>
      </c>
      <c r="K40" s="68" t="str">
        <f>IF(COUNTIF('[2]Previsão Envase'!$F:$F,E40)&gt;0,"Linha 1",
IF(COUNTIF('[2]Previsão Envase'!$G:$G,E40)&gt;0,"Linha 2",
IF(COUNTIF('[2]Previsão Envase'!$H:$H,E40)&gt;0,"Linha 3","")))</f>
        <v>Linha 1</v>
      </c>
      <c r="L40" s="96">
        <f>COUNTIF('[2]Previsão Envase'!$F:$H,E40)-COUNTIF('[2]Previsão Envase'!$F$1:$H$4,E40)</f>
        <v>12</v>
      </c>
      <c r="M40" s="35">
        <f t="shared" si="19"/>
        <v>10123.05361150227</v>
      </c>
      <c r="N40" s="68" t="str">
        <f>IFERROR(MAX(_xlfn.MAXIFS('[2]Controle de Produção'!$C:$C,'[2]Controle de Produção'!$L:$L,$D40,'[2]Controle de Produção'!$P:$P,$C40,'[2]Controle de Produção'!$G:$G,$B40),_xlfn.MAXIFS([3]EXPEDIÇÃO!$N:$N,[3]EXPEDIÇÃO!$E:$E,$D40,[3]EXPEDIÇÃO!$D:$D,$C40,[3]EXPEDIÇÃO!$N:$N,"&gt;="&amp;$G40)),"")</f>
        <v/>
      </c>
      <c r="O40" s="70">
        <f>INDEX([1]Produtos!$E:$E,MATCH($D40,[1]Produtos!$B:$B,0))</f>
        <v>215</v>
      </c>
      <c r="P40" s="70" t="str">
        <f>INDEX([1]Produtos!$F:$F,MATCH($D40,[1]Produtos!$B:$B,0))</f>
        <v>ml</v>
      </c>
      <c r="Q40" s="105">
        <f>INDEX([1]Produtos!$Y:$Y,MATCH($D40,[1]Produtos!$B:$B,0))</f>
        <v>0.85</v>
      </c>
      <c r="R40" s="35">
        <f t="shared" si="20"/>
        <v>7592.2902086267013</v>
      </c>
      <c r="S40" s="27">
        <f>IFERROR(INDEX([1]Produtos!$L:$L,MATCH(D40,[1]Produtos!$B:$B,0)), "")</f>
        <v>843.58780095852239</v>
      </c>
      <c r="T40" s="28">
        <f t="shared" si="21"/>
        <v>35.6</v>
      </c>
      <c r="U40" s="28" t="str">
        <f t="shared" si="22"/>
        <v>4D e 1h</v>
      </c>
      <c r="V40" s="57">
        <f>IFERROR(SUMIFS('[2]Controle de Produção'!$K:$K,'[2]Controle de Produção'!$L:$L,D40,'[2]Controle de Produção'!$P:$P,C40,'[2]Controle de Produção'!$B:$B,"&gt;=" &amp; G40,'[2]Controle de Produção'!$C:$C,"&lt;=" &amp; N40, '[2]Controle de Produção'!$G:$G,B40), "")</f>
        <v>0</v>
      </c>
      <c r="W40" s="27" t="str">
        <f>IFERROR(SUMIFS([3]EXPEDIÇÃO!$K:$K,[3]EXPEDIÇÃO!$E:$E,D40,[3]EXPEDIÇÃO!$D:$D,C40,[3]EXPEDIÇÃO!$N:$N,"&gt;=" &amp; G40,[3]EXPEDIÇÃO!$N:$N,"&lt;="&amp;N40), "")</f>
        <v/>
      </c>
      <c r="X40" s="27">
        <f>COUNTIFS('[2]Controle de Produção'!$P:$P,C40,'[2]Controle de Produção'!$L:$L,D40,'[2]Controle de Produção'!$B:$B,"&gt;=" &amp; G40)</f>
        <v>3</v>
      </c>
      <c r="Y40" s="27">
        <f t="shared" si="23"/>
        <v>0</v>
      </c>
      <c r="Z40" s="27">
        <f>IFERROR(COUNTIFS('[2]Controle de Produção'!$L:$L,D40,'[2]Controle de Produção'!$P:$P,C40,'[2]Controle de Produção'!$B:$B,"&gt;=" &amp; G40,'[2]Controle de Produção'!$C:$C,"&lt;=" &amp; N40, '[2]Controle de Produção'!$G:$G,B40), "")</f>
        <v>0</v>
      </c>
      <c r="AA40" s="108" t="str">
        <f t="shared" si="24"/>
        <v/>
      </c>
      <c r="AB40" s="41" t="str" cm="1">
        <f t="array" ref="AB40">_xlfn.IFS((H40*0.95)&lt;=V40,"Concluído",AND(V40 =0, J40&lt;&gt;""),"Programado",AND(V40=0,D40=""),"Desenvolv.",V40=0,"Não Iniciado",AND(V40&gt;0,V40&lt;H40,AO40=TRUE),"Em Produção",AND(V40&gt;0,V40&lt;H40,AO40=FALSE),"Produção Parcial")</f>
        <v>Programado</v>
      </c>
      <c r="AC40" s="42" t="b">
        <v>0</v>
      </c>
      <c r="AD40" s="42" t="b">
        <v>0</v>
      </c>
      <c r="AE40" s="32" t="b">
        <v>1</v>
      </c>
      <c r="AF40" s="32" t="b">
        <v>0</v>
      </c>
      <c r="AG40" s="42" t="b">
        <v>0</v>
      </c>
      <c r="AH40" s="32" t="b">
        <v>0</v>
      </c>
      <c r="AI40" s="32" t="b">
        <v>0</v>
      </c>
      <c r="AJ40" s="32" t="b">
        <v>0</v>
      </c>
      <c r="AK40" s="90" t="s">
        <v>38</v>
      </c>
      <c r="AL40" s="42" t="b">
        <v>0</v>
      </c>
      <c r="AM40" s="42" t="b">
        <v>0</v>
      </c>
      <c r="AN40" s="42" t="b">
        <v>0</v>
      </c>
      <c r="AO40" s="45" t="b" cm="1">
        <f t="array" ref="AO40">AND(COUNTIF(AC40:AN40,FALSE)=0,SUMPRODUCT(ISNUMBER(AC40:AN40)*1)=0)</f>
        <v>0</v>
      </c>
      <c r="AP40" s="59"/>
      <c r="AQ40" s="111">
        <f>IF(AB40="",99999999999,IFERROR(MATCH(AB40,{"Produção Parcial","Em Produção","Programado","Não Iniciado","Desenvolv.","Concluído"},0),7)*100000000+IF(ISNUMBER(J40),J40-46000,9999)*10000+IF(A40="",99,A40)*100+IF(C40="",99,CODE(LEFT(C40,1))))</f>
        <v>302160477</v>
      </c>
    </row>
    <row r="41" spans="1:45" s="36" customFormat="1" ht="25.15" hidden="1" customHeight="1" x14ac:dyDescent="0.25">
      <c r="A41" s="36">
        <v>0</v>
      </c>
      <c r="B41" s="38" t="s">
        <v>158</v>
      </c>
      <c r="C41" s="70" t="str">
        <f>INDEX([1]Produtos!$G:$G,MATCH($D41,[1]Produtos!$B:$B,0))</f>
        <v>AMEERATI</v>
      </c>
      <c r="D41" s="24" t="s">
        <v>176</v>
      </c>
      <c r="E41" s="70" t="str">
        <f>INDEX([1]Produtos!$C:$C,MATCH($D41,[1]Produtos!$B:$B,0))&amp;IF($F41&lt;&gt;"-"," - "&amp;LEFT($F41,1),"")&amp;" &gt; "&amp;$B41</f>
        <v>BODY MIST BAUNILHA SELVAGEM - 2 &gt; AMEERATI 01</v>
      </c>
      <c r="F41" s="51">
        <v>2</v>
      </c>
      <c r="G41" s="38">
        <v>46013</v>
      </c>
      <c r="H41" s="39">
        <f>3360-840</f>
        <v>2520</v>
      </c>
      <c r="I41" s="24" t="s">
        <v>39</v>
      </c>
      <c r="J41" s="68" t="str" cm="1">
        <f t="array" ref="J41">IFERROR(INDEX('[2]Previsão Envase'!$D$5:$D$4867, MATCH(1,('[2]Previsão Envase'!$F$5:$F$4867=$E41)+('[2]Previsão Envase'!$G$5:$G$4867=$E41)+('[2]Previsão Envase'!$H$5:$H$4867=$E41),0)),"")</f>
        <v/>
      </c>
      <c r="K41" s="68" t="str">
        <f>IF(COUNTIF('[2]Previsão Envase'!$F:$F,E41)&gt;0,"Linha 1",
IF(COUNTIF('[2]Previsão Envase'!$G:$G,E41)&gt;0,"Linha 2",
IF(COUNTIF('[2]Previsão Envase'!$H:$H,E41)&gt;0,"Linha 3","")))</f>
        <v/>
      </c>
      <c r="L41" s="96">
        <f>COUNTIF('[2]Previsão Envase'!$F:$H,E41)-COUNTIF('[2]Previsão Envase'!$F$1:$H$4,E41)</f>
        <v>0</v>
      </c>
      <c r="M41" s="35">
        <f t="shared" si="19"/>
        <v>0</v>
      </c>
      <c r="N41" s="68" t="str">
        <f>IFERROR(MAX(_xlfn.MAXIFS('[2]Controle de Produção'!$C:$C,'[2]Controle de Produção'!$L:$L,$D41,'[2]Controle de Produção'!$P:$P,$C41,'[2]Controle de Produção'!$G:$G,$B41),_xlfn.MAXIFS([3]EXPEDIÇÃO!$N:$N,[3]EXPEDIÇÃO!$E:$E,$D41,[3]EXPEDIÇÃO!$D:$D,$C41,[3]EXPEDIÇÃO!$N:$N,"&gt;="&amp;$G41)),"")</f>
        <v/>
      </c>
      <c r="O41" s="70">
        <f>INDEX([1]Produtos!$E:$E,MATCH($D41,[1]Produtos!$B:$B,0))</f>
        <v>250</v>
      </c>
      <c r="P41" s="70" t="str">
        <f>INDEX([1]Produtos!$F:$F,MATCH($D41,[1]Produtos!$B:$B,0))</f>
        <v>ml</v>
      </c>
      <c r="Q41" s="105">
        <f>INDEX([1]Produtos!$Y:$Y,MATCH($D41,[1]Produtos!$B:$B,0))</f>
        <v>1.35</v>
      </c>
      <c r="R41" s="35">
        <f t="shared" si="20"/>
        <v>7592.2902086267013</v>
      </c>
      <c r="S41" s="27">
        <f>IFERROR(INDEX([1]Produtos!$L:$L,MATCH(D41,[1]Produtos!$B:$B,0)), "")</f>
        <v>843.58780095852239</v>
      </c>
      <c r="T41" s="28">
        <f t="shared" si="21"/>
        <v>3</v>
      </c>
      <c r="U41" s="28" t="str">
        <f t="shared" si="22"/>
        <v>0D e 3h</v>
      </c>
      <c r="V41" s="27">
        <f>IFERROR(SUMIFS('[2]Controle de Produção'!$K:$K,'[2]Controle de Produção'!$L:$L,D41,'[2]Controle de Produção'!$P:$P,C41,'[2]Controle de Produção'!$B:$B,"&gt;=" &amp; G41,'[2]Controle de Produção'!$C:$C,"&lt;=" &amp; N41, '[2]Controle de Produção'!$G:$G,B41), "")</f>
        <v>0</v>
      </c>
      <c r="W41" s="27" t="str">
        <f>IFERROR(SUMIFS([3]EXPEDIÇÃO!$K:$K,[3]EXPEDIÇÃO!$E:$E,D41,[3]EXPEDIÇÃO!$D:$D,C41,[3]EXPEDIÇÃO!$N:$N,"&gt;=" &amp; G41,[3]EXPEDIÇÃO!$N:$N,"&lt;="&amp;N41), "")</f>
        <v/>
      </c>
      <c r="X41" s="27">
        <f>COUNTIFS('[2]Controle de Produção'!$P:$P,C41,'[2]Controle de Produção'!$L:$L,D41,'[2]Controle de Produção'!$B:$B,"&gt;=" &amp; G41)</f>
        <v>2</v>
      </c>
      <c r="Y41" s="27">
        <f t="shared" si="23"/>
        <v>0</v>
      </c>
      <c r="Z41" s="27">
        <f>IFERROR(COUNTIFS('[2]Controle de Produção'!$L:$L,D41,'[2]Controle de Produção'!$P:$P,C41,'[2]Controle de Produção'!$B:$B,"&gt;=" &amp; G41,'[2]Controle de Produção'!$C:$C,"&lt;=" &amp; N41, '[2]Controle de Produção'!$G:$G,B41), "")</f>
        <v>0</v>
      </c>
      <c r="AA41" s="108" t="str">
        <f t="shared" si="24"/>
        <v/>
      </c>
      <c r="AB41" s="41" t="str" cm="1">
        <f t="array" ref="AB41">_xlfn.IFS((H41*0.95)&lt;=V41,"Concluído",AND(V41 =0, J41&lt;&gt;""),"Programado",AND(V41=0,D41=""),"Desenvolv.",V41=0,"Não Iniciado",AND(V41&gt;0,V41&lt;H41,AO41=TRUE),"Em Produção",AND(V41&gt;0,V41&lt;H41,AO41=FALSE),"Produção Parcial")</f>
        <v>Não Iniciado</v>
      </c>
      <c r="AC41" s="42" t="b">
        <v>1</v>
      </c>
      <c r="AD41" s="42" t="b">
        <v>1</v>
      </c>
      <c r="AE41" s="32" t="b">
        <v>1</v>
      </c>
      <c r="AF41" s="42" t="b">
        <v>1</v>
      </c>
      <c r="AG41" s="42" t="s">
        <v>38</v>
      </c>
      <c r="AH41" s="32" t="s">
        <v>38</v>
      </c>
      <c r="AI41" s="32" t="b">
        <v>1</v>
      </c>
      <c r="AJ41" s="32" t="b">
        <v>1</v>
      </c>
      <c r="AK41" s="90" t="s">
        <v>38</v>
      </c>
      <c r="AL41" s="42" t="b">
        <v>1</v>
      </c>
      <c r="AM41" s="42" t="b">
        <v>1</v>
      </c>
      <c r="AN41" s="42" t="b">
        <v>1</v>
      </c>
      <c r="AO41" s="45" t="b" cm="1">
        <f t="array" ref="AO41">AND(COUNTIF(AC41:AN41,FALSE)=0,SUMPRODUCT(ISNUMBER(AC41:AN41)*1)=0)</f>
        <v>1</v>
      </c>
      <c r="AP41" s="59"/>
      <c r="AQ41" s="111">
        <f>IF(AB41="",99999999999,IFERROR(MATCH(AB41,{"Produção Parcial","Em Produção","Programado","Não Iniciado","Desenvolv.","Concluído"},0),7)*100000000+IF(ISNUMBER(J41),J41-46000,9999)*10000+IF(A41="",99,A41)*100+IF(C41="",99,CODE(LEFT(C41,1))))</f>
        <v>499990065</v>
      </c>
    </row>
    <row r="42" spans="1:45" s="36" customFormat="1" ht="25.15" hidden="1" customHeight="1" x14ac:dyDescent="0.25">
      <c r="A42" s="36">
        <v>0</v>
      </c>
      <c r="B42" s="38" t="s">
        <v>158</v>
      </c>
      <c r="C42" s="70" t="str">
        <f>INDEX([1]Produtos!$G:$G,MATCH($D42,[1]Produtos!$B:$B,0))</f>
        <v>AMEERATI</v>
      </c>
      <c r="D42" s="24" t="s">
        <v>224</v>
      </c>
      <c r="E42" s="70" t="str">
        <f>INDEX([1]Produtos!$C:$C,MATCH($D42,[1]Produtos!$B:$B,0))&amp;IF($F42&lt;&gt;"-"," - "&amp;LEFT($F42,1),"")&amp;" &gt; "&amp;$B42</f>
        <v>BODY MIST ENCANTO PERSA - 1 &gt; AMEERATI 01</v>
      </c>
      <c r="F42" s="51">
        <v>1</v>
      </c>
      <c r="G42" s="38">
        <v>45959</v>
      </c>
      <c r="H42" s="39">
        <v>840</v>
      </c>
      <c r="I42" s="24" t="s">
        <v>39</v>
      </c>
      <c r="J42" s="68" t="str" cm="1">
        <f t="array" ref="J42">IFERROR(INDEX('[2]Previsão Envase'!$D$5:$D$4867, MATCH(1,('[2]Previsão Envase'!$F$5:$F$4867=$E42)+('[2]Previsão Envase'!$G$5:$G$4867=$E42)+('[2]Previsão Envase'!$H$5:$H$4867=$E42),0)),"")</f>
        <v/>
      </c>
      <c r="K42" s="68" t="str">
        <f>IF(COUNTIF('[2]Previsão Envase'!$F:$F,E42)&gt;0,"Linha 1",
IF(COUNTIF('[2]Previsão Envase'!$G:$G,E42)&gt;0,"Linha 2",
IF(COUNTIF('[2]Previsão Envase'!$H:$H,E42)&gt;0,"Linha 3","")))</f>
        <v/>
      </c>
      <c r="L42" s="96">
        <f>COUNTIF('[2]Previsão Envase'!$F:$H,E42)-COUNTIF('[2]Previsão Envase'!$F$1:$H$4,E42)</f>
        <v>0</v>
      </c>
      <c r="M42" s="35">
        <f t="shared" si="19"/>
        <v>0</v>
      </c>
      <c r="N42" s="68" t="str">
        <f>IFERROR(MAX(_xlfn.MAXIFS('[2]Controle de Produção'!$C:$C,'[2]Controle de Produção'!$L:$L,$D42,'[2]Controle de Produção'!$P:$P,$C42,'[2]Controle de Produção'!$G:$G,$B42),_xlfn.MAXIFS([3]EXPEDIÇÃO!$N:$N,[3]EXPEDIÇÃO!$E:$E,$D42,[3]EXPEDIÇÃO!$D:$D,$C42,[3]EXPEDIÇÃO!$N:$N,"&gt;="&amp;$G42)),"")</f>
        <v/>
      </c>
      <c r="O42" s="70">
        <f>INDEX([1]Produtos!$E:$E,MATCH($D42,[1]Produtos!$B:$B,0))</f>
        <v>250</v>
      </c>
      <c r="P42" s="70" t="str">
        <f>INDEX([1]Produtos!$F:$F,MATCH($D42,[1]Produtos!$B:$B,0))</f>
        <v>ml</v>
      </c>
      <c r="Q42" s="105">
        <f>INDEX([1]Produtos!$Y:$Y,MATCH($D42,[1]Produtos!$B:$B,0))</f>
        <v>1.35</v>
      </c>
      <c r="R42" s="35">
        <f t="shared" si="20"/>
        <v>7592.2902086267013</v>
      </c>
      <c r="S42" s="27">
        <f>IFERROR(INDEX([1]Produtos!$L:$L,MATCH(D42,[1]Produtos!$B:$B,0)), "")</f>
        <v>843.58780095852239</v>
      </c>
      <c r="T42" s="28">
        <f t="shared" si="21"/>
        <v>1</v>
      </c>
      <c r="U42" s="28" t="str">
        <f t="shared" si="22"/>
        <v>0D e 1h</v>
      </c>
      <c r="V42" s="27">
        <f>IFERROR(SUMIFS('[2]Controle de Produção'!$K:$K,'[2]Controle de Produção'!$L:$L,D42,'[2]Controle de Produção'!$P:$P,C42,'[2]Controle de Produção'!$B:$B,"&gt;=" &amp; G42,'[2]Controle de Produção'!$C:$C,"&lt;=" &amp; N42, '[2]Controle de Produção'!$G:$G,B42), "")</f>
        <v>0</v>
      </c>
      <c r="W42" s="27" t="str">
        <f>IFERROR(SUMIFS([3]EXPEDIÇÃO!$K:$K,[3]EXPEDIÇÃO!$E:$E,D42,[3]EXPEDIÇÃO!$D:$D,C42,[3]EXPEDIÇÃO!$N:$N,"&gt;=" &amp; G42,[3]EXPEDIÇÃO!$N:$N,"&lt;="&amp;N42), "")</f>
        <v/>
      </c>
      <c r="X42" s="27">
        <f>COUNTIFS('[2]Controle de Produção'!$P:$P,C42,'[2]Controle de Produção'!$L:$L,D42,'[2]Controle de Produção'!$B:$B,"&gt;=" &amp; G42)</f>
        <v>3</v>
      </c>
      <c r="Y42" s="27">
        <f t="shared" si="23"/>
        <v>0</v>
      </c>
      <c r="Z42" s="27">
        <f>IFERROR(COUNTIFS('[2]Controle de Produção'!$L:$L,D42,'[2]Controle de Produção'!$P:$P,C42,'[2]Controle de Produção'!$B:$B,"&gt;=" &amp; G42,'[2]Controle de Produção'!$C:$C,"&lt;=" &amp; N42, '[2]Controle de Produção'!$G:$G,B42), "")</f>
        <v>0</v>
      </c>
      <c r="AA42" s="108" t="str">
        <f t="shared" si="24"/>
        <v/>
      </c>
      <c r="AB42" s="41" t="str" cm="1">
        <f t="array" ref="AB42">_xlfn.IFS((H42*0.95)&lt;=V42,"Concluído",AND(V42 =0, J42&lt;&gt;""),"Programado",AND(V42=0,D42=""),"Desenvolv.",V42=0,"Não Iniciado",AND(V42&gt;0,V42&lt;H42,AO42=TRUE),"Em Produção",AND(V42&gt;0,V42&lt;H42,AO42=FALSE),"Produção Parcial")</f>
        <v>Não Iniciado</v>
      </c>
      <c r="AC42" s="42" t="b">
        <v>1</v>
      </c>
      <c r="AD42" s="42" t="b">
        <v>1</v>
      </c>
      <c r="AE42" s="32" t="b">
        <v>1</v>
      </c>
      <c r="AF42" s="42" t="b">
        <v>1</v>
      </c>
      <c r="AG42" s="42" t="s">
        <v>38</v>
      </c>
      <c r="AH42" s="32" t="s">
        <v>38</v>
      </c>
      <c r="AI42" s="42" t="b">
        <v>1</v>
      </c>
      <c r="AJ42" s="32" t="b">
        <v>1</v>
      </c>
      <c r="AK42" s="90" t="b">
        <v>0</v>
      </c>
      <c r="AL42" s="42" t="b">
        <v>1</v>
      </c>
      <c r="AM42" s="42" t="b">
        <v>1</v>
      </c>
      <c r="AN42" s="42" t="b">
        <v>1</v>
      </c>
      <c r="AO42" s="45" t="b" cm="1">
        <f t="array" ref="AO42">AND(COUNTIF(AC42:AN42,FALSE)=0,SUMPRODUCT(ISNUMBER(AC42:AN42)*1)=0)</f>
        <v>0</v>
      </c>
      <c r="AP42" s="59"/>
      <c r="AQ42" s="111">
        <f>IF(AB42="",99999999999,IFERROR(MATCH(AB42,{"Produção Parcial","Em Produção","Programado","Não Iniciado","Desenvolv.","Concluído"},0),7)*100000000+IF(ISNUMBER(J42),J42-46000,9999)*10000+IF(A42="",99,A42)*100+IF(C42="",99,CODE(LEFT(C42,1))))</f>
        <v>499990065</v>
      </c>
    </row>
    <row r="43" spans="1:45" s="36" customFormat="1" ht="25.15" hidden="1" customHeight="1" x14ac:dyDescent="0.25">
      <c r="A43" s="36">
        <v>0</v>
      </c>
      <c r="B43" s="38" t="s">
        <v>158</v>
      </c>
      <c r="C43" s="70" t="str">
        <f>INDEX([1]Produtos!$G:$G,MATCH($D43,[1]Produtos!$B:$B,0))</f>
        <v>AMEERATI</v>
      </c>
      <c r="D43" s="24" t="s">
        <v>224</v>
      </c>
      <c r="E43" s="70" t="str">
        <f>INDEX([1]Produtos!$C:$C,MATCH($D43,[1]Produtos!$B:$B,0))&amp;IF($F43&lt;&gt;"-"," - "&amp;LEFT($F43,1),"")&amp;" &gt; "&amp;$B43</f>
        <v>BODY MIST ENCANTO PERSA - 2 &gt; AMEERATI 01</v>
      </c>
      <c r="F43" s="51">
        <v>2</v>
      </c>
      <c r="G43" s="38">
        <v>46013</v>
      </c>
      <c r="H43" s="39">
        <f>3360-840</f>
        <v>2520</v>
      </c>
      <c r="I43" s="24" t="s">
        <v>39</v>
      </c>
      <c r="J43" s="68" t="str" cm="1">
        <f t="array" ref="J43">IFERROR(INDEX('[2]Previsão Envase'!$D$5:$D$4867, MATCH(1,('[2]Previsão Envase'!$F$5:$F$4867=$E43)+('[2]Previsão Envase'!$G$5:$G$4867=$E43)+('[2]Previsão Envase'!$H$5:$H$4867=$E43),0)),"")</f>
        <v/>
      </c>
      <c r="K43" s="68" t="str">
        <f>IF(COUNTIF('[2]Previsão Envase'!$F:$F,E43)&gt;0,"Linha 1",
IF(COUNTIF('[2]Previsão Envase'!$G:$G,E43)&gt;0,"Linha 2",
IF(COUNTIF('[2]Previsão Envase'!$H:$H,E43)&gt;0,"Linha 3","")))</f>
        <v/>
      </c>
      <c r="L43" s="96">
        <f>COUNTIF('[2]Previsão Envase'!$F:$H,E43)-COUNTIF('[2]Previsão Envase'!$F$1:$H$4,E43)</f>
        <v>0</v>
      </c>
      <c r="M43" s="35">
        <f t="shared" si="19"/>
        <v>0</v>
      </c>
      <c r="N43" s="68" t="str">
        <f>IFERROR(MAX(_xlfn.MAXIFS('[2]Controle de Produção'!$C:$C,'[2]Controle de Produção'!$L:$L,$D43,'[2]Controle de Produção'!$P:$P,$C43,'[2]Controle de Produção'!$G:$G,$B43),_xlfn.MAXIFS([3]EXPEDIÇÃO!$N:$N,[3]EXPEDIÇÃO!$E:$E,$D43,[3]EXPEDIÇÃO!$D:$D,$C43,[3]EXPEDIÇÃO!$N:$N,"&gt;="&amp;$G43)),"")</f>
        <v/>
      </c>
      <c r="O43" s="70">
        <f>INDEX([1]Produtos!$E:$E,MATCH($D43,[1]Produtos!$B:$B,0))</f>
        <v>250</v>
      </c>
      <c r="P43" s="70" t="str">
        <f>INDEX([1]Produtos!$F:$F,MATCH($D43,[1]Produtos!$B:$B,0))</f>
        <v>ml</v>
      </c>
      <c r="Q43" s="105">
        <f>INDEX([1]Produtos!$Y:$Y,MATCH($D43,[1]Produtos!$B:$B,0))</f>
        <v>1.35</v>
      </c>
      <c r="R43" s="35">
        <f t="shared" si="20"/>
        <v>7592.2902086267013</v>
      </c>
      <c r="S43" s="27">
        <f>IFERROR(INDEX([1]Produtos!$L:$L,MATCH(D43,[1]Produtos!$B:$B,0)), "")</f>
        <v>843.58780095852239</v>
      </c>
      <c r="T43" s="28">
        <f t="shared" si="21"/>
        <v>3</v>
      </c>
      <c r="U43" s="28" t="str">
        <f t="shared" si="22"/>
        <v>0D e 3h</v>
      </c>
      <c r="V43" s="27">
        <f>IFERROR(SUMIFS('[2]Controle de Produção'!$K:$K,'[2]Controle de Produção'!$L:$L,D43,'[2]Controle de Produção'!$P:$P,C43,'[2]Controle de Produção'!$B:$B,"&gt;=" &amp; G43,'[2]Controle de Produção'!$C:$C,"&lt;=" &amp; N43, '[2]Controle de Produção'!$G:$G,B43), "")</f>
        <v>0</v>
      </c>
      <c r="W43" s="27" t="str">
        <f>IFERROR(SUMIFS([3]EXPEDIÇÃO!$K:$K,[3]EXPEDIÇÃO!$E:$E,D43,[3]EXPEDIÇÃO!$D:$D,C43,[3]EXPEDIÇÃO!$N:$N,"&gt;=" &amp; G43,[3]EXPEDIÇÃO!$N:$N,"&lt;="&amp;N43), "")</f>
        <v/>
      </c>
      <c r="X43" s="27">
        <f>COUNTIFS('[2]Controle de Produção'!$P:$P,C43,'[2]Controle de Produção'!$L:$L,D43,'[2]Controle de Produção'!$B:$B,"&gt;=" &amp; G43)</f>
        <v>2</v>
      </c>
      <c r="Y43" s="27">
        <f t="shared" si="23"/>
        <v>0</v>
      </c>
      <c r="Z43" s="27">
        <f>IFERROR(COUNTIFS('[2]Controle de Produção'!$L:$L,D43,'[2]Controle de Produção'!$P:$P,C43,'[2]Controle de Produção'!$B:$B,"&gt;=" &amp; G43,'[2]Controle de Produção'!$C:$C,"&lt;=" &amp; N43, '[2]Controle de Produção'!$G:$G,B43), "")</f>
        <v>0</v>
      </c>
      <c r="AA43" s="108" t="str">
        <f t="shared" si="24"/>
        <v/>
      </c>
      <c r="AB43" s="41" t="str" cm="1">
        <f t="array" ref="AB43">_xlfn.IFS((H43*0.95)&lt;=V43,"Concluído",AND(V43 =0, J43&lt;&gt;""),"Programado",AND(V43=0,D43=""),"Desenvolv.",V43=0,"Não Iniciado",AND(V43&gt;0,V43&lt;H43,AO43=TRUE),"Em Produção",AND(V43&gt;0,V43&lt;H43,AO43=FALSE),"Produção Parcial")</f>
        <v>Não Iniciado</v>
      </c>
      <c r="AC43" s="42" t="b">
        <v>1</v>
      </c>
      <c r="AD43" s="42" t="b">
        <v>1</v>
      </c>
      <c r="AE43" s="32" t="b">
        <v>1</v>
      </c>
      <c r="AF43" s="42" t="b">
        <v>1</v>
      </c>
      <c r="AG43" s="42" t="s">
        <v>38</v>
      </c>
      <c r="AH43" s="32" t="s">
        <v>38</v>
      </c>
      <c r="AI43" s="42" t="b">
        <v>1</v>
      </c>
      <c r="AJ43" s="32" t="b">
        <v>1</v>
      </c>
      <c r="AK43" s="90" t="s">
        <v>38</v>
      </c>
      <c r="AL43" s="42" t="b">
        <v>1</v>
      </c>
      <c r="AM43" s="42" t="b">
        <v>1</v>
      </c>
      <c r="AN43" s="42" t="b">
        <v>1</v>
      </c>
      <c r="AO43" s="45" t="b" cm="1">
        <f t="array" ref="AO43">AND(COUNTIF(AC43:AN43,FALSE)=0,SUMPRODUCT(ISNUMBER(AC43:AN43)*1)=0)</f>
        <v>1</v>
      </c>
      <c r="AP43" s="59"/>
      <c r="AQ43" s="111">
        <f>IF(AB43="",99999999999,IFERROR(MATCH(AB43,{"Produção Parcial","Em Produção","Programado","Não Iniciado","Desenvolv.","Concluído"},0),7)*100000000+IF(ISNUMBER(J43),J43-46000,9999)*10000+IF(A43="",99,A43)*100+IF(C43="",99,CODE(LEFT(C43,1))))</f>
        <v>499990065</v>
      </c>
    </row>
    <row r="44" spans="1:45" s="36" customFormat="1" ht="25.15" hidden="1" customHeight="1" x14ac:dyDescent="0.25">
      <c r="A44" s="36">
        <v>0</v>
      </c>
      <c r="B44" s="38" t="s">
        <v>158</v>
      </c>
      <c r="C44" s="70" t="str">
        <f>INDEX([1]Produtos!$G:$G,MATCH($D44,[1]Produtos!$B:$B,0))</f>
        <v>AMEERATI</v>
      </c>
      <c r="D44" s="24" t="s">
        <v>253</v>
      </c>
      <c r="E44" s="70" t="str">
        <f>INDEX([1]Produtos!$C:$C,MATCH($D44,[1]Produtos!$B:$B,0))&amp;IF($F44&lt;&gt;"-"," - "&amp;LEFT($F44,1),"")&amp;" &gt; "&amp;$B44</f>
        <v>BODY MIST FLOR DO DESERTO - 1 &gt; AMEERATI 01</v>
      </c>
      <c r="F44" s="51">
        <v>1</v>
      </c>
      <c r="G44" s="38">
        <v>45959</v>
      </c>
      <c r="H44" s="39">
        <v>840</v>
      </c>
      <c r="I44" s="24" t="s">
        <v>39</v>
      </c>
      <c r="J44" s="68" t="str" cm="1">
        <f t="array" ref="J44">IFERROR(INDEX('[2]Previsão Envase'!$D$5:$D$4867, MATCH(1,('[2]Previsão Envase'!$F$5:$F$4867=$E44)+('[2]Previsão Envase'!$G$5:$G$4867=$E44)+('[2]Previsão Envase'!$H$5:$H$4867=$E44),0)),"")</f>
        <v/>
      </c>
      <c r="K44" s="68" t="str">
        <f>IF(COUNTIF('[2]Previsão Envase'!$F:$F,E44)&gt;0,"Linha 1",
IF(COUNTIF('[2]Previsão Envase'!$G:$G,E44)&gt;0,"Linha 2",
IF(COUNTIF('[2]Previsão Envase'!$H:$H,E44)&gt;0,"Linha 3","")))</f>
        <v/>
      </c>
      <c r="L44" s="96">
        <f>COUNTIF('[2]Previsão Envase'!$F:$H,E44)-COUNTIF('[2]Previsão Envase'!$F$1:$H$4,E44)</f>
        <v>0</v>
      </c>
      <c r="M44" s="35">
        <f t="shared" si="19"/>
        <v>0</v>
      </c>
      <c r="N44" s="68" t="str">
        <f>IFERROR(MAX(_xlfn.MAXIFS('[2]Controle de Produção'!$C:$C,'[2]Controle de Produção'!$L:$L,$D44,'[2]Controle de Produção'!$P:$P,$C44,'[2]Controle de Produção'!$G:$G,$B44),_xlfn.MAXIFS([3]EXPEDIÇÃO!$N:$N,[3]EXPEDIÇÃO!$E:$E,$D44,[3]EXPEDIÇÃO!$D:$D,$C44,[3]EXPEDIÇÃO!$N:$N,"&gt;="&amp;$G44)),"")</f>
        <v/>
      </c>
      <c r="O44" s="70">
        <f>INDEX([1]Produtos!$E:$E,MATCH($D44,[1]Produtos!$B:$B,0))</f>
        <v>250</v>
      </c>
      <c r="P44" s="70" t="str">
        <f>INDEX([1]Produtos!$F:$F,MATCH($D44,[1]Produtos!$B:$B,0))</f>
        <v>ml</v>
      </c>
      <c r="Q44" s="105">
        <f>INDEX([1]Produtos!$Y:$Y,MATCH($D44,[1]Produtos!$B:$B,0))</f>
        <v>1.35</v>
      </c>
      <c r="R44" s="35">
        <f t="shared" si="20"/>
        <v>7592.2902086267013</v>
      </c>
      <c r="S44" s="27">
        <f>IFERROR(INDEX([1]Produtos!$L:$L,MATCH(D44,[1]Produtos!$B:$B,0)), "")</f>
        <v>843.58780095852239</v>
      </c>
      <c r="T44" s="28">
        <f t="shared" si="21"/>
        <v>1</v>
      </c>
      <c r="U44" s="28" t="str">
        <f t="shared" si="22"/>
        <v>0D e 1h</v>
      </c>
      <c r="V44" s="27">
        <f>IFERROR(SUMIFS('[2]Controle de Produção'!$K:$K,'[2]Controle de Produção'!$L:$L,D44,'[2]Controle de Produção'!$P:$P,C44,'[2]Controle de Produção'!$B:$B,"&gt;=" &amp; G44,'[2]Controle de Produção'!$C:$C,"&lt;=" &amp; N44, '[2]Controle de Produção'!$G:$G,B44), "")</f>
        <v>0</v>
      </c>
      <c r="W44" s="27" t="str">
        <f>IFERROR(SUMIFS([3]EXPEDIÇÃO!$K:$K,[3]EXPEDIÇÃO!$E:$E,D44,[3]EXPEDIÇÃO!$D:$D,C44,[3]EXPEDIÇÃO!$N:$N,"&gt;=" &amp; G44,[3]EXPEDIÇÃO!$N:$N,"&lt;="&amp;N44), "")</f>
        <v/>
      </c>
      <c r="X44" s="27">
        <f>COUNTIFS('[2]Controle de Produção'!$P:$P,C44,'[2]Controle de Produção'!$L:$L,D44,'[2]Controle de Produção'!$B:$B,"&gt;=" &amp; G44)</f>
        <v>3</v>
      </c>
      <c r="Y44" s="27">
        <f t="shared" si="23"/>
        <v>0</v>
      </c>
      <c r="Z44" s="27">
        <f>IFERROR(COUNTIFS('[2]Controle de Produção'!$L:$L,D44,'[2]Controle de Produção'!$P:$P,C44,'[2]Controle de Produção'!$B:$B,"&gt;=" &amp; G44,'[2]Controle de Produção'!$C:$C,"&lt;=" &amp; N44, '[2]Controle de Produção'!$G:$G,B44), "")</f>
        <v>0</v>
      </c>
      <c r="AA44" s="108" t="str">
        <f t="shared" si="24"/>
        <v/>
      </c>
      <c r="AB44" s="41" t="str" cm="1">
        <f t="array" ref="AB44">_xlfn.IFS((H44*0.95)&lt;=V44,"Concluído",AND(V44 =0, J44&lt;&gt;""),"Programado",AND(V44=0,D44=""),"Desenvolv.",V44=0,"Não Iniciado",AND(V44&gt;0,V44&lt;H44,AO44=TRUE),"Em Produção",AND(V44&gt;0,V44&lt;H44,AO44=FALSE),"Produção Parcial")</f>
        <v>Não Iniciado</v>
      </c>
      <c r="AC44" s="42" t="b">
        <v>1</v>
      </c>
      <c r="AD44" s="42" t="b">
        <v>1</v>
      </c>
      <c r="AE44" s="32" t="b">
        <v>1</v>
      </c>
      <c r="AF44" s="42" t="b">
        <v>1</v>
      </c>
      <c r="AG44" s="42" t="s">
        <v>38</v>
      </c>
      <c r="AH44" s="32" t="s">
        <v>38</v>
      </c>
      <c r="AI44" s="42" t="b">
        <v>1</v>
      </c>
      <c r="AJ44" s="32" t="b">
        <v>1</v>
      </c>
      <c r="AK44" s="90" t="b">
        <v>0</v>
      </c>
      <c r="AL44" s="42" t="b">
        <v>1</v>
      </c>
      <c r="AM44" s="42" t="b">
        <v>1</v>
      </c>
      <c r="AN44" s="42" t="b">
        <v>1</v>
      </c>
      <c r="AO44" s="45" t="b" cm="1">
        <f t="array" ref="AO44">AND(COUNTIF(AC44:AN44,FALSE)=0,SUMPRODUCT(ISNUMBER(AC44:AN44)*1)=0)</f>
        <v>0</v>
      </c>
      <c r="AP44" s="59"/>
      <c r="AQ44" s="111">
        <f>IF(AB44="",99999999999,IFERROR(MATCH(AB44,{"Produção Parcial","Em Produção","Programado","Não Iniciado","Desenvolv.","Concluído"},0),7)*100000000+IF(ISNUMBER(J44),J44-46000,9999)*10000+IF(A44="",99,A44)*100+IF(C44="",99,CODE(LEFT(C44,1))))</f>
        <v>499990065</v>
      </c>
    </row>
    <row r="45" spans="1:45" s="36" customFormat="1" ht="25.15" hidden="1" customHeight="1" x14ac:dyDescent="0.25">
      <c r="A45" s="36">
        <v>0</v>
      </c>
      <c r="B45" s="38" t="s">
        <v>158</v>
      </c>
      <c r="C45" s="70" t="str">
        <f>INDEX([1]Produtos!$G:$G,MATCH($D45,[1]Produtos!$B:$B,0))</f>
        <v>AMEERATI</v>
      </c>
      <c r="D45" s="24" t="s">
        <v>253</v>
      </c>
      <c r="E45" s="70" t="str">
        <f>INDEX([1]Produtos!$C:$C,MATCH($D45,[1]Produtos!$B:$B,0))&amp;IF($F45&lt;&gt;"-"," - "&amp;LEFT($F45,1),"")&amp;" &gt; "&amp;$B45</f>
        <v>BODY MIST FLOR DO DESERTO - 2 &gt; AMEERATI 01</v>
      </c>
      <c r="F45" s="51">
        <v>2</v>
      </c>
      <c r="G45" s="38">
        <v>46013</v>
      </c>
      <c r="H45" s="39">
        <f>3360-840</f>
        <v>2520</v>
      </c>
      <c r="I45" s="24" t="s">
        <v>39</v>
      </c>
      <c r="J45" s="68" t="str" cm="1">
        <f t="array" ref="J45">IFERROR(INDEX('[2]Previsão Envase'!$D$5:$D$4867, MATCH(1,('[2]Previsão Envase'!$F$5:$F$4867=$E45)+('[2]Previsão Envase'!$G$5:$G$4867=$E45)+('[2]Previsão Envase'!$H$5:$H$4867=$E45),0)),"")</f>
        <v/>
      </c>
      <c r="K45" s="68" t="str">
        <f>IF(COUNTIF('[2]Previsão Envase'!$F:$F,E45)&gt;0,"Linha 1",
IF(COUNTIF('[2]Previsão Envase'!$G:$G,E45)&gt;0,"Linha 2",
IF(COUNTIF('[2]Previsão Envase'!$H:$H,E45)&gt;0,"Linha 3","")))</f>
        <v/>
      </c>
      <c r="L45" s="96">
        <f>COUNTIF('[2]Previsão Envase'!$F:$H,E45)-COUNTIF('[2]Previsão Envase'!$F$1:$H$4,E45)</f>
        <v>0</v>
      </c>
      <c r="M45" s="35">
        <f t="shared" si="19"/>
        <v>0</v>
      </c>
      <c r="N45" s="68" t="str">
        <f>IFERROR(MAX(_xlfn.MAXIFS('[2]Controle de Produção'!$C:$C,'[2]Controle de Produção'!$L:$L,$D45,'[2]Controle de Produção'!$P:$P,$C45,'[2]Controle de Produção'!$G:$G,$B45),_xlfn.MAXIFS([3]EXPEDIÇÃO!$N:$N,[3]EXPEDIÇÃO!$E:$E,$D45,[3]EXPEDIÇÃO!$D:$D,$C45,[3]EXPEDIÇÃO!$N:$N,"&gt;="&amp;$G45)),"")</f>
        <v/>
      </c>
      <c r="O45" s="70">
        <f>INDEX([1]Produtos!$E:$E,MATCH($D45,[1]Produtos!$B:$B,0))</f>
        <v>250</v>
      </c>
      <c r="P45" s="70" t="str">
        <f>INDEX([1]Produtos!$F:$F,MATCH($D45,[1]Produtos!$B:$B,0))</f>
        <v>ml</v>
      </c>
      <c r="Q45" s="105">
        <f>INDEX([1]Produtos!$Y:$Y,MATCH($D45,[1]Produtos!$B:$B,0))</f>
        <v>1.35</v>
      </c>
      <c r="R45" s="35">
        <f t="shared" si="20"/>
        <v>7592.2902086267013</v>
      </c>
      <c r="S45" s="27">
        <f>IFERROR(INDEX([1]Produtos!$L:$L,MATCH(D45,[1]Produtos!$B:$B,0)), "")</f>
        <v>843.58780095852239</v>
      </c>
      <c r="T45" s="28">
        <f t="shared" si="21"/>
        <v>3</v>
      </c>
      <c r="U45" s="28" t="str">
        <f t="shared" si="22"/>
        <v>0D e 3h</v>
      </c>
      <c r="V45" s="27">
        <f>IFERROR(SUMIFS('[2]Controle de Produção'!$K:$K,'[2]Controle de Produção'!$L:$L,D45,'[2]Controle de Produção'!$P:$P,C45,'[2]Controle de Produção'!$B:$B,"&gt;=" &amp; G45,'[2]Controle de Produção'!$C:$C,"&lt;=" &amp; N45, '[2]Controle de Produção'!$G:$G,B45), "")</f>
        <v>0</v>
      </c>
      <c r="W45" s="27" t="str">
        <f>IFERROR(SUMIFS([3]EXPEDIÇÃO!$K:$K,[3]EXPEDIÇÃO!$E:$E,D45,[3]EXPEDIÇÃO!$D:$D,C45,[3]EXPEDIÇÃO!$N:$N,"&gt;=" &amp; G45,[3]EXPEDIÇÃO!$N:$N,"&lt;="&amp;N45), "")</f>
        <v/>
      </c>
      <c r="X45" s="27">
        <f>COUNTIFS('[2]Controle de Produção'!$P:$P,C45,'[2]Controle de Produção'!$L:$L,D45,'[2]Controle de Produção'!$B:$B,"&gt;=" &amp; G45)</f>
        <v>2</v>
      </c>
      <c r="Y45" s="27">
        <f t="shared" si="23"/>
        <v>0</v>
      </c>
      <c r="Z45" s="27">
        <f>IFERROR(COUNTIFS('[2]Controle de Produção'!$L:$L,D45,'[2]Controle de Produção'!$P:$P,C45,'[2]Controle de Produção'!$B:$B,"&gt;=" &amp; G45,'[2]Controle de Produção'!$C:$C,"&lt;=" &amp; N45, '[2]Controle de Produção'!$G:$G,B45), "")</f>
        <v>0</v>
      </c>
      <c r="AA45" s="108" t="str">
        <f t="shared" si="24"/>
        <v/>
      </c>
      <c r="AB45" s="41" t="str" cm="1">
        <f t="array" ref="AB45">_xlfn.IFS((H45*0.95)&lt;=V45,"Concluído",AND(V45 =0, J45&lt;&gt;""),"Programado",AND(V45=0,D45=""),"Desenvolv.",V45=0,"Não Iniciado",AND(V45&gt;0,V45&lt;H45,AO45=TRUE),"Em Produção",AND(V45&gt;0,V45&lt;H45,AO45=FALSE),"Produção Parcial")</f>
        <v>Não Iniciado</v>
      </c>
      <c r="AC45" s="42" t="b">
        <v>1</v>
      </c>
      <c r="AD45" s="32" t="b">
        <v>1</v>
      </c>
      <c r="AE45" s="32" t="b">
        <v>1</v>
      </c>
      <c r="AF45" s="42" t="b">
        <v>1</v>
      </c>
      <c r="AG45" s="48" t="s">
        <v>38</v>
      </c>
      <c r="AH45" s="32" t="s">
        <v>38</v>
      </c>
      <c r="AI45" s="42" t="b">
        <v>1</v>
      </c>
      <c r="AJ45" s="32" t="b">
        <v>1</v>
      </c>
      <c r="AK45" s="90" t="s">
        <v>38</v>
      </c>
      <c r="AL45" s="42" t="b">
        <v>1</v>
      </c>
      <c r="AM45" s="42" t="b">
        <v>1</v>
      </c>
      <c r="AN45" s="42" t="b">
        <v>1</v>
      </c>
      <c r="AO45" s="45" t="b" cm="1">
        <f t="array" ref="AO45">AND(COUNTIF(AC45:AN45,FALSE)=0,SUMPRODUCT(ISNUMBER(AC45:AN45)*1)=0)</f>
        <v>1</v>
      </c>
      <c r="AP45" s="59"/>
      <c r="AQ45" s="111">
        <f>IF(AB45="",99999999999,IFERROR(MATCH(AB45,{"Produção Parcial","Em Produção","Programado","Não Iniciado","Desenvolv.","Concluído"},0),7)*100000000+IF(ISNUMBER(J45),J45-46000,9999)*10000+IF(A45="",99,A45)*100+IF(C45="",99,CODE(LEFT(C45,1))))</f>
        <v>499990065</v>
      </c>
    </row>
    <row r="46" spans="1:45" s="36" customFormat="1" ht="30" hidden="1" customHeight="1" x14ac:dyDescent="0.25">
      <c r="A46" s="36">
        <v>0</v>
      </c>
      <c r="B46" s="38" t="s">
        <v>158</v>
      </c>
      <c r="C46" s="70" t="str">
        <f>INDEX([1]Produtos!$G:$G,MATCH($D46,[1]Produtos!$B:$B,0))</f>
        <v>AMEERATI</v>
      </c>
      <c r="D46" s="24" t="s">
        <v>168</v>
      </c>
      <c r="E46" s="70" t="str">
        <f>INDEX([1]Produtos!$C:$C,MATCH($D46,[1]Produtos!$B:$B,0))&amp;IF($F46&lt;&gt;"-"," - "&amp;LEFT($F46,1),"")&amp;" &gt; "&amp;$B46</f>
        <v>BODY MIST FRESCOR LICHIA - 2 &gt; AMEERATI 01</v>
      </c>
      <c r="F46" s="51">
        <v>2</v>
      </c>
      <c r="G46" s="38">
        <v>46013</v>
      </c>
      <c r="H46" s="39">
        <f>3360-840</f>
        <v>2520</v>
      </c>
      <c r="I46" s="24" t="s">
        <v>39</v>
      </c>
      <c r="J46" s="68" t="str" cm="1">
        <f t="array" ref="J46">IFERROR(INDEX('[2]Previsão Envase'!$D$5:$D$4867, MATCH(1,('[2]Previsão Envase'!$F$5:$F$4867=$E46)+('[2]Previsão Envase'!$G$5:$G$4867=$E46)+('[2]Previsão Envase'!$H$5:$H$4867=$E46),0)),"")</f>
        <v/>
      </c>
      <c r="K46" s="68" t="str">
        <f>IF(COUNTIF('[2]Previsão Envase'!$F:$F,E46)&gt;0,"Linha 1",
IF(COUNTIF('[2]Previsão Envase'!$G:$G,E46)&gt;0,"Linha 2",
IF(COUNTIF('[2]Previsão Envase'!$H:$H,E46)&gt;0,"Linha 3","")))</f>
        <v/>
      </c>
      <c r="L46" s="96">
        <f>COUNTIF('[2]Previsão Envase'!$F:$H,E46)-COUNTIF('[2]Previsão Envase'!$F$1:$H$4,E46)</f>
        <v>0</v>
      </c>
      <c r="M46" s="35">
        <f t="shared" si="19"/>
        <v>0</v>
      </c>
      <c r="N46" s="68" t="str">
        <f>IFERROR(MAX(_xlfn.MAXIFS('[2]Controle de Produção'!$C:$C,'[2]Controle de Produção'!$L:$L,$D46,'[2]Controle de Produção'!$P:$P,$C46,'[2]Controle de Produção'!$G:$G,$B46),_xlfn.MAXIFS([3]EXPEDIÇÃO!$N:$N,[3]EXPEDIÇÃO!$E:$E,$D46,[3]EXPEDIÇÃO!$D:$D,$C46,[3]EXPEDIÇÃO!$N:$N,"&gt;="&amp;$G46)),"")</f>
        <v/>
      </c>
      <c r="O46" s="70">
        <f>INDEX([1]Produtos!$E:$E,MATCH($D46,[1]Produtos!$B:$B,0))</f>
        <v>250</v>
      </c>
      <c r="P46" s="70" t="str">
        <f>INDEX([1]Produtos!$F:$F,MATCH($D46,[1]Produtos!$B:$B,0))</f>
        <v>ml</v>
      </c>
      <c r="Q46" s="105">
        <f>INDEX([1]Produtos!$Y:$Y,MATCH($D46,[1]Produtos!$B:$B,0))</f>
        <v>1.35</v>
      </c>
      <c r="R46" s="35">
        <f t="shared" si="20"/>
        <v>7592.2902086267013</v>
      </c>
      <c r="S46" s="27">
        <f>IFERROR(INDEX([1]Produtos!$L:$L,MATCH(D46,[1]Produtos!$B:$B,0)), "")</f>
        <v>843.58780095852239</v>
      </c>
      <c r="T46" s="28">
        <f t="shared" si="21"/>
        <v>3</v>
      </c>
      <c r="U46" s="28" t="str">
        <f t="shared" si="22"/>
        <v>0D e 3h</v>
      </c>
      <c r="V46" s="27">
        <f>IFERROR(SUMIFS('[2]Controle de Produção'!$K:$K,'[2]Controle de Produção'!$L:$L,D46,'[2]Controle de Produção'!$P:$P,C46,'[2]Controle de Produção'!$B:$B,"&gt;=" &amp; G46,'[2]Controle de Produção'!$C:$C,"&lt;=" &amp; N46, '[2]Controle de Produção'!$G:$G,B46), "")</f>
        <v>0</v>
      </c>
      <c r="W46" s="27" t="str">
        <f>IFERROR(SUMIFS([3]EXPEDIÇÃO!$K:$K,[3]EXPEDIÇÃO!$E:$E,D46,[3]EXPEDIÇÃO!$D:$D,C46,[3]EXPEDIÇÃO!$N:$N,"&gt;=" &amp; G46,[3]EXPEDIÇÃO!$N:$N,"&lt;="&amp;N46), "")</f>
        <v/>
      </c>
      <c r="X46" s="27">
        <f>COUNTIFS('[2]Controle de Produção'!$P:$P,C46,'[2]Controle de Produção'!$L:$L,D46,'[2]Controle de Produção'!$B:$B,"&gt;=" &amp; G46)</f>
        <v>2</v>
      </c>
      <c r="Y46" s="27">
        <f t="shared" si="23"/>
        <v>0</v>
      </c>
      <c r="Z46" s="27">
        <f>IFERROR(COUNTIFS('[2]Controle de Produção'!$L:$L,D46,'[2]Controle de Produção'!$P:$P,C46,'[2]Controle de Produção'!$B:$B,"&gt;=" &amp; G46,'[2]Controle de Produção'!$C:$C,"&lt;=" &amp; N46, '[2]Controle de Produção'!$G:$G,B46), "")</f>
        <v>0</v>
      </c>
      <c r="AA46" s="108" t="str">
        <f t="shared" si="24"/>
        <v/>
      </c>
      <c r="AB46" s="41" t="str" cm="1">
        <f t="array" ref="AB46">_xlfn.IFS((H46*0.95)&lt;=V46,"Concluído",AND(V46 =0, J46&lt;&gt;""),"Programado",AND(V46=0,D46=""),"Desenvolv.",V46=0,"Não Iniciado",AND(V46&gt;0,V46&lt;H46,AO46=TRUE),"Em Produção",AND(V46&gt;0,V46&lt;H46,AO46=FALSE),"Produção Parcial")</f>
        <v>Não Iniciado</v>
      </c>
      <c r="AC46" s="42" t="b">
        <v>1</v>
      </c>
      <c r="AD46" s="32" t="b">
        <v>1</v>
      </c>
      <c r="AE46" s="32" t="b">
        <v>1</v>
      </c>
      <c r="AF46" s="42" t="b">
        <v>1</v>
      </c>
      <c r="AG46" s="48" t="s">
        <v>38</v>
      </c>
      <c r="AH46" s="32" t="s">
        <v>38</v>
      </c>
      <c r="AI46" s="42" t="b">
        <v>1</v>
      </c>
      <c r="AJ46" s="32" t="b">
        <v>1</v>
      </c>
      <c r="AK46" s="90" t="s">
        <v>38</v>
      </c>
      <c r="AL46" s="42" t="b">
        <v>1</v>
      </c>
      <c r="AM46" s="42" t="b">
        <v>1</v>
      </c>
      <c r="AN46" s="42" t="b">
        <v>1</v>
      </c>
      <c r="AO46" s="45" t="b" cm="1">
        <f t="array" ref="AO46">AND(COUNTIF(AC46:AN46,FALSE)=0,SUMPRODUCT(ISNUMBER(AC46:AN46)*1)=0)</f>
        <v>1</v>
      </c>
      <c r="AP46" s="59"/>
      <c r="AQ46" s="111">
        <f>IF(AB46="",99999999999,IFERROR(MATCH(AB46,{"Produção Parcial","Em Produção","Programado","Não Iniciado","Desenvolv.","Concluído"},0),7)*100000000+IF(ISNUMBER(J46),J46-46000,9999)*10000+IF(A46="",99,A46)*100+IF(C46="",99,CODE(LEFT(C46,1))))</f>
        <v>499990065</v>
      </c>
    </row>
    <row r="47" spans="1:45" s="36" customFormat="1" ht="25.15" hidden="1" customHeight="1" x14ac:dyDescent="0.25">
      <c r="A47" s="36">
        <v>0</v>
      </c>
      <c r="B47" s="38" t="s">
        <v>158</v>
      </c>
      <c r="C47" s="70" t="str">
        <f>INDEX([1]Produtos!$G:$G,MATCH($D47,[1]Produtos!$B:$B,0))</f>
        <v>AMEERATI</v>
      </c>
      <c r="D47" s="24" t="s">
        <v>265</v>
      </c>
      <c r="E47" s="70" t="str">
        <f>INDEX([1]Produtos!$C:$C,MATCH($D47,[1]Produtos!$B:$B,0))&amp;IF($F47&lt;&gt;"-"," - "&amp;LEFT($F47,1),"")&amp;" &gt; "&amp;$B47</f>
        <v>BODY MIST JARDINS DO ORIENTE - 2 &gt; AMEERATI 01</v>
      </c>
      <c r="F47" s="51">
        <v>2</v>
      </c>
      <c r="G47" s="38">
        <v>46013</v>
      </c>
      <c r="H47" s="39">
        <f>3360-840</f>
        <v>2520</v>
      </c>
      <c r="I47" s="24" t="s">
        <v>39</v>
      </c>
      <c r="J47" s="68" t="str" cm="1">
        <f t="array" ref="J47">IFERROR(INDEX('[2]Previsão Envase'!$D$5:$D$4867, MATCH(1,('[2]Previsão Envase'!$F$5:$F$4867=$E47)+('[2]Previsão Envase'!$G$5:$G$4867=$E47)+('[2]Previsão Envase'!$H$5:$H$4867=$E47),0)),"")</f>
        <v/>
      </c>
      <c r="K47" s="68" t="str">
        <f>IF(COUNTIF('[2]Previsão Envase'!$F:$F,E47)&gt;0,"Linha 1",
IF(COUNTIF('[2]Previsão Envase'!$G:$G,E47)&gt;0,"Linha 2",
IF(COUNTIF('[2]Previsão Envase'!$H:$H,E47)&gt;0,"Linha 3","")))</f>
        <v/>
      </c>
      <c r="L47" s="96">
        <f>COUNTIF('[2]Previsão Envase'!$F:$H,E47)-COUNTIF('[2]Previsão Envase'!$F$1:$H$4,E47)</f>
        <v>0</v>
      </c>
      <c r="M47" s="35">
        <f t="shared" si="19"/>
        <v>0</v>
      </c>
      <c r="N47" s="68" t="str">
        <f>IFERROR(MAX(_xlfn.MAXIFS('[2]Controle de Produção'!$C:$C,'[2]Controle de Produção'!$L:$L,$D47,'[2]Controle de Produção'!$P:$P,$C47,'[2]Controle de Produção'!$G:$G,$B47),_xlfn.MAXIFS([3]EXPEDIÇÃO!$N:$N,[3]EXPEDIÇÃO!$E:$E,$D47,[3]EXPEDIÇÃO!$D:$D,$C47,[3]EXPEDIÇÃO!$N:$N,"&gt;="&amp;$G47)),"")</f>
        <v/>
      </c>
      <c r="O47" s="70">
        <f>INDEX([1]Produtos!$E:$E,MATCH($D47,[1]Produtos!$B:$B,0))</f>
        <v>250</v>
      </c>
      <c r="P47" s="70" t="str">
        <f>INDEX([1]Produtos!$F:$F,MATCH($D47,[1]Produtos!$B:$B,0))</f>
        <v>ml</v>
      </c>
      <c r="Q47" s="105">
        <f>INDEX([1]Produtos!$Y:$Y,MATCH($D47,[1]Produtos!$B:$B,0))</f>
        <v>1.35</v>
      </c>
      <c r="R47" s="35">
        <f t="shared" si="20"/>
        <v>7592.2902086267013</v>
      </c>
      <c r="S47" s="27">
        <f>IFERROR(INDEX([1]Produtos!$L:$L,MATCH(D47,[1]Produtos!$B:$B,0)), "")</f>
        <v>843.58780095852239</v>
      </c>
      <c r="T47" s="28">
        <f t="shared" si="21"/>
        <v>3</v>
      </c>
      <c r="U47" s="28" t="str">
        <f t="shared" si="22"/>
        <v>0D e 3h</v>
      </c>
      <c r="V47" s="27">
        <f>IFERROR(SUMIFS('[2]Controle de Produção'!$K:$K,'[2]Controle de Produção'!$L:$L,D47,'[2]Controle de Produção'!$P:$P,C47,'[2]Controle de Produção'!$B:$B,"&gt;=" &amp; G47,'[2]Controle de Produção'!$C:$C,"&lt;=" &amp; N47, '[2]Controle de Produção'!$G:$G,B47), "")</f>
        <v>0</v>
      </c>
      <c r="W47" s="27" t="str">
        <f>IFERROR(SUMIFS([3]EXPEDIÇÃO!$K:$K,[3]EXPEDIÇÃO!$E:$E,D47,[3]EXPEDIÇÃO!$D:$D,C47,[3]EXPEDIÇÃO!$N:$N,"&gt;=" &amp; G47,[3]EXPEDIÇÃO!$N:$N,"&lt;="&amp;N47), "")</f>
        <v/>
      </c>
      <c r="X47" s="27">
        <f>COUNTIFS('[2]Controle de Produção'!$P:$P,C47,'[2]Controle de Produção'!$L:$L,D47,'[2]Controle de Produção'!$B:$B,"&gt;=" &amp; G47)</f>
        <v>2</v>
      </c>
      <c r="Y47" s="27">
        <f t="shared" si="23"/>
        <v>0</v>
      </c>
      <c r="Z47" s="27">
        <f>IFERROR(COUNTIFS('[2]Controle de Produção'!$L:$L,D47,'[2]Controle de Produção'!$P:$P,C47,'[2]Controle de Produção'!$B:$B,"&gt;=" &amp; G47,'[2]Controle de Produção'!$C:$C,"&lt;=" &amp; N47, '[2]Controle de Produção'!$G:$G,B47), "")</f>
        <v>0</v>
      </c>
      <c r="AA47" s="108" t="str">
        <f t="shared" si="24"/>
        <v/>
      </c>
      <c r="AB47" s="41" t="str" cm="1">
        <f t="array" ref="AB47">_xlfn.IFS((H47*0.95)&lt;=V47,"Concluído",AND(V47 =0, J47&lt;&gt;""),"Programado",AND(V47=0,D47=""),"Desenvolv.",V47=0,"Não Iniciado",AND(V47&gt;0,V47&lt;H47,AO47=TRUE),"Em Produção",AND(V47&gt;0,V47&lt;H47,AO47=FALSE),"Produção Parcial")</f>
        <v>Não Iniciado</v>
      </c>
      <c r="AC47" s="42" t="b">
        <v>1</v>
      </c>
      <c r="AD47" s="32" t="b">
        <v>1</v>
      </c>
      <c r="AE47" s="32" t="b">
        <v>1</v>
      </c>
      <c r="AF47" s="42" t="b">
        <v>1</v>
      </c>
      <c r="AG47" s="48" t="s">
        <v>38</v>
      </c>
      <c r="AH47" s="32" t="s">
        <v>38</v>
      </c>
      <c r="AI47" s="42" t="b">
        <v>1</v>
      </c>
      <c r="AJ47" s="32" t="b">
        <v>1</v>
      </c>
      <c r="AK47" s="90" t="s">
        <v>38</v>
      </c>
      <c r="AL47" s="42" t="b">
        <v>1</v>
      </c>
      <c r="AM47" s="42" t="b">
        <v>1</v>
      </c>
      <c r="AN47" s="42" t="b">
        <v>1</v>
      </c>
      <c r="AO47" s="45" t="b" cm="1">
        <f t="array" ref="AO47">AND(COUNTIF(AC47:AN47,FALSE)=0,SUMPRODUCT(ISNUMBER(AC47:AN47)*1)=0)</f>
        <v>1</v>
      </c>
      <c r="AP47" s="59"/>
      <c r="AQ47" s="111">
        <f>IF(AB47="",99999999999,IFERROR(MATCH(AB47,{"Produção Parcial","Em Produção","Programado","Não Iniciado","Desenvolv.","Concluído"},0),7)*100000000+IF(ISNUMBER(J47),J47-46000,9999)*10000+IF(A47="",99,A47)*100+IF(C47="",99,CODE(LEFT(C47,1))))</f>
        <v>499990065</v>
      </c>
    </row>
    <row r="48" spans="1:45" s="36" customFormat="1" ht="25.15" hidden="1" customHeight="1" x14ac:dyDescent="0.25">
      <c r="A48" s="36">
        <v>0</v>
      </c>
      <c r="B48" s="38" t="s">
        <v>158</v>
      </c>
      <c r="C48" s="70" t="str">
        <f>INDEX([1]Produtos!$G:$G,MATCH($D48,[1]Produtos!$B:$B,0))</f>
        <v>AMEERATI</v>
      </c>
      <c r="D48" s="24" t="s">
        <v>222</v>
      </c>
      <c r="E48" s="70" t="str">
        <f>INDEX([1]Produtos!$C:$C,MATCH($D48,[1]Produtos!$B:$B,0))&amp;IF($F48&lt;&gt;"-"," - "&amp;LEFT($F48,1),"")&amp;" &gt; "&amp;$B48</f>
        <v>BODY MIST MEL DE ESPECIARIAS - 1 &gt; AMEERATI 01</v>
      </c>
      <c r="F48" s="51">
        <v>1</v>
      </c>
      <c r="G48" s="38">
        <v>45959</v>
      </c>
      <c r="H48" s="39">
        <v>840</v>
      </c>
      <c r="I48" s="24" t="s">
        <v>39</v>
      </c>
      <c r="J48" s="68" t="str" cm="1">
        <f t="array" ref="J48">IFERROR(INDEX('[2]Previsão Envase'!$D$5:$D$4867, MATCH(1,('[2]Previsão Envase'!$F$5:$F$4867=$E48)+('[2]Previsão Envase'!$G$5:$G$4867=$E48)+('[2]Previsão Envase'!$H$5:$H$4867=$E48),0)),"")</f>
        <v/>
      </c>
      <c r="K48" s="68" t="str">
        <f>IF(COUNTIF('[2]Previsão Envase'!$F:$F,E48)&gt;0,"Linha 1",
IF(COUNTIF('[2]Previsão Envase'!$G:$G,E48)&gt;0,"Linha 2",
IF(COUNTIF('[2]Previsão Envase'!$H:$H,E48)&gt;0,"Linha 3","")))</f>
        <v/>
      </c>
      <c r="L48" s="96">
        <f>COUNTIF('[2]Previsão Envase'!$F:$H,E48)-COUNTIF('[2]Previsão Envase'!$F$1:$H$4,E48)</f>
        <v>0</v>
      </c>
      <c r="M48" s="35">
        <f t="shared" si="19"/>
        <v>0</v>
      </c>
      <c r="N48" s="68" t="str">
        <f>IFERROR(MAX(_xlfn.MAXIFS('[2]Controle de Produção'!$C:$C,'[2]Controle de Produção'!$L:$L,$D48,'[2]Controle de Produção'!$P:$P,$C48,'[2]Controle de Produção'!$G:$G,$B48),_xlfn.MAXIFS([3]EXPEDIÇÃO!$N:$N,[3]EXPEDIÇÃO!$E:$E,$D48,[3]EXPEDIÇÃO!$D:$D,$C48,[3]EXPEDIÇÃO!$N:$N,"&gt;="&amp;$G48)),"")</f>
        <v/>
      </c>
      <c r="O48" s="70">
        <f>INDEX([1]Produtos!$E:$E,MATCH($D48,[1]Produtos!$B:$B,0))</f>
        <v>250</v>
      </c>
      <c r="P48" s="70" t="str">
        <f>INDEX([1]Produtos!$F:$F,MATCH($D48,[1]Produtos!$B:$B,0))</f>
        <v>ml</v>
      </c>
      <c r="Q48" s="105">
        <f>INDEX([1]Produtos!$Y:$Y,MATCH($D48,[1]Produtos!$B:$B,0))</f>
        <v>1.35</v>
      </c>
      <c r="R48" s="35">
        <f t="shared" si="20"/>
        <v>7592.2902086267013</v>
      </c>
      <c r="S48" s="27">
        <f>IFERROR(INDEX([1]Produtos!$L:$L,MATCH(D48,[1]Produtos!$B:$B,0)), "")</f>
        <v>843.58780095852239</v>
      </c>
      <c r="T48" s="28">
        <f t="shared" si="21"/>
        <v>1</v>
      </c>
      <c r="U48" s="28" t="str">
        <f t="shared" si="22"/>
        <v>0D e 1h</v>
      </c>
      <c r="V48" s="27">
        <f>IFERROR(SUMIFS('[2]Controle de Produção'!$K:$K,'[2]Controle de Produção'!$L:$L,D48,'[2]Controle de Produção'!$P:$P,C48,'[2]Controle de Produção'!$B:$B,"&gt;=" &amp; G48,'[2]Controle de Produção'!$C:$C,"&lt;=" &amp; N48, '[2]Controle de Produção'!$G:$G,B48), "")</f>
        <v>0</v>
      </c>
      <c r="W48" s="27" t="str">
        <f>IFERROR(SUMIFS([3]EXPEDIÇÃO!$K:$K,[3]EXPEDIÇÃO!$E:$E,D48,[3]EXPEDIÇÃO!$D:$D,C48,[3]EXPEDIÇÃO!$N:$N,"&gt;=" &amp; G48,[3]EXPEDIÇÃO!$N:$N,"&lt;="&amp;N48), "")</f>
        <v/>
      </c>
      <c r="X48" s="27">
        <f>COUNTIFS('[2]Controle de Produção'!$P:$P,C48,'[2]Controle de Produção'!$L:$L,D48,'[2]Controle de Produção'!$B:$B,"&gt;=" &amp; G48)</f>
        <v>3</v>
      </c>
      <c r="Y48" s="27">
        <f t="shared" si="23"/>
        <v>0</v>
      </c>
      <c r="Z48" s="27">
        <f>IFERROR(COUNTIFS('[2]Controle de Produção'!$L:$L,D48,'[2]Controle de Produção'!$P:$P,C48,'[2]Controle de Produção'!$B:$B,"&gt;=" &amp; G48,'[2]Controle de Produção'!$C:$C,"&lt;=" &amp; N48, '[2]Controle de Produção'!$G:$G,B48), "")</f>
        <v>0</v>
      </c>
      <c r="AA48" s="108" t="str">
        <f t="shared" si="24"/>
        <v/>
      </c>
      <c r="AB48" s="41" t="str" cm="1">
        <f t="array" ref="AB48">_xlfn.IFS((H48*0.95)&lt;=V48,"Concluído",AND(V48 =0, J48&lt;&gt;""),"Programado",AND(V48=0,D48=""),"Desenvolv.",V48=0,"Não Iniciado",AND(V48&gt;0,V48&lt;H48,AO48=TRUE),"Em Produção",AND(V48&gt;0,V48&lt;H48,AO48=FALSE),"Produção Parcial")</f>
        <v>Não Iniciado</v>
      </c>
      <c r="AC48" s="42" t="b">
        <v>1</v>
      </c>
      <c r="AD48" s="32" t="b">
        <v>1</v>
      </c>
      <c r="AE48" s="32" t="b">
        <v>1</v>
      </c>
      <c r="AF48" s="42" t="b">
        <v>1</v>
      </c>
      <c r="AG48" s="48" t="s">
        <v>38</v>
      </c>
      <c r="AH48" s="32" t="s">
        <v>38</v>
      </c>
      <c r="AI48" s="32" t="b">
        <v>1</v>
      </c>
      <c r="AJ48" s="32" t="b">
        <v>1</v>
      </c>
      <c r="AK48" s="90" t="b">
        <v>0</v>
      </c>
      <c r="AL48" s="42" t="b">
        <v>1</v>
      </c>
      <c r="AM48" s="42" t="b">
        <v>1</v>
      </c>
      <c r="AN48" s="42" t="b">
        <v>1</v>
      </c>
      <c r="AO48" s="45" t="b" cm="1">
        <f t="array" ref="AO48">AND(COUNTIF(AC48:AN48,FALSE)=0,SUMPRODUCT(ISNUMBER(AC48:AN48)*1)=0)</f>
        <v>0</v>
      </c>
      <c r="AP48" s="59"/>
      <c r="AQ48" s="111">
        <f>IF(AB48="",99999999999,IFERROR(MATCH(AB48,{"Produção Parcial","Em Produção","Programado","Não Iniciado","Desenvolv.","Concluído"},0),7)*100000000+IF(ISNUMBER(J48),J48-46000,9999)*10000+IF(A48="",99,A48)*100+IF(C48="",99,CODE(LEFT(C48,1))))</f>
        <v>499990065</v>
      </c>
    </row>
    <row r="49" spans="1:43" s="36" customFormat="1" ht="25.15" hidden="1" customHeight="1" x14ac:dyDescent="0.25">
      <c r="A49" s="36">
        <v>0</v>
      </c>
      <c r="B49" s="38" t="s">
        <v>158</v>
      </c>
      <c r="C49" s="70" t="str">
        <f>INDEX([1]Produtos!$G:$G,MATCH($D49,[1]Produtos!$B:$B,0))</f>
        <v>AMEERATI</v>
      </c>
      <c r="D49" s="24" t="s">
        <v>222</v>
      </c>
      <c r="E49" s="70" t="str">
        <f>INDEX([1]Produtos!$C:$C,MATCH($D49,[1]Produtos!$B:$B,0))&amp;IF($F49&lt;&gt;"-"," - "&amp;LEFT($F49,1),"")&amp;" &gt; "&amp;$B49</f>
        <v>BODY MIST MEL DE ESPECIARIAS - 2 &gt; AMEERATI 01</v>
      </c>
      <c r="F49" s="51">
        <v>2</v>
      </c>
      <c r="G49" s="38">
        <v>46013</v>
      </c>
      <c r="H49" s="39">
        <f>3360-840</f>
        <v>2520</v>
      </c>
      <c r="I49" s="24" t="s">
        <v>39</v>
      </c>
      <c r="J49" s="68" t="str" cm="1">
        <f t="array" ref="J49">IFERROR(INDEX('[2]Previsão Envase'!$D$5:$D$4867, MATCH(1,('[2]Previsão Envase'!$F$5:$F$4867=$E49)+('[2]Previsão Envase'!$G$5:$G$4867=$E49)+('[2]Previsão Envase'!$H$5:$H$4867=$E49),0)),"")</f>
        <v/>
      </c>
      <c r="K49" s="68" t="str">
        <f>IF(COUNTIF('[2]Previsão Envase'!$F:$F,E49)&gt;0,"Linha 1",
IF(COUNTIF('[2]Previsão Envase'!$G:$G,E49)&gt;0,"Linha 2",
IF(COUNTIF('[2]Previsão Envase'!$H:$H,E49)&gt;0,"Linha 3","")))</f>
        <v/>
      </c>
      <c r="L49" s="96">
        <f>COUNTIF('[2]Previsão Envase'!$F:$H,E49)-COUNTIF('[2]Previsão Envase'!$F$1:$H$4,E49)</f>
        <v>0</v>
      </c>
      <c r="M49" s="35">
        <f t="shared" si="19"/>
        <v>0</v>
      </c>
      <c r="N49" s="68" t="str">
        <f>IFERROR(MAX(_xlfn.MAXIFS('[2]Controle de Produção'!$C:$C,'[2]Controle de Produção'!$L:$L,$D49,'[2]Controle de Produção'!$P:$P,$C49,'[2]Controle de Produção'!$G:$G,$B49),_xlfn.MAXIFS([3]EXPEDIÇÃO!$N:$N,[3]EXPEDIÇÃO!$E:$E,$D49,[3]EXPEDIÇÃO!$D:$D,$C49,[3]EXPEDIÇÃO!$N:$N,"&gt;="&amp;$G49)),"")</f>
        <v/>
      </c>
      <c r="O49" s="70">
        <f>INDEX([1]Produtos!$E:$E,MATCH($D49,[1]Produtos!$B:$B,0))</f>
        <v>250</v>
      </c>
      <c r="P49" s="70" t="str">
        <f>INDEX([1]Produtos!$F:$F,MATCH($D49,[1]Produtos!$B:$B,0))</f>
        <v>ml</v>
      </c>
      <c r="Q49" s="105">
        <f>INDEX([1]Produtos!$Y:$Y,MATCH($D49,[1]Produtos!$B:$B,0))</f>
        <v>1.35</v>
      </c>
      <c r="R49" s="35">
        <f t="shared" si="20"/>
        <v>7592.2902086267013</v>
      </c>
      <c r="S49" s="27">
        <f>IFERROR(INDEX([1]Produtos!$L:$L,MATCH(D49,[1]Produtos!$B:$B,0)), "")</f>
        <v>843.58780095852239</v>
      </c>
      <c r="T49" s="28">
        <f t="shared" si="21"/>
        <v>3</v>
      </c>
      <c r="U49" s="28" t="str">
        <f t="shared" si="22"/>
        <v>0D e 3h</v>
      </c>
      <c r="V49" s="27">
        <f>IFERROR(SUMIFS('[2]Controle de Produção'!$K:$K,'[2]Controle de Produção'!$L:$L,D49,'[2]Controle de Produção'!$P:$P,C49,'[2]Controle de Produção'!$B:$B,"&gt;=" &amp; G49,'[2]Controle de Produção'!$C:$C,"&lt;=" &amp; N49, '[2]Controle de Produção'!$G:$G,B49), "")</f>
        <v>0</v>
      </c>
      <c r="W49" s="27" t="str">
        <f>IFERROR(SUMIFS([3]EXPEDIÇÃO!$K:$K,[3]EXPEDIÇÃO!$E:$E,D49,[3]EXPEDIÇÃO!$D:$D,C49,[3]EXPEDIÇÃO!$N:$N,"&gt;=" &amp; G49,[3]EXPEDIÇÃO!$N:$N,"&lt;="&amp;N49), "")</f>
        <v/>
      </c>
      <c r="X49" s="27">
        <f>COUNTIFS('[2]Controle de Produção'!$P:$P,C49,'[2]Controle de Produção'!$L:$L,D49,'[2]Controle de Produção'!$B:$B,"&gt;=" &amp; G49)</f>
        <v>2</v>
      </c>
      <c r="Y49" s="27">
        <f t="shared" si="23"/>
        <v>0</v>
      </c>
      <c r="Z49" s="27">
        <f>IFERROR(COUNTIFS('[2]Controle de Produção'!$L:$L,D49,'[2]Controle de Produção'!$P:$P,C49,'[2]Controle de Produção'!$B:$B,"&gt;=" &amp; G49,'[2]Controle de Produção'!$C:$C,"&lt;=" &amp; N49, '[2]Controle de Produção'!$G:$G,B49), "")</f>
        <v>0</v>
      </c>
      <c r="AA49" s="108" t="str">
        <f t="shared" si="24"/>
        <v/>
      </c>
      <c r="AB49" s="41" t="str" cm="1">
        <f t="array" ref="AB49">_xlfn.IFS((H49*0.95)&lt;=V49,"Concluído",AND(V49 =0, J49&lt;&gt;""),"Programado",AND(V49=0,D49=""),"Desenvolv.",V49=0,"Não Iniciado",AND(V49&gt;0,V49&lt;H49,AO49=TRUE),"Em Produção",AND(V49&gt;0,V49&lt;H49,AO49=FALSE),"Produção Parcial")</f>
        <v>Não Iniciado</v>
      </c>
      <c r="AC49" s="42" t="b">
        <v>1</v>
      </c>
      <c r="AD49" s="32" t="b">
        <v>1</v>
      </c>
      <c r="AE49" s="32" t="b">
        <v>1</v>
      </c>
      <c r="AF49" s="42" t="b">
        <v>1</v>
      </c>
      <c r="AG49" s="48" t="s">
        <v>38</v>
      </c>
      <c r="AH49" s="32" t="s">
        <v>38</v>
      </c>
      <c r="AI49" s="32" t="b">
        <v>1</v>
      </c>
      <c r="AJ49" s="32" t="b">
        <v>1</v>
      </c>
      <c r="AK49" s="90" t="s">
        <v>38</v>
      </c>
      <c r="AL49" s="42" t="b">
        <v>1</v>
      </c>
      <c r="AM49" s="42" t="b">
        <v>1</v>
      </c>
      <c r="AN49" s="42" t="b">
        <v>1</v>
      </c>
      <c r="AO49" s="45" t="b" cm="1">
        <f t="array" ref="AO49">AND(COUNTIF(AC49:AN49,FALSE)=0,SUMPRODUCT(ISNUMBER(AC49:AN49)*1)=0)</f>
        <v>1</v>
      </c>
      <c r="AP49" s="59"/>
      <c r="AQ49" s="111">
        <f>IF(AB49="",99999999999,IFERROR(MATCH(AB49,{"Produção Parcial","Em Produção","Programado","Não Iniciado","Desenvolv.","Concluído"},0),7)*100000000+IF(ISNUMBER(J49),J49-46000,9999)*10000+IF(A49="",99,A49)*100+IF(C49="",99,CODE(LEFT(C49,1))))</f>
        <v>499990065</v>
      </c>
    </row>
    <row r="50" spans="1:43" s="36" customFormat="1" ht="25.15" hidden="1" customHeight="1" x14ac:dyDescent="0.25">
      <c r="A50" s="36">
        <v>0</v>
      </c>
      <c r="B50" s="38" t="s">
        <v>158</v>
      </c>
      <c r="C50" s="70" t="str">
        <f>INDEX([1]Produtos!$G:$G,MATCH($D50,[1]Produtos!$B:$B,0))</f>
        <v>AMEERATI</v>
      </c>
      <c r="D50" s="24" t="s">
        <v>167</v>
      </c>
      <c r="E50" s="70" t="str">
        <f>INDEX([1]Produtos!$C:$C,MATCH($D50,[1]Produtos!$B:$B,0))&amp;IF($F50&lt;&gt;"-"," - "&amp;LEFT($F50,1),"")&amp;" &gt; "&amp;$B50</f>
        <v>BODY MIST NECTAR DA PERA - 2 &gt; AMEERATI 01</v>
      </c>
      <c r="F50" s="51">
        <v>2</v>
      </c>
      <c r="G50" s="38">
        <v>46013</v>
      </c>
      <c r="H50" s="39">
        <f>3360-840</f>
        <v>2520</v>
      </c>
      <c r="I50" s="24" t="s">
        <v>39</v>
      </c>
      <c r="J50" s="68" t="str" cm="1">
        <f t="array" ref="J50">IFERROR(INDEX('[2]Previsão Envase'!$D$5:$D$4867, MATCH(1,('[2]Previsão Envase'!$F$5:$F$4867=$E50)+('[2]Previsão Envase'!$G$5:$G$4867=$E50)+('[2]Previsão Envase'!$H$5:$H$4867=$E50),0)),"")</f>
        <v/>
      </c>
      <c r="K50" s="68" t="str">
        <f>IF(COUNTIF('[2]Previsão Envase'!$F:$F,E50)&gt;0,"Linha 1",
IF(COUNTIF('[2]Previsão Envase'!$G:$G,E50)&gt;0,"Linha 2",
IF(COUNTIF('[2]Previsão Envase'!$H:$H,E50)&gt;0,"Linha 3","")))</f>
        <v/>
      </c>
      <c r="L50" s="96">
        <f>COUNTIF('[2]Previsão Envase'!$F:$H,E50)-COUNTIF('[2]Previsão Envase'!$F$1:$H$4,E50)</f>
        <v>0</v>
      </c>
      <c r="M50" s="35">
        <f t="shared" si="19"/>
        <v>0</v>
      </c>
      <c r="N50" s="68" t="str">
        <f>IFERROR(MAX(_xlfn.MAXIFS('[2]Controle de Produção'!$C:$C,'[2]Controle de Produção'!$L:$L,$D50,'[2]Controle de Produção'!$P:$P,$C50,'[2]Controle de Produção'!$G:$G,$B50),_xlfn.MAXIFS([3]EXPEDIÇÃO!$N:$N,[3]EXPEDIÇÃO!$E:$E,$D50,[3]EXPEDIÇÃO!$D:$D,$C50,[3]EXPEDIÇÃO!$N:$N,"&gt;="&amp;$G50)),"")</f>
        <v/>
      </c>
      <c r="O50" s="70">
        <f>INDEX([1]Produtos!$E:$E,MATCH($D50,[1]Produtos!$B:$B,0))</f>
        <v>250</v>
      </c>
      <c r="P50" s="70" t="str">
        <f>INDEX([1]Produtos!$F:$F,MATCH($D50,[1]Produtos!$B:$B,0))</f>
        <v>ml</v>
      </c>
      <c r="Q50" s="105">
        <f>INDEX([1]Produtos!$Y:$Y,MATCH($D50,[1]Produtos!$B:$B,0))</f>
        <v>1.35</v>
      </c>
      <c r="R50" s="35">
        <f t="shared" si="20"/>
        <v>7592.2902086267013</v>
      </c>
      <c r="S50" s="27">
        <f>IFERROR(INDEX([1]Produtos!$L:$L,MATCH(D50,[1]Produtos!$B:$B,0)), "")</f>
        <v>843.58780095852239</v>
      </c>
      <c r="T50" s="28">
        <f t="shared" si="21"/>
        <v>3</v>
      </c>
      <c r="U50" s="28" t="str">
        <f t="shared" si="22"/>
        <v>0D e 3h</v>
      </c>
      <c r="V50" s="27">
        <f>IFERROR(SUMIFS('[2]Controle de Produção'!$K:$K,'[2]Controle de Produção'!$L:$L,D50,'[2]Controle de Produção'!$P:$P,C50,'[2]Controle de Produção'!$B:$B,"&gt;=" &amp; G50,'[2]Controle de Produção'!$C:$C,"&lt;=" &amp; N50, '[2]Controle de Produção'!$G:$G,B50), "")</f>
        <v>0</v>
      </c>
      <c r="W50" s="27" t="str">
        <f>IFERROR(SUMIFS([3]EXPEDIÇÃO!$K:$K,[3]EXPEDIÇÃO!$E:$E,D50,[3]EXPEDIÇÃO!$D:$D,C50,[3]EXPEDIÇÃO!$N:$N,"&gt;=" &amp; G50,[3]EXPEDIÇÃO!$N:$N,"&lt;="&amp;N50), "")</f>
        <v/>
      </c>
      <c r="X50" s="27">
        <f>COUNTIFS('[2]Controle de Produção'!$P:$P,C50,'[2]Controle de Produção'!$L:$L,D50,'[2]Controle de Produção'!$B:$B,"&gt;=" &amp; G50)</f>
        <v>2</v>
      </c>
      <c r="Y50" s="27">
        <f t="shared" si="23"/>
        <v>0</v>
      </c>
      <c r="Z50" s="27">
        <f>IFERROR(COUNTIFS('[2]Controle de Produção'!$L:$L,D50,'[2]Controle de Produção'!$P:$P,C50,'[2]Controle de Produção'!$B:$B,"&gt;=" &amp; G50,'[2]Controle de Produção'!$C:$C,"&lt;=" &amp; N50, '[2]Controle de Produção'!$G:$G,B50), "")</f>
        <v>0</v>
      </c>
      <c r="AA50" s="108" t="str">
        <f t="shared" si="24"/>
        <v/>
      </c>
      <c r="AB50" s="41" t="str" cm="1">
        <f t="array" ref="AB50">_xlfn.IFS((H50*0.95)&lt;=V50,"Concluído",AND(V50 =0, J50&lt;&gt;""),"Programado",AND(V50=0,D50=""),"Desenvolv.",V50=0,"Não Iniciado",AND(V50&gt;0,V50&lt;H50,AO50=TRUE),"Em Produção",AND(V50&gt;0,V50&lt;H50,AO50=FALSE),"Produção Parcial")</f>
        <v>Não Iniciado</v>
      </c>
      <c r="AC50" s="42" t="b">
        <v>1</v>
      </c>
      <c r="AD50" s="42" t="b">
        <v>1</v>
      </c>
      <c r="AE50" s="42" t="b">
        <v>1</v>
      </c>
      <c r="AF50" s="42" t="b">
        <v>1</v>
      </c>
      <c r="AG50" s="42" t="s">
        <v>38</v>
      </c>
      <c r="AH50" s="42" t="s">
        <v>38</v>
      </c>
      <c r="AI50" s="42" t="b">
        <v>1</v>
      </c>
      <c r="AJ50" s="42" t="b">
        <v>1</v>
      </c>
      <c r="AK50" s="90" t="s">
        <v>38</v>
      </c>
      <c r="AL50" s="42" t="b">
        <v>1</v>
      </c>
      <c r="AM50" s="42" t="b">
        <v>1</v>
      </c>
      <c r="AN50" s="42" t="b">
        <v>1</v>
      </c>
      <c r="AO50" s="45" t="b" cm="1">
        <f t="array" ref="AO50">AND(COUNTIF(AC50:AN50,FALSE)=0,SUMPRODUCT(ISNUMBER(AC50:AN50)*1)=0)</f>
        <v>1</v>
      </c>
      <c r="AP50" s="59"/>
      <c r="AQ50" s="111">
        <f>IF(AB50="",99999999999,IFERROR(MATCH(AB50,{"Produção Parcial","Em Produção","Programado","Não Iniciado","Desenvolv.","Concluído"},0),7)*100000000+IF(ISNUMBER(J50),J50-46000,9999)*10000+IF(A50="",99,A50)*100+IF(C50="",99,CODE(LEFT(C50,1))))</f>
        <v>499990065</v>
      </c>
    </row>
    <row r="51" spans="1:43" s="36" customFormat="1" ht="25.15" hidden="1" customHeight="1" x14ac:dyDescent="0.25">
      <c r="A51" s="36">
        <v>0</v>
      </c>
      <c r="B51" s="38" t="s">
        <v>158</v>
      </c>
      <c r="C51" s="70" t="str">
        <f>INDEX([1]Produtos!$G:$G,MATCH($D51,[1]Produtos!$B:$B,0))</f>
        <v>AMEERATI</v>
      </c>
      <c r="D51" s="24" t="s">
        <v>252</v>
      </c>
      <c r="E51" s="70" t="str">
        <f>INDEX([1]Produtos!$C:$C,MATCH($D51,[1]Produtos!$B:$B,0))&amp;IF($F51&lt;&gt;"-"," - "&amp;LEFT($F51,1),"")&amp;" &gt; "&amp;$B51</f>
        <v>BODY MIST PEROLA DO DESERTO - 1 &gt; AMEERATI 01</v>
      </c>
      <c r="F51" s="51">
        <v>1</v>
      </c>
      <c r="G51" s="38">
        <v>45959</v>
      </c>
      <c r="H51" s="39">
        <v>840</v>
      </c>
      <c r="I51" s="24" t="s">
        <v>39</v>
      </c>
      <c r="J51" s="68" t="str" cm="1">
        <f t="array" ref="J51">IFERROR(INDEX('[2]Previsão Envase'!$D$5:$D$4867, MATCH(1,('[2]Previsão Envase'!$F$5:$F$4867=$E51)+('[2]Previsão Envase'!$G$5:$G$4867=$E51)+('[2]Previsão Envase'!$H$5:$H$4867=$E51),0)),"")</f>
        <v/>
      </c>
      <c r="K51" s="68" t="str">
        <f>IF(COUNTIF('[2]Previsão Envase'!$F:$F,E51)&gt;0,"Linha 1",
IF(COUNTIF('[2]Previsão Envase'!$G:$G,E51)&gt;0,"Linha 2",
IF(COUNTIF('[2]Previsão Envase'!$H:$H,E51)&gt;0,"Linha 3","")))</f>
        <v/>
      </c>
      <c r="L51" s="96">
        <f>COUNTIF('[2]Previsão Envase'!$F:$H,E51)-COUNTIF('[2]Previsão Envase'!$F$1:$H$4,E51)</f>
        <v>0</v>
      </c>
      <c r="M51" s="35">
        <f t="shared" si="19"/>
        <v>0</v>
      </c>
      <c r="N51" s="68" t="str">
        <f>IFERROR(MAX(_xlfn.MAXIFS('[2]Controle de Produção'!$C:$C,'[2]Controle de Produção'!$L:$L,$D51,'[2]Controle de Produção'!$P:$P,$C51,'[2]Controle de Produção'!$G:$G,$B51),_xlfn.MAXIFS([3]EXPEDIÇÃO!$N:$N,[3]EXPEDIÇÃO!$E:$E,$D51,[3]EXPEDIÇÃO!$D:$D,$C51,[3]EXPEDIÇÃO!$N:$N,"&gt;="&amp;$G51)),"")</f>
        <v/>
      </c>
      <c r="O51" s="70">
        <f>INDEX([1]Produtos!$E:$E,MATCH($D51,[1]Produtos!$B:$B,0))</f>
        <v>250</v>
      </c>
      <c r="P51" s="70" t="str">
        <f>INDEX([1]Produtos!$F:$F,MATCH($D51,[1]Produtos!$B:$B,0))</f>
        <v>ml</v>
      </c>
      <c r="Q51" s="105">
        <f>INDEX([1]Produtos!$Y:$Y,MATCH($D51,[1]Produtos!$B:$B,0))</f>
        <v>1.35</v>
      </c>
      <c r="R51" s="35">
        <f t="shared" si="20"/>
        <v>7592.2902086267013</v>
      </c>
      <c r="S51" s="27">
        <f>IFERROR(INDEX([1]Produtos!$L:$L,MATCH(D51,[1]Produtos!$B:$B,0)), "")</f>
        <v>843.58780095852239</v>
      </c>
      <c r="T51" s="28">
        <f t="shared" si="21"/>
        <v>1</v>
      </c>
      <c r="U51" s="28" t="str">
        <f t="shared" si="22"/>
        <v>0D e 1h</v>
      </c>
      <c r="V51" s="27">
        <f>IFERROR(SUMIFS('[2]Controle de Produção'!$K:$K,'[2]Controle de Produção'!$L:$L,D51,'[2]Controle de Produção'!$P:$P,C51,'[2]Controle de Produção'!$B:$B,"&gt;=" &amp; G51,'[2]Controle de Produção'!$C:$C,"&lt;=" &amp; N51, '[2]Controle de Produção'!$G:$G,B51), "")</f>
        <v>0</v>
      </c>
      <c r="W51" s="27" t="str">
        <f>IFERROR(SUMIFS([3]EXPEDIÇÃO!$K:$K,[3]EXPEDIÇÃO!$E:$E,D51,[3]EXPEDIÇÃO!$D:$D,C51,[3]EXPEDIÇÃO!$N:$N,"&gt;=" &amp; G51,[3]EXPEDIÇÃO!$N:$N,"&lt;="&amp;N51), "")</f>
        <v/>
      </c>
      <c r="X51" s="27">
        <f>COUNTIFS('[2]Controle de Produção'!$P:$P,C51,'[2]Controle de Produção'!$L:$L,D51,'[2]Controle de Produção'!$B:$B,"&gt;=" &amp; G51)</f>
        <v>3</v>
      </c>
      <c r="Y51" s="27">
        <f t="shared" si="23"/>
        <v>0</v>
      </c>
      <c r="Z51" s="27">
        <f>IFERROR(COUNTIFS('[2]Controle de Produção'!$L:$L,D51,'[2]Controle de Produção'!$P:$P,C51,'[2]Controle de Produção'!$B:$B,"&gt;=" &amp; G51,'[2]Controle de Produção'!$C:$C,"&lt;=" &amp; N51, '[2]Controle de Produção'!$G:$G,B51), "")</f>
        <v>0</v>
      </c>
      <c r="AA51" s="108" t="str">
        <f t="shared" si="24"/>
        <v/>
      </c>
      <c r="AB51" s="41" t="str" cm="1">
        <f t="array" ref="AB51">_xlfn.IFS((H51*0.95)&lt;=V51,"Concluído",AND(V51 =0, J51&lt;&gt;""),"Programado",AND(V51=0,D51=""),"Desenvolv.",V51=0,"Não Iniciado",AND(V51&gt;0,V51&lt;H51,AO51=TRUE),"Em Produção",AND(V51&gt;0,V51&lt;H51,AO51=FALSE),"Produção Parcial")</f>
        <v>Não Iniciado</v>
      </c>
      <c r="AC51" s="42" t="b">
        <v>1</v>
      </c>
      <c r="AD51" s="42" t="b">
        <v>1</v>
      </c>
      <c r="AE51" s="42" t="b">
        <v>1</v>
      </c>
      <c r="AF51" s="42" t="b">
        <v>1</v>
      </c>
      <c r="AG51" s="42" t="s">
        <v>38</v>
      </c>
      <c r="AH51" s="42" t="s">
        <v>38</v>
      </c>
      <c r="AI51" s="42" t="b">
        <v>1</v>
      </c>
      <c r="AJ51" s="42" t="b">
        <v>1</v>
      </c>
      <c r="AK51" s="42" t="b">
        <v>0</v>
      </c>
      <c r="AL51" s="42" t="b">
        <v>1</v>
      </c>
      <c r="AM51" s="42" t="b">
        <v>1</v>
      </c>
      <c r="AN51" s="42" t="b">
        <v>1</v>
      </c>
      <c r="AO51" s="45" t="b" cm="1">
        <f t="array" ref="AO51">AND(COUNTIF(AC51:AN51,FALSE)=0,SUMPRODUCT(ISNUMBER(AC51:AN51)*1)=0)</f>
        <v>0</v>
      </c>
      <c r="AP51" s="59"/>
      <c r="AQ51" s="111">
        <f>IF(AB51="",99999999999,IFERROR(MATCH(AB51,{"Produção Parcial","Em Produção","Programado","Não Iniciado","Desenvolv.","Concluído"},0),7)*100000000+IF(ISNUMBER(J51),J51-46000,9999)*10000+IF(A51="",99,A51)*100+IF(C51="",99,CODE(LEFT(C51,1))))</f>
        <v>499990065</v>
      </c>
    </row>
    <row r="52" spans="1:43" s="36" customFormat="1" ht="25.15" hidden="1" customHeight="1" x14ac:dyDescent="0.25">
      <c r="A52" s="36">
        <v>0</v>
      </c>
      <c r="B52" s="38" t="s">
        <v>158</v>
      </c>
      <c r="C52" s="70" t="str">
        <f>INDEX([1]Produtos!$G:$G,MATCH($D52,[1]Produtos!$B:$B,0))</f>
        <v>AMEERATI</v>
      </c>
      <c r="D52" s="24" t="s">
        <v>252</v>
      </c>
      <c r="E52" s="70" t="str">
        <f>INDEX([1]Produtos!$C:$C,MATCH($D52,[1]Produtos!$B:$B,0))&amp;IF($F52&lt;&gt;"-"," - "&amp;LEFT($F52,1),"")&amp;" &gt; "&amp;$B52</f>
        <v>BODY MIST PEROLA DO DESERTO - 2 &gt; AMEERATI 01</v>
      </c>
      <c r="F52" s="51">
        <v>2</v>
      </c>
      <c r="G52" s="38">
        <v>46013</v>
      </c>
      <c r="H52" s="39">
        <f>3360-840</f>
        <v>2520</v>
      </c>
      <c r="I52" s="24" t="s">
        <v>39</v>
      </c>
      <c r="J52" s="68" t="str" cm="1">
        <f t="array" ref="J52">IFERROR(INDEX('[2]Previsão Envase'!$D$5:$D$4867, MATCH(1,('[2]Previsão Envase'!$F$5:$F$4867=$E52)+('[2]Previsão Envase'!$G$5:$G$4867=$E52)+('[2]Previsão Envase'!$H$5:$H$4867=$E52),0)),"")</f>
        <v/>
      </c>
      <c r="K52" s="68" t="str">
        <f>IF(COUNTIF('[2]Previsão Envase'!$F:$F,E52)&gt;0,"Linha 1",
IF(COUNTIF('[2]Previsão Envase'!$G:$G,E52)&gt;0,"Linha 2",
IF(COUNTIF('[2]Previsão Envase'!$H:$H,E52)&gt;0,"Linha 3","")))</f>
        <v/>
      </c>
      <c r="L52" s="96">
        <f>COUNTIF('[2]Previsão Envase'!$F:$H,E52)-COUNTIF('[2]Previsão Envase'!$F$1:$H$4,E52)</f>
        <v>0</v>
      </c>
      <c r="M52" s="35">
        <f t="shared" si="19"/>
        <v>0</v>
      </c>
      <c r="N52" s="68" t="str">
        <f>IFERROR(MAX(_xlfn.MAXIFS('[2]Controle de Produção'!$C:$C,'[2]Controle de Produção'!$L:$L,$D52,'[2]Controle de Produção'!$P:$P,$C52,'[2]Controle de Produção'!$G:$G,$B52),_xlfn.MAXIFS([3]EXPEDIÇÃO!$N:$N,[3]EXPEDIÇÃO!$E:$E,$D52,[3]EXPEDIÇÃO!$D:$D,$C52,[3]EXPEDIÇÃO!$N:$N,"&gt;="&amp;$G52)),"")</f>
        <v/>
      </c>
      <c r="O52" s="70">
        <f>INDEX([1]Produtos!$E:$E,MATCH($D52,[1]Produtos!$B:$B,0))</f>
        <v>250</v>
      </c>
      <c r="P52" s="70" t="str">
        <f>INDEX([1]Produtos!$F:$F,MATCH($D52,[1]Produtos!$B:$B,0))</f>
        <v>ml</v>
      </c>
      <c r="Q52" s="105">
        <f>INDEX([1]Produtos!$Y:$Y,MATCH($D52,[1]Produtos!$B:$B,0))</f>
        <v>1.35</v>
      </c>
      <c r="R52" s="35">
        <f t="shared" si="20"/>
        <v>7592.2902086267013</v>
      </c>
      <c r="S52" s="27">
        <f>IFERROR(INDEX([1]Produtos!$L:$L,MATCH(D52,[1]Produtos!$B:$B,0)), "")</f>
        <v>843.58780095852239</v>
      </c>
      <c r="T52" s="28">
        <f t="shared" si="21"/>
        <v>3</v>
      </c>
      <c r="U52" s="28" t="str">
        <f t="shared" si="22"/>
        <v>0D e 3h</v>
      </c>
      <c r="V52" s="27">
        <f>IFERROR(SUMIFS('[2]Controle de Produção'!$K:$K,'[2]Controle de Produção'!$L:$L,D52,'[2]Controle de Produção'!$P:$P,C52,'[2]Controle de Produção'!$B:$B,"&gt;=" &amp; G52,'[2]Controle de Produção'!$C:$C,"&lt;=" &amp; N52, '[2]Controle de Produção'!$G:$G,B52), "")</f>
        <v>0</v>
      </c>
      <c r="W52" s="27" t="str">
        <f>IFERROR(SUMIFS([3]EXPEDIÇÃO!$K:$K,[3]EXPEDIÇÃO!$E:$E,D52,[3]EXPEDIÇÃO!$D:$D,C52,[3]EXPEDIÇÃO!$N:$N,"&gt;=" &amp; G52,[3]EXPEDIÇÃO!$N:$N,"&lt;="&amp;N52), "")</f>
        <v/>
      </c>
      <c r="X52" s="27">
        <f>COUNTIFS('[2]Controle de Produção'!$P:$P,C52,'[2]Controle de Produção'!$L:$L,D52,'[2]Controle de Produção'!$B:$B,"&gt;=" &amp; G52)</f>
        <v>2</v>
      </c>
      <c r="Y52" s="27">
        <f t="shared" si="23"/>
        <v>0</v>
      </c>
      <c r="Z52" s="27">
        <f>IFERROR(COUNTIFS('[2]Controle de Produção'!$L:$L,D52,'[2]Controle de Produção'!$P:$P,C52,'[2]Controle de Produção'!$B:$B,"&gt;=" &amp; G52,'[2]Controle de Produção'!$C:$C,"&lt;=" &amp; N52, '[2]Controle de Produção'!$G:$G,B52), "")</f>
        <v>0</v>
      </c>
      <c r="AA52" s="108" t="str">
        <f t="shared" si="24"/>
        <v/>
      </c>
      <c r="AB52" s="41" t="str" cm="1">
        <f t="array" ref="AB52">_xlfn.IFS((H52*0.95)&lt;=V52,"Concluído",AND(V52 =0, J52&lt;&gt;""),"Programado",AND(V52=0,D52=""),"Desenvolv.",V52=0,"Não Iniciado",AND(V52&gt;0,V52&lt;H52,AO52=TRUE),"Em Produção",AND(V52&gt;0,V52&lt;H52,AO52=FALSE),"Produção Parcial")</f>
        <v>Não Iniciado</v>
      </c>
      <c r="AC52" s="42" t="b">
        <v>1</v>
      </c>
      <c r="AD52" s="42" t="b">
        <v>1</v>
      </c>
      <c r="AE52" s="42" t="b">
        <v>1</v>
      </c>
      <c r="AF52" s="42" t="b">
        <v>1</v>
      </c>
      <c r="AG52" s="42" t="s">
        <v>38</v>
      </c>
      <c r="AH52" s="42" t="s">
        <v>38</v>
      </c>
      <c r="AI52" s="42" t="b">
        <v>1</v>
      </c>
      <c r="AJ52" s="42" t="b">
        <v>1</v>
      </c>
      <c r="AK52" s="42" t="s">
        <v>38</v>
      </c>
      <c r="AL52" s="42" t="b">
        <v>1</v>
      </c>
      <c r="AM52" s="42" t="b">
        <v>1</v>
      </c>
      <c r="AN52" s="42" t="b">
        <v>1</v>
      </c>
      <c r="AO52" s="45" t="b" cm="1">
        <f t="array" ref="AO52">AND(COUNTIF(AC52:AN52,FALSE)=0,SUMPRODUCT(ISNUMBER(AC52:AN52)*1)=0)</f>
        <v>1</v>
      </c>
      <c r="AP52" s="59"/>
      <c r="AQ52" s="111">
        <f>IF(AB52="",99999999999,IFERROR(MATCH(AB52,{"Produção Parcial","Em Produção","Programado","Não Iniciado","Desenvolv.","Concluído"},0),7)*100000000+IF(ISNUMBER(J52),J52-46000,9999)*10000+IF(A52="",99,A52)*100+IF(C52="",99,CODE(LEFT(C52,1))))</f>
        <v>499990065</v>
      </c>
    </row>
    <row r="53" spans="1:43" s="36" customFormat="1" ht="25.15" hidden="1" customHeight="1" x14ac:dyDescent="0.25">
      <c r="A53" s="36">
        <v>0</v>
      </c>
      <c r="B53" s="38" t="s">
        <v>158</v>
      </c>
      <c r="C53" s="70" t="str">
        <f>INDEX([1]Produtos!$G:$G,MATCH($D53,[1]Produtos!$B:$B,0))</f>
        <v>AMEERATI</v>
      </c>
      <c r="D53" s="24" t="s">
        <v>221</v>
      </c>
      <c r="E53" s="70" t="str">
        <f>INDEX([1]Produtos!$C:$C,MATCH($D53,[1]Produtos!$B:$B,0))&amp;IF($F53&lt;&gt;"-"," - "&amp;LEFT($F53,1),"")&amp;" &gt; "&amp;$B53</f>
        <v>BODY MIST RARO ELIXIR - 1 &gt; AMEERATI 01</v>
      </c>
      <c r="F53" s="51">
        <v>1</v>
      </c>
      <c r="G53" s="38">
        <v>45959</v>
      </c>
      <c r="H53" s="39">
        <v>840</v>
      </c>
      <c r="I53" s="24" t="s">
        <v>39</v>
      </c>
      <c r="J53" s="68" t="str" cm="1">
        <f t="array" ref="J53">IFERROR(INDEX('[2]Previsão Envase'!$D$5:$D$4867, MATCH(1,('[2]Previsão Envase'!$F$5:$F$4867=$E53)+('[2]Previsão Envase'!$G$5:$G$4867=$E53)+('[2]Previsão Envase'!$H$5:$H$4867=$E53),0)),"")</f>
        <v/>
      </c>
      <c r="K53" s="68" t="str">
        <f>IF(COUNTIF('[2]Previsão Envase'!$F:$F,E53)&gt;0,"Linha 1",
IF(COUNTIF('[2]Previsão Envase'!$G:$G,E53)&gt;0,"Linha 2",
IF(COUNTIF('[2]Previsão Envase'!$H:$H,E53)&gt;0,"Linha 3","")))</f>
        <v/>
      </c>
      <c r="L53" s="96">
        <f>COUNTIF('[2]Previsão Envase'!$F:$H,E53)-COUNTIF('[2]Previsão Envase'!$F$1:$H$4,E53)</f>
        <v>0</v>
      </c>
      <c r="M53" s="35">
        <f t="shared" si="19"/>
        <v>0</v>
      </c>
      <c r="N53" s="68" t="str">
        <f>IFERROR(MAX(_xlfn.MAXIFS('[2]Controle de Produção'!$C:$C,'[2]Controle de Produção'!$L:$L,$D53,'[2]Controle de Produção'!$P:$P,$C53,'[2]Controle de Produção'!$G:$G,$B53),_xlfn.MAXIFS([3]EXPEDIÇÃO!$N:$N,[3]EXPEDIÇÃO!$E:$E,$D53,[3]EXPEDIÇÃO!$D:$D,$C53,[3]EXPEDIÇÃO!$N:$N,"&gt;="&amp;$G53)),"")</f>
        <v/>
      </c>
      <c r="O53" s="70">
        <f>INDEX([1]Produtos!$E:$E,MATCH($D53,[1]Produtos!$B:$B,0))</f>
        <v>250</v>
      </c>
      <c r="P53" s="70" t="str">
        <f>INDEX([1]Produtos!$F:$F,MATCH($D53,[1]Produtos!$B:$B,0))</f>
        <v>ml</v>
      </c>
      <c r="Q53" s="105">
        <f>INDEX([1]Produtos!$Y:$Y,MATCH($D53,[1]Produtos!$B:$B,0))</f>
        <v>1.35</v>
      </c>
      <c r="R53" s="35">
        <f t="shared" si="20"/>
        <v>7592.2902086267013</v>
      </c>
      <c r="S53" s="27">
        <f>IFERROR(INDEX([1]Produtos!$L:$L,MATCH(D53,[1]Produtos!$B:$B,0)), "")</f>
        <v>843.58780095852239</v>
      </c>
      <c r="T53" s="28">
        <f t="shared" si="21"/>
        <v>1</v>
      </c>
      <c r="U53" s="28" t="str">
        <f t="shared" si="22"/>
        <v>0D e 1h</v>
      </c>
      <c r="V53" s="27">
        <f>IFERROR(SUMIFS('[2]Controle de Produção'!$K:$K,'[2]Controle de Produção'!$L:$L,D53,'[2]Controle de Produção'!$P:$P,C53,'[2]Controle de Produção'!$B:$B,"&gt;=" &amp; G53,'[2]Controle de Produção'!$C:$C,"&lt;=" &amp; N53, '[2]Controle de Produção'!$G:$G,B53), "")</f>
        <v>0</v>
      </c>
      <c r="W53" s="27" t="str">
        <f>IFERROR(SUMIFS([3]EXPEDIÇÃO!$K:$K,[3]EXPEDIÇÃO!$E:$E,D53,[3]EXPEDIÇÃO!$D:$D,C53,[3]EXPEDIÇÃO!$N:$N,"&gt;=" &amp; G53,[3]EXPEDIÇÃO!$N:$N,"&lt;="&amp;N53), "")</f>
        <v/>
      </c>
      <c r="X53" s="27">
        <f>COUNTIFS('[2]Controle de Produção'!$P:$P,C53,'[2]Controle de Produção'!$L:$L,D53,'[2]Controle de Produção'!$B:$B,"&gt;=" &amp; G53)</f>
        <v>3</v>
      </c>
      <c r="Y53" s="27">
        <f t="shared" si="23"/>
        <v>0</v>
      </c>
      <c r="Z53" s="27">
        <f>IFERROR(COUNTIFS('[2]Controle de Produção'!$L:$L,D53,'[2]Controle de Produção'!$P:$P,C53,'[2]Controle de Produção'!$B:$B,"&gt;=" &amp; G53,'[2]Controle de Produção'!$C:$C,"&lt;=" &amp; N53, '[2]Controle de Produção'!$G:$G,B53), "")</f>
        <v>0</v>
      </c>
      <c r="AA53" s="108" t="str">
        <f t="shared" si="24"/>
        <v/>
      </c>
      <c r="AB53" s="41" t="str" cm="1">
        <f t="array" ref="AB53">_xlfn.IFS((H53*0.95)&lt;=V53,"Concluído",AND(V53 =0, J53&lt;&gt;""),"Programado",AND(V53=0,D53=""),"Desenvolv.",V53=0,"Não Iniciado",AND(V53&gt;0,V53&lt;H53,AO53=TRUE),"Em Produção",AND(V53&gt;0,V53&lt;H53,AO53=FALSE),"Produção Parcial")</f>
        <v>Não Iniciado</v>
      </c>
      <c r="AC53" s="42" t="b">
        <v>1</v>
      </c>
      <c r="AD53" s="42" t="b">
        <v>1</v>
      </c>
      <c r="AE53" s="42" t="b">
        <v>1</v>
      </c>
      <c r="AF53" s="42" t="b">
        <v>1</v>
      </c>
      <c r="AG53" s="42" t="s">
        <v>38</v>
      </c>
      <c r="AH53" s="42" t="s">
        <v>38</v>
      </c>
      <c r="AI53" s="42" t="b">
        <v>1</v>
      </c>
      <c r="AJ53" s="42" t="b">
        <v>1</v>
      </c>
      <c r="AK53" s="42" t="b">
        <v>0</v>
      </c>
      <c r="AL53" s="42" t="b">
        <v>1</v>
      </c>
      <c r="AM53" s="42" t="b">
        <v>1</v>
      </c>
      <c r="AN53" s="42" t="b">
        <v>1</v>
      </c>
      <c r="AO53" s="45" t="b" cm="1">
        <f t="array" ref="AO53">AND(COUNTIF(AC53:AN53,FALSE)=0,SUMPRODUCT(ISNUMBER(AC53:AN53)*1)=0)</f>
        <v>0</v>
      </c>
      <c r="AP53" s="59"/>
      <c r="AQ53" s="111">
        <f>IF(AB53="",99999999999,IFERROR(MATCH(AB53,{"Produção Parcial","Em Produção","Programado","Não Iniciado","Desenvolv.","Concluído"},0),7)*100000000+IF(ISNUMBER(J53),J53-46000,9999)*10000+IF(A53="",99,A53)*100+IF(C53="",99,CODE(LEFT(C53,1))))</f>
        <v>499990065</v>
      </c>
    </row>
    <row r="54" spans="1:43" s="36" customFormat="1" ht="25.15" hidden="1" customHeight="1" x14ac:dyDescent="0.25">
      <c r="A54" s="36">
        <v>0</v>
      </c>
      <c r="B54" s="38" t="s">
        <v>158</v>
      </c>
      <c r="C54" s="70" t="str">
        <f>INDEX([1]Produtos!$G:$G,MATCH($D54,[1]Produtos!$B:$B,0))</f>
        <v>AMEERATI</v>
      </c>
      <c r="D54" s="24" t="s">
        <v>221</v>
      </c>
      <c r="E54" s="70" t="str">
        <f>INDEX([1]Produtos!$C:$C,MATCH($D54,[1]Produtos!$B:$B,0))&amp;IF($F54&lt;&gt;"-"," - "&amp;LEFT($F54,1),"")&amp;" &gt; "&amp;$B54</f>
        <v>BODY MIST RARO ELIXIR - 2 &gt; AMEERATI 01</v>
      </c>
      <c r="F54" s="51">
        <v>2</v>
      </c>
      <c r="G54" s="38">
        <v>46013</v>
      </c>
      <c r="H54" s="39">
        <f>3360-840</f>
        <v>2520</v>
      </c>
      <c r="I54" s="24" t="s">
        <v>39</v>
      </c>
      <c r="J54" s="68" t="str" cm="1">
        <f t="array" ref="J54">IFERROR(INDEX('[2]Previsão Envase'!$D$5:$D$4867, MATCH(1,('[2]Previsão Envase'!$F$5:$F$4867=$E54)+('[2]Previsão Envase'!$G$5:$G$4867=$E54)+('[2]Previsão Envase'!$H$5:$H$4867=$E54),0)),"")</f>
        <v/>
      </c>
      <c r="K54" s="68" t="str">
        <f>IF(COUNTIF('[2]Previsão Envase'!$F:$F,E54)&gt;0,"Linha 1",
IF(COUNTIF('[2]Previsão Envase'!$G:$G,E54)&gt;0,"Linha 2",
IF(COUNTIF('[2]Previsão Envase'!$H:$H,E54)&gt;0,"Linha 3","")))</f>
        <v/>
      </c>
      <c r="L54" s="96">
        <f>COUNTIF('[2]Previsão Envase'!$F:$H,E54)-COUNTIF('[2]Previsão Envase'!$F$1:$H$4,E54)</f>
        <v>0</v>
      </c>
      <c r="M54" s="35">
        <f t="shared" si="19"/>
        <v>0</v>
      </c>
      <c r="N54" s="68" t="str">
        <f>IFERROR(MAX(_xlfn.MAXIFS('[2]Controle de Produção'!$C:$C,'[2]Controle de Produção'!$L:$L,$D54,'[2]Controle de Produção'!$P:$P,$C54,'[2]Controle de Produção'!$G:$G,$B54),_xlfn.MAXIFS([3]EXPEDIÇÃO!$N:$N,[3]EXPEDIÇÃO!$E:$E,$D54,[3]EXPEDIÇÃO!$D:$D,$C54,[3]EXPEDIÇÃO!$N:$N,"&gt;="&amp;$G54)),"")</f>
        <v/>
      </c>
      <c r="O54" s="70">
        <f>INDEX([1]Produtos!$E:$E,MATCH($D54,[1]Produtos!$B:$B,0))</f>
        <v>250</v>
      </c>
      <c r="P54" s="70" t="str">
        <f>INDEX([1]Produtos!$F:$F,MATCH($D54,[1]Produtos!$B:$B,0))</f>
        <v>ml</v>
      </c>
      <c r="Q54" s="105">
        <f>INDEX([1]Produtos!$Y:$Y,MATCH($D54,[1]Produtos!$B:$B,0))</f>
        <v>1.35</v>
      </c>
      <c r="R54" s="35">
        <f t="shared" si="20"/>
        <v>7592.2902086267013</v>
      </c>
      <c r="S54" s="27">
        <f>IFERROR(INDEX([1]Produtos!$L:$L,MATCH(D54,[1]Produtos!$B:$B,0)), "")</f>
        <v>843.58780095852239</v>
      </c>
      <c r="T54" s="28">
        <f t="shared" si="21"/>
        <v>3</v>
      </c>
      <c r="U54" s="28" t="str">
        <f t="shared" si="22"/>
        <v>0D e 3h</v>
      </c>
      <c r="V54" s="27">
        <f>IFERROR(SUMIFS('[2]Controle de Produção'!$K:$K,'[2]Controle de Produção'!$L:$L,D54,'[2]Controle de Produção'!$P:$P,C54,'[2]Controle de Produção'!$B:$B,"&gt;=" &amp; G54,'[2]Controle de Produção'!$C:$C,"&lt;=" &amp; N54, '[2]Controle de Produção'!$G:$G,B54), "")</f>
        <v>0</v>
      </c>
      <c r="W54" s="27" t="str">
        <f>IFERROR(SUMIFS([3]EXPEDIÇÃO!$K:$K,[3]EXPEDIÇÃO!$E:$E,D54,[3]EXPEDIÇÃO!$D:$D,C54,[3]EXPEDIÇÃO!$N:$N,"&gt;=" &amp; G54,[3]EXPEDIÇÃO!$N:$N,"&lt;="&amp;N54), "")</f>
        <v/>
      </c>
      <c r="X54" s="27">
        <f>COUNTIFS('[2]Controle de Produção'!$P:$P,C54,'[2]Controle de Produção'!$L:$L,D54,'[2]Controle de Produção'!$B:$B,"&gt;=" &amp; G54)</f>
        <v>2</v>
      </c>
      <c r="Y54" s="27">
        <f t="shared" si="23"/>
        <v>0</v>
      </c>
      <c r="Z54" s="27">
        <f>IFERROR(COUNTIFS('[2]Controle de Produção'!$L:$L,D54,'[2]Controle de Produção'!$P:$P,C54,'[2]Controle de Produção'!$B:$B,"&gt;=" &amp; G54,'[2]Controle de Produção'!$C:$C,"&lt;=" &amp; N54, '[2]Controle de Produção'!$G:$G,B54), "")</f>
        <v>0</v>
      </c>
      <c r="AA54" s="108" t="str">
        <f t="shared" si="24"/>
        <v/>
      </c>
      <c r="AB54" s="41" t="str" cm="1">
        <f t="array" ref="AB54">_xlfn.IFS((H54*0.95)&lt;=V54,"Concluído",AND(V54 =0, J54&lt;&gt;""),"Programado",AND(V54=0,D54=""),"Desenvolv.",V54=0,"Não Iniciado",AND(V54&gt;0,V54&lt;H54,AO54=TRUE),"Em Produção",AND(V54&gt;0,V54&lt;H54,AO54=FALSE),"Produção Parcial")</f>
        <v>Não Iniciado</v>
      </c>
      <c r="AC54" s="42" t="b">
        <v>1</v>
      </c>
      <c r="AD54" s="42" t="b">
        <v>1</v>
      </c>
      <c r="AE54" s="42" t="b">
        <v>1</v>
      </c>
      <c r="AF54" s="42" t="b">
        <v>1</v>
      </c>
      <c r="AG54" s="42" t="s">
        <v>38</v>
      </c>
      <c r="AH54" s="42" t="s">
        <v>38</v>
      </c>
      <c r="AI54" s="42" t="b">
        <v>1</v>
      </c>
      <c r="AJ54" s="42" t="b">
        <v>1</v>
      </c>
      <c r="AK54" s="42" t="s">
        <v>38</v>
      </c>
      <c r="AL54" s="42" t="b">
        <v>1</v>
      </c>
      <c r="AM54" s="42" t="b">
        <v>1</v>
      </c>
      <c r="AN54" s="42" t="b">
        <v>1</v>
      </c>
      <c r="AO54" s="45" t="b" cm="1">
        <f t="array" ref="AO54">AND(COUNTIF(AC54:AN54,FALSE)=0,SUMPRODUCT(ISNUMBER(AC54:AN54)*1)=0)</f>
        <v>1</v>
      </c>
      <c r="AP54" s="59"/>
      <c r="AQ54" s="111">
        <f>IF(AB54="",99999999999,IFERROR(MATCH(AB54,{"Produção Parcial","Em Produção","Programado","Não Iniciado","Desenvolv.","Concluído"},0),7)*100000000+IF(ISNUMBER(J54),J54-46000,9999)*10000+IF(A54="",99,A54)*100+IF(C54="",99,CODE(LEFT(C54,1))))</f>
        <v>499990065</v>
      </c>
    </row>
    <row r="55" spans="1:43" s="36" customFormat="1" ht="25.15" hidden="1" customHeight="1" x14ac:dyDescent="0.25">
      <c r="A55" s="36">
        <v>0</v>
      </c>
      <c r="B55" s="38" t="s">
        <v>158</v>
      </c>
      <c r="C55" s="70" t="str">
        <f>INDEX([1]Produtos!$G:$G,MATCH($D55,[1]Produtos!$B:$B,0))</f>
        <v>AMEERATI</v>
      </c>
      <c r="D55" s="24" t="s">
        <v>245</v>
      </c>
      <c r="E55" s="70" t="str">
        <f>INDEX([1]Produtos!$C:$C,MATCH($D55,[1]Produtos!$B:$B,0))&amp;IF($F55&lt;&gt;"-"," - "&amp;LEFT($F55,1),"")&amp;" &gt; "&amp;$B55</f>
        <v>BODY MIST ROSA IMPERIAL - 1 &gt; AMEERATI 01</v>
      </c>
      <c r="F55" s="51">
        <v>1</v>
      </c>
      <c r="G55" s="38">
        <v>45959</v>
      </c>
      <c r="H55" s="39">
        <v>840</v>
      </c>
      <c r="I55" s="24" t="s">
        <v>39</v>
      </c>
      <c r="J55" s="68" t="str" cm="1">
        <f t="array" ref="J55">IFERROR(INDEX('[2]Previsão Envase'!$D$5:$D$4867, MATCH(1,('[2]Previsão Envase'!$F$5:$F$4867=$E55)+('[2]Previsão Envase'!$G$5:$G$4867=$E55)+('[2]Previsão Envase'!$H$5:$H$4867=$E55),0)),"")</f>
        <v/>
      </c>
      <c r="K55" s="68" t="str">
        <f>IF(COUNTIF('[2]Previsão Envase'!$F:$F,E55)&gt;0,"Linha 1",
IF(COUNTIF('[2]Previsão Envase'!$G:$G,E55)&gt;0,"Linha 2",
IF(COUNTIF('[2]Previsão Envase'!$H:$H,E55)&gt;0,"Linha 3","")))</f>
        <v/>
      </c>
      <c r="L55" s="96">
        <f>COUNTIF('[2]Previsão Envase'!$F:$H,E55)-COUNTIF('[2]Previsão Envase'!$F$1:$H$4,E55)</f>
        <v>0</v>
      </c>
      <c r="M55" s="35">
        <f t="shared" si="19"/>
        <v>0</v>
      </c>
      <c r="N55" s="68" t="str">
        <f>IFERROR(MAX(_xlfn.MAXIFS('[2]Controle de Produção'!$C:$C,'[2]Controle de Produção'!$L:$L,$D55,'[2]Controle de Produção'!$P:$P,$C55,'[2]Controle de Produção'!$G:$G,$B55),_xlfn.MAXIFS([3]EXPEDIÇÃO!$N:$N,[3]EXPEDIÇÃO!$E:$E,$D55,[3]EXPEDIÇÃO!$D:$D,$C55,[3]EXPEDIÇÃO!$N:$N,"&gt;="&amp;$G55)),"")</f>
        <v/>
      </c>
      <c r="O55" s="70">
        <f>INDEX([1]Produtos!$E:$E,MATCH($D55,[1]Produtos!$B:$B,0))</f>
        <v>250</v>
      </c>
      <c r="P55" s="70" t="str">
        <f>INDEX([1]Produtos!$F:$F,MATCH($D55,[1]Produtos!$B:$B,0))</f>
        <v>ml</v>
      </c>
      <c r="Q55" s="105">
        <f>INDEX([1]Produtos!$Y:$Y,MATCH($D55,[1]Produtos!$B:$B,0))</f>
        <v>1.35</v>
      </c>
      <c r="R55" s="35">
        <f t="shared" si="20"/>
        <v>7592.2902086267013</v>
      </c>
      <c r="S55" s="27">
        <f>IFERROR(INDEX([1]Produtos!$L:$L,MATCH(D55,[1]Produtos!$B:$B,0)), "")</f>
        <v>843.58780095852239</v>
      </c>
      <c r="T55" s="28">
        <f t="shared" si="21"/>
        <v>1</v>
      </c>
      <c r="U55" s="28" t="str">
        <f t="shared" si="22"/>
        <v>0D e 1h</v>
      </c>
      <c r="V55" s="27">
        <f>IFERROR(SUMIFS('[2]Controle de Produção'!$K:$K,'[2]Controle de Produção'!$L:$L,D55,'[2]Controle de Produção'!$P:$P,C55,'[2]Controle de Produção'!$B:$B,"&gt;=" &amp; G55,'[2]Controle de Produção'!$C:$C,"&lt;=" &amp; N55, '[2]Controle de Produção'!$G:$G,B55), "")</f>
        <v>0</v>
      </c>
      <c r="W55" s="27" t="str">
        <f>IFERROR(SUMIFS([3]EXPEDIÇÃO!$K:$K,[3]EXPEDIÇÃO!$E:$E,D55,[3]EXPEDIÇÃO!$D:$D,C55,[3]EXPEDIÇÃO!$N:$N,"&gt;=" &amp; G55,[3]EXPEDIÇÃO!$N:$N,"&lt;="&amp;N55), "")</f>
        <v/>
      </c>
      <c r="X55" s="27">
        <f>COUNTIFS('[2]Controle de Produção'!$P:$P,C55,'[2]Controle de Produção'!$L:$L,D55,'[2]Controle de Produção'!$B:$B,"&gt;=" &amp; G55)</f>
        <v>3</v>
      </c>
      <c r="Y55" s="27">
        <f t="shared" si="23"/>
        <v>0</v>
      </c>
      <c r="Z55" s="27">
        <f>IFERROR(COUNTIFS('[2]Controle de Produção'!$L:$L,D55,'[2]Controle de Produção'!$P:$P,C55,'[2]Controle de Produção'!$B:$B,"&gt;=" &amp; G55,'[2]Controle de Produção'!$C:$C,"&lt;=" &amp; N55, '[2]Controle de Produção'!$G:$G,B55), "")</f>
        <v>0</v>
      </c>
      <c r="AA55" s="108" t="str">
        <f t="shared" si="24"/>
        <v/>
      </c>
      <c r="AB55" s="41" t="str" cm="1">
        <f t="array" ref="AB55">_xlfn.IFS((H55*0.95)&lt;=V55,"Concluído",AND(V55 =0, J55&lt;&gt;""),"Programado",AND(V55=0,D55=""),"Desenvolv.",V55=0,"Não Iniciado",AND(V55&gt;0,V55&lt;H55,AO55=TRUE),"Em Produção",AND(V55&gt;0,V55&lt;H55,AO55=FALSE),"Produção Parcial")</f>
        <v>Não Iniciado</v>
      </c>
      <c r="AC55" s="42" t="b">
        <v>1</v>
      </c>
      <c r="AD55" s="42" t="b">
        <v>1</v>
      </c>
      <c r="AE55" s="42" t="b">
        <v>1</v>
      </c>
      <c r="AF55" s="42" t="b">
        <v>1</v>
      </c>
      <c r="AG55" s="42" t="s">
        <v>38</v>
      </c>
      <c r="AH55" s="42" t="s">
        <v>38</v>
      </c>
      <c r="AI55" s="42" t="b">
        <v>1</v>
      </c>
      <c r="AJ55" s="42" t="b">
        <v>1</v>
      </c>
      <c r="AK55" s="42" t="b">
        <v>0</v>
      </c>
      <c r="AL55" s="42" t="b">
        <v>1</v>
      </c>
      <c r="AM55" s="42" t="b">
        <v>1</v>
      </c>
      <c r="AN55" s="42" t="b">
        <v>1</v>
      </c>
      <c r="AO55" s="45" t="b" cm="1">
        <f t="array" ref="AO55">AND(COUNTIF(AC55:AN55,FALSE)=0,SUMPRODUCT(ISNUMBER(AC55:AN55)*1)=0)</f>
        <v>0</v>
      </c>
      <c r="AP55" s="59"/>
      <c r="AQ55" s="111">
        <f>IF(AB55="",99999999999,IFERROR(MATCH(AB55,{"Produção Parcial","Em Produção","Programado","Não Iniciado","Desenvolv.","Concluído"},0),7)*100000000+IF(ISNUMBER(J55),J55-46000,9999)*10000+IF(A55="",99,A55)*100+IF(C55="",99,CODE(LEFT(C55,1))))</f>
        <v>499990065</v>
      </c>
    </row>
    <row r="56" spans="1:43" s="36" customFormat="1" ht="25.15" hidden="1" customHeight="1" x14ac:dyDescent="0.25">
      <c r="A56" s="36">
        <v>0</v>
      </c>
      <c r="B56" s="38" t="s">
        <v>158</v>
      </c>
      <c r="C56" s="70" t="str">
        <f>INDEX([1]Produtos!$G:$G,MATCH($D56,[1]Produtos!$B:$B,0))</f>
        <v>AMEERATI</v>
      </c>
      <c r="D56" s="24" t="s">
        <v>245</v>
      </c>
      <c r="E56" s="70" t="str">
        <f>INDEX([1]Produtos!$C:$C,MATCH($D56,[1]Produtos!$B:$B,0))&amp;IF($F56&lt;&gt;"-"," - "&amp;LEFT($F56,1),"")&amp;" &gt; "&amp;$B56</f>
        <v>BODY MIST ROSA IMPERIAL - 2 &gt; AMEERATI 01</v>
      </c>
      <c r="F56" s="51">
        <v>2</v>
      </c>
      <c r="G56" s="38">
        <v>46013</v>
      </c>
      <c r="H56" s="39">
        <f>3360-840</f>
        <v>2520</v>
      </c>
      <c r="I56" s="24" t="s">
        <v>39</v>
      </c>
      <c r="J56" s="68" t="str" cm="1">
        <f t="array" ref="J56">IFERROR(INDEX('[2]Previsão Envase'!$D$5:$D$4867, MATCH(1,('[2]Previsão Envase'!$F$5:$F$4867=$E56)+('[2]Previsão Envase'!$G$5:$G$4867=$E56)+('[2]Previsão Envase'!$H$5:$H$4867=$E56),0)),"")</f>
        <v/>
      </c>
      <c r="K56" s="68" t="str">
        <f>IF(COUNTIF('[2]Previsão Envase'!$F:$F,E56)&gt;0,"Linha 1",
IF(COUNTIF('[2]Previsão Envase'!$G:$G,E56)&gt;0,"Linha 2",
IF(COUNTIF('[2]Previsão Envase'!$H:$H,E56)&gt;0,"Linha 3","")))</f>
        <v/>
      </c>
      <c r="L56" s="96">
        <f>COUNTIF('[2]Previsão Envase'!$F:$H,E56)-COUNTIF('[2]Previsão Envase'!$F$1:$H$4,E56)</f>
        <v>0</v>
      </c>
      <c r="M56" s="35">
        <f t="shared" si="19"/>
        <v>0</v>
      </c>
      <c r="N56" s="68" t="str">
        <f>IFERROR(MAX(_xlfn.MAXIFS('[2]Controle de Produção'!$C:$C,'[2]Controle de Produção'!$L:$L,$D56,'[2]Controle de Produção'!$P:$P,$C56,'[2]Controle de Produção'!$G:$G,$B56),_xlfn.MAXIFS([3]EXPEDIÇÃO!$N:$N,[3]EXPEDIÇÃO!$E:$E,$D56,[3]EXPEDIÇÃO!$D:$D,$C56,[3]EXPEDIÇÃO!$N:$N,"&gt;="&amp;$G56)),"")</f>
        <v/>
      </c>
      <c r="O56" s="70">
        <f>INDEX([1]Produtos!$E:$E,MATCH($D56,[1]Produtos!$B:$B,0))</f>
        <v>250</v>
      </c>
      <c r="P56" s="70" t="str">
        <f>INDEX([1]Produtos!$F:$F,MATCH($D56,[1]Produtos!$B:$B,0))</f>
        <v>ml</v>
      </c>
      <c r="Q56" s="105">
        <f>INDEX([1]Produtos!$Y:$Y,MATCH($D56,[1]Produtos!$B:$B,0))</f>
        <v>1.35</v>
      </c>
      <c r="R56" s="35">
        <f t="shared" si="20"/>
        <v>7592.2902086267013</v>
      </c>
      <c r="S56" s="27">
        <f>IFERROR(INDEX([1]Produtos!$L:$L,MATCH(D56,[1]Produtos!$B:$B,0)), "")</f>
        <v>843.58780095852239</v>
      </c>
      <c r="T56" s="28">
        <f t="shared" si="21"/>
        <v>3</v>
      </c>
      <c r="U56" s="28" t="str">
        <f t="shared" si="22"/>
        <v>0D e 3h</v>
      </c>
      <c r="V56" s="27">
        <f>IFERROR(SUMIFS('[2]Controle de Produção'!$K:$K,'[2]Controle de Produção'!$L:$L,D56,'[2]Controle de Produção'!$P:$P,C56,'[2]Controle de Produção'!$B:$B,"&gt;=" &amp; G56,'[2]Controle de Produção'!$C:$C,"&lt;=" &amp; N56, '[2]Controle de Produção'!$G:$G,B56), "")</f>
        <v>0</v>
      </c>
      <c r="W56" s="27" t="str">
        <f>IFERROR(SUMIFS([3]EXPEDIÇÃO!$K:$K,[3]EXPEDIÇÃO!$E:$E,D56,[3]EXPEDIÇÃO!$D:$D,C56,[3]EXPEDIÇÃO!$N:$N,"&gt;=" &amp; G56,[3]EXPEDIÇÃO!$N:$N,"&lt;="&amp;N56), "")</f>
        <v/>
      </c>
      <c r="X56" s="27">
        <f>COUNTIFS('[2]Controle de Produção'!$P:$P,C56,'[2]Controle de Produção'!$L:$L,D56,'[2]Controle de Produção'!$B:$B,"&gt;=" &amp; G56)</f>
        <v>2</v>
      </c>
      <c r="Y56" s="27">
        <f t="shared" si="23"/>
        <v>0</v>
      </c>
      <c r="Z56" s="27">
        <f>IFERROR(COUNTIFS('[2]Controle de Produção'!$L:$L,D56,'[2]Controle de Produção'!$P:$P,C56,'[2]Controle de Produção'!$B:$B,"&gt;=" &amp; G56,'[2]Controle de Produção'!$C:$C,"&lt;=" &amp; N56, '[2]Controle de Produção'!$G:$G,B56), "")</f>
        <v>0</v>
      </c>
      <c r="AA56" s="108" t="str">
        <f t="shared" si="24"/>
        <v/>
      </c>
      <c r="AB56" s="41" t="str" cm="1">
        <f t="array" ref="AB56">_xlfn.IFS((H56*0.95)&lt;=V56,"Concluído",AND(V56 =0, J56&lt;&gt;""),"Programado",AND(V56=0,D56=""),"Desenvolv.",V56=0,"Não Iniciado",AND(V56&gt;0,V56&lt;H56,AO56=TRUE),"Em Produção",AND(V56&gt;0,V56&lt;H56,AO56=FALSE),"Produção Parcial")</f>
        <v>Não Iniciado</v>
      </c>
      <c r="AC56" s="42" t="b">
        <v>1</v>
      </c>
      <c r="AD56" s="42" t="b">
        <v>1</v>
      </c>
      <c r="AE56" s="42" t="b">
        <v>1</v>
      </c>
      <c r="AF56" s="42" t="b">
        <v>1</v>
      </c>
      <c r="AG56" s="42" t="s">
        <v>38</v>
      </c>
      <c r="AH56" s="42" t="s">
        <v>38</v>
      </c>
      <c r="AI56" s="42" t="b">
        <v>1</v>
      </c>
      <c r="AJ56" s="42" t="b">
        <v>1</v>
      </c>
      <c r="AK56" s="42" t="s">
        <v>38</v>
      </c>
      <c r="AL56" s="42" t="b">
        <v>1</v>
      </c>
      <c r="AM56" s="42" t="b">
        <v>1</v>
      </c>
      <c r="AN56" s="42" t="b">
        <v>1</v>
      </c>
      <c r="AO56" s="45" t="b" cm="1">
        <f t="array" ref="AO56">AND(COUNTIF(AC56:AN56,FALSE)=0,SUMPRODUCT(ISNUMBER(AC56:AN56)*1)=0)</f>
        <v>1</v>
      </c>
      <c r="AP56" s="59"/>
      <c r="AQ56" s="111">
        <f>IF(AB56="",99999999999,IFERROR(MATCH(AB56,{"Produção Parcial","Em Produção","Programado","Não Iniciado","Desenvolv.","Concluído"},0),7)*100000000+IF(ISNUMBER(J56),J56-46000,9999)*10000+IF(A56="",99,A56)*100+IF(C56="",99,CODE(LEFT(C56,1))))</f>
        <v>499990065</v>
      </c>
    </row>
    <row r="57" spans="1:43" s="36" customFormat="1" ht="25.15" hidden="1" customHeight="1" x14ac:dyDescent="0.25">
      <c r="A57" s="36">
        <v>0</v>
      </c>
      <c r="B57" s="38" t="s">
        <v>158</v>
      </c>
      <c r="C57" s="70" t="str">
        <f>INDEX([1]Produtos!$G:$G,MATCH($D57,[1]Produtos!$B:$B,0))</f>
        <v>AMEERATI</v>
      </c>
      <c r="D57" s="24" t="s">
        <v>266</v>
      </c>
      <c r="E57" s="70" t="str">
        <f>INDEX([1]Produtos!$C:$C,MATCH($D57,[1]Produtos!$B:$B,0))&amp;IF($F57&lt;&gt;"-"," - "&amp;LEFT($F57,1),"")&amp;" &gt; "&amp;$B57</f>
        <v>BODY MIST TESOURO DO OASIS - 2 &gt; AMEERATI 01</v>
      </c>
      <c r="F57" s="51">
        <v>2</v>
      </c>
      <c r="G57" s="38">
        <v>46013</v>
      </c>
      <c r="H57" s="39">
        <f>3360-840</f>
        <v>2520</v>
      </c>
      <c r="I57" s="24" t="s">
        <v>39</v>
      </c>
      <c r="J57" s="68" t="str" cm="1">
        <f t="array" ref="J57">IFERROR(INDEX('[2]Previsão Envase'!$D$5:$D$4867, MATCH(1,('[2]Previsão Envase'!$F$5:$F$4867=$E57)+('[2]Previsão Envase'!$G$5:$G$4867=$E57)+('[2]Previsão Envase'!$H$5:$H$4867=$E57),0)),"")</f>
        <v/>
      </c>
      <c r="K57" s="68" t="str">
        <f>IF(COUNTIF('[2]Previsão Envase'!$F:$F,E57)&gt;0,"Linha 1",
IF(COUNTIF('[2]Previsão Envase'!$G:$G,E57)&gt;0,"Linha 2",
IF(COUNTIF('[2]Previsão Envase'!$H:$H,E57)&gt;0,"Linha 3","")))</f>
        <v/>
      </c>
      <c r="L57" s="96">
        <f>COUNTIF('[2]Previsão Envase'!$F:$H,E57)-COUNTIF('[2]Previsão Envase'!$F$1:$H$4,E57)</f>
        <v>0</v>
      </c>
      <c r="M57" s="35">
        <f t="shared" si="19"/>
        <v>0</v>
      </c>
      <c r="N57" s="68" t="str">
        <f>IFERROR(MAX(_xlfn.MAXIFS('[2]Controle de Produção'!$C:$C,'[2]Controle de Produção'!$L:$L,$D57,'[2]Controle de Produção'!$P:$P,$C57,'[2]Controle de Produção'!$G:$G,$B57),_xlfn.MAXIFS([3]EXPEDIÇÃO!$N:$N,[3]EXPEDIÇÃO!$E:$E,$D57,[3]EXPEDIÇÃO!$D:$D,$C57,[3]EXPEDIÇÃO!$N:$N,"&gt;="&amp;$G57)),"")</f>
        <v/>
      </c>
      <c r="O57" s="70">
        <f>INDEX([1]Produtos!$E:$E,MATCH($D57,[1]Produtos!$B:$B,0))</f>
        <v>250</v>
      </c>
      <c r="P57" s="70" t="str">
        <f>INDEX([1]Produtos!$F:$F,MATCH($D57,[1]Produtos!$B:$B,0))</f>
        <v>ml</v>
      </c>
      <c r="Q57" s="105">
        <f>INDEX([1]Produtos!$Y:$Y,MATCH($D57,[1]Produtos!$B:$B,0))</f>
        <v>1.35</v>
      </c>
      <c r="R57" s="35">
        <f t="shared" si="20"/>
        <v>7592.2902086267013</v>
      </c>
      <c r="S57" s="27">
        <f>IFERROR(INDEX([1]Produtos!$L:$L,MATCH(D57,[1]Produtos!$B:$B,0)), "")</f>
        <v>843.58780095852239</v>
      </c>
      <c r="T57" s="28">
        <f t="shared" si="21"/>
        <v>3</v>
      </c>
      <c r="U57" s="28" t="str">
        <f t="shared" si="22"/>
        <v>0D e 3h</v>
      </c>
      <c r="V57" s="27">
        <f>IFERROR(SUMIFS('[2]Controle de Produção'!$K:$K,'[2]Controle de Produção'!$L:$L,D57,'[2]Controle de Produção'!$P:$P,C57,'[2]Controle de Produção'!$B:$B,"&gt;=" &amp; G57,'[2]Controle de Produção'!$C:$C,"&lt;=" &amp; N57, '[2]Controle de Produção'!$G:$G,B57), "")</f>
        <v>0</v>
      </c>
      <c r="W57" s="27" t="str">
        <f>IFERROR(SUMIFS([3]EXPEDIÇÃO!$K:$K,[3]EXPEDIÇÃO!$E:$E,D57,[3]EXPEDIÇÃO!$D:$D,C57,[3]EXPEDIÇÃO!$N:$N,"&gt;=" &amp; G57,[3]EXPEDIÇÃO!$N:$N,"&lt;="&amp;N57), "")</f>
        <v/>
      </c>
      <c r="X57" s="27">
        <f>COUNTIFS('[2]Controle de Produção'!$P:$P,C57,'[2]Controle de Produção'!$L:$L,D57,'[2]Controle de Produção'!$B:$B,"&gt;=" &amp; G57)</f>
        <v>2</v>
      </c>
      <c r="Y57" s="27">
        <f t="shared" si="23"/>
        <v>0</v>
      </c>
      <c r="Z57" s="27">
        <f>IFERROR(COUNTIFS('[2]Controle de Produção'!$L:$L,D57,'[2]Controle de Produção'!$P:$P,C57,'[2]Controle de Produção'!$B:$B,"&gt;=" &amp; G57,'[2]Controle de Produção'!$C:$C,"&lt;=" &amp; N57, '[2]Controle de Produção'!$G:$G,B57), "")</f>
        <v>0</v>
      </c>
      <c r="AA57" s="108" t="str">
        <f t="shared" si="24"/>
        <v/>
      </c>
      <c r="AB57" s="41" t="str" cm="1">
        <f t="array" ref="AB57">_xlfn.IFS((H57*0.95)&lt;=V57,"Concluído",AND(V57 =0, J57&lt;&gt;""),"Programado",AND(V57=0,D57=""),"Desenvolv.",V57=0,"Não Iniciado",AND(V57&gt;0,V57&lt;H57,AO57=TRUE),"Em Produção",AND(V57&gt;0,V57&lt;H57,AO57=FALSE),"Produção Parcial")</f>
        <v>Não Iniciado</v>
      </c>
      <c r="AC57" s="42" t="b">
        <v>1</v>
      </c>
      <c r="AD57" s="42" t="b">
        <v>1</v>
      </c>
      <c r="AE57" s="42" t="b">
        <v>1</v>
      </c>
      <c r="AF57" s="42" t="b">
        <v>1</v>
      </c>
      <c r="AG57" s="42" t="s">
        <v>38</v>
      </c>
      <c r="AH57" s="42" t="s">
        <v>38</v>
      </c>
      <c r="AI57" s="42" t="b">
        <v>1</v>
      </c>
      <c r="AJ57" s="42" t="b">
        <v>1</v>
      </c>
      <c r="AK57" s="42" t="s">
        <v>38</v>
      </c>
      <c r="AL57" s="42" t="b">
        <v>1</v>
      </c>
      <c r="AM57" s="42" t="b">
        <v>1</v>
      </c>
      <c r="AN57" s="42" t="b">
        <v>1</v>
      </c>
      <c r="AO57" s="45" t="b" cm="1">
        <f t="array" ref="AO57">AND(COUNTIF(AC57:AN57,FALSE)=0,SUMPRODUCT(ISNUMBER(AC57:AN57)*1)=0)</f>
        <v>1</v>
      </c>
      <c r="AP57" s="59"/>
      <c r="AQ57" s="111">
        <f>IF(AB57="",99999999999,IFERROR(MATCH(AB57,{"Produção Parcial","Em Produção","Programado","Não Iniciado","Desenvolv.","Concluído"},0),7)*100000000+IF(ISNUMBER(J57),J57-46000,9999)*10000+IF(A57="",99,A57)*100+IF(C57="",99,CODE(LEFT(C57,1))))</f>
        <v>499990065</v>
      </c>
    </row>
    <row r="58" spans="1:43" s="36" customFormat="1" ht="25.15" hidden="1" customHeight="1" x14ac:dyDescent="0.25">
      <c r="A58" s="36">
        <v>0</v>
      </c>
      <c r="B58" s="38" t="s">
        <v>158</v>
      </c>
      <c r="C58" s="70" t="str">
        <f>INDEX([1]Produtos!$G:$G,MATCH($D58,[1]Produtos!$B:$B,0))</f>
        <v>AMEERATI</v>
      </c>
      <c r="D58" s="24" t="s">
        <v>171</v>
      </c>
      <c r="E58" s="70" t="str">
        <f>INDEX([1]Produtos!$C:$C,MATCH($D58,[1]Produtos!$B:$B,0))&amp;IF($F58&lt;&gt;"-"," - "&amp;LEFT($F58,1),"")&amp;" &gt; "&amp;$B58</f>
        <v>BODY MIST VERDE SUPREMO - 2 &gt; AMEERATI 01</v>
      </c>
      <c r="F58" s="51">
        <v>2</v>
      </c>
      <c r="G58" s="38">
        <v>46013</v>
      </c>
      <c r="H58" s="39">
        <f>3360-840</f>
        <v>2520</v>
      </c>
      <c r="I58" s="24" t="s">
        <v>39</v>
      </c>
      <c r="J58" s="68" t="str" cm="1">
        <f t="array" ref="J58">IFERROR(INDEX('[2]Previsão Envase'!$D$5:$D$4867, MATCH(1,('[2]Previsão Envase'!$F$5:$F$4867=$E58)+('[2]Previsão Envase'!$G$5:$G$4867=$E58)+('[2]Previsão Envase'!$H$5:$H$4867=$E58),0)),"")</f>
        <v/>
      </c>
      <c r="K58" s="68" t="str">
        <f>IF(COUNTIF('[2]Previsão Envase'!$F:$F,E58)&gt;0,"Linha 1",
IF(COUNTIF('[2]Previsão Envase'!$G:$G,E58)&gt;0,"Linha 2",
IF(COUNTIF('[2]Previsão Envase'!$H:$H,E58)&gt;0,"Linha 3","")))</f>
        <v/>
      </c>
      <c r="L58" s="96">
        <f>COUNTIF('[2]Previsão Envase'!$F:$H,E58)-COUNTIF('[2]Previsão Envase'!$F$1:$H$4,E58)</f>
        <v>0</v>
      </c>
      <c r="M58" s="35">
        <f t="shared" si="19"/>
        <v>0</v>
      </c>
      <c r="N58" s="68" t="str">
        <f>IFERROR(MAX(_xlfn.MAXIFS('[2]Controle de Produção'!$C:$C,'[2]Controle de Produção'!$L:$L,$D58,'[2]Controle de Produção'!$P:$P,$C58,'[2]Controle de Produção'!$G:$G,$B58),_xlfn.MAXIFS([3]EXPEDIÇÃO!$N:$N,[3]EXPEDIÇÃO!$E:$E,$D58,[3]EXPEDIÇÃO!$D:$D,$C58,[3]EXPEDIÇÃO!$N:$N,"&gt;="&amp;$G58)),"")</f>
        <v/>
      </c>
      <c r="O58" s="70">
        <f>INDEX([1]Produtos!$E:$E,MATCH($D58,[1]Produtos!$B:$B,0))</f>
        <v>250</v>
      </c>
      <c r="P58" s="70" t="str">
        <f>INDEX([1]Produtos!$F:$F,MATCH($D58,[1]Produtos!$B:$B,0))</f>
        <v>ml</v>
      </c>
      <c r="Q58" s="105">
        <f>INDEX([1]Produtos!$Y:$Y,MATCH($D58,[1]Produtos!$B:$B,0))</f>
        <v>1.35</v>
      </c>
      <c r="R58" s="35">
        <f t="shared" si="20"/>
        <v>7592.2902086267013</v>
      </c>
      <c r="S58" s="27">
        <f>IFERROR(INDEX([1]Produtos!$L:$L,MATCH(D58,[1]Produtos!$B:$B,0)), "")</f>
        <v>843.58780095852239</v>
      </c>
      <c r="T58" s="28">
        <f t="shared" si="21"/>
        <v>3</v>
      </c>
      <c r="U58" s="28" t="str">
        <f t="shared" si="22"/>
        <v>0D e 3h</v>
      </c>
      <c r="V58" s="27">
        <f>IFERROR(SUMIFS('[2]Controle de Produção'!$K:$K,'[2]Controle de Produção'!$L:$L,D58,'[2]Controle de Produção'!$P:$P,C58,'[2]Controle de Produção'!$B:$B,"&gt;=" &amp; G58,'[2]Controle de Produção'!$C:$C,"&lt;=" &amp; N58, '[2]Controle de Produção'!$G:$G,B58), "")</f>
        <v>0</v>
      </c>
      <c r="W58" s="27" t="str">
        <f>IFERROR(SUMIFS([3]EXPEDIÇÃO!$K:$K,[3]EXPEDIÇÃO!$E:$E,D58,[3]EXPEDIÇÃO!$D:$D,C58,[3]EXPEDIÇÃO!$N:$N,"&gt;=" &amp; G58,[3]EXPEDIÇÃO!$N:$N,"&lt;="&amp;N58), "")</f>
        <v/>
      </c>
      <c r="X58" s="27">
        <f>COUNTIFS('[2]Controle de Produção'!$P:$P,C58,'[2]Controle de Produção'!$L:$L,D58,'[2]Controle de Produção'!$B:$B,"&gt;=" &amp; G58)</f>
        <v>2</v>
      </c>
      <c r="Y58" s="27">
        <f t="shared" si="23"/>
        <v>0</v>
      </c>
      <c r="Z58" s="27">
        <f>IFERROR(COUNTIFS('[2]Controle de Produção'!$L:$L,D58,'[2]Controle de Produção'!$P:$P,C58,'[2]Controle de Produção'!$B:$B,"&gt;=" &amp; G58,'[2]Controle de Produção'!$C:$C,"&lt;=" &amp; N58, '[2]Controle de Produção'!$G:$G,B58), "")</f>
        <v>0</v>
      </c>
      <c r="AA58" s="108" t="str">
        <f t="shared" si="24"/>
        <v/>
      </c>
      <c r="AB58" s="41" t="str" cm="1">
        <f t="array" ref="AB58">_xlfn.IFS((H58*0.95)&lt;=V58,"Concluído",AND(V58 =0, J58&lt;&gt;""),"Programado",AND(V58=0,D58=""),"Desenvolv.",V58=0,"Não Iniciado",AND(V58&gt;0,V58&lt;H58,AO58=TRUE),"Em Produção",AND(V58&gt;0,V58&lt;H58,AO58=FALSE),"Produção Parcial")</f>
        <v>Não Iniciado</v>
      </c>
      <c r="AC58" s="42" t="b">
        <v>1</v>
      </c>
      <c r="AD58" s="42" t="b">
        <v>1</v>
      </c>
      <c r="AE58" s="42" t="b">
        <v>1</v>
      </c>
      <c r="AF58" s="42" t="b">
        <v>1</v>
      </c>
      <c r="AG58" s="42" t="s">
        <v>38</v>
      </c>
      <c r="AH58" s="42" t="s">
        <v>38</v>
      </c>
      <c r="AI58" s="42" t="b">
        <v>1</v>
      </c>
      <c r="AJ58" s="42" t="b">
        <v>1</v>
      </c>
      <c r="AK58" s="42" t="s">
        <v>38</v>
      </c>
      <c r="AL58" s="42" t="b">
        <v>1</v>
      </c>
      <c r="AM58" s="42" t="b">
        <v>1</v>
      </c>
      <c r="AN58" s="42" t="b">
        <v>1</v>
      </c>
      <c r="AO58" s="45" t="b" cm="1">
        <f t="array" ref="AO58">AND(COUNTIF(AC58:AN58,FALSE)=0,SUMPRODUCT(ISNUMBER(AC58:AN58)*1)=0)</f>
        <v>1</v>
      </c>
      <c r="AP58" s="59"/>
      <c r="AQ58" s="111">
        <f>IF(AB58="",99999999999,IFERROR(MATCH(AB58,{"Produção Parcial","Em Produção","Programado","Não Iniciado","Desenvolv.","Concluído"},0),7)*100000000+IF(ISNUMBER(J58),J58-46000,9999)*10000+IF(A58="",99,A58)*100+IF(C58="",99,CODE(LEFT(C58,1))))</f>
        <v>499990065</v>
      </c>
    </row>
    <row r="59" spans="1:43" s="36" customFormat="1" ht="25.15" hidden="1" customHeight="1" x14ac:dyDescent="0.25">
      <c r="A59" s="36">
        <v>0</v>
      </c>
      <c r="B59" s="38" t="s">
        <v>158</v>
      </c>
      <c r="C59" s="70" t="str">
        <f>INDEX([1]Produtos!$G:$G,MATCH($D59,[1]Produtos!$B:$B,0))</f>
        <v>AMEERATI</v>
      </c>
      <c r="D59" s="24" t="s">
        <v>166</v>
      </c>
      <c r="E59" s="70" t="str">
        <f>INDEX([1]Produtos!$C:$C,MATCH($D59,[1]Produtos!$B:$B,0))&amp;IF($F59&lt;&gt;"-"," - "&amp;LEFT($F59,1),"")&amp;" &gt; "&amp;$B59</f>
        <v>BODY CREAM BAUNILHA SELVAGEM - 1 &gt; AMEERATI 01</v>
      </c>
      <c r="F59" s="51">
        <v>1</v>
      </c>
      <c r="G59" s="38">
        <v>45959</v>
      </c>
      <c r="H59" s="39">
        <v>840</v>
      </c>
      <c r="I59" s="24" t="s">
        <v>39</v>
      </c>
      <c r="J59" s="68" t="str" cm="1">
        <f t="array" ref="J59">IFERROR(INDEX('[2]Previsão Envase'!$D$5:$D$4867, MATCH(1,('[2]Previsão Envase'!$F$5:$F$4867=$E59)+('[2]Previsão Envase'!$G$5:$G$4867=$E59)+('[2]Previsão Envase'!$H$5:$H$4867=$E59),0)),"")</f>
        <v/>
      </c>
      <c r="K59" s="68" t="str">
        <f>IF(COUNTIF('[2]Previsão Envase'!$F:$F,E59)&gt;0,"Linha 1",
IF(COUNTIF('[2]Previsão Envase'!$G:$G,E59)&gt;0,"Linha 2",
IF(COUNTIF('[2]Previsão Envase'!$H:$H,E59)&gt;0,"Linha 3","")))</f>
        <v/>
      </c>
      <c r="L59" s="96">
        <f>COUNTIF('[2]Previsão Envase'!$F:$H,E59)-COUNTIF('[2]Previsão Envase'!$F$1:$H$4,E59)</f>
        <v>0</v>
      </c>
      <c r="M59" s="35">
        <f t="shared" si="19"/>
        <v>0</v>
      </c>
      <c r="N59" s="68" t="str">
        <f>IFERROR(MAX(_xlfn.MAXIFS('[2]Controle de Produção'!$C:$C,'[2]Controle de Produção'!$L:$L,$D59,'[2]Controle de Produção'!$P:$P,$C59,'[2]Controle de Produção'!$G:$G,$B59),_xlfn.MAXIFS([3]EXPEDIÇÃO!$N:$N,[3]EXPEDIÇÃO!$E:$E,$D59,[3]EXPEDIÇÃO!$D:$D,$C59,[3]EXPEDIÇÃO!$N:$N,"&gt;="&amp;$G59)),"")</f>
        <v/>
      </c>
      <c r="O59" s="70">
        <f>INDEX([1]Produtos!$E:$E,MATCH($D59,[1]Produtos!$B:$B,0))</f>
        <v>240</v>
      </c>
      <c r="P59" s="70" t="str">
        <f>INDEX([1]Produtos!$F:$F,MATCH($D59,[1]Produtos!$B:$B,0))</f>
        <v>ml</v>
      </c>
      <c r="Q59" s="105">
        <f>INDEX([1]Produtos!$Y:$Y,MATCH($D59,[1]Produtos!$B:$B,0))</f>
        <v>1.48</v>
      </c>
      <c r="R59" s="35">
        <f t="shared" si="20"/>
        <v>5520.5897431648482</v>
      </c>
      <c r="S59" s="27">
        <f>IFERROR(INDEX([1]Produtos!$L:$L,MATCH(D59,[1]Produtos!$B:$B,0)), "")</f>
        <v>613.39886035164977</v>
      </c>
      <c r="T59" s="28">
        <f t="shared" si="21"/>
        <v>1.4000000000000001</v>
      </c>
      <c r="U59" s="28" t="str">
        <f t="shared" si="22"/>
        <v>0D e 2h</v>
      </c>
      <c r="V59" s="27">
        <f>IFERROR(SUMIFS('[2]Controle de Produção'!$K:$K,'[2]Controle de Produção'!$L:$L,D59,'[2]Controle de Produção'!$P:$P,C59,'[2]Controle de Produção'!$B:$B,"&gt;=" &amp; G59,'[2]Controle de Produção'!$C:$C,"&lt;=" &amp; N59, '[2]Controle de Produção'!$G:$G,B59), "")</f>
        <v>0</v>
      </c>
      <c r="W59" s="27" t="str">
        <f>IFERROR(SUMIFS([3]EXPEDIÇÃO!$K:$K,[3]EXPEDIÇÃO!$E:$E,D59,[3]EXPEDIÇÃO!$D:$D,C59,[3]EXPEDIÇÃO!$N:$N,"&gt;=" &amp; G59,[3]EXPEDIÇÃO!$N:$N,"&lt;="&amp;N59), "")</f>
        <v/>
      </c>
      <c r="X59" s="27">
        <f>COUNTIFS('[2]Controle de Produção'!$P:$P,C59,'[2]Controle de Produção'!$L:$L,D59,'[2]Controle de Produção'!$B:$B,"&gt;=" &amp; G59)</f>
        <v>2</v>
      </c>
      <c r="Y59" s="27">
        <f t="shared" si="23"/>
        <v>0</v>
      </c>
      <c r="Z59" s="27">
        <f>IFERROR(COUNTIFS('[2]Controle de Produção'!$L:$L,D59,'[2]Controle de Produção'!$P:$P,C59,'[2]Controle de Produção'!$B:$B,"&gt;=" &amp; G59,'[2]Controle de Produção'!$C:$C,"&lt;=" &amp; N59, '[2]Controle de Produção'!$G:$G,B59), "")</f>
        <v>0</v>
      </c>
      <c r="AA59" s="108" t="str">
        <f t="shared" si="24"/>
        <v/>
      </c>
      <c r="AB59" s="41" t="str" cm="1">
        <f t="array" ref="AB59">_xlfn.IFS((H59*0.95)&lt;=V59,"Concluído",AND(V59 =0, J59&lt;&gt;""),"Programado",AND(V59=0,D59=""),"Desenvolv.",V59=0,"Não Iniciado",AND(V59&gt;0,V59&lt;H59,AO59=TRUE),"Em Produção",AND(V59&gt;0,V59&lt;H59,AO59=FALSE),"Produção Parcial")</f>
        <v>Não Iniciado</v>
      </c>
      <c r="AC59" s="42" t="b">
        <v>1</v>
      </c>
      <c r="AD59" s="42" t="b">
        <v>1</v>
      </c>
      <c r="AE59" s="42" t="b">
        <v>1</v>
      </c>
      <c r="AF59" s="42" t="b">
        <v>1</v>
      </c>
      <c r="AG59" s="42" t="s">
        <v>38</v>
      </c>
      <c r="AH59" s="42" t="s">
        <v>38</v>
      </c>
      <c r="AI59" s="42" t="b">
        <v>1</v>
      </c>
      <c r="AJ59" s="42" t="b">
        <v>1</v>
      </c>
      <c r="AK59" s="42" t="b">
        <v>0</v>
      </c>
      <c r="AL59" s="42" t="b">
        <v>1</v>
      </c>
      <c r="AM59" s="42" t="b">
        <v>1</v>
      </c>
      <c r="AN59" s="42" t="b">
        <v>1</v>
      </c>
      <c r="AO59" s="45" t="b" cm="1">
        <f t="array" ref="AO59">AND(COUNTIF(AC59:AN59,FALSE)=0,SUMPRODUCT(ISNUMBER(AC59:AN59)*1)=0)</f>
        <v>0</v>
      </c>
      <c r="AP59" s="59"/>
      <c r="AQ59" s="111">
        <f>IF(AB59="",99999999999,IFERROR(MATCH(AB59,{"Produção Parcial","Em Produção","Programado","Não Iniciado","Desenvolv.","Concluído"},0),7)*100000000+IF(ISNUMBER(J59),J59-46000,9999)*10000+IF(A59="",99,A59)*100+IF(C59="",99,CODE(LEFT(C59,1))))</f>
        <v>499990065</v>
      </c>
    </row>
    <row r="60" spans="1:43" s="36" customFormat="1" ht="25.15" hidden="1" customHeight="1" x14ac:dyDescent="0.25">
      <c r="A60" s="36">
        <v>0</v>
      </c>
      <c r="B60" s="38" t="s">
        <v>158</v>
      </c>
      <c r="C60" s="70" t="str">
        <f>INDEX([1]Produtos!$G:$G,MATCH($D60,[1]Produtos!$B:$B,0))</f>
        <v>AMEERATI</v>
      </c>
      <c r="D60" s="24" t="s">
        <v>164</v>
      </c>
      <c r="E60" s="70" t="str">
        <f>INDEX([1]Produtos!$C:$C,MATCH($D60,[1]Produtos!$B:$B,0))&amp;IF($F60&lt;&gt;"-"," - "&amp;LEFT($F60,1),"")&amp;" &gt; "&amp;$B60</f>
        <v>BODY CREAM SONHO DE PISTACHE - 1 &gt; AMEERATI 01</v>
      </c>
      <c r="F60" s="51">
        <v>1</v>
      </c>
      <c r="G60" s="38">
        <v>45959</v>
      </c>
      <c r="H60" s="39">
        <v>840</v>
      </c>
      <c r="I60" s="24" t="s">
        <v>39</v>
      </c>
      <c r="J60" s="68" t="str" cm="1">
        <f t="array" ref="J60">IFERROR(INDEX('[2]Previsão Envase'!$D$5:$D$4867, MATCH(1,('[2]Previsão Envase'!$F$5:$F$4867=$E60)+('[2]Previsão Envase'!$G$5:$G$4867=$E60)+('[2]Previsão Envase'!$H$5:$H$4867=$E60),0)),"")</f>
        <v/>
      </c>
      <c r="K60" s="68" t="str">
        <f>IF(COUNTIF('[2]Previsão Envase'!$F:$F,E60)&gt;0,"Linha 1",
IF(COUNTIF('[2]Previsão Envase'!$G:$G,E60)&gt;0,"Linha 2",
IF(COUNTIF('[2]Previsão Envase'!$H:$H,E60)&gt;0,"Linha 3","")))</f>
        <v/>
      </c>
      <c r="L60" s="96">
        <f>COUNTIF('[2]Previsão Envase'!$F:$H,E60)-COUNTIF('[2]Previsão Envase'!$F$1:$H$4,E60)</f>
        <v>0</v>
      </c>
      <c r="M60" s="35">
        <f t="shared" si="19"/>
        <v>0</v>
      </c>
      <c r="N60" s="68" t="str">
        <f>IFERROR(MAX(_xlfn.MAXIFS('[2]Controle de Produção'!$C:$C,'[2]Controle de Produção'!$L:$L,$D60,'[2]Controle de Produção'!$P:$P,$C60,'[2]Controle de Produção'!$G:$G,$B60),_xlfn.MAXIFS([3]EXPEDIÇÃO!$N:$N,[3]EXPEDIÇÃO!$E:$E,$D60,[3]EXPEDIÇÃO!$D:$D,$C60,[3]EXPEDIÇÃO!$N:$N,"&gt;="&amp;$G60)),"")</f>
        <v/>
      </c>
      <c r="O60" s="70">
        <f>INDEX([1]Produtos!$E:$E,MATCH($D60,[1]Produtos!$B:$B,0))</f>
        <v>240</v>
      </c>
      <c r="P60" s="70" t="str">
        <f>INDEX([1]Produtos!$F:$F,MATCH($D60,[1]Produtos!$B:$B,0))</f>
        <v>ml</v>
      </c>
      <c r="Q60" s="105">
        <f>INDEX([1]Produtos!$Y:$Y,MATCH($D60,[1]Produtos!$B:$B,0))</f>
        <v>1.48</v>
      </c>
      <c r="R60" s="35">
        <f t="shared" si="20"/>
        <v>5520.5897431648482</v>
      </c>
      <c r="S60" s="27">
        <f>IFERROR(INDEX([1]Produtos!$L:$L,MATCH(D60,[1]Produtos!$B:$B,0)), "")</f>
        <v>613.39886035164977</v>
      </c>
      <c r="T60" s="28">
        <f t="shared" si="21"/>
        <v>1.4000000000000001</v>
      </c>
      <c r="U60" s="28" t="str">
        <f t="shared" si="22"/>
        <v>0D e 2h</v>
      </c>
      <c r="V60" s="27">
        <f>IFERROR(SUMIFS('[2]Controle de Produção'!$K:$K,'[2]Controle de Produção'!$L:$L,D60,'[2]Controle de Produção'!$P:$P,C60,'[2]Controle de Produção'!$B:$B,"&gt;=" &amp; G60,'[2]Controle de Produção'!$C:$C,"&lt;=" &amp; N60, '[2]Controle de Produção'!$G:$G,B60), "")</f>
        <v>0</v>
      </c>
      <c r="W60" s="27" t="str">
        <f>IFERROR(SUMIFS([3]EXPEDIÇÃO!$K:$K,[3]EXPEDIÇÃO!$E:$E,D60,[3]EXPEDIÇÃO!$D:$D,C60,[3]EXPEDIÇÃO!$N:$N,"&gt;=" &amp; G60,[3]EXPEDIÇÃO!$N:$N,"&lt;="&amp;N60), "")</f>
        <v/>
      </c>
      <c r="X60" s="27">
        <f>COUNTIFS('[2]Controle de Produção'!$P:$P,C60,'[2]Controle de Produção'!$L:$L,D60,'[2]Controle de Produção'!$B:$B,"&gt;=" &amp; G60)</f>
        <v>2</v>
      </c>
      <c r="Y60" s="27">
        <f t="shared" si="23"/>
        <v>0</v>
      </c>
      <c r="Z60" s="27">
        <f>IFERROR(COUNTIFS('[2]Controle de Produção'!$L:$L,D60,'[2]Controle de Produção'!$P:$P,C60,'[2]Controle de Produção'!$B:$B,"&gt;=" &amp; G60,'[2]Controle de Produção'!$C:$C,"&lt;=" &amp; N60, '[2]Controle de Produção'!$G:$G,B60), "")</f>
        <v>0</v>
      </c>
      <c r="AA60" s="108" t="str">
        <f t="shared" si="24"/>
        <v/>
      </c>
      <c r="AB60" s="41" t="str" cm="1">
        <f t="array" ref="AB60">_xlfn.IFS((H60*0.95)&lt;=V60,"Concluído",AND(V60 =0, J60&lt;&gt;""),"Programado",AND(V60=0,D60=""),"Desenvolv.",V60=0,"Não Iniciado",AND(V60&gt;0,V60&lt;H60,AO60=TRUE),"Em Produção",AND(V60&gt;0,V60&lt;H60,AO60=FALSE),"Produção Parcial")</f>
        <v>Não Iniciado</v>
      </c>
      <c r="AC60" s="42" t="b">
        <v>1</v>
      </c>
      <c r="AD60" s="42" t="b">
        <v>1</v>
      </c>
      <c r="AE60" s="42" t="b">
        <v>1</v>
      </c>
      <c r="AF60" s="42" t="b">
        <v>1</v>
      </c>
      <c r="AG60" s="42" t="s">
        <v>38</v>
      </c>
      <c r="AH60" s="42" t="s">
        <v>38</v>
      </c>
      <c r="AI60" s="42" t="b">
        <v>1</v>
      </c>
      <c r="AJ60" s="42" t="b">
        <v>1</v>
      </c>
      <c r="AK60" s="42" t="b">
        <v>0</v>
      </c>
      <c r="AL60" s="42" t="b">
        <v>1</v>
      </c>
      <c r="AM60" s="42" t="b">
        <v>1</v>
      </c>
      <c r="AN60" s="42" t="b">
        <v>1</v>
      </c>
      <c r="AO60" s="45" t="b" cm="1">
        <f t="array" ref="AO60">AND(COUNTIF(AC60:AN60,FALSE)=0,SUMPRODUCT(ISNUMBER(AC60:AN60)*1)=0)</f>
        <v>0</v>
      </c>
      <c r="AP60" s="59"/>
      <c r="AQ60" s="111">
        <f>IF(AB60="",99999999999,IFERROR(MATCH(AB60,{"Produção Parcial","Em Produção","Programado","Não Iniciado","Desenvolv.","Concluído"},0),7)*100000000+IF(ISNUMBER(J60),J60-46000,9999)*10000+IF(A60="",99,A60)*100+IF(C60="",99,CODE(LEFT(C60,1))))</f>
        <v>499990065</v>
      </c>
    </row>
    <row r="61" spans="1:43" s="36" customFormat="1" ht="25.15" hidden="1" customHeight="1" x14ac:dyDescent="0.25">
      <c r="A61" s="36">
        <v>0</v>
      </c>
      <c r="B61" s="38" t="s">
        <v>158</v>
      </c>
      <c r="C61" s="70" t="str">
        <f>INDEX([1]Produtos!$G:$G,MATCH($D61,[1]Produtos!$B:$B,0))</f>
        <v>AMEERATI</v>
      </c>
      <c r="D61" s="24" t="s">
        <v>165</v>
      </c>
      <c r="E61" s="70" t="str">
        <f>INDEX([1]Produtos!$C:$C,MATCH($D61,[1]Produtos!$B:$B,0))&amp;IF($F61&lt;&gt;"-"," - "&amp;LEFT($F61,1),"")&amp;" &gt; "&amp;$B61</f>
        <v>BODY CREAM VERDE SUPREMO - 1 &gt; AMEERATI 01</v>
      </c>
      <c r="F61" s="51">
        <v>1</v>
      </c>
      <c r="G61" s="38">
        <v>45959</v>
      </c>
      <c r="H61" s="39">
        <v>840</v>
      </c>
      <c r="I61" s="24" t="s">
        <v>39</v>
      </c>
      <c r="J61" s="68" t="str" cm="1">
        <f t="array" ref="J61">IFERROR(INDEX('[2]Previsão Envase'!$D$5:$D$4867, MATCH(1,('[2]Previsão Envase'!$F$5:$F$4867=$E61)+('[2]Previsão Envase'!$G$5:$G$4867=$E61)+('[2]Previsão Envase'!$H$5:$H$4867=$E61),0)),"")</f>
        <v/>
      </c>
      <c r="K61" s="68" t="str">
        <f>IF(COUNTIF('[2]Previsão Envase'!$F:$F,E61)&gt;0,"Linha 1",
IF(COUNTIF('[2]Previsão Envase'!$G:$G,E61)&gt;0,"Linha 2",
IF(COUNTIF('[2]Previsão Envase'!$H:$H,E61)&gt;0,"Linha 3","")))</f>
        <v/>
      </c>
      <c r="L61" s="96">
        <f>COUNTIF('[2]Previsão Envase'!$F:$H,E61)-COUNTIF('[2]Previsão Envase'!$F$1:$H$4,E61)</f>
        <v>0</v>
      </c>
      <c r="M61" s="35">
        <f t="shared" si="19"/>
        <v>0</v>
      </c>
      <c r="N61" s="68" t="str">
        <f>IFERROR(MAX(_xlfn.MAXIFS('[2]Controle de Produção'!$C:$C,'[2]Controle de Produção'!$L:$L,$D61,'[2]Controle de Produção'!$P:$P,$C61,'[2]Controle de Produção'!$G:$G,$B61),_xlfn.MAXIFS([3]EXPEDIÇÃO!$N:$N,[3]EXPEDIÇÃO!$E:$E,$D61,[3]EXPEDIÇÃO!$D:$D,$C61,[3]EXPEDIÇÃO!$N:$N,"&gt;="&amp;$G61)),"")</f>
        <v/>
      </c>
      <c r="O61" s="70">
        <f>INDEX([1]Produtos!$E:$E,MATCH($D61,[1]Produtos!$B:$B,0))</f>
        <v>240</v>
      </c>
      <c r="P61" s="70" t="str">
        <f>INDEX([1]Produtos!$F:$F,MATCH($D61,[1]Produtos!$B:$B,0))</f>
        <v>ml</v>
      </c>
      <c r="Q61" s="105">
        <f>INDEX([1]Produtos!$Y:$Y,MATCH($D61,[1]Produtos!$B:$B,0))</f>
        <v>1.48</v>
      </c>
      <c r="R61" s="35">
        <f t="shared" si="20"/>
        <v>5520.5897431648482</v>
      </c>
      <c r="S61" s="27">
        <f>IFERROR(INDEX([1]Produtos!$L:$L,MATCH(D61,[1]Produtos!$B:$B,0)), "")</f>
        <v>613.39886035164977</v>
      </c>
      <c r="T61" s="28">
        <f t="shared" si="21"/>
        <v>1.4000000000000001</v>
      </c>
      <c r="U61" s="28" t="str">
        <f t="shared" si="22"/>
        <v>0D e 2h</v>
      </c>
      <c r="V61" s="27">
        <f>IFERROR(SUMIFS('[2]Controle de Produção'!$K:$K,'[2]Controle de Produção'!$L:$L,D61,'[2]Controle de Produção'!$P:$P,C61,'[2]Controle de Produção'!$B:$B,"&gt;=" &amp; G61,'[2]Controle de Produção'!$C:$C,"&lt;=" &amp; N61, '[2]Controle de Produção'!$G:$G,B61), "")</f>
        <v>0</v>
      </c>
      <c r="W61" s="27" t="str">
        <f>IFERROR(SUMIFS([3]EXPEDIÇÃO!$K:$K,[3]EXPEDIÇÃO!$E:$E,D61,[3]EXPEDIÇÃO!$D:$D,C61,[3]EXPEDIÇÃO!$N:$N,"&gt;=" &amp; G61,[3]EXPEDIÇÃO!$N:$N,"&lt;="&amp;N61), "")</f>
        <v/>
      </c>
      <c r="X61" s="27">
        <f>COUNTIFS('[2]Controle de Produção'!$P:$P,C61,'[2]Controle de Produção'!$L:$L,D61,'[2]Controle de Produção'!$B:$B,"&gt;=" &amp; G61)</f>
        <v>2</v>
      </c>
      <c r="Y61" s="27">
        <f t="shared" si="23"/>
        <v>0</v>
      </c>
      <c r="Z61" s="27">
        <f>IFERROR(COUNTIFS('[2]Controle de Produção'!$L:$L,D61,'[2]Controle de Produção'!$P:$P,C61,'[2]Controle de Produção'!$B:$B,"&gt;=" &amp; G61,'[2]Controle de Produção'!$C:$C,"&lt;=" &amp; N61, '[2]Controle de Produção'!$G:$G,B61), "")</f>
        <v>0</v>
      </c>
      <c r="AA61" s="108" t="str">
        <f t="shared" si="24"/>
        <v/>
      </c>
      <c r="AB61" s="41" t="str" cm="1">
        <f t="array" ref="AB61">_xlfn.IFS((H61*0.95)&lt;=V61,"Concluído",AND(V61 =0, J61&lt;&gt;""),"Programado",AND(V61=0,D61=""),"Desenvolv.",V61=0,"Não Iniciado",AND(V61&gt;0,V61&lt;H61,AO61=TRUE),"Em Produção",AND(V61&gt;0,V61&lt;H61,AO61=FALSE),"Produção Parcial")</f>
        <v>Não Iniciado</v>
      </c>
      <c r="AC61" s="42" t="b">
        <v>1</v>
      </c>
      <c r="AD61" s="42" t="b">
        <v>1</v>
      </c>
      <c r="AE61" s="42" t="b">
        <v>1</v>
      </c>
      <c r="AF61" s="42" t="b">
        <v>1</v>
      </c>
      <c r="AG61" s="42" t="s">
        <v>38</v>
      </c>
      <c r="AH61" s="42" t="s">
        <v>38</v>
      </c>
      <c r="AI61" s="42" t="b">
        <v>1</v>
      </c>
      <c r="AJ61" s="42" t="b">
        <v>1</v>
      </c>
      <c r="AK61" s="42" t="b">
        <v>0</v>
      </c>
      <c r="AL61" s="42" t="b">
        <v>1</v>
      </c>
      <c r="AM61" s="42" t="b">
        <v>1</v>
      </c>
      <c r="AN61" s="42" t="b">
        <v>1</v>
      </c>
      <c r="AO61" s="45" t="b" cm="1">
        <f t="array" ref="AO61">AND(COUNTIF(AC61:AN61,FALSE)=0,SUMPRODUCT(ISNUMBER(AC61:AN61)*1)=0)</f>
        <v>0</v>
      </c>
      <c r="AP61" s="59"/>
      <c r="AQ61" s="111">
        <f>IF(AB61="",99999999999,IFERROR(MATCH(AB61,{"Produção Parcial","Em Produção","Programado","Não Iniciado","Desenvolv.","Concluído"},0),7)*100000000+IF(ISNUMBER(J61),J61-46000,9999)*10000+IF(A61="",99,A61)*100+IF(C61="",99,CODE(LEFT(C61,1))))</f>
        <v>499990065</v>
      </c>
    </row>
    <row r="62" spans="1:43" s="36" customFormat="1" ht="25.15" hidden="1" customHeight="1" x14ac:dyDescent="0.25">
      <c r="A62" s="36">
        <v>0</v>
      </c>
      <c r="B62" s="38" t="s">
        <v>158</v>
      </c>
      <c r="C62" s="70" t="str">
        <f>INDEX([1]Produtos!$G:$G,MATCH($D62,[1]Produtos!$B:$B,0))</f>
        <v>AMEERATI</v>
      </c>
      <c r="D62" s="24" t="s">
        <v>176</v>
      </c>
      <c r="E62" s="70" t="str">
        <f>INDEX([1]Produtos!$C:$C,MATCH($D62,[1]Produtos!$B:$B,0))&amp;IF($F62&lt;&gt;"-"," - "&amp;LEFT($F62,1),"")&amp;" &gt; "&amp;$B62</f>
        <v>BODY MIST BAUNILHA SELVAGEM - 1 &gt; AMEERATI 01</v>
      </c>
      <c r="F62" s="51">
        <v>1</v>
      </c>
      <c r="G62" s="38">
        <v>45959</v>
      </c>
      <c r="H62" s="39">
        <v>840</v>
      </c>
      <c r="I62" s="24" t="s">
        <v>39</v>
      </c>
      <c r="J62" s="68" t="str" cm="1">
        <f t="array" ref="J62">IFERROR(INDEX('[2]Previsão Envase'!$D$5:$D$4867, MATCH(1,('[2]Previsão Envase'!$F$5:$F$4867=$E62)+('[2]Previsão Envase'!$G$5:$G$4867=$E62)+('[2]Previsão Envase'!$H$5:$H$4867=$E62),0)),"")</f>
        <v/>
      </c>
      <c r="K62" s="68" t="str">
        <f>IF(COUNTIF('[2]Previsão Envase'!$F:$F,E62)&gt;0,"Linha 1",
IF(COUNTIF('[2]Previsão Envase'!$G:$G,E62)&gt;0,"Linha 2",
IF(COUNTIF('[2]Previsão Envase'!$H:$H,E62)&gt;0,"Linha 3","")))</f>
        <v/>
      </c>
      <c r="L62" s="96">
        <f>COUNTIF('[2]Previsão Envase'!$F:$H,E62)-COUNTIF('[2]Previsão Envase'!$F$1:$H$4,E62)</f>
        <v>0</v>
      </c>
      <c r="M62" s="35">
        <f t="shared" si="19"/>
        <v>0</v>
      </c>
      <c r="N62" s="68" t="str">
        <f>IFERROR(MAX(_xlfn.MAXIFS('[2]Controle de Produção'!$C:$C,'[2]Controle de Produção'!$L:$L,$D62,'[2]Controle de Produção'!$P:$P,$C62,'[2]Controle de Produção'!$G:$G,$B62),_xlfn.MAXIFS([3]EXPEDIÇÃO!$N:$N,[3]EXPEDIÇÃO!$E:$E,$D62,[3]EXPEDIÇÃO!$D:$D,$C62,[3]EXPEDIÇÃO!$N:$N,"&gt;="&amp;$G62)),"")</f>
        <v/>
      </c>
      <c r="O62" s="70">
        <f>INDEX([1]Produtos!$E:$E,MATCH($D62,[1]Produtos!$B:$B,0))</f>
        <v>250</v>
      </c>
      <c r="P62" s="70" t="str">
        <f>INDEX([1]Produtos!$F:$F,MATCH($D62,[1]Produtos!$B:$B,0))</f>
        <v>ml</v>
      </c>
      <c r="Q62" s="105">
        <f>INDEX([1]Produtos!$Y:$Y,MATCH($D62,[1]Produtos!$B:$B,0))</f>
        <v>1.35</v>
      </c>
      <c r="R62" s="35">
        <f t="shared" si="20"/>
        <v>7592.2902086267013</v>
      </c>
      <c r="S62" s="27">
        <f>IFERROR(INDEX([1]Produtos!$L:$L,MATCH(D62,[1]Produtos!$B:$B,0)), "")</f>
        <v>843.58780095852239</v>
      </c>
      <c r="T62" s="28">
        <f t="shared" si="21"/>
        <v>1</v>
      </c>
      <c r="U62" s="28" t="str">
        <f t="shared" si="22"/>
        <v>0D e 1h</v>
      </c>
      <c r="V62" s="27">
        <f>IFERROR(SUMIFS('[2]Controle de Produção'!$K:$K,'[2]Controle de Produção'!$L:$L,D62,'[2]Controle de Produção'!$P:$P,C62,'[2]Controle de Produção'!$B:$B,"&gt;=" &amp; G62,'[2]Controle de Produção'!$C:$C,"&lt;=" &amp; N62, '[2]Controle de Produção'!$G:$G,B62), "")</f>
        <v>0</v>
      </c>
      <c r="W62" s="27" t="str">
        <f>IFERROR(SUMIFS([3]EXPEDIÇÃO!$K:$K,[3]EXPEDIÇÃO!$E:$E,D62,[3]EXPEDIÇÃO!$D:$D,C62,[3]EXPEDIÇÃO!$N:$N,"&gt;=" &amp; G62,[3]EXPEDIÇÃO!$N:$N,"&lt;="&amp;N62), "")</f>
        <v/>
      </c>
      <c r="X62" s="27">
        <f>COUNTIFS('[2]Controle de Produção'!$P:$P,C62,'[2]Controle de Produção'!$L:$L,D62,'[2]Controle de Produção'!$B:$B,"&gt;=" &amp; G62)</f>
        <v>3</v>
      </c>
      <c r="Y62" s="27">
        <f t="shared" si="23"/>
        <v>0</v>
      </c>
      <c r="Z62" s="27">
        <f>IFERROR(COUNTIFS('[2]Controle de Produção'!$L:$L,D62,'[2]Controle de Produção'!$P:$P,C62,'[2]Controle de Produção'!$B:$B,"&gt;=" &amp; G62,'[2]Controle de Produção'!$C:$C,"&lt;=" &amp; N62, '[2]Controle de Produção'!$G:$G,B62), "")</f>
        <v>0</v>
      </c>
      <c r="AA62" s="108" t="str">
        <f t="shared" si="24"/>
        <v/>
      </c>
      <c r="AB62" s="41" t="str" cm="1">
        <f t="array" ref="AB62">_xlfn.IFS((H62*0.95)&lt;=V62,"Concluído",AND(V62 =0, J62&lt;&gt;""),"Programado",AND(V62=0,D62=""),"Desenvolv.",V62=0,"Não Iniciado",AND(V62&gt;0,V62&lt;H62,AO62=TRUE),"Em Produção",AND(V62&gt;0,V62&lt;H62,AO62=FALSE),"Produção Parcial")</f>
        <v>Não Iniciado</v>
      </c>
      <c r="AC62" s="42" t="b">
        <v>1</v>
      </c>
      <c r="AD62" s="42" t="b">
        <v>1</v>
      </c>
      <c r="AE62" s="42" t="b">
        <v>1</v>
      </c>
      <c r="AF62" s="42" t="b">
        <v>1</v>
      </c>
      <c r="AG62" s="42" t="s">
        <v>38</v>
      </c>
      <c r="AH62" s="42" t="s">
        <v>38</v>
      </c>
      <c r="AI62" s="42" t="b">
        <v>1</v>
      </c>
      <c r="AJ62" s="42" t="b">
        <v>1</v>
      </c>
      <c r="AK62" s="42" t="b">
        <v>0</v>
      </c>
      <c r="AL62" s="42" t="b">
        <v>1</v>
      </c>
      <c r="AM62" s="42" t="b">
        <v>1</v>
      </c>
      <c r="AN62" s="42" t="b">
        <v>1</v>
      </c>
      <c r="AO62" s="45" t="b" cm="1">
        <f t="array" ref="AO62">AND(COUNTIF(AC62:AN62,FALSE)=0,SUMPRODUCT(ISNUMBER(AC62:AN62)*1)=0)</f>
        <v>0</v>
      </c>
      <c r="AP62" s="59"/>
      <c r="AQ62" s="111">
        <f>IF(AB62="",99999999999,IFERROR(MATCH(AB62,{"Produção Parcial","Em Produção","Programado","Não Iniciado","Desenvolv.","Concluído"},0),7)*100000000+IF(ISNUMBER(J62),J62-46000,9999)*10000+IF(A62="",99,A62)*100+IF(C62="",99,CODE(LEFT(C62,1))))</f>
        <v>499990065</v>
      </c>
    </row>
    <row r="63" spans="1:43" s="36" customFormat="1" ht="25.15" hidden="1" customHeight="1" x14ac:dyDescent="0.25">
      <c r="A63" s="36">
        <v>0</v>
      </c>
      <c r="B63" s="38" t="s">
        <v>158</v>
      </c>
      <c r="C63" s="70" t="str">
        <f>INDEX([1]Produtos!$G:$G,MATCH($D63,[1]Produtos!$B:$B,0))</f>
        <v>AMEERATI</v>
      </c>
      <c r="D63" s="24" t="s">
        <v>287</v>
      </c>
      <c r="E63" s="70" t="str">
        <f>INDEX([1]Produtos!$C:$C,MATCH($D63,[1]Produtos!$B:$B,0))&amp;IF($F63&lt;&gt;"-"," - "&amp;LEFT($F63,1),"")&amp;" &gt; "&amp;$B63</f>
        <v>BODY MIST DOCE ROSA &gt; AMEERATI 01</v>
      </c>
      <c r="F63" s="51" t="s">
        <v>38</v>
      </c>
      <c r="G63" s="38">
        <v>45959</v>
      </c>
      <c r="H63" s="39">
        <v>3360</v>
      </c>
      <c r="I63" s="24" t="s">
        <v>39</v>
      </c>
      <c r="J63" s="68" t="str" cm="1">
        <f t="array" ref="J63">IFERROR(INDEX('[2]Previsão Envase'!$D$5:$D$4867, MATCH(1,('[2]Previsão Envase'!$F$5:$F$4867=$E63)+('[2]Previsão Envase'!$G$5:$G$4867=$E63)+('[2]Previsão Envase'!$H$5:$H$4867=$E63),0)),"")</f>
        <v/>
      </c>
      <c r="K63" s="68" t="str">
        <f>IF(COUNTIF('[2]Previsão Envase'!$F:$F,E63)&gt;0,"Linha 1",
IF(COUNTIF('[2]Previsão Envase'!$G:$G,E63)&gt;0,"Linha 2",
IF(COUNTIF('[2]Previsão Envase'!$H:$H,E63)&gt;0,"Linha 3","")))</f>
        <v/>
      </c>
      <c r="L63" s="96">
        <f>COUNTIF('[2]Previsão Envase'!$F:$H,E63)-COUNTIF('[2]Previsão Envase'!$F$1:$H$4,E63)</f>
        <v>0</v>
      </c>
      <c r="M63" s="35">
        <f t="shared" si="19"/>
        <v>0</v>
      </c>
      <c r="N63" s="68" t="str">
        <f>IFERROR(MAX(_xlfn.MAXIFS('[2]Controle de Produção'!$C:$C,'[2]Controle de Produção'!$L:$L,$D63,'[2]Controle de Produção'!$P:$P,$C63,'[2]Controle de Produção'!$G:$G,$B63),_xlfn.MAXIFS([3]EXPEDIÇÃO!$N:$N,[3]EXPEDIÇÃO!$E:$E,$D63,[3]EXPEDIÇÃO!$D:$D,$C63,[3]EXPEDIÇÃO!$N:$N,"&gt;="&amp;$G63)),"")</f>
        <v/>
      </c>
      <c r="O63" s="70">
        <f>INDEX([1]Produtos!$E:$E,MATCH($D63,[1]Produtos!$B:$B,0))</f>
        <v>250</v>
      </c>
      <c r="P63" s="70" t="str">
        <f>INDEX([1]Produtos!$F:$F,MATCH($D63,[1]Produtos!$B:$B,0))</f>
        <v>ml</v>
      </c>
      <c r="Q63" s="105">
        <f>INDEX([1]Produtos!$Y:$Y,MATCH($D63,[1]Produtos!$B:$B,0))</f>
        <v>1.35</v>
      </c>
      <c r="R63" s="35">
        <f t="shared" si="20"/>
        <v>7592.2902086267013</v>
      </c>
      <c r="S63" s="27">
        <f>IFERROR(INDEX([1]Produtos!$L:$L,MATCH(D63,[1]Produtos!$B:$B,0)), "")</f>
        <v>843.58780095852239</v>
      </c>
      <c r="T63" s="28">
        <f t="shared" si="21"/>
        <v>4</v>
      </c>
      <c r="U63" s="28" t="str">
        <f t="shared" si="22"/>
        <v>0D e 4h</v>
      </c>
      <c r="V63" s="27">
        <f>IFERROR(SUMIFS('[2]Controle de Produção'!$K:$K,'[2]Controle de Produção'!$L:$L,D63,'[2]Controle de Produção'!$P:$P,C63,'[2]Controle de Produção'!$B:$B,"&gt;=" &amp; G63,'[2]Controle de Produção'!$C:$C,"&lt;=" &amp; N63, '[2]Controle de Produção'!$G:$G,B63), "")</f>
        <v>0</v>
      </c>
      <c r="W63" s="27" t="str">
        <f>IFERROR(SUMIFS([3]EXPEDIÇÃO!$K:$K,[3]EXPEDIÇÃO!$E:$E,D63,[3]EXPEDIÇÃO!$D:$D,C63,[3]EXPEDIÇÃO!$N:$N,"&gt;=" &amp; G63,[3]EXPEDIÇÃO!$N:$N,"&lt;="&amp;N63), "")</f>
        <v/>
      </c>
      <c r="X63" s="27">
        <f>COUNTIFS('[2]Controle de Produção'!$P:$P,C63,'[2]Controle de Produção'!$L:$L,D63,'[2]Controle de Produção'!$B:$B,"&gt;=" &amp; G63)</f>
        <v>1</v>
      </c>
      <c r="Y63" s="27">
        <f t="shared" si="23"/>
        <v>0</v>
      </c>
      <c r="Z63" s="27">
        <f>IFERROR(COUNTIFS('[2]Controle de Produção'!$L:$L,D63,'[2]Controle de Produção'!$P:$P,C63,'[2]Controle de Produção'!$B:$B,"&gt;=" &amp; G63,'[2]Controle de Produção'!$C:$C,"&lt;=" &amp; N63, '[2]Controle de Produção'!$G:$G,B63), "")</f>
        <v>0</v>
      </c>
      <c r="AA63" s="108" t="str">
        <f t="shared" si="24"/>
        <v/>
      </c>
      <c r="AB63" s="41" t="str" cm="1">
        <f t="array" ref="AB63">_xlfn.IFS((H63*0.95)&lt;=V63,"Concluído",AND(V63 =0, J63&lt;&gt;""),"Programado",AND(V63=0,D63=""),"Desenvolv.",V63=0,"Não Iniciado",AND(V63&gt;0,V63&lt;H63,AO63=TRUE),"Em Produção",AND(V63&gt;0,V63&lt;H63,AO63=FALSE),"Produção Parcial")</f>
        <v>Não Iniciado</v>
      </c>
      <c r="AC63" s="42" t="b">
        <v>1</v>
      </c>
      <c r="AD63" s="42" t="b">
        <v>1</v>
      </c>
      <c r="AE63" s="42" t="b">
        <v>1</v>
      </c>
      <c r="AF63" s="42" t="b">
        <v>1</v>
      </c>
      <c r="AG63" s="42" t="s">
        <v>38</v>
      </c>
      <c r="AH63" s="42" t="s">
        <v>38</v>
      </c>
      <c r="AI63" s="42" t="b">
        <v>1</v>
      </c>
      <c r="AJ63" s="42" t="b">
        <v>1</v>
      </c>
      <c r="AK63" s="42" t="b">
        <v>0</v>
      </c>
      <c r="AL63" s="42" t="b">
        <v>1</v>
      </c>
      <c r="AM63" s="42" t="b">
        <v>1</v>
      </c>
      <c r="AN63" s="42" t="b">
        <v>1</v>
      </c>
      <c r="AO63" s="45" t="b" cm="1">
        <f t="array" ref="AO63">AND(COUNTIF(AC63:AN63,FALSE)=0,SUMPRODUCT(ISNUMBER(AC63:AN63)*1)=0)</f>
        <v>0</v>
      </c>
      <c r="AP63" s="59"/>
      <c r="AQ63" s="111">
        <f>IF(AB63="",99999999999,IFERROR(MATCH(AB63,{"Produção Parcial","Em Produção","Programado","Não Iniciado","Desenvolv.","Concluído"},0),7)*100000000+IF(ISNUMBER(J63),J63-46000,9999)*10000+IF(A63="",99,A63)*100+IF(C63="",99,CODE(LEFT(C63,1))))</f>
        <v>499990065</v>
      </c>
    </row>
    <row r="64" spans="1:43" s="36" customFormat="1" ht="25.15" hidden="1" customHeight="1" x14ac:dyDescent="0.25">
      <c r="A64" s="36">
        <v>0</v>
      </c>
      <c r="B64" s="38" t="s">
        <v>158</v>
      </c>
      <c r="C64" s="70" t="str">
        <f>INDEX([1]Produtos!$G:$G,MATCH($D64,[1]Produtos!$B:$B,0))</f>
        <v>AMEERATI</v>
      </c>
      <c r="D64" s="24" t="s">
        <v>168</v>
      </c>
      <c r="E64" s="70" t="str">
        <f>INDEX([1]Produtos!$C:$C,MATCH($D64,[1]Produtos!$B:$B,0))&amp;IF($F64&lt;&gt;"-"," - "&amp;LEFT($F64,1),"")&amp;" &gt; "&amp;$B64</f>
        <v>BODY MIST FRESCOR LICHIA - 1 &gt; AMEERATI 01</v>
      </c>
      <c r="F64" s="51">
        <v>1</v>
      </c>
      <c r="G64" s="38">
        <v>45959</v>
      </c>
      <c r="H64" s="39">
        <v>840</v>
      </c>
      <c r="I64" s="24" t="s">
        <v>39</v>
      </c>
      <c r="J64" s="68" t="str" cm="1">
        <f t="array" ref="J64">IFERROR(INDEX('[2]Previsão Envase'!$D$5:$D$4867, MATCH(1,('[2]Previsão Envase'!$F$5:$F$4867=$E64)+('[2]Previsão Envase'!$G$5:$G$4867=$E64)+('[2]Previsão Envase'!$H$5:$H$4867=$E64),0)),"")</f>
        <v/>
      </c>
      <c r="K64" s="68" t="str">
        <f>IF(COUNTIF('[2]Previsão Envase'!$F:$F,E64)&gt;0,"Linha 1",
IF(COUNTIF('[2]Previsão Envase'!$G:$G,E64)&gt;0,"Linha 2",
IF(COUNTIF('[2]Previsão Envase'!$H:$H,E64)&gt;0,"Linha 3","")))</f>
        <v/>
      </c>
      <c r="L64" s="96">
        <f>COUNTIF('[2]Previsão Envase'!$F:$H,E64)-COUNTIF('[2]Previsão Envase'!$F$1:$H$4,E64)</f>
        <v>0</v>
      </c>
      <c r="M64" s="35">
        <f t="shared" si="19"/>
        <v>0</v>
      </c>
      <c r="N64" s="68" t="str">
        <f>IFERROR(MAX(_xlfn.MAXIFS('[2]Controle de Produção'!$C:$C,'[2]Controle de Produção'!$L:$L,$D64,'[2]Controle de Produção'!$P:$P,$C64,'[2]Controle de Produção'!$G:$G,$B64),_xlfn.MAXIFS([3]EXPEDIÇÃO!$N:$N,[3]EXPEDIÇÃO!$E:$E,$D64,[3]EXPEDIÇÃO!$D:$D,$C64,[3]EXPEDIÇÃO!$N:$N,"&gt;="&amp;$G64)),"")</f>
        <v/>
      </c>
      <c r="O64" s="70">
        <f>INDEX([1]Produtos!$E:$E,MATCH($D64,[1]Produtos!$B:$B,0))</f>
        <v>250</v>
      </c>
      <c r="P64" s="70" t="str">
        <f>INDEX([1]Produtos!$F:$F,MATCH($D64,[1]Produtos!$B:$B,0))</f>
        <v>ml</v>
      </c>
      <c r="Q64" s="105">
        <f>INDEX([1]Produtos!$Y:$Y,MATCH($D64,[1]Produtos!$B:$B,0))</f>
        <v>1.35</v>
      </c>
      <c r="R64" s="35">
        <f t="shared" si="20"/>
        <v>7592.2902086267013</v>
      </c>
      <c r="S64" s="27">
        <f>IFERROR(INDEX([1]Produtos!$L:$L,MATCH(D64,[1]Produtos!$B:$B,0)), "")</f>
        <v>843.58780095852239</v>
      </c>
      <c r="T64" s="28">
        <f t="shared" si="21"/>
        <v>1</v>
      </c>
      <c r="U64" s="28" t="str">
        <f t="shared" si="22"/>
        <v>0D e 1h</v>
      </c>
      <c r="V64" s="27">
        <f>IFERROR(SUMIFS('[2]Controle de Produção'!$K:$K,'[2]Controle de Produção'!$L:$L,D64,'[2]Controle de Produção'!$P:$P,C64,'[2]Controle de Produção'!$B:$B,"&gt;=" &amp; G64,'[2]Controle de Produção'!$C:$C,"&lt;=" &amp; N64, '[2]Controle de Produção'!$G:$G,B64), "")</f>
        <v>0</v>
      </c>
      <c r="W64" s="27" t="str">
        <f>IFERROR(SUMIFS([3]EXPEDIÇÃO!$K:$K,[3]EXPEDIÇÃO!$E:$E,D64,[3]EXPEDIÇÃO!$D:$D,C64,[3]EXPEDIÇÃO!$N:$N,"&gt;=" &amp; G64,[3]EXPEDIÇÃO!$N:$N,"&lt;="&amp;N64), "")</f>
        <v/>
      </c>
      <c r="X64" s="27">
        <f>COUNTIFS('[2]Controle de Produção'!$P:$P,C64,'[2]Controle de Produção'!$L:$L,D64,'[2]Controle de Produção'!$B:$B,"&gt;=" &amp; G64)</f>
        <v>3</v>
      </c>
      <c r="Y64" s="27">
        <f t="shared" si="23"/>
        <v>0</v>
      </c>
      <c r="Z64" s="27">
        <f>IFERROR(COUNTIFS('[2]Controle de Produção'!$L:$L,D64,'[2]Controle de Produção'!$P:$P,C64,'[2]Controle de Produção'!$B:$B,"&gt;=" &amp; G64,'[2]Controle de Produção'!$C:$C,"&lt;=" &amp; N64, '[2]Controle de Produção'!$G:$G,B64), "")</f>
        <v>0</v>
      </c>
      <c r="AA64" s="108" t="str">
        <f t="shared" si="24"/>
        <v/>
      </c>
      <c r="AB64" s="41" t="str" cm="1">
        <f t="array" ref="AB64">_xlfn.IFS((H64*0.95)&lt;=V64,"Concluído",AND(V64 =0, J64&lt;&gt;""),"Programado",AND(V64=0,D64=""),"Desenvolv.",V64=0,"Não Iniciado",AND(V64&gt;0,V64&lt;H64,AO64=TRUE),"Em Produção",AND(V64&gt;0,V64&lt;H64,AO64=FALSE),"Produção Parcial")</f>
        <v>Não Iniciado</v>
      </c>
      <c r="AC64" s="42" t="b">
        <v>1</v>
      </c>
      <c r="AD64" s="42" t="b">
        <v>1</v>
      </c>
      <c r="AE64" s="42" t="b">
        <v>1</v>
      </c>
      <c r="AF64" s="42" t="b">
        <v>1</v>
      </c>
      <c r="AG64" s="42" t="s">
        <v>38</v>
      </c>
      <c r="AH64" s="42" t="s">
        <v>38</v>
      </c>
      <c r="AI64" s="42" t="b">
        <v>1</v>
      </c>
      <c r="AJ64" s="42" t="b">
        <v>1</v>
      </c>
      <c r="AK64" s="42" t="b">
        <v>0</v>
      </c>
      <c r="AL64" s="42" t="b">
        <v>1</v>
      </c>
      <c r="AM64" s="42" t="b">
        <v>1</v>
      </c>
      <c r="AN64" s="42" t="b">
        <v>1</v>
      </c>
      <c r="AO64" s="45" t="b" cm="1">
        <f t="array" ref="AO64">AND(COUNTIF(AC64:AN64,FALSE)=0,SUMPRODUCT(ISNUMBER(AC64:AN64)*1)=0)</f>
        <v>0</v>
      </c>
      <c r="AP64" s="59"/>
      <c r="AQ64" s="111">
        <f>IF(AB64="",99999999999,IFERROR(MATCH(AB64,{"Produção Parcial","Em Produção","Programado","Não Iniciado","Desenvolv.","Concluído"},0),7)*100000000+IF(ISNUMBER(J64),J64-46000,9999)*10000+IF(A64="",99,A64)*100+IF(C64="",99,CODE(LEFT(C64,1))))</f>
        <v>499990065</v>
      </c>
    </row>
    <row r="65" spans="1:43" s="36" customFormat="1" ht="25.15" hidden="1" customHeight="1" x14ac:dyDescent="0.25">
      <c r="A65" s="36">
        <v>0</v>
      </c>
      <c r="B65" s="38" t="s">
        <v>158</v>
      </c>
      <c r="C65" s="70" t="str">
        <f>INDEX([1]Produtos!$G:$G,MATCH($D65,[1]Produtos!$B:$B,0))</f>
        <v>AMEERATI</v>
      </c>
      <c r="D65" s="24" t="s">
        <v>167</v>
      </c>
      <c r="E65" s="70" t="str">
        <f>INDEX([1]Produtos!$C:$C,MATCH($D65,[1]Produtos!$B:$B,0))&amp;IF($F65&lt;&gt;"-"," - "&amp;LEFT($F65,1),"")&amp;" &gt; "&amp;$B65</f>
        <v>BODY MIST NECTAR DA PERA - 1 &gt; AMEERATI 01</v>
      </c>
      <c r="F65" s="51">
        <v>1</v>
      </c>
      <c r="G65" s="38">
        <v>45959</v>
      </c>
      <c r="H65" s="39">
        <v>840</v>
      </c>
      <c r="I65" s="24" t="s">
        <v>39</v>
      </c>
      <c r="J65" s="68"/>
      <c r="K65" s="68" t="str">
        <f>IF(COUNTIF('[2]Previsão Envase'!$F:$F,E65)&gt;0,"Linha 1",
IF(COUNTIF('[2]Previsão Envase'!$G:$G,E65)&gt;0,"Linha 2",
IF(COUNTIF('[2]Previsão Envase'!$H:$H,E65)&gt;0,"Linha 3","")))</f>
        <v/>
      </c>
      <c r="L65" s="96">
        <f>COUNTIF('[2]Previsão Envase'!$F:$H,E65)-COUNTIF('[2]Previsão Envase'!$F$1:$H$4,E65)</f>
        <v>0</v>
      </c>
      <c r="M65" s="35">
        <f t="shared" si="19"/>
        <v>0</v>
      </c>
      <c r="N65" s="68" t="str">
        <f>IFERROR(MAX(_xlfn.MAXIFS('[2]Controle de Produção'!$C:$C,'[2]Controle de Produção'!$L:$L,$D65,'[2]Controle de Produção'!$P:$P,$C65,'[2]Controle de Produção'!$G:$G,$B65),_xlfn.MAXIFS([3]EXPEDIÇÃO!$N:$N,[3]EXPEDIÇÃO!$E:$E,$D65,[3]EXPEDIÇÃO!$D:$D,$C65,[3]EXPEDIÇÃO!$N:$N,"&gt;="&amp;$G65)),"")</f>
        <v/>
      </c>
      <c r="O65" s="70">
        <f>INDEX([1]Produtos!$E:$E,MATCH($D65,[1]Produtos!$B:$B,0))</f>
        <v>250</v>
      </c>
      <c r="P65" s="70" t="str">
        <f>INDEX([1]Produtos!$F:$F,MATCH($D65,[1]Produtos!$B:$B,0))</f>
        <v>ml</v>
      </c>
      <c r="Q65" s="105">
        <f>INDEX([1]Produtos!$Y:$Y,MATCH($D65,[1]Produtos!$B:$B,0))</f>
        <v>1.35</v>
      </c>
      <c r="R65" s="35">
        <f t="shared" si="20"/>
        <v>7592.2902086267013</v>
      </c>
      <c r="S65" s="27">
        <f>IFERROR(INDEX([1]Produtos!$L:$L,MATCH(D65,[1]Produtos!$B:$B,0)), "")</f>
        <v>843.58780095852239</v>
      </c>
      <c r="T65" s="28">
        <f t="shared" si="21"/>
        <v>1</v>
      </c>
      <c r="U65" s="28" t="str">
        <f t="shared" si="22"/>
        <v>0D e 1h</v>
      </c>
      <c r="V65" s="27">
        <f>IFERROR(SUMIFS('[2]Controle de Produção'!$K:$K,'[2]Controle de Produção'!$L:$L,D65,'[2]Controle de Produção'!$P:$P,C65,'[2]Controle de Produção'!$B:$B,"&gt;=" &amp; G65,'[2]Controle de Produção'!$C:$C,"&lt;=" &amp; N65, '[2]Controle de Produção'!$G:$G,B65), "")</f>
        <v>0</v>
      </c>
      <c r="W65" s="27" t="str">
        <f>IFERROR(SUMIFS([3]EXPEDIÇÃO!$K:$K,[3]EXPEDIÇÃO!$E:$E,D65,[3]EXPEDIÇÃO!$D:$D,C65,[3]EXPEDIÇÃO!$N:$N,"&gt;=" &amp; G65,[3]EXPEDIÇÃO!$N:$N,"&lt;="&amp;N65), "")</f>
        <v/>
      </c>
      <c r="X65" s="27">
        <f>COUNTIFS('[2]Controle de Produção'!$P:$P,C65,'[2]Controle de Produção'!$L:$L,D65,'[2]Controle de Produção'!$B:$B,"&gt;=" &amp; G65)</f>
        <v>3</v>
      </c>
      <c r="Y65" s="27">
        <f t="shared" si="23"/>
        <v>0</v>
      </c>
      <c r="Z65" s="27">
        <f>IFERROR(COUNTIFS('[2]Controle de Produção'!$L:$L,D65,'[2]Controle de Produção'!$P:$P,C65,'[2]Controle de Produção'!$B:$B,"&gt;=" &amp; G65,'[2]Controle de Produção'!$C:$C,"&lt;=" &amp; N65, '[2]Controle de Produção'!$G:$G,B65), "")</f>
        <v>0</v>
      </c>
      <c r="AA65" s="108" t="str">
        <f t="shared" si="24"/>
        <v/>
      </c>
      <c r="AB65" s="41" t="str" cm="1">
        <f t="array" ref="AB65">_xlfn.IFS((H65*0.95)&lt;=V65,"Concluído",AND(V65 =0, J65&lt;&gt;""),"Programado",AND(V65=0,D65=""),"Desenvolv.",V65=0,"Não Iniciado",AND(V65&gt;0,V65&lt;H65,AO65=TRUE),"Em Produção",AND(V65&gt;0,V65&lt;H65,AO65=FALSE),"Produção Parcial")</f>
        <v>Não Iniciado</v>
      </c>
      <c r="AC65" s="42" t="b">
        <v>1</v>
      </c>
      <c r="AD65" s="42" t="b">
        <v>1</v>
      </c>
      <c r="AE65" s="42" t="b">
        <v>1</v>
      </c>
      <c r="AF65" s="42" t="b">
        <v>1</v>
      </c>
      <c r="AG65" s="42" t="s">
        <v>38</v>
      </c>
      <c r="AH65" s="42" t="s">
        <v>38</v>
      </c>
      <c r="AI65" s="42" t="b">
        <v>1</v>
      </c>
      <c r="AJ65" s="42" t="b">
        <v>1</v>
      </c>
      <c r="AK65" s="42" t="b">
        <v>0</v>
      </c>
      <c r="AL65" s="42" t="b">
        <v>1</v>
      </c>
      <c r="AM65" s="42" t="b">
        <v>1</v>
      </c>
      <c r="AN65" s="42" t="b">
        <v>1</v>
      </c>
      <c r="AO65" s="45" t="b" cm="1">
        <f t="array" ref="AO65">AND(COUNTIF(AC65:AN65,FALSE)=0,SUMPRODUCT(ISNUMBER(AC65:AN65)*1)=0)</f>
        <v>0</v>
      </c>
      <c r="AP65" s="59"/>
      <c r="AQ65" s="111">
        <f>IF(AB65="",99999999999,IFERROR(MATCH(AB65,{"Produção Parcial","Em Produção","Programado","Não Iniciado","Desenvolv.","Concluído"},0),7)*100000000+IF(ISNUMBER(J65),J65-46000,9999)*10000+IF(A65="",99,A65)*100+IF(C65="",99,CODE(LEFT(C65,1))))</f>
        <v>499990065</v>
      </c>
    </row>
    <row r="66" spans="1:43" s="36" customFormat="1" ht="25.15" hidden="1" customHeight="1" x14ac:dyDescent="0.25">
      <c r="A66" s="36">
        <v>0</v>
      </c>
      <c r="B66" s="38" t="s">
        <v>158</v>
      </c>
      <c r="C66" s="70" t="str">
        <f>INDEX([1]Produtos!$G:$G,MATCH($D66,[1]Produtos!$B:$B,0))</f>
        <v>AMEERATI</v>
      </c>
      <c r="D66" s="24" t="s">
        <v>288</v>
      </c>
      <c r="E66" s="70" t="str">
        <f>INDEX([1]Produtos!$C:$C,MATCH($D66,[1]Produtos!$B:$B,0))&amp;IF($F66&lt;&gt;"-"," - "&amp;LEFT($F66,1),"")&amp;" &gt; "&amp;$B66</f>
        <v>BODY MIST SONHO DE PISTACHE &gt; AMEERATI 01</v>
      </c>
      <c r="F66" s="51" t="s">
        <v>38</v>
      </c>
      <c r="G66" s="38">
        <v>45959</v>
      </c>
      <c r="H66" s="39">
        <v>3360</v>
      </c>
      <c r="I66" s="24" t="s">
        <v>39</v>
      </c>
      <c r="J66" s="68" t="str" cm="1">
        <f t="array" ref="J66">IFERROR(INDEX('[2]Previsão Envase'!$D$5:$D$4867, MATCH(1,('[2]Previsão Envase'!$F$5:$F$4867=$E66)+('[2]Previsão Envase'!$G$5:$G$4867=$E66)+('[2]Previsão Envase'!$H$5:$H$4867=$E66),0)),"")</f>
        <v/>
      </c>
      <c r="K66" s="68" t="str">
        <f>IF(COUNTIF('[2]Previsão Envase'!$F:$F,E66)&gt;0,"Linha 1",
IF(COUNTIF('[2]Previsão Envase'!$G:$G,E66)&gt;0,"Linha 2",
IF(COUNTIF('[2]Previsão Envase'!$H:$H,E66)&gt;0,"Linha 3","")))</f>
        <v/>
      </c>
      <c r="L66" s="96">
        <f>COUNTIF('[2]Previsão Envase'!$F:$H,E66)-COUNTIF('[2]Previsão Envase'!$F$1:$H$4,E66)</f>
        <v>0</v>
      </c>
      <c r="M66" s="35">
        <f t="shared" si="19"/>
        <v>0</v>
      </c>
      <c r="N66" s="68" t="str">
        <f>IFERROR(MAX(_xlfn.MAXIFS('[2]Controle de Produção'!$C:$C,'[2]Controle de Produção'!$L:$L,$D66,'[2]Controle de Produção'!$P:$P,$C66,'[2]Controle de Produção'!$G:$G,$B66),_xlfn.MAXIFS([3]EXPEDIÇÃO!$N:$N,[3]EXPEDIÇÃO!$E:$E,$D66,[3]EXPEDIÇÃO!$D:$D,$C66,[3]EXPEDIÇÃO!$N:$N,"&gt;="&amp;$G66)),"")</f>
        <v/>
      </c>
      <c r="O66" s="70">
        <f>INDEX([1]Produtos!$E:$E,MATCH($D66,[1]Produtos!$B:$B,0))</f>
        <v>250</v>
      </c>
      <c r="P66" s="70" t="str">
        <f>INDEX([1]Produtos!$F:$F,MATCH($D66,[1]Produtos!$B:$B,0))</f>
        <v>ml</v>
      </c>
      <c r="Q66" s="105">
        <f>INDEX([1]Produtos!$Y:$Y,MATCH($D66,[1]Produtos!$B:$B,0))</f>
        <v>1.35</v>
      </c>
      <c r="R66" s="35">
        <f t="shared" si="20"/>
        <v>7592.2902086267013</v>
      </c>
      <c r="S66" s="27">
        <f>IFERROR(INDEX([1]Produtos!$L:$L,MATCH(D66,[1]Produtos!$B:$B,0)), "")</f>
        <v>843.58780095852239</v>
      </c>
      <c r="T66" s="28">
        <f t="shared" si="21"/>
        <v>4</v>
      </c>
      <c r="U66" s="28" t="str">
        <f t="shared" si="22"/>
        <v>0D e 4h</v>
      </c>
      <c r="V66" s="27">
        <f>IFERROR(SUMIFS('[2]Controle de Produção'!$K:$K,'[2]Controle de Produção'!$L:$L,D66,'[2]Controle de Produção'!$P:$P,C66,'[2]Controle de Produção'!$B:$B,"&gt;=" &amp; G66,'[2]Controle de Produção'!$C:$C,"&lt;=" &amp; N66, '[2]Controle de Produção'!$G:$G,B66), "")</f>
        <v>0</v>
      </c>
      <c r="W66" s="27" t="str">
        <f>IFERROR(SUMIFS([3]EXPEDIÇÃO!$K:$K,[3]EXPEDIÇÃO!$E:$E,D66,[3]EXPEDIÇÃO!$D:$D,C66,[3]EXPEDIÇÃO!$N:$N,"&gt;=" &amp; G66,[3]EXPEDIÇÃO!$N:$N,"&lt;="&amp;N66), "")</f>
        <v/>
      </c>
      <c r="X66" s="27">
        <f>COUNTIFS('[2]Controle de Produção'!$P:$P,C66,'[2]Controle de Produção'!$L:$L,D66,'[2]Controle de Produção'!$B:$B,"&gt;=" &amp; G66)</f>
        <v>1</v>
      </c>
      <c r="Y66" s="27">
        <f t="shared" si="23"/>
        <v>0</v>
      </c>
      <c r="Z66" s="27">
        <f>IFERROR(COUNTIFS('[2]Controle de Produção'!$L:$L,D66,'[2]Controle de Produção'!$P:$P,C66,'[2]Controle de Produção'!$B:$B,"&gt;=" &amp; G66,'[2]Controle de Produção'!$C:$C,"&lt;=" &amp; N66, '[2]Controle de Produção'!$G:$G,B66), "")</f>
        <v>0</v>
      </c>
      <c r="AA66" s="108" t="str">
        <f t="shared" si="24"/>
        <v/>
      </c>
      <c r="AB66" s="41" t="str" cm="1">
        <f t="array" ref="AB66">_xlfn.IFS((H66*0.95)&lt;=V66,"Concluído",AND(V66 =0, J66&lt;&gt;""),"Programado",AND(V66=0,D66=""),"Desenvolv.",V66=0,"Não Iniciado",AND(V66&gt;0,V66&lt;H66,AO66=TRUE),"Em Produção",AND(V66&gt;0,V66&lt;H66,AO66=FALSE),"Produção Parcial")</f>
        <v>Não Iniciado</v>
      </c>
      <c r="AC66" s="42" t="b">
        <v>1</v>
      </c>
      <c r="AD66" s="42" t="b">
        <v>1</v>
      </c>
      <c r="AE66" s="42" t="b">
        <v>1</v>
      </c>
      <c r="AF66" s="42" t="b">
        <v>1</v>
      </c>
      <c r="AG66" s="42" t="s">
        <v>38</v>
      </c>
      <c r="AH66" s="42" t="s">
        <v>38</v>
      </c>
      <c r="AI66" s="42" t="b">
        <v>1</v>
      </c>
      <c r="AJ66" s="42" t="b">
        <v>1</v>
      </c>
      <c r="AK66" s="42" t="b">
        <v>0</v>
      </c>
      <c r="AL66" s="42" t="b">
        <v>1</v>
      </c>
      <c r="AM66" s="42" t="b">
        <v>1</v>
      </c>
      <c r="AN66" s="42" t="b">
        <v>1</v>
      </c>
      <c r="AO66" s="45" t="b" cm="1">
        <f t="array" ref="AO66">AND(COUNTIF(AC66:AN66,FALSE)=0,SUMPRODUCT(ISNUMBER(AC66:AN66)*1)=0)</f>
        <v>0</v>
      </c>
      <c r="AP66" s="59"/>
      <c r="AQ66" s="111">
        <f>IF(AB66="",99999999999,IFERROR(MATCH(AB66,{"Produção Parcial","Em Produção","Programado","Não Iniciado","Desenvolv.","Concluído"},0),7)*100000000+IF(ISNUMBER(J66),J66-46000,9999)*10000+IF(A66="",99,A66)*100+IF(C66="",99,CODE(LEFT(C66,1))))</f>
        <v>499990065</v>
      </c>
    </row>
    <row r="67" spans="1:43" s="36" customFormat="1" ht="25.15" hidden="1" customHeight="1" x14ac:dyDescent="0.25">
      <c r="A67" s="36">
        <v>0</v>
      </c>
      <c r="B67" s="38" t="s">
        <v>158</v>
      </c>
      <c r="C67" s="70" t="str">
        <f>INDEX([1]Produtos!$G:$G,MATCH($D67,[1]Produtos!$B:$B,0))</f>
        <v>AMEERATI</v>
      </c>
      <c r="D67" s="24" t="s">
        <v>171</v>
      </c>
      <c r="E67" s="70" t="str">
        <f>INDEX([1]Produtos!$C:$C,MATCH($D67,[1]Produtos!$B:$B,0))&amp;IF($F67&lt;&gt;"-"," - "&amp;LEFT($F67,1),"")&amp;" &gt; "&amp;$B67</f>
        <v>BODY MIST VERDE SUPREMO - 1 &gt; AMEERATI 01</v>
      </c>
      <c r="F67" s="51">
        <v>1</v>
      </c>
      <c r="G67" s="38">
        <v>45959</v>
      </c>
      <c r="H67" s="39">
        <v>840</v>
      </c>
      <c r="I67" s="24" t="s">
        <v>39</v>
      </c>
      <c r="J67" s="68" t="str" cm="1">
        <f t="array" ref="J67">IFERROR(INDEX('[2]Previsão Envase'!$D$5:$D$4867, MATCH(1,('[2]Previsão Envase'!$F$5:$F$4867=$E67)+('[2]Previsão Envase'!$G$5:$G$4867=$E67)+('[2]Previsão Envase'!$H$5:$H$4867=$E67),0)),"")</f>
        <v/>
      </c>
      <c r="K67" s="68" t="str">
        <f>IF(COUNTIF('[2]Previsão Envase'!$F:$F,E67)&gt;0,"Linha 1",
IF(COUNTIF('[2]Previsão Envase'!$G:$G,E67)&gt;0,"Linha 2",
IF(COUNTIF('[2]Previsão Envase'!$H:$H,E67)&gt;0,"Linha 3","")))</f>
        <v/>
      </c>
      <c r="L67" s="96">
        <f>COUNTIF('[2]Previsão Envase'!$F:$H,E67)-COUNTIF('[2]Previsão Envase'!$F$1:$H$4,E67)</f>
        <v>0</v>
      </c>
      <c r="M67" s="35">
        <f t="shared" si="19"/>
        <v>0</v>
      </c>
      <c r="N67" s="68" t="str">
        <f>IFERROR(MAX(_xlfn.MAXIFS('[2]Controle de Produção'!$C:$C,'[2]Controle de Produção'!$L:$L,$D67,'[2]Controle de Produção'!$P:$P,$C67,'[2]Controle de Produção'!$G:$G,$B67),_xlfn.MAXIFS([3]EXPEDIÇÃO!$N:$N,[3]EXPEDIÇÃO!$E:$E,$D67,[3]EXPEDIÇÃO!$D:$D,$C67,[3]EXPEDIÇÃO!$N:$N,"&gt;="&amp;$G67)),"")</f>
        <v/>
      </c>
      <c r="O67" s="70">
        <f>INDEX([1]Produtos!$E:$E,MATCH($D67,[1]Produtos!$B:$B,0))</f>
        <v>250</v>
      </c>
      <c r="P67" s="70" t="str">
        <f>INDEX([1]Produtos!$F:$F,MATCH($D67,[1]Produtos!$B:$B,0))</f>
        <v>ml</v>
      </c>
      <c r="Q67" s="105">
        <f>INDEX([1]Produtos!$Y:$Y,MATCH($D67,[1]Produtos!$B:$B,0))</f>
        <v>1.35</v>
      </c>
      <c r="R67" s="35">
        <f t="shared" si="20"/>
        <v>7592.2902086267013</v>
      </c>
      <c r="S67" s="27">
        <f>IFERROR(INDEX([1]Produtos!$L:$L,MATCH(D67,[1]Produtos!$B:$B,0)), "")</f>
        <v>843.58780095852239</v>
      </c>
      <c r="T67" s="28">
        <f t="shared" si="21"/>
        <v>1</v>
      </c>
      <c r="U67" s="28" t="str">
        <f t="shared" si="22"/>
        <v>0D e 1h</v>
      </c>
      <c r="V67" s="27">
        <f>IFERROR(SUMIFS('[2]Controle de Produção'!$K:$K,'[2]Controle de Produção'!$L:$L,D67,'[2]Controle de Produção'!$P:$P,C67,'[2]Controle de Produção'!$B:$B,"&gt;=" &amp; G67,'[2]Controle de Produção'!$C:$C,"&lt;=" &amp; N67, '[2]Controle de Produção'!$G:$G,B67), "")</f>
        <v>0</v>
      </c>
      <c r="W67" s="27" t="str">
        <f>IFERROR(SUMIFS([3]EXPEDIÇÃO!$K:$K,[3]EXPEDIÇÃO!$E:$E,D67,[3]EXPEDIÇÃO!$D:$D,C67,[3]EXPEDIÇÃO!$N:$N,"&gt;=" &amp; G67,[3]EXPEDIÇÃO!$N:$N,"&lt;="&amp;N67), "")</f>
        <v/>
      </c>
      <c r="X67" s="27">
        <f>COUNTIFS('[2]Controle de Produção'!$P:$P,C67,'[2]Controle de Produção'!$L:$L,D67,'[2]Controle de Produção'!$B:$B,"&gt;=" &amp; G67)</f>
        <v>3</v>
      </c>
      <c r="Y67" s="27">
        <f t="shared" si="23"/>
        <v>0</v>
      </c>
      <c r="Z67" s="27">
        <f>IFERROR(COUNTIFS('[2]Controle de Produção'!$L:$L,D67,'[2]Controle de Produção'!$P:$P,C67,'[2]Controle de Produção'!$B:$B,"&gt;=" &amp; G67,'[2]Controle de Produção'!$C:$C,"&lt;=" &amp; N67, '[2]Controle de Produção'!$G:$G,B67), "")</f>
        <v>0</v>
      </c>
      <c r="AA67" s="108" t="str">
        <f t="shared" si="24"/>
        <v/>
      </c>
      <c r="AB67" s="41" t="str" cm="1">
        <f t="array" ref="AB67">_xlfn.IFS((H67*0.95)&lt;=V67,"Concluído",AND(V67 =0, J67&lt;&gt;""),"Programado",AND(V67=0,D67=""),"Desenvolv.",V67=0,"Não Iniciado",AND(V67&gt;0,V67&lt;H67,AO67=TRUE),"Em Produção",AND(V67&gt;0,V67&lt;H67,AO67=FALSE),"Produção Parcial")</f>
        <v>Não Iniciado</v>
      </c>
      <c r="AC67" s="42" t="b">
        <v>1</v>
      </c>
      <c r="AD67" s="42" t="b">
        <v>1</v>
      </c>
      <c r="AE67" s="42" t="b">
        <v>1</v>
      </c>
      <c r="AF67" s="42" t="b">
        <v>1</v>
      </c>
      <c r="AG67" s="42" t="s">
        <v>38</v>
      </c>
      <c r="AH67" s="42" t="s">
        <v>38</v>
      </c>
      <c r="AI67" s="42" t="b">
        <v>1</v>
      </c>
      <c r="AJ67" s="42" t="b">
        <v>1</v>
      </c>
      <c r="AK67" s="42" t="b">
        <v>0</v>
      </c>
      <c r="AL67" s="42" t="b">
        <v>1</v>
      </c>
      <c r="AM67" s="42" t="b">
        <v>1</v>
      </c>
      <c r="AN67" s="42" t="b">
        <v>1</v>
      </c>
      <c r="AO67" s="45" t="b" cm="1">
        <f t="array" ref="AO67">AND(COUNTIF(AC67:AN67,FALSE)=0,SUMPRODUCT(ISNUMBER(AC67:AN67)*1)=0)</f>
        <v>0</v>
      </c>
      <c r="AP67" s="59"/>
      <c r="AQ67" s="111">
        <f>IF(AB67="",99999999999,IFERROR(MATCH(AB67,{"Produção Parcial","Em Produção","Programado","Não Iniciado","Desenvolv.","Concluído"},0),7)*100000000+IF(ISNUMBER(J67),J67-46000,9999)*10000+IF(A67="",99,A67)*100+IF(C67="",99,CODE(LEFT(C67,1))))</f>
        <v>499990065</v>
      </c>
    </row>
    <row r="68" spans="1:43" s="36" customFormat="1" ht="25.15" hidden="1" customHeight="1" x14ac:dyDescent="0.25">
      <c r="A68" s="36">
        <v>0</v>
      </c>
      <c r="B68" s="38" t="s">
        <v>43</v>
      </c>
      <c r="C68" s="70" t="str">
        <f>INDEX([1]Produtos!$G:$G,MATCH($D68,[1]Produtos!$B:$B,0))</f>
        <v>BRIA BEAUTY</v>
      </c>
      <c r="D68" s="24" t="s">
        <v>264</v>
      </c>
      <c r="E68" s="70" t="str">
        <f>INDEX([1]Produtos!$C:$C,MATCH($D68,[1]Produtos!$B:$B,0))&amp;IF($F68&lt;&gt;"-"," - "&amp;LEFT($F68,1),"")&amp;" &gt; "&amp;$B68</f>
        <v>PERFUME CAPILAR SOL TROPICAL 61 &gt; BRIA 01</v>
      </c>
      <c r="F68" s="51" t="s">
        <v>38</v>
      </c>
      <c r="G68" s="38">
        <v>45934</v>
      </c>
      <c r="H68" s="39">
        <v>15000</v>
      </c>
      <c r="I68" s="24" t="s">
        <v>39</v>
      </c>
      <c r="J68" s="68" t="str" cm="1">
        <f t="array" ref="J68">IFERROR(INDEX('[2]Previsão Envase'!$D$5:$D$4867, MATCH(1,('[2]Previsão Envase'!$F$5:$F$4867=$E68)+('[2]Previsão Envase'!$G$5:$G$4867=$E68)+('[2]Previsão Envase'!$H$5:$H$4867=$E68),0)),"")</f>
        <v/>
      </c>
      <c r="K68" s="68" t="str">
        <f>IF(COUNTIF('[2]Previsão Envase'!$F:$F,E68)&gt;0,"Linha 1",
IF(COUNTIF('[2]Previsão Envase'!$G:$G,E68)&gt;0,"Linha 2",
IF(COUNTIF('[2]Previsão Envase'!$H:$H,E68)&gt;0,"Linha 3","")))</f>
        <v/>
      </c>
      <c r="L68" s="96">
        <f>COUNTIF('[2]Previsão Envase'!$F:$H,E68)-COUNTIF('[2]Previsão Envase'!$F$1:$H$4,E68)</f>
        <v>0</v>
      </c>
      <c r="M68" s="35">
        <f t="shared" si="19"/>
        <v>0</v>
      </c>
      <c r="N68" s="68" t="str">
        <f>IFERROR(MAX(_xlfn.MAXIFS('[2]Controle de Produção'!$C:$C,'[2]Controle de Produção'!$L:$L,$D68,'[2]Controle de Produção'!$P:$P,$C68,'[2]Controle de Produção'!$G:$G,$B68),_xlfn.MAXIFS([3]EXPEDIÇÃO!$N:$N,[3]EXPEDIÇÃO!$E:$E,$D68,[3]EXPEDIÇÃO!$D:$D,$C68,[3]EXPEDIÇÃO!$N:$N,"&gt;="&amp;$G68)),"")</f>
        <v/>
      </c>
      <c r="O68" s="70">
        <f>INDEX([1]Produtos!$E:$E,MATCH($D68,[1]Produtos!$B:$B,0))</f>
        <v>60</v>
      </c>
      <c r="P68" s="70" t="str">
        <f>INDEX([1]Produtos!$F:$F,MATCH($D68,[1]Produtos!$B:$B,0))</f>
        <v>ml</v>
      </c>
      <c r="Q68" s="105">
        <f>INDEX([1]Produtos!$Y:$Y,MATCH($D68,[1]Produtos!$B:$B,0))</f>
        <v>1.5699999999999998</v>
      </c>
      <c r="R68" s="35">
        <f t="shared" si="20"/>
        <v>6072.2675460400496</v>
      </c>
      <c r="S68" s="27">
        <f>IFERROR(INDEX([1]Produtos!$L:$L,MATCH(D68,[1]Produtos!$B:$B,0)), "")</f>
        <v>674.69639400444999</v>
      </c>
      <c r="T68" s="28">
        <f t="shared" si="21"/>
        <v>22.3</v>
      </c>
      <c r="U68" s="28" t="str">
        <f t="shared" si="22"/>
        <v>2D e 5h</v>
      </c>
      <c r="V68" s="27">
        <f>IFERROR(SUMIFS('[2]Controle de Produção'!$K:$K,'[2]Controle de Produção'!$L:$L,D68,'[2]Controle de Produção'!$P:$P,C68,'[2]Controle de Produção'!$B:$B,"&gt;=" &amp; G68,'[2]Controle de Produção'!$C:$C,"&lt;=" &amp; N68, '[2]Controle de Produção'!$G:$G,B68), "")</f>
        <v>0</v>
      </c>
      <c r="W68" s="27" t="str">
        <f>IFERROR(SUMIFS([3]EXPEDIÇÃO!$K:$K,[3]EXPEDIÇÃO!$E:$E,D68,[3]EXPEDIÇÃO!$D:$D,C68,[3]EXPEDIÇÃO!$N:$N,"&gt;=" &amp; G68,[3]EXPEDIÇÃO!$N:$N,"&lt;="&amp;N68), "")</f>
        <v/>
      </c>
      <c r="X68" s="27">
        <f>COUNTIFS('[2]Controle de Produção'!$P:$P,C68,'[2]Controle de Produção'!$L:$L,D68,'[2]Controle de Produção'!$B:$B,"&gt;=" &amp; G68)</f>
        <v>2</v>
      </c>
      <c r="Y68" s="27">
        <f t="shared" si="23"/>
        <v>0</v>
      </c>
      <c r="Z68" s="27">
        <f>IFERROR(COUNTIFS('[2]Controle de Produção'!$L:$L,D68,'[2]Controle de Produção'!$P:$P,C68,'[2]Controle de Produção'!$B:$B,"&gt;=" &amp; G68,'[2]Controle de Produção'!$C:$C,"&lt;=" &amp; N68, '[2]Controle de Produção'!$G:$G,B68), "")</f>
        <v>0</v>
      </c>
      <c r="AA68" s="108" t="str">
        <f t="shared" si="24"/>
        <v/>
      </c>
      <c r="AB68" s="41" t="str" cm="1">
        <f t="array" ref="AB68">_xlfn.IFS((H68*0.95)&lt;=V68,"Concluído",AND(V68 =0, J68&lt;&gt;""),"Programado",AND(V68=0,D68=""),"Desenvolv.",V68=0,"Não Iniciado",AND(V68&gt;0,V68&lt;H68,AO68=TRUE),"Em Produção",AND(V68&gt;0,V68&lt;H68,AO68=FALSE),"Produção Parcial")</f>
        <v>Não Iniciado</v>
      </c>
      <c r="AC68" s="42" t="b">
        <v>1</v>
      </c>
      <c r="AD68" s="42" t="b">
        <v>1</v>
      </c>
      <c r="AE68" s="42" t="b">
        <v>1</v>
      </c>
      <c r="AF68" s="42" t="b">
        <v>1</v>
      </c>
      <c r="AG68" s="42" t="s">
        <v>38</v>
      </c>
      <c r="AH68" s="42" t="s">
        <v>38</v>
      </c>
      <c r="AI68" s="42" t="b">
        <v>1</v>
      </c>
      <c r="AJ68" s="42" t="s">
        <v>38</v>
      </c>
      <c r="AK68" s="42" t="b">
        <v>0</v>
      </c>
      <c r="AL68" s="42" t="b">
        <v>1</v>
      </c>
      <c r="AM68" s="42" t="b">
        <v>1</v>
      </c>
      <c r="AN68" s="42" t="b">
        <v>1</v>
      </c>
      <c r="AO68" s="45" t="b" cm="1">
        <f t="array" ref="AO68">AND(COUNTIF(AC68:AN68,FALSE)=0,SUMPRODUCT(ISNUMBER(AC68:AN68)*1)=0)</f>
        <v>0</v>
      </c>
      <c r="AP68" s="59"/>
      <c r="AQ68" s="111">
        <f>IF(AB68="",99999999999,IFERROR(MATCH(AB68,{"Produção Parcial","Em Produção","Programado","Não Iniciado","Desenvolv.","Concluído"},0),7)*100000000+IF(ISNUMBER(J68),J68-46000,9999)*10000+IF(A68="",99,A68)*100+IF(C68="",99,CODE(LEFT(C68,1))))</f>
        <v>499990066</v>
      </c>
    </row>
    <row r="69" spans="1:43" s="36" customFormat="1" ht="25.15" hidden="1" customHeight="1" x14ac:dyDescent="0.25">
      <c r="A69" s="36">
        <v>0</v>
      </c>
      <c r="B69" s="38" t="s">
        <v>43</v>
      </c>
      <c r="C69" s="70" t="str">
        <f>INDEX([1]Produtos!$G:$G,MATCH($D69,[1]Produtos!$B:$B,0))</f>
        <v>BRIA BEAUTY</v>
      </c>
      <c r="D69" s="24" t="s">
        <v>44</v>
      </c>
      <c r="E69" s="70" t="str">
        <f>INDEX([1]Produtos!$C:$C,MATCH($D69,[1]Produtos!$B:$B,0))&amp;IF($F69&lt;&gt;"-"," - "&amp;LEFT($F69,1),"")&amp;" &gt; "&amp;$B69</f>
        <v>BODY SPLASH SOL TROPICAL 61 200ml &gt; BRIA 01</v>
      </c>
      <c r="F69" s="51" t="s">
        <v>38</v>
      </c>
      <c r="G69" s="38">
        <v>45934</v>
      </c>
      <c r="H69" s="39">
        <v>10000</v>
      </c>
      <c r="I69" s="24" t="s">
        <v>39</v>
      </c>
      <c r="J69" s="68" t="str" cm="1">
        <f t="array" ref="J69">IFERROR(INDEX('[2]Previsão Envase'!$D$5:$D$4867, MATCH(1,('[2]Previsão Envase'!$F$5:$F$4867=$E69)+('[2]Previsão Envase'!$G$5:$G$4867=$E69)+('[2]Previsão Envase'!$H$5:$H$4867=$E69),0)),"")</f>
        <v/>
      </c>
      <c r="K69" s="68" t="str">
        <f>IF(COUNTIF('[2]Previsão Envase'!$F:$F,E69)&gt;0,"Linha 1",
IF(COUNTIF('[2]Previsão Envase'!$G:$G,E69)&gt;0,"Linha 2",
IF(COUNTIF('[2]Previsão Envase'!$H:$H,E69)&gt;0,"Linha 3","")))</f>
        <v/>
      </c>
      <c r="L69" s="96">
        <f>COUNTIF('[2]Previsão Envase'!$F:$H,E69)-COUNTIF('[2]Previsão Envase'!$F$1:$H$4,E69)</f>
        <v>0</v>
      </c>
      <c r="M69" s="35">
        <f t="shared" ref="M69:M132" si="25">IFERROR(L69*S69,"-")</f>
        <v>0</v>
      </c>
      <c r="N69" s="68" t="str">
        <f>IFERROR(MAX(_xlfn.MAXIFS('[2]Controle de Produção'!$C:$C,'[2]Controle de Produção'!$L:$L,$D69,'[2]Controle de Produção'!$P:$P,$C69,'[2]Controle de Produção'!$G:$G,$B69),_xlfn.MAXIFS([3]EXPEDIÇÃO!$N:$N,[3]EXPEDIÇÃO!$E:$E,$D69,[3]EXPEDIÇÃO!$D:$D,$C69,[3]EXPEDIÇÃO!$N:$N,"&gt;="&amp;$G69)),"")</f>
        <v/>
      </c>
      <c r="O69" s="70">
        <f>INDEX([1]Produtos!$E:$E,MATCH($D69,[1]Produtos!$B:$B,0))</f>
        <v>200</v>
      </c>
      <c r="P69" s="70" t="str">
        <f>INDEX([1]Produtos!$F:$F,MATCH($D69,[1]Produtos!$B:$B,0))</f>
        <v>ml</v>
      </c>
      <c r="Q69" s="105">
        <f>INDEX([1]Produtos!$Y:$Y,MATCH($D69,[1]Produtos!$B:$B,0))</f>
        <v>1.4699999999999998</v>
      </c>
      <c r="R69" s="35">
        <f t="shared" ref="R69:R132" si="26">IFERROR(S69*9, "-")</f>
        <v>7592.2902086267013</v>
      </c>
      <c r="S69" s="27">
        <f>IFERROR(INDEX([1]Produtos!$L:$L,MATCH(D69,[1]Produtos!$B:$B,0)), "")</f>
        <v>843.58780095852239</v>
      </c>
      <c r="T69" s="28">
        <f t="shared" ref="T69:T132" si="27">IFERROR(ROUNDUP(H69/S69,1),"-")</f>
        <v>11.9</v>
      </c>
      <c r="U69" s="28" t="str">
        <f t="shared" ref="U69:U132" si="28">IFERROR(ROUNDDOWN(T69/8.8,0)&amp;"D e "&amp;ROUNDUP(MOD(T69,8.8),0)&amp;"h","-")</f>
        <v>1D e 4h</v>
      </c>
      <c r="V69" s="27">
        <f>IFERROR(SUMIFS('[2]Controle de Produção'!$K:$K,'[2]Controle de Produção'!$L:$L,D69,'[2]Controle de Produção'!$P:$P,C69,'[2]Controle de Produção'!$B:$B,"&gt;=" &amp; G69,'[2]Controle de Produção'!$C:$C,"&lt;=" &amp; N69, '[2]Controle de Produção'!$G:$G,B69), "")</f>
        <v>0</v>
      </c>
      <c r="W69" s="27" t="str">
        <f>IFERROR(SUMIFS([3]EXPEDIÇÃO!$K:$K,[3]EXPEDIÇÃO!$E:$E,D69,[3]EXPEDIÇÃO!$D:$D,C69,[3]EXPEDIÇÃO!$N:$N,"&gt;=" &amp; G69,[3]EXPEDIÇÃO!$N:$N,"&lt;="&amp;N69), "")</f>
        <v/>
      </c>
      <c r="X69" s="27">
        <f>COUNTIFS('[2]Controle de Produção'!$P:$P,C69,'[2]Controle de Produção'!$L:$L,D69,'[2]Controle de Produção'!$B:$B,"&gt;=" &amp; G69)</f>
        <v>3</v>
      </c>
      <c r="Y69" s="27">
        <f t="shared" ref="Y69:Y132" si="29">IFERROR(AVERAGE(V69/X69),"-")</f>
        <v>0</v>
      </c>
      <c r="Z69" s="27">
        <f>IFERROR(COUNTIFS('[2]Controle de Produção'!$L:$L,D69,'[2]Controle de Produção'!$P:$P,C69,'[2]Controle de Produção'!$B:$B,"&gt;=" &amp; G69,'[2]Controle de Produção'!$C:$C,"&lt;=" &amp; N69, '[2]Controle de Produção'!$G:$G,B69), "")</f>
        <v>0</v>
      </c>
      <c r="AA69" s="108" t="str">
        <f t="shared" ref="AA69:AA132" si="30">IF(OR(V69=0,H69=0),"",IF(V69="","",(V69-H69)/H69))</f>
        <v/>
      </c>
      <c r="AB69" s="41" t="str" cm="1">
        <f t="array" ref="AB69">_xlfn.IFS((H69*0.95)&lt;=V69,"Concluído",AND(V69 =0, J69&lt;&gt;""),"Programado",AND(V69=0,D69=""),"Desenvolv.",V69=0,"Não Iniciado",AND(V69&gt;0,V69&lt;H69,AO69=TRUE),"Em Produção",AND(V69&gt;0,V69&lt;H69,AO69=FALSE),"Produção Parcial")</f>
        <v>Não Iniciado</v>
      </c>
      <c r="AC69" s="42" t="b">
        <v>1</v>
      </c>
      <c r="AD69" s="42" t="b">
        <v>1</v>
      </c>
      <c r="AE69" s="42" t="b">
        <v>1</v>
      </c>
      <c r="AF69" s="42" t="b">
        <v>1</v>
      </c>
      <c r="AG69" s="42" t="b">
        <v>1</v>
      </c>
      <c r="AH69" s="42" t="s">
        <v>38</v>
      </c>
      <c r="AI69" s="42" t="b">
        <v>1</v>
      </c>
      <c r="AJ69" s="42" t="s">
        <v>38</v>
      </c>
      <c r="AK69" s="42" t="b">
        <v>0</v>
      </c>
      <c r="AL69" s="42" t="b">
        <v>1</v>
      </c>
      <c r="AM69" s="42" t="b">
        <v>1</v>
      </c>
      <c r="AN69" s="42" t="b">
        <v>0</v>
      </c>
      <c r="AO69" s="45" t="b" cm="1">
        <f t="array" ref="AO69">AND(COUNTIF(AC69:AN69,FALSE)=0,SUMPRODUCT(ISNUMBER(AC69:AN69)*1)=0)</f>
        <v>0</v>
      </c>
      <c r="AP69" s="59"/>
      <c r="AQ69" s="111">
        <f>IF(AB69="",99999999999,IFERROR(MATCH(AB69,{"Produção Parcial","Em Produção","Programado","Não Iniciado","Desenvolv.","Concluído"},0),7)*100000000+IF(ISNUMBER(J69),J69-46000,9999)*10000+IF(A69="",99,A69)*100+IF(C69="",99,CODE(LEFT(C69,1))))</f>
        <v>499990066</v>
      </c>
    </row>
    <row r="70" spans="1:43" s="36" customFormat="1" ht="25.15" hidden="1" customHeight="1" x14ac:dyDescent="0.25">
      <c r="A70" s="36">
        <v>0</v>
      </c>
      <c r="B70" s="103" t="s">
        <v>149</v>
      </c>
      <c r="C70" s="70" t="str">
        <f>INDEX([1]Produtos!$G:$G,MATCH($D70,[1]Produtos!$B:$B,0))</f>
        <v>BRIA BEAUTY</v>
      </c>
      <c r="D70" s="24" t="s">
        <v>111</v>
      </c>
      <c r="E70" s="70" t="str">
        <f>INDEX([1]Produtos!$C:$C,MATCH($D70,[1]Produtos!$B:$B,0))&amp;IF($F70&lt;&gt;"-"," - "&amp;LEFT($F70,1),"")&amp;" &gt; "&amp;$B70</f>
        <v>BODY SPLASH ZAHRA 120ml &gt; REPOSICAO BRIA 01</v>
      </c>
      <c r="F70" s="51" t="s">
        <v>38</v>
      </c>
      <c r="G70" s="38">
        <v>46052</v>
      </c>
      <c r="H70" s="39">
        <f>26000+1440</f>
        <v>27440</v>
      </c>
      <c r="I70" s="24" t="s">
        <v>42</v>
      </c>
      <c r="J70" s="68" t="str" cm="1">
        <f t="array" ref="J70">IFERROR(INDEX('[2]Previsão Envase'!$D$5:$D$4867, MATCH(1,('[2]Previsão Envase'!$F$5:$F$4867=$E70)+('[2]Previsão Envase'!$G$5:$G$4867=$E70)+('[2]Previsão Envase'!$H$5:$H$4867=$E70),0)),"")</f>
        <v/>
      </c>
      <c r="K70" s="68" t="str">
        <f>IF(COUNTIF('[2]Previsão Envase'!$F:$F,E70)&gt;0,"Linha 1",
IF(COUNTIF('[2]Previsão Envase'!$G:$G,E70)&gt;0,"Linha 2",
IF(COUNTIF('[2]Previsão Envase'!$H:$H,E70)&gt;0,"Linha 3","")))</f>
        <v/>
      </c>
      <c r="L70" s="96">
        <f>COUNTIF('[2]Previsão Envase'!$F:$H,E70)-COUNTIF('[2]Previsão Envase'!$F$1:$H$4,E70)</f>
        <v>0</v>
      </c>
      <c r="M70" s="35">
        <f t="shared" si="25"/>
        <v>0</v>
      </c>
      <c r="N70" s="68" t="str">
        <f>IFERROR(MAX(_xlfn.MAXIFS('[2]Controle de Produção'!$C:$C,'[2]Controle de Produção'!$L:$L,$D70,'[2]Controle de Produção'!$P:$P,$C70,'[2]Controle de Produção'!$G:$G,$B70),_xlfn.MAXIFS([3]EXPEDIÇÃO!$N:$N,[3]EXPEDIÇÃO!$E:$E,$D70,[3]EXPEDIÇÃO!$D:$D,$C70,[3]EXPEDIÇÃO!$N:$N,"&gt;="&amp;$G70)),"")</f>
        <v/>
      </c>
      <c r="O70" s="70">
        <f>INDEX([1]Produtos!$E:$E,MATCH($D70,[1]Produtos!$B:$B,0))</f>
        <v>120</v>
      </c>
      <c r="P70" s="70" t="str">
        <f>INDEX([1]Produtos!$F:$F,MATCH($D70,[1]Produtos!$B:$B,0))</f>
        <v>ml</v>
      </c>
      <c r="Q70" s="105">
        <f>INDEX([1]Produtos!$Y:$Y,MATCH($D70,[1]Produtos!$B:$B,0))</f>
        <v>1.08</v>
      </c>
      <c r="R70" s="35">
        <f t="shared" si="26"/>
        <v>7592.2902086267013</v>
      </c>
      <c r="S70" s="27">
        <f>IFERROR(INDEX([1]Produtos!$L:$L,MATCH(D70,[1]Produtos!$B:$B,0)), "")</f>
        <v>843.58780095852239</v>
      </c>
      <c r="T70" s="28">
        <f t="shared" si="27"/>
        <v>32.6</v>
      </c>
      <c r="U70" s="28" t="str">
        <f t="shared" si="28"/>
        <v>3D e 7h</v>
      </c>
      <c r="V70" s="27">
        <f>IFERROR(SUMIFS('[2]Controle de Produção'!$K:$K,'[2]Controle de Produção'!$L:$L,D70,'[2]Controle de Produção'!$P:$P,C70,'[2]Controle de Produção'!$B:$B,"&gt;=" &amp; G70,'[2]Controle de Produção'!$C:$C,"&lt;=" &amp; N70, '[2]Controle de Produção'!$G:$G,B70), "")</f>
        <v>0</v>
      </c>
      <c r="W70" s="27" t="str">
        <f>IFERROR(SUMIFS([3]EXPEDIÇÃO!$K:$K,[3]EXPEDIÇÃO!$E:$E,D70,[3]EXPEDIÇÃO!$D:$D,C70,[3]EXPEDIÇÃO!$N:$N,"&gt;=" &amp; G70,[3]EXPEDIÇÃO!$N:$N,"&lt;="&amp;N70), "")</f>
        <v/>
      </c>
      <c r="X70" s="27">
        <f>COUNTIFS('[2]Controle de Produção'!$P:$P,C70,'[2]Controle de Produção'!$L:$L,D70,'[2]Controle de Produção'!$B:$B,"&gt;=" &amp; G70)</f>
        <v>7</v>
      </c>
      <c r="Y70" s="27">
        <f t="shared" si="29"/>
        <v>0</v>
      </c>
      <c r="Z70" s="27">
        <f>IFERROR(COUNTIFS('[2]Controle de Produção'!$L:$L,D70,'[2]Controle de Produção'!$P:$P,C70,'[2]Controle de Produção'!$B:$B,"&gt;=" &amp; G70,'[2]Controle de Produção'!$C:$C,"&lt;=" &amp; N70, '[2]Controle de Produção'!$G:$G,B70), "")</f>
        <v>0</v>
      </c>
      <c r="AA70" s="108" t="str">
        <f t="shared" si="30"/>
        <v/>
      </c>
      <c r="AB70" s="41" t="str" cm="1">
        <f t="array" ref="AB70">_xlfn.IFS((H70*0.95)&lt;=V70,"Concluído",AND(V70 =0, J70&lt;&gt;""),"Programado",AND(V70=0,D70=""),"Desenvolv.",V70=0,"Não Iniciado",AND(V70&gt;0,V70&lt;H70,AO70=TRUE),"Em Produção",AND(V70&gt;0,V70&lt;H70,AO70=FALSE),"Produção Parcial")</f>
        <v>Não Iniciado</v>
      </c>
      <c r="AC70" s="42" t="b">
        <v>1</v>
      </c>
      <c r="AD70" s="42" t="b">
        <v>1</v>
      </c>
      <c r="AE70" s="42" t="b">
        <v>1</v>
      </c>
      <c r="AF70" s="42" t="b">
        <v>1</v>
      </c>
      <c r="AG70" s="42" t="s">
        <v>38</v>
      </c>
      <c r="AH70" s="42" t="s">
        <v>38</v>
      </c>
      <c r="AI70" s="42" t="b">
        <v>1</v>
      </c>
      <c r="AJ70" s="42" t="s">
        <v>38</v>
      </c>
      <c r="AK70" s="42" t="s">
        <v>38</v>
      </c>
      <c r="AL70" s="42" t="b">
        <v>1</v>
      </c>
      <c r="AM70" s="42" t="b">
        <v>1</v>
      </c>
      <c r="AN70" s="42" t="b">
        <v>1</v>
      </c>
      <c r="AO70" s="45" t="b" cm="1">
        <f t="array" ref="AO70">AND(COUNTIF(AC70:AN70,FALSE)=0,SUMPRODUCT(ISNUMBER(AC70:AN70)*1)=0)</f>
        <v>1</v>
      </c>
      <c r="AP70" s="59"/>
      <c r="AQ70" s="111">
        <f>IF(AB70="",99999999999,IFERROR(MATCH(AB70,{"Produção Parcial","Em Produção","Programado","Não Iniciado","Desenvolv.","Concluído"},0),7)*100000000+IF(ISNUMBER(J70),J70-46000,9999)*10000+IF(A70="",99,A70)*100+IF(C70="",99,CODE(LEFT(C70,1))))</f>
        <v>499990066</v>
      </c>
    </row>
    <row r="71" spans="1:43" s="36" customFormat="1" ht="25.15" hidden="1" customHeight="1" x14ac:dyDescent="0.25">
      <c r="A71" s="36">
        <v>0</v>
      </c>
      <c r="B71" s="38" t="s">
        <v>227</v>
      </c>
      <c r="C71" s="24" t="str">
        <f>INDEX([1]Produtos!$G:$G,MATCH($D71,[1]Produtos!$B:$B,0))</f>
        <v>DAPOP</v>
      </c>
      <c r="D71" s="24" t="s">
        <v>244</v>
      </c>
      <c r="E71" s="70" t="str">
        <f>INDEX([1]Produtos!$C:$C,MATCH($D71,[1]Produtos!$B:$B,0))&amp;IF($F71&lt;&gt;"-"," - "&amp;LEFT($F71,1),"")&amp;" &gt; "&amp;$B71</f>
        <v>HIDRATANTE GLOW PAIXÃO IRRESISTÍVEL - 1 &gt; DAPOP - Pedido 360 mil</v>
      </c>
      <c r="F71" s="51">
        <v>1</v>
      </c>
      <c r="G71" s="38">
        <v>45828</v>
      </c>
      <c r="H71" s="39">
        <f>20000-5566</f>
        <v>14434</v>
      </c>
      <c r="I71" s="24" t="s">
        <v>39</v>
      </c>
      <c r="J71" s="68" t="str" cm="1">
        <f t="array" ref="J71">IFERROR(INDEX('[2]Previsão Envase'!$D$5:$D$4867, MATCH(1,('[2]Previsão Envase'!$F$5:$F$4867=$E71)+('[2]Previsão Envase'!$G$5:$G$4867=$E71)+('[2]Previsão Envase'!$H$5:$H$4867=$E71),0)),"")</f>
        <v/>
      </c>
      <c r="K71" s="68" t="str">
        <f>IF(COUNTIF('[2]Previsão Envase'!$F:$F,E71)&gt;0,"Linha 1",
IF(COUNTIF('[2]Previsão Envase'!$G:$G,E71)&gt;0,"Linha 2",
IF(COUNTIF('[2]Previsão Envase'!$H:$H,E71)&gt;0,"Linha 3","")))</f>
        <v/>
      </c>
      <c r="L71" s="96">
        <f>COUNTIF('[2]Previsão Envase'!$F:$H,E71)-COUNTIF('[2]Previsão Envase'!$F$1:$H$4,E71)</f>
        <v>0</v>
      </c>
      <c r="M71" s="35">
        <f t="shared" si="25"/>
        <v>0</v>
      </c>
      <c r="N71" s="68" t="str">
        <f>IFERROR(MAX(_xlfn.MAXIFS('[2]Controle de Produção'!$C:$C,'[2]Controle de Produção'!$L:$L,$D71,'[2]Controle de Produção'!$P:$P,$C71,'[2]Controle de Produção'!$G:$G,$B71),_xlfn.MAXIFS([3]EXPEDIÇÃO!$N:$N,[3]EXPEDIÇÃO!$E:$E,$D71,[3]EXPEDIÇÃO!$D:$D,$C71,[3]EXPEDIÇÃO!$N:$N,"&gt;="&amp;$G71)),"")</f>
        <v/>
      </c>
      <c r="O71" s="70">
        <f>INDEX([1]Produtos!$E:$E,MATCH($D71,[1]Produtos!$B:$B,0))</f>
        <v>120</v>
      </c>
      <c r="P71" s="70" t="str">
        <f>INDEX([1]Produtos!$F:$F,MATCH($D71,[1]Produtos!$B:$B,0))</f>
        <v>ml</v>
      </c>
      <c r="Q71" s="105">
        <f>INDEX([1]Produtos!$Y:$Y,MATCH($D71,[1]Produtos!$B:$B,0))</f>
        <v>0</v>
      </c>
      <c r="R71" s="35">
        <f t="shared" si="26"/>
        <v>5520.5897431648482</v>
      </c>
      <c r="S71" s="27">
        <f>IFERROR(INDEX([1]Produtos!$L:$L,MATCH(D71,[1]Produtos!$B:$B,0)), "")</f>
        <v>613.39886035164977</v>
      </c>
      <c r="T71" s="28">
        <f t="shared" si="27"/>
        <v>23.6</v>
      </c>
      <c r="U71" s="28" t="str">
        <f t="shared" si="28"/>
        <v>2D e 6h</v>
      </c>
      <c r="V71" s="27">
        <f>IFERROR(SUMIFS('[2]Controle de Produção'!$K:$K,'[2]Controle de Produção'!$L:$L,D71,'[2]Controle de Produção'!$P:$P,C71,'[2]Controle de Produção'!$B:$B,"&gt;=" &amp; G71,'[2]Controle de Produção'!$C:$C,"&lt;=" &amp; N71, '[2]Controle de Produção'!$G:$G,B71), "")</f>
        <v>0</v>
      </c>
      <c r="W71" s="27" t="str">
        <f>IFERROR(SUMIFS([3]EXPEDIÇÃO!$K:$K,[3]EXPEDIÇÃO!$E:$E,D71,[3]EXPEDIÇÃO!$D:$D,C71,[3]EXPEDIÇÃO!$N:$N,"&gt;=" &amp; G71,[3]EXPEDIÇÃO!$N:$N,"&lt;="&amp;N71), "")</f>
        <v/>
      </c>
      <c r="X71" s="27">
        <f>COUNTIFS('[2]Controle de Produção'!$P:$P,C71,'[2]Controle de Produção'!$L:$L,D71,'[2]Controle de Produção'!$B:$B,"&gt;=" &amp; G71)</f>
        <v>5</v>
      </c>
      <c r="Y71" s="27">
        <f t="shared" si="29"/>
        <v>0</v>
      </c>
      <c r="Z71" s="27">
        <f>IFERROR(COUNTIFS('[2]Controle de Produção'!$L:$L,D71,'[2]Controle de Produção'!$P:$P,C71,'[2]Controle de Produção'!$B:$B,"&gt;=" &amp; G71,'[2]Controle de Produção'!$C:$C,"&lt;=" &amp; N71, '[2]Controle de Produção'!$G:$G,B71), "")</f>
        <v>0</v>
      </c>
      <c r="AA71" s="108" t="str">
        <f t="shared" si="30"/>
        <v/>
      </c>
      <c r="AB71" s="41" t="str" cm="1">
        <f t="array" ref="AB71">_xlfn.IFS((H71*0.95)&lt;=V71,"Concluído",AND(V71 =0, J71&lt;&gt;""),"Programado",AND(V71=0,D71=""),"Desenvolv.",V71=0,"Não Iniciado",AND(V71&gt;0,V71&lt;H71,AO71=TRUE),"Em Produção",AND(V71&gt;0,V71&lt;H71,AO71=FALSE),"Produção Parcial")</f>
        <v>Não Iniciado</v>
      </c>
      <c r="AC71" s="42" t="b">
        <v>1</v>
      </c>
      <c r="AD71" s="42" t="b">
        <v>1</v>
      </c>
      <c r="AE71" s="42" t="b">
        <v>1</v>
      </c>
      <c r="AF71" s="42" t="b">
        <v>1</v>
      </c>
      <c r="AG71" s="42" t="s">
        <v>38</v>
      </c>
      <c r="AH71" s="42" t="s">
        <v>38</v>
      </c>
      <c r="AI71" s="42" t="b">
        <v>1</v>
      </c>
      <c r="AJ71" s="42" t="b">
        <v>1</v>
      </c>
      <c r="AK71" s="42" t="b">
        <v>0</v>
      </c>
      <c r="AL71" s="42" t="b">
        <v>1</v>
      </c>
      <c r="AM71" s="42" t="b">
        <v>1</v>
      </c>
      <c r="AN71" s="87">
        <f>7/7</f>
        <v>1</v>
      </c>
      <c r="AO71" s="45" t="b" cm="1">
        <f t="array" ref="AO71">AND(COUNTIF(AC71:AN71,FALSE)=0,SUMPRODUCT(ISNUMBER(AC71:AN71)*1)=0)</f>
        <v>0</v>
      </c>
      <c r="AP71" s="59"/>
      <c r="AQ71" s="111">
        <f>IF(AB71="",99999999999,IFERROR(MATCH(AB71,{"Produção Parcial","Em Produção","Programado","Não Iniciado","Desenvolv.","Concluído"},0),7)*100000000+IF(ISNUMBER(J71),J71-46000,9999)*10000+IF(A71="",99,A71)*100+IF(C71="",99,CODE(LEFT(C71,1))))</f>
        <v>499990068</v>
      </c>
    </row>
    <row r="72" spans="1:43" s="36" customFormat="1" ht="25.15" hidden="1" customHeight="1" x14ac:dyDescent="0.25">
      <c r="A72" s="36">
        <v>0</v>
      </c>
      <c r="B72" s="38" t="s">
        <v>227</v>
      </c>
      <c r="C72" s="24" t="str">
        <f>INDEX([1]Produtos!$G:$G,MATCH($D72,[1]Produtos!$B:$B,0))</f>
        <v>DAPOP</v>
      </c>
      <c r="D72" s="24" t="s">
        <v>243</v>
      </c>
      <c r="E72" s="70" t="str">
        <f>INDEX([1]Produtos!$C:$C,MATCH($D72,[1]Produtos!$B:$B,0))&amp;IF($F72&lt;&gt;"-"," - "&amp;LEFT($F72,1),"")&amp;" &gt; "&amp;$B72</f>
        <v>HIDRATANTE GLOW TAÇA DE CHAMPAGNE - 1 &gt; DAPOP - Pedido 360 mil</v>
      </c>
      <c r="F72" s="51">
        <v>1</v>
      </c>
      <c r="G72" s="38">
        <v>45828</v>
      </c>
      <c r="H72" s="39">
        <v>20000</v>
      </c>
      <c r="I72" s="24" t="s">
        <v>39</v>
      </c>
      <c r="J72" s="68" t="str" cm="1">
        <f t="array" ref="J72">IFERROR(INDEX('[2]Previsão Envase'!$D$5:$D$4867, MATCH(1,('[2]Previsão Envase'!$F$5:$F$4867=$E72)+('[2]Previsão Envase'!$G$5:$G$4867=$E72)+('[2]Previsão Envase'!$H$5:$H$4867=$E72),0)),"")</f>
        <v/>
      </c>
      <c r="K72" s="68" t="str">
        <f>IF(COUNTIF('[2]Previsão Envase'!$F:$F,E72)&gt;0,"Linha 1",
IF(COUNTIF('[2]Previsão Envase'!$G:$G,E72)&gt;0,"Linha 2",
IF(COUNTIF('[2]Previsão Envase'!$H:$H,E72)&gt;0,"Linha 3","")))</f>
        <v/>
      </c>
      <c r="L72" s="96">
        <f>COUNTIF('[2]Previsão Envase'!$F:$H,E72)-COUNTIF('[2]Previsão Envase'!$F$1:$H$4,E72)</f>
        <v>0</v>
      </c>
      <c r="M72" s="35">
        <f t="shared" si="25"/>
        <v>0</v>
      </c>
      <c r="N72" s="68" t="str">
        <f>IFERROR(MAX(_xlfn.MAXIFS('[2]Controle de Produção'!$C:$C,'[2]Controle de Produção'!$L:$L,$D72,'[2]Controle de Produção'!$P:$P,$C72,'[2]Controle de Produção'!$G:$G,$B72),_xlfn.MAXIFS([3]EXPEDIÇÃO!$N:$N,[3]EXPEDIÇÃO!$E:$E,$D72,[3]EXPEDIÇÃO!$D:$D,$C72,[3]EXPEDIÇÃO!$N:$N,"&gt;="&amp;$G72)),"")</f>
        <v/>
      </c>
      <c r="O72" s="70">
        <f>INDEX([1]Produtos!$E:$E,MATCH($D72,[1]Produtos!$B:$B,0))</f>
        <v>120</v>
      </c>
      <c r="P72" s="70" t="str">
        <f>INDEX([1]Produtos!$F:$F,MATCH($D72,[1]Produtos!$B:$B,0))</f>
        <v>ml</v>
      </c>
      <c r="Q72" s="105">
        <f>INDEX([1]Produtos!$Y:$Y,MATCH($D72,[1]Produtos!$B:$B,0))</f>
        <v>0</v>
      </c>
      <c r="R72" s="35">
        <f t="shared" si="26"/>
        <v>5520.5897431648482</v>
      </c>
      <c r="S72" s="27">
        <f>IFERROR(INDEX([1]Produtos!$L:$L,MATCH(D72,[1]Produtos!$B:$B,0)), "")</f>
        <v>613.39886035164977</v>
      </c>
      <c r="T72" s="28">
        <f t="shared" si="27"/>
        <v>32.700000000000003</v>
      </c>
      <c r="U72" s="28" t="str">
        <f t="shared" si="28"/>
        <v>3D e 7h</v>
      </c>
      <c r="V72" s="27">
        <f>IFERROR(SUMIFS('[2]Controle de Produção'!$K:$K,'[2]Controle de Produção'!$L:$L,D72,'[2]Controle de Produção'!$P:$P,C72,'[2]Controle de Produção'!$B:$B,"&gt;=" &amp; G72,'[2]Controle de Produção'!$C:$C,"&lt;=" &amp; N72, '[2]Controle de Produção'!$G:$G,B72), "")</f>
        <v>0</v>
      </c>
      <c r="W72" s="27" t="str">
        <f>IFERROR(SUMIFS([3]EXPEDIÇÃO!$K:$K,[3]EXPEDIÇÃO!$E:$E,D72,[3]EXPEDIÇÃO!$D:$D,C72,[3]EXPEDIÇÃO!$N:$N,"&gt;=" &amp; G72,[3]EXPEDIÇÃO!$N:$N,"&lt;="&amp;N72), "")</f>
        <v/>
      </c>
      <c r="X72" s="27">
        <f>COUNTIFS('[2]Controle de Produção'!$P:$P,C72,'[2]Controle de Produção'!$L:$L,D72,'[2]Controle de Produção'!$B:$B,"&gt;=" &amp; G72)</f>
        <v>5</v>
      </c>
      <c r="Y72" s="27">
        <f t="shared" si="29"/>
        <v>0</v>
      </c>
      <c r="Z72" s="27">
        <f>IFERROR(COUNTIFS('[2]Controle de Produção'!$L:$L,D72,'[2]Controle de Produção'!$P:$P,C72,'[2]Controle de Produção'!$B:$B,"&gt;=" &amp; G72,'[2]Controle de Produção'!$C:$C,"&lt;=" &amp; N72, '[2]Controle de Produção'!$G:$G,B72), "")</f>
        <v>0</v>
      </c>
      <c r="AA72" s="108" t="str">
        <f t="shared" si="30"/>
        <v/>
      </c>
      <c r="AB72" s="41" t="str" cm="1">
        <f t="array" ref="AB72">_xlfn.IFS((H72*0.95)&lt;=V72,"Concluído",AND(V72 =0, J72&lt;&gt;""),"Programado",AND(V72=0,D72=""),"Desenvolv.",V72=0,"Não Iniciado",AND(V72&gt;0,V72&lt;H72,AO72=TRUE),"Em Produção",AND(V72&gt;0,V72&lt;H72,AO72=FALSE),"Produção Parcial")</f>
        <v>Não Iniciado</v>
      </c>
      <c r="AC72" s="42" t="b">
        <v>1</v>
      </c>
      <c r="AD72" s="42" t="b">
        <v>1</v>
      </c>
      <c r="AE72" s="42" t="b">
        <v>1</v>
      </c>
      <c r="AF72" s="42" t="b">
        <v>1</v>
      </c>
      <c r="AG72" s="42" t="s">
        <v>38</v>
      </c>
      <c r="AH72" s="42" t="s">
        <v>38</v>
      </c>
      <c r="AI72" s="42" t="b">
        <v>1</v>
      </c>
      <c r="AJ72" s="42" t="b">
        <v>1</v>
      </c>
      <c r="AK72" s="42" t="b">
        <v>0</v>
      </c>
      <c r="AL72" s="42" t="b">
        <v>1</v>
      </c>
      <c r="AM72" s="42" t="b">
        <v>1</v>
      </c>
      <c r="AN72" s="87">
        <f>7/7</f>
        <v>1</v>
      </c>
      <c r="AO72" s="45" t="b" cm="1">
        <f t="array" ref="AO72">AND(COUNTIF(AC72:AN72,FALSE)=0,SUMPRODUCT(ISNUMBER(AC72:AN72)*1)=0)</f>
        <v>0</v>
      </c>
      <c r="AP72" s="59"/>
      <c r="AQ72" s="111">
        <f>IF(AB72="",99999999999,IFERROR(MATCH(AB72,{"Produção Parcial","Em Produção","Programado","Não Iniciado","Desenvolv.","Concluído"},0),7)*100000000+IF(ISNUMBER(J72),J72-46000,9999)*10000+IF(A72="",99,A72)*100+IF(C72="",99,CODE(LEFT(C72,1))))</f>
        <v>499990068</v>
      </c>
    </row>
    <row r="73" spans="1:43" s="36" customFormat="1" ht="25.15" hidden="1" customHeight="1" x14ac:dyDescent="0.25">
      <c r="A73" s="36">
        <v>0</v>
      </c>
      <c r="B73" s="38" t="s">
        <v>227</v>
      </c>
      <c r="C73" s="24" t="s">
        <v>228</v>
      </c>
      <c r="D73" s="24" t="s">
        <v>229</v>
      </c>
      <c r="E73" s="70" t="str">
        <f>INDEX([1]Produtos!$C:$C,MATCH($D73,[1]Produtos!$B:$B,0))&amp;IF($F73&lt;&gt;"-"," - "&amp;LEFT($F73,1),"")&amp;" &gt; "&amp;$B73</f>
        <v>HIDRATANTE MATTE OITAVA MARAVILHA &gt; DAPOP - Pedido 360 mil</v>
      </c>
      <c r="F73" s="51" t="s">
        <v>38</v>
      </c>
      <c r="G73" s="38">
        <v>45828</v>
      </c>
      <c r="H73" s="39">
        <v>20000</v>
      </c>
      <c r="I73" s="24" t="s">
        <v>39</v>
      </c>
      <c r="J73" s="68" t="str" cm="1">
        <f t="array" ref="J73">IFERROR(INDEX('[2]Previsão Envase'!$D$5:$D$4867, MATCH(1,('[2]Previsão Envase'!$F$5:$F$4867=$E73)+('[2]Previsão Envase'!$G$5:$G$4867=$E73)+('[2]Previsão Envase'!$H$5:$H$4867=$E73),0)),"")</f>
        <v/>
      </c>
      <c r="K73" s="68" t="str">
        <f>IF(COUNTIF('[2]Previsão Envase'!$F:$F,E73)&gt;0,"Linha 1",
IF(COUNTIF('[2]Previsão Envase'!$G:$G,E73)&gt;0,"Linha 2",
IF(COUNTIF('[2]Previsão Envase'!$H:$H,E73)&gt;0,"Linha 3","")))</f>
        <v/>
      </c>
      <c r="L73" s="96">
        <f>COUNTIF('[2]Previsão Envase'!$F:$H,E73)-COUNTIF('[2]Previsão Envase'!$F$1:$H$4,E73)</f>
        <v>0</v>
      </c>
      <c r="M73" s="35">
        <f t="shared" si="25"/>
        <v>0</v>
      </c>
      <c r="N73" s="68" t="str">
        <f>IFERROR(MAX(_xlfn.MAXIFS('[2]Controle de Produção'!$C:$C,'[2]Controle de Produção'!$L:$L,$D73,'[2]Controle de Produção'!$P:$P,$C73,'[2]Controle de Produção'!$G:$G,$B73),_xlfn.MAXIFS([3]EXPEDIÇÃO!$N:$N,[3]EXPEDIÇÃO!$E:$E,$D73,[3]EXPEDIÇÃO!$D:$D,$C73,[3]EXPEDIÇÃO!$N:$N,"&gt;="&amp;$G73)),"")</f>
        <v/>
      </c>
      <c r="O73" s="70">
        <f>INDEX([1]Produtos!$E:$E,MATCH($D73,[1]Produtos!$B:$B,0))</f>
        <v>120</v>
      </c>
      <c r="P73" s="70" t="str">
        <f>INDEX([1]Produtos!$F:$F,MATCH($D73,[1]Produtos!$B:$B,0))</f>
        <v>ml</v>
      </c>
      <c r="Q73" s="105">
        <f>INDEX([1]Produtos!$Y:$Y,MATCH($D73,[1]Produtos!$B:$B,0))</f>
        <v>0</v>
      </c>
      <c r="R73" s="35">
        <f t="shared" si="26"/>
        <v>5520.5897431648482</v>
      </c>
      <c r="S73" s="27">
        <f>IFERROR(INDEX([1]Produtos!$L:$L,MATCH(D73,[1]Produtos!$B:$B,0)), "")</f>
        <v>613.39886035164977</v>
      </c>
      <c r="T73" s="28">
        <f t="shared" si="27"/>
        <v>32.700000000000003</v>
      </c>
      <c r="U73" s="28" t="str">
        <f t="shared" si="28"/>
        <v>3D e 7h</v>
      </c>
      <c r="V73" s="27">
        <f>IFERROR(SUMIFS('[2]Controle de Produção'!$K:$K,'[2]Controle de Produção'!$L:$L,D73,'[2]Controle de Produção'!$P:$P,C73,'[2]Controle de Produção'!$B:$B,"&gt;=" &amp; G73,'[2]Controle de Produção'!$C:$C,"&lt;=" &amp; N73, '[2]Controle de Produção'!$G:$G,B73), "")</f>
        <v>0</v>
      </c>
      <c r="W73" s="27" t="str">
        <f>IFERROR(SUMIFS([3]EXPEDIÇÃO!$K:$K,[3]EXPEDIÇÃO!$E:$E,D73,[3]EXPEDIÇÃO!$D:$D,C73,[3]EXPEDIÇÃO!$N:$N,"&gt;=" &amp; G73,[3]EXPEDIÇÃO!$N:$N,"&lt;="&amp;N73), "")</f>
        <v/>
      </c>
      <c r="X73" s="27">
        <f>COUNTIFS('[2]Controle de Produção'!$P:$P,C73,'[2]Controle de Produção'!$L:$L,D73,'[2]Controle de Produção'!$B:$B,"&gt;=" &amp; G73)</f>
        <v>5</v>
      </c>
      <c r="Y73" s="27">
        <f t="shared" si="29"/>
        <v>0</v>
      </c>
      <c r="Z73" s="27">
        <f>IFERROR(COUNTIFS('[2]Controle de Produção'!$L:$L,D73,'[2]Controle de Produção'!$P:$P,C73,'[2]Controle de Produção'!$B:$B,"&gt;=" &amp; G73,'[2]Controle de Produção'!$C:$C,"&lt;=" &amp; N73, '[2]Controle de Produção'!$G:$G,B73), "")</f>
        <v>0</v>
      </c>
      <c r="AA73" s="108" t="str">
        <f t="shared" si="30"/>
        <v/>
      </c>
      <c r="AB73" s="41" t="str" cm="1">
        <f t="array" ref="AB73">_xlfn.IFS((H73*0.95)&lt;=V73,"Concluído",AND(V73 =0, J73&lt;&gt;""),"Programado",AND(V73=0,D73=""),"Desenvolv.",V73=0,"Não Iniciado",AND(V73&gt;0,V73&lt;H73,AO73=TRUE),"Em Produção",AND(V73&gt;0,V73&lt;H73,AO73=FALSE),"Produção Parcial")</f>
        <v>Não Iniciado</v>
      </c>
      <c r="AC73" s="42" t="b">
        <v>1</v>
      </c>
      <c r="AD73" s="42" t="b">
        <v>1</v>
      </c>
      <c r="AE73" s="42" t="b">
        <v>1</v>
      </c>
      <c r="AF73" s="42" t="b">
        <v>1</v>
      </c>
      <c r="AG73" s="42" t="s">
        <v>38</v>
      </c>
      <c r="AH73" s="42" t="s">
        <v>38</v>
      </c>
      <c r="AI73" s="42" t="b">
        <v>1</v>
      </c>
      <c r="AJ73" s="42" t="b">
        <v>1</v>
      </c>
      <c r="AK73" s="42" t="b">
        <v>0</v>
      </c>
      <c r="AL73" s="42" t="b">
        <v>1</v>
      </c>
      <c r="AM73" s="42" t="b">
        <v>1</v>
      </c>
      <c r="AN73" s="87">
        <f>7/7</f>
        <v>1</v>
      </c>
      <c r="AO73" s="45" t="b" cm="1">
        <f t="array" ref="AO73">AND(COUNTIF(AC73:AN73,FALSE)=0,SUMPRODUCT(ISNUMBER(AC73:AN73)*1)=0)</f>
        <v>0</v>
      </c>
      <c r="AP73" s="59"/>
      <c r="AQ73" s="111">
        <f>IF(AB73="",99999999999,IFERROR(MATCH(AB73,{"Produção Parcial","Em Produção","Programado","Não Iniciado","Desenvolv.","Concluído"},0),7)*100000000+IF(ISNUMBER(J73),J73-46000,9999)*10000+IF(A73="",99,A73)*100+IF(C73="",99,CODE(LEFT(C73,1))))</f>
        <v>499990068</v>
      </c>
    </row>
    <row r="74" spans="1:43" s="36" customFormat="1" ht="25.15" hidden="1" customHeight="1" x14ac:dyDescent="0.25">
      <c r="A74" s="36">
        <v>0</v>
      </c>
      <c r="B74" s="38" t="s">
        <v>217</v>
      </c>
      <c r="C74" s="24" t="str">
        <f>INDEX([1]Produtos!$G:$G,MATCH($D74,[1]Produtos!$B:$B,0))</f>
        <v>GLOW MAKE UP</v>
      </c>
      <c r="D74" s="24" t="s">
        <v>102</v>
      </c>
      <c r="E74" s="70" t="str">
        <f>INDEX([1]Produtos!$C:$C,MATCH($D74,[1]Produtos!$B:$B,0))&amp;IF($F74&lt;&gt;"-"," - "&amp;LEFT($F74,1),"")&amp;" &gt; "&amp;$B74</f>
        <v>ÁGUA MICELAR ROSA MOSQUETA - 1 &gt; GLOW - Água Micelar</v>
      </c>
      <c r="F74" s="51" t="s">
        <v>94</v>
      </c>
      <c r="G74" s="38">
        <v>45824</v>
      </c>
      <c r="H74" s="39">
        <v>5000</v>
      </c>
      <c r="I74" s="24" t="s">
        <v>39</v>
      </c>
      <c r="J74" s="68" t="str" cm="1">
        <f t="array" ref="J74">IFERROR(INDEX('[2]Previsão Envase'!$D$5:$D$4867, MATCH(1,('[2]Previsão Envase'!$F$5:$F$4867=$E74)+('[2]Previsão Envase'!$G$5:$G$4867=$E74)+('[2]Previsão Envase'!$H$5:$H$4867=$E74),0)),"")</f>
        <v/>
      </c>
      <c r="K74" s="68" t="str">
        <f>IF(COUNTIF('[2]Previsão Envase'!$F:$F,E74)&gt;0,"Linha 1",
IF(COUNTIF('[2]Previsão Envase'!$G:$G,E74)&gt;0,"Linha 2",
IF(COUNTIF('[2]Previsão Envase'!$H:$H,E74)&gt;0,"Linha 3","")))</f>
        <v/>
      </c>
      <c r="L74" s="96">
        <f>COUNTIF('[2]Previsão Envase'!$F:$H,E74)-COUNTIF('[2]Previsão Envase'!$F$1:$H$4,E74)</f>
        <v>0</v>
      </c>
      <c r="M74" s="35">
        <f t="shared" si="25"/>
        <v>0</v>
      </c>
      <c r="N74" s="68" t="str">
        <f>IFERROR(MAX(_xlfn.MAXIFS('[2]Controle de Produção'!$C:$C,'[2]Controle de Produção'!$L:$L,$D74,'[2]Controle de Produção'!$P:$P,$C74,'[2]Controle de Produção'!$G:$G,$B74),_xlfn.MAXIFS([3]EXPEDIÇÃO!$N:$N,[3]EXPEDIÇÃO!$E:$E,$D74,[3]EXPEDIÇÃO!$D:$D,$C74,[3]EXPEDIÇÃO!$N:$N,"&gt;="&amp;$G74)),"")</f>
        <v/>
      </c>
      <c r="O74" s="70">
        <f>INDEX([1]Produtos!$E:$E,MATCH($D74,[1]Produtos!$B:$B,0))</f>
        <v>325</v>
      </c>
      <c r="P74" s="70" t="str">
        <f>INDEX([1]Produtos!$F:$F,MATCH($D74,[1]Produtos!$B:$B,0))</f>
        <v>ml</v>
      </c>
      <c r="Q74" s="105">
        <f>INDEX([1]Produtos!$Y:$Y,MATCH($D74,[1]Produtos!$B:$B,0))</f>
        <v>0</v>
      </c>
      <c r="R74" s="35">
        <f t="shared" si="26"/>
        <v>7288.9063376861359</v>
      </c>
      <c r="S74" s="27">
        <f>IFERROR(INDEX([1]Produtos!$L:$L,MATCH(D74,[1]Produtos!$B:$B,0)), "")</f>
        <v>809.87848196512618</v>
      </c>
      <c r="T74" s="28">
        <f t="shared" si="27"/>
        <v>6.1999999999999993</v>
      </c>
      <c r="U74" s="28" t="str">
        <f t="shared" si="28"/>
        <v>0D e 7h</v>
      </c>
      <c r="V74" s="27">
        <f>IFERROR(SUMIFS('[2]Controle de Produção'!$K:$K,'[2]Controle de Produção'!$L:$L,D74,'[2]Controle de Produção'!$P:$P,C74,'[2]Controle de Produção'!$B:$B,"&gt;=" &amp; G74,'[2]Controle de Produção'!$C:$C,"&lt;=" &amp; N74, '[2]Controle de Produção'!$G:$G,B74), "")</f>
        <v>0</v>
      </c>
      <c r="W74" s="27" t="str">
        <f>IFERROR(SUMIFS([3]EXPEDIÇÃO!$K:$K,[3]EXPEDIÇÃO!$E:$E,D74,[3]EXPEDIÇÃO!$D:$D,C74,[3]EXPEDIÇÃO!$N:$N,"&gt;=" &amp; G74,[3]EXPEDIÇÃO!$N:$N,"&lt;="&amp;N74), "")</f>
        <v/>
      </c>
      <c r="X74" s="27">
        <f>COUNTIFS('[2]Controle de Produção'!$P:$P,C74,'[2]Controle de Produção'!$L:$L,D74,'[2]Controle de Produção'!$B:$B,"&gt;=" &amp; G74)</f>
        <v>23</v>
      </c>
      <c r="Y74" s="27">
        <f t="shared" si="29"/>
        <v>0</v>
      </c>
      <c r="Z74" s="27">
        <f>IFERROR(COUNTIFS('[2]Controle de Produção'!$L:$L,D74,'[2]Controle de Produção'!$P:$P,C74,'[2]Controle de Produção'!$B:$B,"&gt;=" &amp; G74,'[2]Controle de Produção'!$C:$C,"&lt;=" &amp; N74, '[2]Controle de Produção'!$G:$G,B74), "")</f>
        <v>0</v>
      </c>
      <c r="AA74" s="108" t="str">
        <f t="shared" si="30"/>
        <v/>
      </c>
      <c r="AB74" s="41" t="str" cm="1">
        <f t="array" ref="AB74">_xlfn.IFS((H74*0.95)&lt;=V74,"Concluído",AND(V74 =0, J74&lt;&gt;""),"Programado",AND(V74=0,D74=""),"Desenvolv.",V74=0,"Não Iniciado",AND(V74&gt;0,V74&lt;H74,AO74=TRUE),"Em Produção",AND(V74&gt;0,V74&lt;H74,AO74=FALSE),"Produção Parcial")</f>
        <v>Não Iniciado</v>
      </c>
      <c r="AC74" s="42" t="b">
        <v>1</v>
      </c>
      <c r="AD74" s="42" t="b">
        <v>1</v>
      </c>
      <c r="AE74" s="42" t="s">
        <v>38</v>
      </c>
      <c r="AF74" s="42" t="b">
        <v>1</v>
      </c>
      <c r="AG74" s="42" t="b">
        <v>1</v>
      </c>
      <c r="AH74" s="42" t="s">
        <v>38</v>
      </c>
      <c r="AI74" s="42" t="s">
        <v>38</v>
      </c>
      <c r="AJ74" s="42" t="s">
        <v>38</v>
      </c>
      <c r="AK74" s="42" t="b">
        <v>0</v>
      </c>
      <c r="AL74" s="42" t="b">
        <v>1</v>
      </c>
      <c r="AM74" s="69" t="b">
        <v>1</v>
      </c>
      <c r="AN74" s="42" t="b">
        <v>1</v>
      </c>
      <c r="AO74" s="45" t="b" cm="1">
        <f t="array" ref="AO74">AND(COUNTIF(AC74:AN74,FALSE)=0,SUMPRODUCT(ISNUMBER(AC74:AN74)*1)=0)</f>
        <v>0</v>
      </c>
      <c r="AP74" s="59"/>
      <c r="AQ74" s="111">
        <f>IF(AB74="",99999999999,IFERROR(MATCH(AB74,{"Produção Parcial","Em Produção","Programado","Não Iniciado","Desenvolv.","Concluído"},0),7)*100000000+IF(ISNUMBER(J74),J74-46000,9999)*10000+IF(A74="",99,A74)*100+IF(C74="",99,CODE(LEFT(C74,1))))</f>
        <v>499990071</v>
      </c>
    </row>
    <row r="75" spans="1:43" s="36" customFormat="1" ht="25.15" hidden="1" customHeight="1" x14ac:dyDescent="0.25">
      <c r="A75" s="36">
        <v>0</v>
      </c>
      <c r="B75" s="38" t="s">
        <v>217</v>
      </c>
      <c r="C75" s="70" t="str">
        <f>INDEX([1]Produtos!$G:$G,MATCH($D75,[1]Produtos!$B:$B,0))</f>
        <v>GLOW MAKE UP</v>
      </c>
      <c r="D75" s="24" t="s">
        <v>220</v>
      </c>
      <c r="E75" s="70" t="str">
        <f>INDEX([1]Produtos!$C:$C,MATCH($D75,[1]Produtos!$B:$B,0))&amp;IF($F75&lt;&gt;"-"," - "&amp;LEFT($F75,1),"")&amp;" &gt; "&amp;$B75</f>
        <v>ÁGUA MICELAR 3 EM 1 - 2 &gt; GLOW - Água Micelar</v>
      </c>
      <c r="F75" s="51" t="s">
        <v>141</v>
      </c>
      <c r="G75" s="38">
        <v>45870</v>
      </c>
      <c r="H75" s="39">
        <v>15000</v>
      </c>
      <c r="I75" s="24" t="s">
        <v>39</v>
      </c>
      <c r="J75" s="68" t="str" cm="1">
        <f t="array" ref="J75">IFERROR(INDEX('[2]Previsão Envase'!$D$5:$D$4867, MATCH(1,('[2]Previsão Envase'!$F$5:$F$4867=$E75)+('[2]Previsão Envase'!$G$5:$G$4867=$E75)+('[2]Previsão Envase'!$H$5:$H$4867=$E75),0)),"")</f>
        <v/>
      </c>
      <c r="K75" s="68" t="str">
        <f>IF(COUNTIF('[2]Previsão Envase'!$F:$F,E75)&gt;0,"Linha 1",
IF(COUNTIF('[2]Previsão Envase'!$G:$G,E75)&gt;0,"Linha 2",
IF(COUNTIF('[2]Previsão Envase'!$H:$H,E75)&gt;0,"Linha 3","")))</f>
        <v/>
      </c>
      <c r="L75" s="96">
        <f>COUNTIF('[2]Previsão Envase'!$F:$H,E75)-COUNTIF('[2]Previsão Envase'!$F$1:$H$4,E75)</f>
        <v>0</v>
      </c>
      <c r="M75" s="35">
        <f t="shared" si="25"/>
        <v>0</v>
      </c>
      <c r="N75" s="68" t="str">
        <f>IFERROR(MAX(_xlfn.MAXIFS('[2]Controle de Produção'!$C:$C,'[2]Controle de Produção'!$L:$L,$D75,'[2]Controle de Produção'!$P:$P,$C75,'[2]Controle de Produção'!$G:$G,$B75),_xlfn.MAXIFS([3]EXPEDIÇÃO!$N:$N,[3]EXPEDIÇÃO!$E:$E,$D75,[3]EXPEDIÇÃO!$D:$D,$C75,[3]EXPEDIÇÃO!$N:$N,"&gt;="&amp;$G75)),"")</f>
        <v/>
      </c>
      <c r="O75" s="70">
        <f>INDEX([1]Produtos!$E:$E,MATCH($D75,[1]Produtos!$B:$B,0))</f>
        <v>325</v>
      </c>
      <c r="P75" s="70" t="str">
        <f>INDEX([1]Produtos!$F:$F,MATCH($D75,[1]Produtos!$B:$B,0))</f>
        <v>ml</v>
      </c>
      <c r="Q75" s="105">
        <f>INDEX([1]Produtos!$Y:$Y,MATCH($D75,[1]Produtos!$B:$B,0))</f>
        <v>0</v>
      </c>
      <c r="R75" s="35">
        <f t="shared" si="26"/>
        <v>7288.9063376861359</v>
      </c>
      <c r="S75" s="27">
        <f>IFERROR(INDEX([1]Produtos!$L:$L,MATCH(D75,[1]Produtos!$B:$B,0)), "")</f>
        <v>809.87848196512618</v>
      </c>
      <c r="T75" s="28">
        <f t="shared" si="27"/>
        <v>18.600000000000001</v>
      </c>
      <c r="U75" s="28" t="str">
        <f t="shared" si="28"/>
        <v>2D e 1h</v>
      </c>
      <c r="V75" s="27">
        <f>IFERROR(SUMIFS('[2]Controle de Produção'!$K:$K,'[2]Controle de Produção'!$L:$L,D75,'[2]Controle de Produção'!$P:$P,C75,'[2]Controle de Produção'!$B:$B,"&gt;=" &amp; G75,'[2]Controle de Produção'!$C:$C,"&lt;=" &amp; N75, '[2]Controle de Produção'!$G:$G,B75), "")</f>
        <v>0</v>
      </c>
      <c r="W75" s="27" t="str">
        <f>IFERROR(SUMIFS([3]EXPEDIÇÃO!$K:$K,[3]EXPEDIÇÃO!$E:$E,D75,[3]EXPEDIÇÃO!$D:$D,C75,[3]EXPEDIÇÃO!$N:$N,"&gt;=" &amp; G75,[3]EXPEDIÇÃO!$N:$N,"&lt;="&amp;N75), "")</f>
        <v/>
      </c>
      <c r="X75" s="27">
        <f>COUNTIFS('[2]Controle de Produção'!$P:$P,C75,'[2]Controle de Produção'!$L:$L,D75,'[2]Controle de Produção'!$B:$B,"&gt;=" &amp; G75)</f>
        <v>10</v>
      </c>
      <c r="Y75" s="27">
        <f t="shared" si="29"/>
        <v>0</v>
      </c>
      <c r="Z75" s="27">
        <f>IFERROR(COUNTIFS('[2]Controle de Produção'!$L:$L,D75,'[2]Controle de Produção'!$P:$P,C75,'[2]Controle de Produção'!$B:$B,"&gt;=" &amp; G75,'[2]Controle de Produção'!$C:$C,"&lt;=" &amp; N75, '[2]Controle de Produção'!$G:$G,B75), "")</f>
        <v>0</v>
      </c>
      <c r="AA75" s="108" t="str">
        <f t="shared" si="30"/>
        <v/>
      </c>
      <c r="AB75" s="41" t="str" cm="1">
        <f t="array" ref="AB75">_xlfn.IFS((H75*0.95)&lt;=V75,"Concluído",AND(V75 =0, J75&lt;&gt;""),"Programado",AND(V75=0,D75=""),"Desenvolv.",V75=0,"Não Iniciado",AND(V75&gt;0,V75&lt;H75,AO75=TRUE),"Em Produção",AND(V75&gt;0,V75&lt;H75,AO75=FALSE),"Produção Parcial")</f>
        <v>Não Iniciado</v>
      </c>
      <c r="AC75" s="42" t="b">
        <v>1</v>
      </c>
      <c r="AD75" s="42" t="b">
        <v>1</v>
      </c>
      <c r="AE75" s="42" t="s">
        <v>38</v>
      </c>
      <c r="AF75" s="87" t="b">
        <v>1</v>
      </c>
      <c r="AG75" s="42" t="b">
        <v>1</v>
      </c>
      <c r="AH75" s="42" t="s">
        <v>38</v>
      </c>
      <c r="AI75" s="42" t="s">
        <v>38</v>
      </c>
      <c r="AJ75" s="42" t="s">
        <v>38</v>
      </c>
      <c r="AK75" s="42" t="b">
        <v>0</v>
      </c>
      <c r="AL75" s="42" t="b">
        <v>1</v>
      </c>
      <c r="AM75" s="42" t="b">
        <v>1</v>
      </c>
      <c r="AN75" s="87">
        <v>1</v>
      </c>
      <c r="AO75" s="45" t="b" cm="1">
        <f t="array" ref="AO75">AND(COUNTIF(AC75:AN75,FALSE)=0,SUMPRODUCT(ISNUMBER(AC75:AN75)*1)=0)</f>
        <v>0</v>
      </c>
      <c r="AP75" s="59"/>
      <c r="AQ75" s="111">
        <f>IF(AB75="",99999999999,IFERROR(MATCH(AB75,{"Produção Parcial","Em Produção","Programado","Não Iniciado","Desenvolv.","Concluído"},0),7)*100000000+IF(ISNUMBER(J75),J75-46000,9999)*10000+IF(A75="",99,A75)*100+IF(C75="",99,CODE(LEFT(C75,1))))</f>
        <v>499990071</v>
      </c>
    </row>
    <row r="76" spans="1:43" s="36" customFormat="1" ht="25.15" hidden="1" customHeight="1" x14ac:dyDescent="0.25">
      <c r="A76" s="36">
        <v>0</v>
      </c>
      <c r="B76" s="38" t="s">
        <v>217</v>
      </c>
      <c r="C76" s="70" t="str">
        <f>INDEX([1]Produtos!$G:$G,MATCH($D76,[1]Produtos!$B:$B,0))</f>
        <v>GLOW MAKE UP</v>
      </c>
      <c r="D76" s="24" t="s">
        <v>105</v>
      </c>
      <c r="E76" s="70" t="str">
        <f>INDEX([1]Produtos!$C:$C,MATCH($D76,[1]Produtos!$B:$B,0))&amp;IF($F76&lt;&gt;"-"," - "&amp;LEFT($F76,1),"")&amp;" &gt; "&amp;$B76</f>
        <v>ÁGUA MICELAR ÁCIDO HIAULURÔNICO - 2 &gt; GLOW - Água Micelar</v>
      </c>
      <c r="F76" s="51" t="s">
        <v>141</v>
      </c>
      <c r="G76" s="38">
        <v>45870</v>
      </c>
      <c r="H76" s="39">
        <v>15000</v>
      </c>
      <c r="I76" s="24" t="s">
        <v>39</v>
      </c>
      <c r="J76" s="68" t="str" cm="1">
        <f t="array" ref="J76">IFERROR(INDEX('[2]Previsão Envase'!$D$5:$D$4867, MATCH(1,('[2]Previsão Envase'!$F$5:$F$4867=$E76)+('[2]Previsão Envase'!$G$5:$G$4867=$E76)+('[2]Previsão Envase'!$H$5:$H$4867=$E76),0)),"")</f>
        <v/>
      </c>
      <c r="K76" s="68" t="str">
        <f>IF(COUNTIF('[2]Previsão Envase'!$F:$F,E76)&gt;0,"Linha 1",
IF(COUNTIF('[2]Previsão Envase'!$G:$G,E76)&gt;0,"Linha 2",
IF(COUNTIF('[2]Previsão Envase'!$H:$H,E76)&gt;0,"Linha 3","")))</f>
        <v/>
      </c>
      <c r="L76" s="96">
        <f>COUNTIF('[2]Previsão Envase'!$F:$H,E76)-COUNTIF('[2]Previsão Envase'!$F$1:$H$4,E76)</f>
        <v>0</v>
      </c>
      <c r="M76" s="35">
        <f t="shared" si="25"/>
        <v>0</v>
      </c>
      <c r="N76" s="68" t="str">
        <f>IFERROR(MAX(_xlfn.MAXIFS('[2]Controle de Produção'!$C:$C,'[2]Controle de Produção'!$L:$L,$D76,'[2]Controle de Produção'!$P:$P,$C76,'[2]Controle de Produção'!$G:$G,$B76),_xlfn.MAXIFS([3]EXPEDIÇÃO!$N:$N,[3]EXPEDIÇÃO!$E:$E,$D76,[3]EXPEDIÇÃO!$D:$D,$C76,[3]EXPEDIÇÃO!$N:$N,"&gt;="&amp;$G76)),"")</f>
        <v/>
      </c>
      <c r="O76" s="70">
        <f>INDEX([1]Produtos!$E:$E,MATCH($D76,[1]Produtos!$B:$B,0))</f>
        <v>325</v>
      </c>
      <c r="P76" s="70" t="str">
        <f>INDEX([1]Produtos!$F:$F,MATCH($D76,[1]Produtos!$B:$B,0))</f>
        <v>ml</v>
      </c>
      <c r="Q76" s="105">
        <f>INDEX([1]Produtos!$Y:$Y,MATCH($D76,[1]Produtos!$B:$B,0))</f>
        <v>0</v>
      </c>
      <c r="R76" s="35">
        <f t="shared" si="26"/>
        <v>7288.9063376861359</v>
      </c>
      <c r="S76" s="27">
        <f>IFERROR(INDEX([1]Produtos!$L:$L,MATCH(D76,[1]Produtos!$B:$B,0)), "")</f>
        <v>809.87848196512618</v>
      </c>
      <c r="T76" s="28">
        <f t="shared" si="27"/>
        <v>18.600000000000001</v>
      </c>
      <c r="U76" s="28" t="str">
        <f t="shared" si="28"/>
        <v>2D e 1h</v>
      </c>
      <c r="V76" s="27">
        <f>IFERROR(SUMIFS('[2]Controle de Produção'!$K:$K,'[2]Controle de Produção'!$L:$L,D76,'[2]Controle de Produção'!$P:$P,C76,'[2]Controle de Produção'!$B:$B,"&gt;=" &amp; G76,'[2]Controle de Produção'!$C:$C,"&lt;=" &amp; N76, '[2]Controle de Produção'!$G:$G,B76), "")</f>
        <v>0</v>
      </c>
      <c r="W76" s="27" t="str">
        <f>IFERROR(SUMIFS([3]EXPEDIÇÃO!$K:$K,[3]EXPEDIÇÃO!$E:$E,D76,[3]EXPEDIÇÃO!$D:$D,C76,[3]EXPEDIÇÃO!$N:$N,"&gt;=" &amp; G76,[3]EXPEDIÇÃO!$N:$N,"&lt;="&amp;N76), "")</f>
        <v/>
      </c>
      <c r="X76" s="27">
        <f>COUNTIFS('[2]Controle de Produção'!$P:$P,C76,'[2]Controle de Produção'!$L:$L,D76,'[2]Controle de Produção'!$B:$B,"&gt;=" &amp; G76)</f>
        <v>18</v>
      </c>
      <c r="Y76" s="27">
        <f t="shared" si="29"/>
        <v>0</v>
      </c>
      <c r="Z76" s="27">
        <f>IFERROR(COUNTIFS('[2]Controle de Produção'!$L:$L,D76,'[2]Controle de Produção'!$P:$P,C76,'[2]Controle de Produção'!$B:$B,"&gt;=" &amp; G76,'[2]Controle de Produção'!$C:$C,"&lt;=" &amp; N76, '[2]Controle de Produção'!$G:$G,B76), "")</f>
        <v>0</v>
      </c>
      <c r="AA76" s="108" t="str">
        <f t="shared" si="30"/>
        <v/>
      </c>
      <c r="AB76" s="41" t="str" cm="1">
        <f t="array" ref="AB76">_xlfn.IFS((H76*0.95)&lt;=V76,"Concluído",AND(V76 =0, J76&lt;&gt;""),"Programado",AND(V76=0,D76=""),"Desenvolv.",V76=0,"Não Iniciado",AND(V76&gt;0,V76&lt;H76,AO76=TRUE),"Em Produção",AND(V76&gt;0,V76&lt;H76,AO76=FALSE),"Produção Parcial")</f>
        <v>Não Iniciado</v>
      </c>
      <c r="AC76" s="42" t="b">
        <v>1</v>
      </c>
      <c r="AD76" s="42" t="b">
        <v>1</v>
      </c>
      <c r="AE76" s="42" t="s">
        <v>38</v>
      </c>
      <c r="AF76" s="42" t="b">
        <v>1</v>
      </c>
      <c r="AG76" s="42" t="b">
        <v>1</v>
      </c>
      <c r="AH76" s="42" t="s">
        <v>38</v>
      </c>
      <c r="AI76" s="42" t="s">
        <v>38</v>
      </c>
      <c r="AJ76" s="42" t="s">
        <v>38</v>
      </c>
      <c r="AK76" s="42" t="b">
        <v>0</v>
      </c>
      <c r="AL76" s="42" t="b">
        <v>1</v>
      </c>
      <c r="AM76" s="42" t="b">
        <v>1</v>
      </c>
      <c r="AN76" s="87">
        <v>1</v>
      </c>
      <c r="AO76" s="45" t="b" cm="1">
        <f t="array" ref="AO76">AND(COUNTIF(AC76:AN76,FALSE)=0,SUMPRODUCT(ISNUMBER(AC76:AN76)*1)=0)</f>
        <v>0</v>
      </c>
      <c r="AP76" s="59"/>
      <c r="AQ76" s="111">
        <f>IF(AB76="",99999999999,IFERROR(MATCH(AB76,{"Produção Parcial","Em Produção","Programado","Não Iniciado","Desenvolv.","Concluído"},0),7)*100000000+IF(ISNUMBER(J76),J76-46000,9999)*10000+IF(A76="",99,A76)*100+IF(C76="",99,CODE(LEFT(C76,1))))</f>
        <v>499990071</v>
      </c>
    </row>
    <row r="77" spans="1:43" s="36" customFormat="1" ht="25.15" hidden="1" customHeight="1" x14ac:dyDescent="0.25">
      <c r="A77" s="36">
        <v>0</v>
      </c>
      <c r="B77" s="38" t="s">
        <v>217</v>
      </c>
      <c r="C77" s="24" t="str">
        <f>INDEX([1]Produtos!$G:$G,MATCH($D77,[1]Produtos!$B:$B,0))</f>
        <v>GLOW MAKE UP</v>
      </c>
      <c r="D77" s="24" t="s">
        <v>104</v>
      </c>
      <c r="E77" s="70" t="str">
        <f>INDEX([1]Produtos!$C:$C,MATCH($D77,[1]Produtos!$B:$B,0))&amp;IF($F77&lt;&gt;"-"," - "&amp;LEFT($F77,1),"")&amp;" &gt; "&amp;$B77</f>
        <v>ÁGUA MICELAR CARVÃO ATIVADO - 2 &gt; GLOW - Água Micelar</v>
      </c>
      <c r="F77" s="51" t="s">
        <v>141</v>
      </c>
      <c r="G77" s="38">
        <v>45870</v>
      </c>
      <c r="H77" s="39">
        <v>15000</v>
      </c>
      <c r="I77" s="24" t="s">
        <v>39</v>
      </c>
      <c r="J77" s="68" t="str" cm="1">
        <f t="array" ref="J77">IFERROR(INDEX('[2]Previsão Envase'!$D$5:$D$4867, MATCH(1,('[2]Previsão Envase'!$F$5:$F$4867=$E77)+('[2]Previsão Envase'!$G$5:$G$4867=$E77)+('[2]Previsão Envase'!$H$5:$H$4867=$E77),0)),"")</f>
        <v/>
      </c>
      <c r="K77" s="68" t="str">
        <f>IF(COUNTIF('[2]Previsão Envase'!$F:$F,E77)&gt;0,"Linha 1",
IF(COUNTIF('[2]Previsão Envase'!$G:$G,E77)&gt;0,"Linha 2",
IF(COUNTIF('[2]Previsão Envase'!$H:$H,E77)&gt;0,"Linha 3","")))</f>
        <v/>
      </c>
      <c r="L77" s="96">
        <f>COUNTIF('[2]Previsão Envase'!$F:$H,E77)-COUNTIF('[2]Previsão Envase'!$F$1:$H$4,E77)</f>
        <v>0</v>
      </c>
      <c r="M77" s="35">
        <f t="shared" si="25"/>
        <v>0</v>
      </c>
      <c r="N77" s="68" t="str">
        <f>IFERROR(MAX(_xlfn.MAXIFS('[2]Controle de Produção'!$C:$C,'[2]Controle de Produção'!$L:$L,$D77,'[2]Controle de Produção'!$P:$P,$C77,'[2]Controle de Produção'!$G:$G,$B77),_xlfn.MAXIFS([3]EXPEDIÇÃO!$N:$N,[3]EXPEDIÇÃO!$E:$E,$D77,[3]EXPEDIÇÃO!$D:$D,$C77,[3]EXPEDIÇÃO!$N:$N,"&gt;="&amp;$G77)),"")</f>
        <v/>
      </c>
      <c r="O77" s="70">
        <f>INDEX([1]Produtos!$E:$E,MATCH($D77,[1]Produtos!$B:$B,0))</f>
        <v>325</v>
      </c>
      <c r="P77" s="70" t="str">
        <f>INDEX([1]Produtos!$F:$F,MATCH($D77,[1]Produtos!$B:$B,0))</f>
        <v>ml</v>
      </c>
      <c r="Q77" s="105">
        <f>INDEX([1]Produtos!$Y:$Y,MATCH($D77,[1]Produtos!$B:$B,0))</f>
        <v>0</v>
      </c>
      <c r="R77" s="35">
        <f t="shared" si="26"/>
        <v>7288.9063376861359</v>
      </c>
      <c r="S77" s="27">
        <f>IFERROR(INDEX([1]Produtos!$L:$L,MATCH(D77,[1]Produtos!$B:$B,0)), "")</f>
        <v>809.87848196512618</v>
      </c>
      <c r="T77" s="28">
        <f t="shared" si="27"/>
        <v>18.600000000000001</v>
      </c>
      <c r="U77" s="28" t="str">
        <f t="shared" si="28"/>
        <v>2D e 1h</v>
      </c>
      <c r="V77" s="27">
        <f>IFERROR(SUMIFS('[2]Controle de Produção'!$K:$K,'[2]Controle de Produção'!$L:$L,D77,'[2]Controle de Produção'!$P:$P,C77,'[2]Controle de Produção'!$B:$B,"&gt;=" &amp; G77,'[2]Controle de Produção'!$C:$C,"&lt;=" &amp; N77, '[2]Controle de Produção'!$G:$G,B77), "")</f>
        <v>0</v>
      </c>
      <c r="W77" s="27" t="str">
        <f>IFERROR(SUMIFS([3]EXPEDIÇÃO!$K:$K,[3]EXPEDIÇÃO!$E:$E,D77,[3]EXPEDIÇÃO!$D:$D,C77,[3]EXPEDIÇÃO!$N:$N,"&gt;=" &amp; G77,[3]EXPEDIÇÃO!$N:$N,"&lt;="&amp;N77), "")</f>
        <v/>
      </c>
      <c r="X77" s="27">
        <f>COUNTIFS('[2]Controle de Produção'!$P:$P,C77,'[2]Controle de Produção'!$L:$L,D77,'[2]Controle de Produção'!$B:$B,"&gt;=" &amp; G77)</f>
        <v>18</v>
      </c>
      <c r="Y77" s="27">
        <f t="shared" si="29"/>
        <v>0</v>
      </c>
      <c r="Z77" s="27">
        <f>IFERROR(COUNTIFS('[2]Controle de Produção'!$L:$L,D77,'[2]Controle de Produção'!$P:$P,C77,'[2]Controle de Produção'!$B:$B,"&gt;=" &amp; G77,'[2]Controle de Produção'!$C:$C,"&lt;=" &amp; N77, '[2]Controle de Produção'!$G:$G,B77), "")</f>
        <v>0</v>
      </c>
      <c r="AA77" s="108" t="str">
        <f t="shared" si="30"/>
        <v/>
      </c>
      <c r="AB77" s="41" t="str" cm="1">
        <f t="array" ref="AB77">_xlfn.IFS((H77*0.95)&lt;=V77,"Concluído",AND(V77 =0, J77&lt;&gt;""),"Programado",AND(V77=0,D77=""),"Desenvolv.",V77=0,"Não Iniciado",AND(V77&gt;0,V77&lt;H77,AO77=TRUE),"Em Produção",AND(V77&gt;0,V77&lt;H77,AO77=FALSE),"Produção Parcial")</f>
        <v>Não Iniciado</v>
      </c>
      <c r="AC77" s="42" t="b">
        <v>1</v>
      </c>
      <c r="AD77" s="42" t="b">
        <v>1</v>
      </c>
      <c r="AE77" s="42" t="s">
        <v>38</v>
      </c>
      <c r="AF77" s="42" t="b">
        <v>1</v>
      </c>
      <c r="AG77" s="42" t="b">
        <v>1</v>
      </c>
      <c r="AH77" s="42" t="s">
        <v>38</v>
      </c>
      <c r="AI77" s="42" t="s">
        <v>38</v>
      </c>
      <c r="AJ77" s="42" t="s">
        <v>38</v>
      </c>
      <c r="AK77" s="42" t="b">
        <v>0</v>
      </c>
      <c r="AL77" s="42" t="b">
        <v>1</v>
      </c>
      <c r="AM77" s="42" t="b">
        <v>1</v>
      </c>
      <c r="AN77" s="87">
        <v>1</v>
      </c>
      <c r="AO77" s="45" t="b" cm="1">
        <f t="array" ref="AO77">AND(COUNTIF(AC77:AN77,FALSE)=0,SUMPRODUCT(ISNUMBER(AC77:AN77)*1)=0)</f>
        <v>0</v>
      </c>
      <c r="AP77" s="59"/>
      <c r="AQ77" s="111">
        <f>IF(AB77="",99999999999,IFERROR(MATCH(AB77,{"Produção Parcial","Em Produção","Programado","Não Iniciado","Desenvolv.","Concluído"},0),7)*100000000+IF(ISNUMBER(J77),J77-46000,9999)*10000+IF(A77="",99,A77)*100+IF(C77="",99,CODE(LEFT(C77,1))))</f>
        <v>499990071</v>
      </c>
    </row>
    <row r="78" spans="1:43" s="36" customFormat="1" ht="25.15" hidden="1" customHeight="1" x14ac:dyDescent="0.25">
      <c r="A78" s="36">
        <v>0</v>
      </c>
      <c r="B78" s="38" t="s">
        <v>217</v>
      </c>
      <c r="C78" s="70" t="str">
        <f>INDEX([1]Produtos!$G:$G,MATCH($D78,[1]Produtos!$B:$B,0))</f>
        <v>GLOW MAKE UP</v>
      </c>
      <c r="D78" s="24" t="s">
        <v>103</v>
      </c>
      <c r="E78" s="70" t="str">
        <f>INDEX([1]Produtos!$C:$C,MATCH($D78,[1]Produtos!$B:$B,0))&amp;IF($F78&lt;&gt;"-"," - "&amp;LEFT($F78,1),"")&amp;" &gt; "&amp;$B78</f>
        <v>ÁGUA MICELAR COLÁGENO - 2 &gt; GLOW - Água Micelar</v>
      </c>
      <c r="F78" s="51" t="s">
        <v>141</v>
      </c>
      <c r="G78" s="38">
        <v>45870</v>
      </c>
      <c r="H78" s="39">
        <v>15000</v>
      </c>
      <c r="I78" s="24" t="s">
        <v>39</v>
      </c>
      <c r="J78" s="68" t="str" cm="1">
        <f t="array" ref="J78">IFERROR(INDEX('[2]Previsão Envase'!$D$5:$D$4867, MATCH(1,('[2]Previsão Envase'!$F$5:$F$4867=$E78)+('[2]Previsão Envase'!$G$5:$G$4867=$E78)+('[2]Previsão Envase'!$H$5:$H$4867=$E78),0)),"")</f>
        <v/>
      </c>
      <c r="K78" s="68" t="str">
        <f>IF(COUNTIF('[2]Previsão Envase'!$F:$F,E78)&gt;0,"Linha 1",
IF(COUNTIF('[2]Previsão Envase'!$G:$G,E78)&gt;0,"Linha 2",
IF(COUNTIF('[2]Previsão Envase'!$H:$H,E78)&gt;0,"Linha 3","")))</f>
        <v/>
      </c>
      <c r="L78" s="96">
        <f>COUNTIF('[2]Previsão Envase'!$F:$H,E78)-COUNTIF('[2]Previsão Envase'!$F$1:$H$4,E78)</f>
        <v>0</v>
      </c>
      <c r="M78" s="35">
        <f t="shared" si="25"/>
        <v>0</v>
      </c>
      <c r="N78" s="68" t="str">
        <f>IFERROR(MAX(_xlfn.MAXIFS('[2]Controle de Produção'!$C:$C,'[2]Controle de Produção'!$L:$L,$D78,'[2]Controle de Produção'!$P:$P,$C78,'[2]Controle de Produção'!$G:$G,$B78),_xlfn.MAXIFS([3]EXPEDIÇÃO!$N:$N,[3]EXPEDIÇÃO!$E:$E,$D78,[3]EXPEDIÇÃO!$D:$D,$C78,[3]EXPEDIÇÃO!$N:$N,"&gt;="&amp;$G78)),"")</f>
        <v/>
      </c>
      <c r="O78" s="70">
        <f>INDEX([1]Produtos!$E:$E,MATCH($D78,[1]Produtos!$B:$B,0))</f>
        <v>325</v>
      </c>
      <c r="P78" s="70" t="str">
        <f>INDEX([1]Produtos!$F:$F,MATCH($D78,[1]Produtos!$B:$B,0))</f>
        <v>ml</v>
      </c>
      <c r="Q78" s="105">
        <f>INDEX([1]Produtos!$Y:$Y,MATCH($D78,[1]Produtos!$B:$B,0))</f>
        <v>0</v>
      </c>
      <c r="R78" s="35">
        <f t="shared" si="26"/>
        <v>7288.9063376861359</v>
      </c>
      <c r="S78" s="27">
        <f>IFERROR(INDEX([1]Produtos!$L:$L,MATCH(D78,[1]Produtos!$B:$B,0)), "")</f>
        <v>809.87848196512618</v>
      </c>
      <c r="T78" s="28">
        <f t="shared" si="27"/>
        <v>18.600000000000001</v>
      </c>
      <c r="U78" s="28" t="str">
        <f t="shared" si="28"/>
        <v>2D e 1h</v>
      </c>
      <c r="V78" s="27">
        <f>IFERROR(SUMIFS('[2]Controle de Produção'!$K:$K,'[2]Controle de Produção'!$L:$L,D78,'[2]Controle de Produção'!$P:$P,C78,'[2]Controle de Produção'!$B:$B,"&gt;=" &amp; G78,'[2]Controle de Produção'!$C:$C,"&lt;=" &amp; N78, '[2]Controle de Produção'!$G:$G,B78), "")</f>
        <v>0</v>
      </c>
      <c r="W78" s="27" t="str">
        <f>IFERROR(SUMIFS([3]EXPEDIÇÃO!$K:$K,[3]EXPEDIÇÃO!$E:$E,D78,[3]EXPEDIÇÃO!$D:$D,C78,[3]EXPEDIÇÃO!$N:$N,"&gt;=" &amp; G78,[3]EXPEDIÇÃO!$N:$N,"&lt;="&amp;N78), "")</f>
        <v/>
      </c>
      <c r="X78" s="27">
        <f>COUNTIFS('[2]Controle de Produção'!$P:$P,C78,'[2]Controle de Produção'!$L:$L,D78,'[2]Controle de Produção'!$B:$B,"&gt;=" &amp; G78)</f>
        <v>18</v>
      </c>
      <c r="Y78" s="27">
        <f t="shared" si="29"/>
        <v>0</v>
      </c>
      <c r="Z78" s="27">
        <f>IFERROR(COUNTIFS('[2]Controle de Produção'!$L:$L,D78,'[2]Controle de Produção'!$P:$P,C78,'[2]Controle de Produção'!$B:$B,"&gt;=" &amp; G78,'[2]Controle de Produção'!$C:$C,"&lt;=" &amp; N78, '[2]Controle de Produção'!$G:$G,B78), "")</f>
        <v>0</v>
      </c>
      <c r="AA78" s="108" t="str">
        <f t="shared" si="30"/>
        <v/>
      </c>
      <c r="AB78" s="41" t="str" cm="1">
        <f t="array" ref="AB78">_xlfn.IFS((H78*0.95)&lt;=V78,"Concluído",AND(V78 =0, J78&lt;&gt;""),"Programado",AND(V78=0,D78=""),"Desenvolv.",V78=0,"Não Iniciado",AND(V78&gt;0,V78&lt;H78,AO78=TRUE),"Em Produção",AND(V78&gt;0,V78&lt;H78,AO78=FALSE),"Produção Parcial")</f>
        <v>Não Iniciado</v>
      </c>
      <c r="AC78" s="42" t="b">
        <v>1</v>
      </c>
      <c r="AD78" s="42" t="b">
        <v>1</v>
      </c>
      <c r="AE78" s="42" t="s">
        <v>38</v>
      </c>
      <c r="AF78" s="42" t="b">
        <v>1</v>
      </c>
      <c r="AG78" s="42" t="b">
        <v>1</v>
      </c>
      <c r="AH78" s="42" t="s">
        <v>38</v>
      </c>
      <c r="AI78" s="42" t="s">
        <v>38</v>
      </c>
      <c r="AJ78" s="42" t="s">
        <v>38</v>
      </c>
      <c r="AK78" s="42" t="b">
        <v>0</v>
      </c>
      <c r="AL78" s="42" t="b">
        <v>1</v>
      </c>
      <c r="AM78" s="42" t="b">
        <v>1</v>
      </c>
      <c r="AN78" s="87">
        <v>1</v>
      </c>
      <c r="AO78" s="45" t="b" cm="1">
        <f t="array" ref="AO78">AND(COUNTIF(AC78:AN78,FALSE)=0,SUMPRODUCT(ISNUMBER(AC78:AN78)*1)=0)</f>
        <v>0</v>
      </c>
      <c r="AP78" s="59"/>
      <c r="AQ78" s="111">
        <f>IF(AB78="",99999999999,IFERROR(MATCH(AB78,{"Produção Parcial","Em Produção","Programado","Não Iniciado","Desenvolv.","Concluído"},0),7)*100000000+IF(ISNUMBER(J78),J78-46000,9999)*10000+IF(A78="",99,A78)*100+IF(C78="",99,CODE(LEFT(C78,1))))</f>
        <v>499990071</v>
      </c>
    </row>
    <row r="79" spans="1:43" s="36" customFormat="1" ht="25.15" hidden="1" customHeight="1" x14ac:dyDescent="0.25">
      <c r="A79" s="36">
        <v>0</v>
      </c>
      <c r="B79" s="38" t="s">
        <v>217</v>
      </c>
      <c r="C79" s="70" t="str">
        <f>INDEX([1]Produtos!$G:$G,MATCH($D79,[1]Produtos!$B:$B,0))</f>
        <v>GLOW MAKE UP</v>
      </c>
      <c r="D79" s="24" t="s">
        <v>102</v>
      </c>
      <c r="E79" s="70" t="str">
        <f>INDEX([1]Produtos!$C:$C,MATCH($D79,[1]Produtos!$B:$B,0))&amp;IF($F79&lt;&gt;"-"," - "&amp;LEFT($F79,1),"")&amp;" &gt; "&amp;$B79</f>
        <v>ÁGUA MICELAR ROSA MOSQUETA - 2 &gt; GLOW - Água Micelar</v>
      </c>
      <c r="F79" s="51" t="s">
        <v>141</v>
      </c>
      <c r="G79" s="38">
        <v>45870</v>
      </c>
      <c r="H79" s="39">
        <v>15000</v>
      </c>
      <c r="I79" s="24" t="s">
        <v>39</v>
      </c>
      <c r="J79" s="68" t="str" cm="1">
        <f t="array" ref="J79">IFERROR(INDEX('[2]Previsão Envase'!$D$5:$D$4867, MATCH(1,('[2]Previsão Envase'!$F$5:$F$4867=$E79)+('[2]Previsão Envase'!$G$5:$G$4867=$E79)+('[2]Previsão Envase'!$H$5:$H$4867=$E79),0)),"")</f>
        <v/>
      </c>
      <c r="K79" s="68" t="str">
        <f>IF(COUNTIF('[2]Previsão Envase'!$F:$F,E79)&gt;0,"Linha 1",
IF(COUNTIF('[2]Previsão Envase'!$G:$G,E79)&gt;0,"Linha 2",
IF(COUNTIF('[2]Previsão Envase'!$H:$H,E79)&gt;0,"Linha 3","")))</f>
        <v/>
      </c>
      <c r="L79" s="96">
        <f>COUNTIF('[2]Previsão Envase'!$F:$H,E79)-COUNTIF('[2]Previsão Envase'!$F$1:$H$4,E79)</f>
        <v>0</v>
      </c>
      <c r="M79" s="35">
        <f t="shared" si="25"/>
        <v>0</v>
      </c>
      <c r="N79" s="68" t="str">
        <f>IFERROR(MAX(_xlfn.MAXIFS('[2]Controle de Produção'!$C:$C,'[2]Controle de Produção'!$L:$L,$D79,'[2]Controle de Produção'!$P:$P,$C79,'[2]Controle de Produção'!$G:$G,$B79),_xlfn.MAXIFS([3]EXPEDIÇÃO!$N:$N,[3]EXPEDIÇÃO!$E:$E,$D79,[3]EXPEDIÇÃO!$D:$D,$C79,[3]EXPEDIÇÃO!$N:$N,"&gt;="&amp;$G79)),"")</f>
        <v/>
      </c>
      <c r="O79" s="70">
        <f>INDEX([1]Produtos!$E:$E,MATCH($D79,[1]Produtos!$B:$B,0))</f>
        <v>325</v>
      </c>
      <c r="P79" s="70" t="str">
        <f>INDEX([1]Produtos!$F:$F,MATCH($D79,[1]Produtos!$B:$B,0))</f>
        <v>ml</v>
      </c>
      <c r="Q79" s="105">
        <f>INDEX([1]Produtos!$Y:$Y,MATCH($D79,[1]Produtos!$B:$B,0))</f>
        <v>0</v>
      </c>
      <c r="R79" s="35">
        <f t="shared" si="26"/>
        <v>7288.9063376861359</v>
      </c>
      <c r="S79" s="27">
        <f>IFERROR(INDEX([1]Produtos!$L:$L,MATCH(D79,[1]Produtos!$B:$B,0)), "")</f>
        <v>809.87848196512618</v>
      </c>
      <c r="T79" s="28">
        <f t="shared" si="27"/>
        <v>18.600000000000001</v>
      </c>
      <c r="U79" s="28" t="str">
        <f t="shared" si="28"/>
        <v>2D e 1h</v>
      </c>
      <c r="V79" s="27">
        <f>IFERROR(SUMIFS('[2]Controle de Produção'!$K:$K,'[2]Controle de Produção'!$L:$L,D79,'[2]Controle de Produção'!$P:$P,C79,'[2]Controle de Produção'!$B:$B,"&gt;=" &amp; G79,'[2]Controle de Produção'!$C:$C,"&lt;=" &amp; N79, '[2]Controle de Produção'!$G:$G,B79), "")</f>
        <v>0</v>
      </c>
      <c r="W79" s="27" t="str">
        <f>IFERROR(SUMIFS([3]EXPEDIÇÃO!$K:$K,[3]EXPEDIÇÃO!$E:$E,D79,[3]EXPEDIÇÃO!$D:$D,C79,[3]EXPEDIÇÃO!$N:$N,"&gt;=" &amp; G79,[3]EXPEDIÇÃO!$N:$N,"&lt;="&amp;N79), "")</f>
        <v/>
      </c>
      <c r="X79" s="27">
        <f>COUNTIFS('[2]Controle de Produção'!$P:$P,C79,'[2]Controle de Produção'!$L:$L,D79,'[2]Controle de Produção'!$B:$B,"&gt;=" &amp; G79)</f>
        <v>19</v>
      </c>
      <c r="Y79" s="27">
        <f t="shared" si="29"/>
        <v>0</v>
      </c>
      <c r="Z79" s="27">
        <f>IFERROR(COUNTIFS('[2]Controle de Produção'!$L:$L,D79,'[2]Controle de Produção'!$P:$P,C79,'[2]Controle de Produção'!$B:$B,"&gt;=" &amp; G79,'[2]Controle de Produção'!$C:$C,"&lt;=" &amp; N79, '[2]Controle de Produção'!$G:$G,B79), "")</f>
        <v>0</v>
      </c>
      <c r="AA79" s="108" t="str">
        <f t="shared" si="30"/>
        <v/>
      </c>
      <c r="AB79" s="41" t="str" cm="1">
        <f t="array" ref="AB79">_xlfn.IFS((H79*0.95)&lt;=V79,"Concluído",AND(V79 =0, J79&lt;&gt;""),"Programado",AND(V79=0,D79=""),"Desenvolv.",V79=0,"Não Iniciado",AND(V79&gt;0,V79&lt;H79,AO79=TRUE),"Em Produção",AND(V79&gt;0,V79&lt;H79,AO79=FALSE),"Produção Parcial")</f>
        <v>Não Iniciado</v>
      </c>
      <c r="AC79" s="42" t="b">
        <v>1</v>
      </c>
      <c r="AD79" s="42" t="b">
        <v>1</v>
      </c>
      <c r="AE79" s="42" t="s">
        <v>38</v>
      </c>
      <c r="AF79" s="42" t="b">
        <v>1</v>
      </c>
      <c r="AG79" s="42" t="b">
        <v>1</v>
      </c>
      <c r="AH79" s="42" t="s">
        <v>38</v>
      </c>
      <c r="AI79" s="42" t="s">
        <v>38</v>
      </c>
      <c r="AJ79" s="42" t="s">
        <v>38</v>
      </c>
      <c r="AK79" s="42" t="b">
        <v>0</v>
      </c>
      <c r="AL79" s="42" t="b">
        <v>1</v>
      </c>
      <c r="AM79" s="42" t="b">
        <v>1</v>
      </c>
      <c r="AN79" s="87">
        <v>1</v>
      </c>
      <c r="AO79" s="45" t="b" cm="1">
        <f t="array" ref="AO79">AND(COUNTIF(AC79:AN79,FALSE)=0,SUMPRODUCT(ISNUMBER(AC79:AN79)*1)=0)</f>
        <v>0</v>
      </c>
      <c r="AP79" s="59"/>
      <c r="AQ79" s="111">
        <f>IF(AB79="",99999999999,IFERROR(MATCH(AB79,{"Produção Parcial","Em Produção","Programado","Não Iniciado","Desenvolv.","Concluído"},0),7)*100000000+IF(ISNUMBER(J79),J79-46000,9999)*10000+IF(A79="",99,A79)*100+IF(C79="",99,CODE(LEFT(C79,1))))</f>
        <v>499990071</v>
      </c>
    </row>
    <row r="80" spans="1:43" s="36" customFormat="1" ht="25.15" hidden="1" customHeight="1" x14ac:dyDescent="0.25">
      <c r="A80" s="36">
        <v>0</v>
      </c>
      <c r="B80" s="38" t="s">
        <v>217</v>
      </c>
      <c r="C80" s="24" t="str">
        <f>INDEX([1]Produtos!$G:$G,MATCH($D80,[1]Produtos!$B:$B,0))</f>
        <v>GLOW MAKE UP</v>
      </c>
      <c r="D80" s="24" t="s">
        <v>105</v>
      </c>
      <c r="E80" s="70" t="str">
        <f>INDEX([1]Produtos!$C:$C,MATCH($D80,[1]Produtos!$B:$B,0))&amp;IF($F80&lt;&gt;"-"," - "&amp;LEFT($F80,1),"")&amp;" &gt; "&amp;$B80</f>
        <v>ÁGUA MICELAR ÁCIDO HIAULURÔNICO - 1 &gt; GLOW - Água Micelar</v>
      </c>
      <c r="F80" s="51" t="s">
        <v>94</v>
      </c>
      <c r="G80" s="38">
        <v>45809</v>
      </c>
      <c r="H80" s="39">
        <v>5000</v>
      </c>
      <c r="I80" s="24" t="s">
        <v>39</v>
      </c>
      <c r="J80" s="68" t="str" cm="1">
        <f t="array" ref="J80">IFERROR(INDEX('[2]Previsão Envase'!$D$5:$D$4867, MATCH(1,('[2]Previsão Envase'!$F$5:$F$4867=$E80)+('[2]Previsão Envase'!$G$5:$G$4867=$E80)+('[2]Previsão Envase'!$H$5:$H$4867=$E80),0)),"")</f>
        <v/>
      </c>
      <c r="K80" s="68" t="str">
        <f>IF(COUNTIF('[2]Previsão Envase'!$F:$F,E80)&gt;0,"Linha 1",
IF(COUNTIF('[2]Previsão Envase'!$G:$G,E80)&gt;0,"Linha 2",
IF(COUNTIF('[2]Previsão Envase'!$H:$H,E80)&gt;0,"Linha 3","")))</f>
        <v/>
      </c>
      <c r="L80" s="96">
        <f>COUNTIF('[2]Previsão Envase'!$F:$H,E80)-COUNTIF('[2]Previsão Envase'!$F$1:$H$4,E80)</f>
        <v>0</v>
      </c>
      <c r="M80" s="35">
        <f t="shared" si="25"/>
        <v>0</v>
      </c>
      <c r="N80" s="68" t="str">
        <f>IFERROR(MAX(_xlfn.MAXIFS('[2]Controle de Produção'!$C:$C,'[2]Controle de Produção'!$L:$L,$D80,'[2]Controle de Produção'!$P:$P,$C80,'[2]Controle de Produção'!$G:$G,$B80),_xlfn.MAXIFS([3]EXPEDIÇÃO!$N:$N,[3]EXPEDIÇÃO!$E:$E,$D80,[3]EXPEDIÇÃO!$D:$D,$C80,[3]EXPEDIÇÃO!$N:$N,"&gt;="&amp;$G80)),"")</f>
        <v/>
      </c>
      <c r="O80" s="70">
        <f>INDEX([1]Produtos!$E:$E,MATCH($D80,[1]Produtos!$B:$B,0))</f>
        <v>325</v>
      </c>
      <c r="P80" s="70" t="str">
        <f>INDEX([1]Produtos!$F:$F,MATCH($D80,[1]Produtos!$B:$B,0))</f>
        <v>ml</v>
      </c>
      <c r="Q80" s="105">
        <f>INDEX([1]Produtos!$Y:$Y,MATCH($D80,[1]Produtos!$B:$B,0))</f>
        <v>0</v>
      </c>
      <c r="R80" s="35">
        <f t="shared" si="26"/>
        <v>7288.9063376861359</v>
      </c>
      <c r="S80" s="27">
        <f>IFERROR(INDEX([1]Produtos!$L:$L,MATCH(D80,[1]Produtos!$B:$B,0)), "")</f>
        <v>809.87848196512618</v>
      </c>
      <c r="T80" s="28">
        <f t="shared" si="27"/>
        <v>6.1999999999999993</v>
      </c>
      <c r="U80" s="28" t="str">
        <f t="shared" si="28"/>
        <v>0D e 7h</v>
      </c>
      <c r="V80" s="27">
        <f>IFERROR(SUMIFS('[2]Controle de Produção'!$K:$K,'[2]Controle de Produção'!$L:$L,D80,'[2]Controle de Produção'!$P:$P,C80,'[2]Controle de Produção'!$B:$B,"&gt;=" &amp; G80,'[2]Controle de Produção'!$C:$C,"&lt;=" &amp; N80, '[2]Controle de Produção'!$G:$G,B80), "")</f>
        <v>0</v>
      </c>
      <c r="W80" s="27" t="str">
        <f>IFERROR(SUMIFS([3]EXPEDIÇÃO!$K:$K,[3]EXPEDIÇÃO!$E:$E,D80,[3]EXPEDIÇÃO!$D:$D,C80,[3]EXPEDIÇÃO!$N:$N,"&gt;=" &amp; G80,[3]EXPEDIÇÃO!$N:$N,"&lt;="&amp;N80), "")</f>
        <v/>
      </c>
      <c r="X80" s="27">
        <f>COUNTIFS('[2]Controle de Produção'!$P:$P,C80,'[2]Controle de Produção'!$L:$L,D80,'[2]Controle de Produção'!$B:$B,"&gt;=" &amp; G80)</f>
        <v>21</v>
      </c>
      <c r="Y80" s="27">
        <f t="shared" si="29"/>
        <v>0</v>
      </c>
      <c r="Z80" s="27">
        <f>IFERROR(COUNTIFS('[2]Controle de Produção'!$L:$L,D80,'[2]Controle de Produção'!$P:$P,C80,'[2]Controle de Produção'!$B:$B,"&gt;=" &amp; G80,'[2]Controle de Produção'!$C:$C,"&lt;=" &amp; N80, '[2]Controle de Produção'!$G:$G,B80), "")</f>
        <v>0</v>
      </c>
      <c r="AA80" s="108" t="str">
        <f t="shared" si="30"/>
        <v/>
      </c>
      <c r="AB80" s="41" t="str" cm="1">
        <f t="array" ref="AB80">_xlfn.IFS((H80*0.95)&lt;=V80,"Concluído",AND(V80 =0, J80&lt;&gt;""),"Programado",AND(V80=0,D80=""),"Desenvolv.",V80=0,"Não Iniciado",AND(V80&gt;0,V80&lt;H80,AO80=TRUE),"Em Produção",AND(V80&gt;0,V80&lt;H80,AO80=FALSE),"Produção Parcial")</f>
        <v>Não Iniciado</v>
      </c>
      <c r="AC80" s="42" t="b">
        <v>1</v>
      </c>
      <c r="AD80" s="42" t="b">
        <v>1</v>
      </c>
      <c r="AE80" s="42" t="s">
        <v>38</v>
      </c>
      <c r="AF80" s="42" t="b">
        <v>1</v>
      </c>
      <c r="AG80" s="42" t="b">
        <v>1</v>
      </c>
      <c r="AH80" s="42" t="s">
        <v>38</v>
      </c>
      <c r="AI80" s="42" t="s">
        <v>38</v>
      </c>
      <c r="AJ80" s="42" t="s">
        <v>38</v>
      </c>
      <c r="AK80" s="42" t="b">
        <v>0</v>
      </c>
      <c r="AL80" s="42" t="b">
        <v>1</v>
      </c>
      <c r="AM80" s="42" t="b">
        <v>1</v>
      </c>
      <c r="AN80" s="86" t="b">
        <v>1</v>
      </c>
      <c r="AO80" s="45" t="b" cm="1">
        <f t="array" ref="AO80">AND(COUNTIF(AC80:AN80,FALSE)=0,SUMPRODUCT(ISNUMBER(AC80:AN80)*1)=0)</f>
        <v>0</v>
      </c>
      <c r="AP80" s="59"/>
      <c r="AQ80" s="111">
        <f>IF(AB80="",99999999999,IFERROR(MATCH(AB80,{"Produção Parcial","Em Produção","Programado","Não Iniciado","Desenvolv.","Concluído"},0),7)*100000000+IF(ISNUMBER(J80),J80-46000,9999)*10000+IF(A80="",99,A80)*100+IF(C80="",99,CODE(LEFT(C80,1))))</f>
        <v>499990071</v>
      </c>
    </row>
    <row r="81" spans="1:45" s="36" customFormat="1" ht="25.15" hidden="1" customHeight="1" x14ac:dyDescent="0.25">
      <c r="A81" s="36">
        <v>0</v>
      </c>
      <c r="B81" s="38" t="s">
        <v>217</v>
      </c>
      <c r="C81" s="24" t="str">
        <f>INDEX([1]Produtos!$G:$G,MATCH($D81,[1]Produtos!$B:$B,0))</f>
        <v>GLOW MAKE UP</v>
      </c>
      <c r="D81" s="24" t="s">
        <v>100</v>
      </c>
      <c r="E81" s="70" t="str">
        <f>INDEX([1]Produtos!$C:$C,MATCH($D81,[1]Produtos!$B:$B,0))&amp;IF($F81&lt;&gt;"-"," - "&amp;LEFT($F81,1),"")&amp;" &gt; "&amp;$B81</f>
        <v>ÁGUA MICELAR BABA GLOW - 1 &gt; GLOW - Água Micelar</v>
      </c>
      <c r="F81" s="51" t="s">
        <v>94</v>
      </c>
      <c r="G81" s="38">
        <v>45824</v>
      </c>
      <c r="H81" s="39">
        <v>5000</v>
      </c>
      <c r="I81" s="24" t="s">
        <v>39</v>
      </c>
      <c r="J81" s="68" t="str" cm="1">
        <f t="array" ref="J81">IFERROR(INDEX('[2]Previsão Envase'!$D$5:$D$4867, MATCH(1,('[2]Previsão Envase'!$F$5:$F$4867=$E81)+('[2]Previsão Envase'!$G$5:$G$4867=$E81)+('[2]Previsão Envase'!$H$5:$H$4867=$E81),0)),"")</f>
        <v/>
      </c>
      <c r="K81" s="68" t="str">
        <f>IF(COUNTIF('[2]Previsão Envase'!$F:$F,E81)&gt;0,"Linha 1",
IF(COUNTIF('[2]Previsão Envase'!$G:$G,E81)&gt;0,"Linha 2",
IF(COUNTIF('[2]Previsão Envase'!$H:$H,E81)&gt;0,"Linha 3","")))</f>
        <v/>
      </c>
      <c r="L81" s="96">
        <f>COUNTIF('[2]Previsão Envase'!$F:$H,E81)-COUNTIF('[2]Previsão Envase'!$F$1:$H$4,E81)</f>
        <v>0</v>
      </c>
      <c r="M81" s="35">
        <f t="shared" si="25"/>
        <v>0</v>
      </c>
      <c r="N81" s="68" t="str">
        <f>IFERROR(MAX(_xlfn.MAXIFS('[2]Controle de Produção'!$C:$C,'[2]Controle de Produção'!$L:$L,$D81,'[2]Controle de Produção'!$P:$P,$C81,'[2]Controle de Produção'!$G:$G,$B81),_xlfn.MAXIFS([3]EXPEDIÇÃO!$N:$N,[3]EXPEDIÇÃO!$E:$E,$D81,[3]EXPEDIÇÃO!$D:$D,$C81,[3]EXPEDIÇÃO!$N:$N,"&gt;="&amp;$G81)),"")</f>
        <v/>
      </c>
      <c r="O81" s="70">
        <f>INDEX([1]Produtos!$E:$E,MATCH($D81,[1]Produtos!$B:$B,0))</f>
        <v>325</v>
      </c>
      <c r="P81" s="70" t="str">
        <f>INDEX([1]Produtos!$F:$F,MATCH($D81,[1]Produtos!$B:$B,0))</f>
        <v>ml</v>
      </c>
      <c r="Q81" s="105">
        <f>INDEX([1]Produtos!$Y:$Y,MATCH($D81,[1]Produtos!$B:$B,0))</f>
        <v>0.85999999999999988</v>
      </c>
      <c r="R81" s="35">
        <f t="shared" si="26"/>
        <v>7288.9063376861359</v>
      </c>
      <c r="S81" s="27">
        <f>IFERROR(INDEX([1]Produtos!$L:$L,MATCH(D81,[1]Produtos!$B:$B,0)), "")</f>
        <v>809.87848196512618</v>
      </c>
      <c r="T81" s="28">
        <f t="shared" si="27"/>
        <v>6.1999999999999993</v>
      </c>
      <c r="U81" s="28" t="str">
        <f t="shared" si="28"/>
        <v>0D e 7h</v>
      </c>
      <c r="V81" s="27">
        <f>IFERROR(SUMIFS('[2]Controle de Produção'!$K:$K,'[2]Controle de Produção'!$L:$L,D81,'[2]Controle de Produção'!$P:$P,C81,'[2]Controle de Produção'!$B:$B,"&gt;=" &amp; G81,'[2]Controle de Produção'!$C:$C,"&lt;=" &amp; N81, '[2]Controle de Produção'!$G:$G,B81), "")</f>
        <v>0</v>
      </c>
      <c r="W81" s="27" t="str">
        <f>IFERROR(SUMIFS([3]EXPEDIÇÃO!$K:$K,[3]EXPEDIÇÃO!$E:$E,D81,[3]EXPEDIÇÃO!$D:$D,C81,[3]EXPEDIÇÃO!$N:$N,"&gt;=" &amp; G81,[3]EXPEDIÇÃO!$N:$N,"&lt;="&amp;N81), "")</f>
        <v/>
      </c>
      <c r="X81" s="27">
        <f>COUNTIFS('[2]Controle de Produção'!$P:$P,C81,'[2]Controle de Produção'!$L:$L,D81,'[2]Controle de Produção'!$B:$B,"&gt;=" &amp; G81)</f>
        <v>21</v>
      </c>
      <c r="Y81" s="27">
        <f t="shared" si="29"/>
        <v>0</v>
      </c>
      <c r="Z81" s="27">
        <f>IFERROR(COUNTIFS('[2]Controle de Produção'!$L:$L,D81,'[2]Controle de Produção'!$P:$P,C81,'[2]Controle de Produção'!$B:$B,"&gt;=" &amp; G81,'[2]Controle de Produção'!$C:$C,"&lt;=" &amp; N81, '[2]Controle de Produção'!$G:$G,B81), "")</f>
        <v>0</v>
      </c>
      <c r="AA81" s="108" t="str">
        <f t="shared" si="30"/>
        <v/>
      </c>
      <c r="AB81" s="41" t="str" cm="1">
        <f t="array" ref="AB81">_xlfn.IFS((H81*0.95)&lt;=V81,"Concluído",AND(V81 =0, J81&lt;&gt;""),"Programado",AND(V81=0,D81=""),"Desenvolv.",V81=0,"Não Iniciado",AND(V81&gt;0,V81&lt;H81,AO81=TRUE),"Em Produção",AND(V81&gt;0,V81&lt;H81,AO81=FALSE),"Produção Parcial")</f>
        <v>Não Iniciado</v>
      </c>
      <c r="AC81" s="42" t="b">
        <v>1</v>
      </c>
      <c r="AD81" s="42" t="b">
        <v>1</v>
      </c>
      <c r="AE81" s="42" t="s">
        <v>38</v>
      </c>
      <c r="AF81" s="42" t="b">
        <v>1</v>
      </c>
      <c r="AG81" s="42" t="b">
        <v>1</v>
      </c>
      <c r="AH81" s="42" t="s">
        <v>38</v>
      </c>
      <c r="AI81" s="42" t="s">
        <v>38</v>
      </c>
      <c r="AJ81" s="42" t="s">
        <v>38</v>
      </c>
      <c r="AK81" s="42" t="b">
        <v>0</v>
      </c>
      <c r="AL81" s="42" t="b">
        <v>1</v>
      </c>
      <c r="AM81" s="69" t="b">
        <v>1</v>
      </c>
      <c r="AN81" s="42" t="b">
        <v>1</v>
      </c>
      <c r="AO81" s="45" t="b" cm="1">
        <f t="array" ref="AO81">AND(COUNTIF(AC81:AN81,FALSE)=0,SUMPRODUCT(ISNUMBER(AC81:AN81)*1)=0)</f>
        <v>0</v>
      </c>
      <c r="AP81" s="59"/>
      <c r="AQ81" s="111">
        <f>IF(AB81="",99999999999,IFERROR(MATCH(AB81,{"Produção Parcial","Em Produção","Programado","Não Iniciado","Desenvolv.","Concluído"},0),7)*100000000+IF(ISNUMBER(J81),J81-46000,9999)*10000+IF(A81="",99,A81)*100+IF(C81="",99,CODE(LEFT(C81,1))))</f>
        <v>499990071</v>
      </c>
    </row>
    <row r="82" spans="1:45" s="36" customFormat="1" ht="25.15" hidden="1" customHeight="1" x14ac:dyDescent="0.25">
      <c r="A82" s="36">
        <v>0</v>
      </c>
      <c r="B82" s="38" t="s">
        <v>208</v>
      </c>
      <c r="C82" s="24" t="str">
        <f>INDEX([1]Produtos!$G:$G,MATCH($D82,[1]Produtos!$B:$B,0))</f>
        <v>GOTA ZEN</v>
      </c>
      <c r="D82" s="24" t="s">
        <v>209</v>
      </c>
      <c r="E82" s="70" t="str">
        <f>INDEX([1]Produtos!$C:$C,MATCH($D82,[1]Produtos!$B:$B,0))&amp;IF($F82&lt;&gt;"-"," - "&amp;LEFT($F82,1),"")&amp;" &gt; "&amp;$B82</f>
        <v>BODY SPLASH ESCAN DALOSA &gt; GOTA ZEN - Body Slash</v>
      </c>
      <c r="F82" s="38" t="s">
        <v>38</v>
      </c>
      <c r="G82" s="38">
        <v>45778</v>
      </c>
      <c r="H82" s="39">
        <v>2000</v>
      </c>
      <c r="I82" s="24" t="s">
        <v>39</v>
      </c>
      <c r="J82" s="68" t="str" cm="1">
        <f t="array" ref="J82">IFERROR(INDEX('[2]Previsão Envase'!$D$5:$D$4867, MATCH(1,('[2]Previsão Envase'!$F$5:$F$4867=$E82)+('[2]Previsão Envase'!$G$5:$G$4867=$E82)+('[2]Previsão Envase'!$H$5:$H$4867=$E82),0)),"")</f>
        <v/>
      </c>
      <c r="K82" s="68" t="str">
        <f>IF(COUNTIF('[2]Previsão Envase'!$F:$F,E82)&gt;0,"Linha 1",
IF(COUNTIF('[2]Previsão Envase'!$G:$G,E82)&gt;0,"Linha 2",
IF(COUNTIF('[2]Previsão Envase'!$H:$H,E82)&gt;0,"Linha 3","")))</f>
        <v/>
      </c>
      <c r="L82" s="96">
        <f>COUNTIF('[2]Previsão Envase'!$F:$H,E82)-COUNTIF('[2]Previsão Envase'!$F$1:$H$4,E82)</f>
        <v>0</v>
      </c>
      <c r="M82" s="35">
        <f t="shared" si="25"/>
        <v>0</v>
      </c>
      <c r="N82" s="68" t="str">
        <f>IFERROR(MAX(_xlfn.MAXIFS('[2]Controle de Produção'!$C:$C,'[2]Controle de Produção'!$L:$L,$D82,'[2]Controle de Produção'!$P:$P,$C82,'[2]Controle de Produção'!$G:$G,$B82),_xlfn.MAXIFS([3]EXPEDIÇÃO!$N:$N,[3]EXPEDIÇÃO!$E:$E,$D82,[3]EXPEDIÇÃO!$D:$D,$C82,[3]EXPEDIÇÃO!$N:$N,"&gt;="&amp;$G82)),"")</f>
        <v/>
      </c>
      <c r="O82" s="70">
        <f>INDEX([1]Produtos!$E:$E,MATCH($D82,[1]Produtos!$B:$B,0))</f>
        <v>210</v>
      </c>
      <c r="P82" s="70" t="str">
        <f>INDEX([1]Produtos!$F:$F,MATCH($D82,[1]Produtos!$B:$B,0))</f>
        <v>ml</v>
      </c>
      <c r="Q82" s="105">
        <f>INDEX([1]Produtos!$Y:$Y,MATCH($D82,[1]Produtos!$B:$B,0))</f>
        <v>2.0200000000000005</v>
      </c>
      <c r="R82" s="35">
        <f t="shared" si="26"/>
        <v>7592.2902086267013</v>
      </c>
      <c r="S82" s="27">
        <f>IFERROR(INDEX([1]Produtos!$L:$L,MATCH(D82,[1]Produtos!$B:$B,0)), "")</f>
        <v>843.58780095852239</v>
      </c>
      <c r="T82" s="28">
        <f t="shared" si="27"/>
        <v>2.4</v>
      </c>
      <c r="U82" s="28" t="str">
        <f t="shared" si="28"/>
        <v>0D e 3h</v>
      </c>
      <c r="V82" s="27">
        <f>IFERROR(SUMIFS('[2]Controle de Produção'!$K:$K,'[2]Controle de Produção'!$L:$L,D82,'[2]Controle de Produção'!$P:$P,C82,'[2]Controle de Produção'!$B:$B,"&gt;=" &amp; G82,'[2]Controle de Produção'!$C:$C,"&lt;=" &amp; N82, '[2]Controle de Produção'!$G:$G,B82), "")</f>
        <v>0</v>
      </c>
      <c r="W82" s="27" t="str">
        <f>IFERROR(SUMIFS([3]EXPEDIÇÃO!$K:$K,[3]EXPEDIÇÃO!$E:$E,D82,[3]EXPEDIÇÃO!$D:$D,C82,[3]EXPEDIÇÃO!$N:$N,"&gt;=" &amp; G82,[3]EXPEDIÇÃO!$N:$N,"&lt;="&amp;N82), "")</f>
        <v/>
      </c>
      <c r="X82" s="27">
        <f>COUNTIFS('[2]Controle de Produção'!$P:$P,C82,'[2]Controle de Produção'!$L:$L,D82,'[2]Controle de Produção'!$B:$B,"&gt;=" &amp; G82)</f>
        <v>4</v>
      </c>
      <c r="Y82" s="27">
        <f t="shared" si="29"/>
        <v>0</v>
      </c>
      <c r="Z82" s="27">
        <f>IFERROR(COUNTIFS('[2]Controle de Produção'!$L:$L,D82,'[2]Controle de Produção'!$P:$P,C82,'[2]Controle de Produção'!$B:$B,"&gt;=" &amp; G82,'[2]Controle de Produção'!$C:$C,"&lt;=" &amp; N82, '[2]Controle de Produção'!$G:$G,B82), "")</f>
        <v>0</v>
      </c>
      <c r="AA82" s="108" t="str">
        <f t="shared" si="30"/>
        <v/>
      </c>
      <c r="AB82" s="41" t="str" cm="1">
        <f t="array" ref="AB82">_xlfn.IFS((H82*0.95)&lt;=V82,"Concluído",AND(V82 =0, J82&lt;&gt;""),"Programado",AND(V82=0,D82=""),"Desenvolv.",V82=0,"Não Iniciado",AND(V82&gt;0,V82&lt;H82,AO82=TRUE),"Em Produção",AND(V82&gt;0,V82&lt;H82,AO82=FALSE),"Produção Parcial")</f>
        <v>Não Iniciado</v>
      </c>
      <c r="AC82" s="42" t="b">
        <v>1</v>
      </c>
      <c r="AD82" s="42" t="b">
        <v>1</v>
      </c>
      <c r="AE82" s="42" t="b">
        <v>1</v>
      </c>
      <c r="AF82" s="42" t="b">
        <v>1</v>
      </c>
      <c r="AG82" s="42" t="s">
        <v>38</v>
      </c>
      <c r="AH82" s="42" t="s">
        <v>38</v>
      </c>
      <c r="AI82" s="42" t="b">
        <v>1</v>
      </c>
      <c r="AJ82" s="50" t="s">
        <v>38</v>
      </c>
      <c r="AK82" s="50"/>
      <c r="AL82" s="42" t="b">
        <v>1</v>
      </c>
      <c r="AM82" s="42" t="b">
        <v>1</v>
      </c>
      <c r="AN82" s="42" t="b">
        <v>1</v>
      </c>
      <c r="AO82" s="45" t="b" cm="1">
        <f t="array" ref="AO82">AND(COUNTIF(AC82:AN82,FALSE)=0,SUMPRODUCT(ISNUMBER(AC82:AN82)*1)=0)</f>
        <v>1</v>
      </c>
      <c r="AP82" s="59"/>
      <c r="AQ82" s="111">
        <f>IF(AB82="",99999999999,IFERROR(MATCH(AB82,{"Produção Parcial","Em Produção","Programado","Não Iniciado","Desenvolv.","Concluído"},0),7)*100000000+IF(ISNUMBER(J82),J82-46000,9999)*10000+IF(A82="",99,A82)*100+IF(C82="",99,CODE(LEFT(C82,1))))</f>
        <v>499990071</v>
      </c>
    </row>
    <row r="83" spans="1:45" s="36" customFormat="1" ht="25.15" hidden="1" customHeight="1" x14ac:dyDescent="0.25">
      <c r="A83" s="36">
        <v>0</v>
      </c>
      <c r="B83" s="38" t="s">
        <v>208</v>
      </c>
      <c r="C83" s="24" t="str">
        <f>INDEX([1]Produtos!$G:$G,MATCH($D83,[1]Produtos!$B:$B,0))</f>
        <v>GOTA ZEN</v>
      </c>
      <c r="D83" s="24" t="s">
        <v>213</v>
      </c>
      <c r="E83" s="70" t="str">
        <f>INDEX([1]Produtos!$C:$C,MATCH($D83,[1]Produtos!$B:$B,0))&amp;IF($F83&lt;&gt;"-"," - "&amp;LEFT($F83,1),"")&amp;" &gt; "&amp;$B83</f>
        <v>BODY SPLASH ARABYS' AMBAR &gt; GOTA ZEN - Body Slash</v>
      </c>
      <c r="F83" s="38" t="s">
        <v>38</v>
      </c>
      <c r="G83" s="38">
        <v>45778</v>
      </c>
      <c r="H83" s="39">
        <v>2000</v>
      </c>
      <c r="I83" s="24" t="s">
        <v>39</v>
      </c>
      <c r="J83" s="68" t="str" cm="1">
        <f t="array" ref="J83">IFERROR(INDEX('[2]Previsão Envase'!$D$5:$D$4867, MATCH(1,('[2]Previsão Envase'!$F$5:$F$4867=$E83)+('[2]Previsão Envase'!$G$5:$G$4867=$E83)+('[2]Previsão Envase'!$H$5:$H$4867=$E83),0)),"")</f>
        <v/>
      </c>
      <c r="K83" s="68" t="str">
        <f>IF(COUNTIF('[2]Previsão Envase'!$F:$F,E83)&gt;0,"Linha 1",
IF(COUNTIF('[2]Previsão Envase'!$G:$G,E83)&gt;0,"Linha 2",
IF(COUNTIF('[2]Previsão Envase'!$H:$H,E83)&gt;0,"Linha 3","")))</f>
        <v/>
      </c>
      <c r="L83" s="96">
        <f>COUNTIF('[2]Previsão Envase'!$F:$H,E83)-COUNTIF('[2]Previsão Envase'!$F$1:$H$4,E83)</f>
        <v>0</v>
      </c>
      <c r="M83" s="35">
        <f t="shared" si="25"/>
        <v>0</v>
      </c>
      <c r="N83" s="68" t="str">
        <f>IFERROR(MAX(_xlfn.MAXIFS('[2]Controle de Produção'!$C:$C,'[2]Controle de Produção'!$L:$L,$D83,'[2]Controle de Produção'!$P:$P,$C83,'[2]Controle de Produção'!$G:$G,$B83),_xlfn.MAXIFS([3]EXPEDIÇÃO!$N:$N,[3]EXPEDIÇÃO!$E:$E,$D83,[3]EXPEDIÇÃO!$D:$D,$C83,[3]EXPEDIÇÃO!$N:$N,"&gt;="&amp;$G83)),"")</f>
        <v/>
      </c>
      <c r="O83" s="70">
        <f>INDEX([1]Produtos!$E:$E,MATCH($D83,[1]Produtos!$B:$B,0))</f>
        <v>210</v>
      </c>
      <c r="P83" s="70" t="str">
        <f>INDEX([1]Produtos!$F:$F,MATCH($D83,[1]Produtos!$B:$B,0))</f>
        <v>ml</v>
      </c>
      <c r="Q83" s="105">
        <f>INDEX([1]Produtos!$Y:$Y,MATCH($D83,[1]Produtos!$B:$B,0))</f>
        <v>2.0200000000000005</v>
      </c>
      <c r="R83" s="35">
        <f t="shared" si="26"/>
        <v>7592.2902086267013</v>
      </c>
      <c r="S83" s="27">
        <f>IFERROR(INDEX([1]Produtos!$L:$L,MATCH(D83,[1]Produtos!$B:$B,0)), "")</f>
        <v>843.58780095852239</v>
      </c>
      <c r="T83" s="28">
        <f t="shared" si="27"/>
        <v>2.4</v>
      </c>
      <c r="U83" s="28" t="str">
        <f t="shared" si="28"/>
        <v>0D e 3h</v>
      </c>
      <c r="V83" s="27">
        <f>IFERROR(SUMIFS('[2]Controle de Produção'!$K:$K,'[2]Controle de Produção'!$L:$L,D83,'[2]Controle de Produção'!$P:$P,C83,'[2]Controle de Produção'!$B:$B,"&gt;=" &amp; G83,'[2]Controle de Produção'!$C:$C,"&lt;=" &amp; N83, '[2]Controle de Produção'!$G:$G,B83), "")</f>
        <v>0</v>
      </c>
      <c r="W83" s="27" t="str">
        <f>IFERROR(SUMIFS([3]EXPEDIÇÃO!$K:$K,[3]EXPEDIÇÃO!$E:$E,D83,[3]EXPEDIÇÃO!$D:$D,C83,[3]EXPEDIÇÃO!$N:$N,"&gt;=" &amp; G83,[3]EXPEDIÇÃO!$N:$N,"&lt;="&amp;N83), "")</f>
        <v/>
      </c>
      <c r="X83" s="27">
        <f>COUNTIFS('[2]Controle de Produção'!$P:$P,C83,'[2]Controle de Produção'!$L:$L,D83,'[2]Controle de Produção'!$B:$B,"&gt;=" &amp; G83)</f>
        <v>3</v>
      </c>
      <c r="Y83" s="27">
        <f t="shared" si="29"/>
        <v>0</v>
      </c>
      <c r="Z83" s="27">
        <f>IFERROR(COUNTIFS('[2]Controle de Produção'!$L:$L,D83,'[2]Controle de Produção'!$P:$P,C83,'[2]Controle de Produção'!$B:$B,"&gt;=" &amp; G83,'[2]Controle de Produção'!$C:$C,"&lt;=" &amp; N83, '[2]Controle de Produção'!$G:$G,B83), "")</f>
        <v>0</v>
      </c>
      <c r="AA83" s="108" t="str">
        <f t="shared" si="30"/>
        <v/>
      </c>
      <c r="AB83" s="41" t="str" cm="1">
        <f t="array" ref="AB83">_xlfn.IFS((H83*0.95)&lt;=V83,"Concluído",AND(V83 =0, J83&lt;&gt;""),"Programado",AND(V83=0,D83=""),"Desenvolv.",V83=0,"Não Iniciado",AND(V83&gt;0,V83&lt;H83,AO83=TRUE),"Em Produção",AND(V83&gt;0,V83&lt;H83,AO83=FALSE),"Produção Parcial")</f>
        <v>Não Iniciado</v>
      </c>
      <c r="AC83" s="42" t="b">
        <v>1</v>
      </c>
      <c r="AD83" s="42" t="b">
        <v>1</v>
      </c>
      <c r="AE83" s="42" t="b">
        <v>1</v>
      </c>
      <c r="AF83" s="42" t="b">
        <v>1</v>
      </c>
      <c r="AG83" s="42" t="s">
        <v>38</v>
      </c>
      <c r="AH83" s="42" t="s">
        <v>38</v>
      </c>
      <c r="AI83" s="42" t="b">
        <v>1</v>
      </c>
      <c r="AJ83" s="50" t="s">
        <v>38</v>
      </c>
      <c r="AK83" s="50"/>
      <c r="AL83" s="42" t="b">
        <v>1</v>
      </c>
      <c r="AM83" s="42" t="b">
        <v>1</v>
      </c>
      <c r="AN83" s="42" t="b">
        <v>1</v>
      </c>
      <c r="AO83" s="45" t="b" cm="1">
        <f t="array" ref="AO83">AND(COUNTIF(AC83:AN83,FALSE)=0,SUMPRODUCT(ISNUMBER(AC83:AN83)*1)=0)</f>
        <v>1</v>
      </c>
      <c r="AP83" s="59"/>
      <c r="AQ83" s="111">
        <f>IF(AB83="",99999999999,IFERROR(MATCH(AB83,{"Produção Parcial","Em Produção","Programado","Não Iniciado","Desenvolv.","Concluído"},0),7)*100000000+IF(ISNUMBER(J83),J83-46000,9999)*10000+IF(A83="",99,A83)*100+IF(C83="",99,CODE(LEFT(C83,1))))</f>
        <v>499990071</v>
      </c>
    </row>
    <row r="84" spans="1:45" s="36" customFormat="1" ht="25.15" hidden="1" customHeight="1" x14ac:dyDescent="0.25">
      <c r="A84" s="36">
        <v>0</v>
      </c>
      <c r="B84" s="38" t="s">
        <v>208</v>
      </c>
      <c r="C84" s="24" t="str">
        <f>INDEX([1]Produtos!$G:$G,MATCH($D84,[1]Produtos!$B:$B,0))</f>
        <v>GOTA ZEN</v>
      </c>
      <c r="D84" s="24" t="s">
        <v>211</v>
      </c>
      <c r="E84" s="70" t="str">
        <f>INDEX([1]Produtos!$C:$C,MATCH($D84,[1]Produtos!$B:$B,0))&amp;IF($F84&lt;&gt;"-"," - "&amp;LEFT($F84,1),"")&amp;" &gt; "&amp;$B84</f>
        <v>BODY SPLASH ARABYS' FEROZ &gt; GOTA ZEN - Body Slash</v>
      </c>
      <c r="F84" s="38" t="s">
        <v>38</v>
      </c>
      <c r="G84" s="38">
        <v>45778</v>
      </c>
      <c r="H84" s="39">
        <v>2000</v>
      </c>
      <c r="I84" s="24" t="s">
        <v>39</v>
      </c>
      <c r="J84" s="68" t="str" cm="1">
        <f t="array" ref="J84">IFERROR(INDEX('[2]Previsão Envase'!$D$5:$D$4867, MATCH(1,('[2]Previsão Envase'!$F$5:$F$4867=$E84)+('[2]Previsão Envase'!$G$5:$G$4867=$E84)+('[2]Previsão Envase'!$H$5:$H$4867=$E84),0)),"")</f>
        <v/>
      </c>
      <c r="K84" s="68" t="str">
        <f>IF(COUNTIF('[2]Previsão Envase'!$F:$F,E84)&gt;0,"Linha 1",
IF(COUNTIF('[2]Previsão Envase'!$G:$G,E84)&gt;0,"Linha 2",
IF(COUNTIF('[2]Previsão Envase'!$H:$H,E84)&gt;0,"Linha 3","")))</f>
        <v/>
      </c>
      <c r="L84" s="96">
        <f>COUNTIF('[2]Previsão Envase'!$F:$H,E84)-COUNTIF('[2]Previsão Envase'!$F$1:$H$4,E84)</f>
        <v>0</v>
      </c>
      <c r="M84" s="35">
        <f t="shared" si="25"/>
        <v>0</v>
      </c>
      <c r="N84" s="68" t="str">
        <f>IFERROR(MAX(_xlfn.MAXIFS('[2]Controle de Produção'!$C:$C,'[2]Controle de Produção'!$L:$L,$D84,'[2]Controle de Produção'!$P:$P,$C84,'[2]Controle de Produção'!$G:$G,$B84),_xlfn.MAXIFS([3]EXPEDIÇÃO!$N:$N,[3]EXPEDIÇÃO!$E:$E,$D84,[3]EXPEDIÇÃO!$D:$D,$C84,[3]EXPEDIÇÃO!$N:$N,"&gt;="&amp;$G84)),"")</f>
        <v/>
      </c>
      <c r="O84" s="70">
        <f>INDEX([1]Produtos!$E:$E,MATCH($D84,[1]Produtos!$B:$B,0))</f>
        <v>210</v>
      </c>
      <c r="P84" s="70" t="str">
        <f>INDEX([1]Produtos!$F:$F,MATCH($D84,[1]Produtos!$B:$B,0))</f>
        <v>ml</v>
      </c>
      <c r="Q84" s="105">
        <f>INDEX([1]Produtos!$Y:$Y,MATCH($D84,[1]Produtos!$B:$B,0))</f>
        <v>2.0200000000000005</v>
      </c>
      <c r="R84" s="35">
        <f t="shared" si="26"/>
        <v>7592.2902086267013</v>
      </c>
      <c r="S84" s="27">
        <f>IFERROR(INDEX([1]Produtos!$L:$L,MATCH(D84,[1]Produtos!$B:$B,0)), "")</f>
        <v>843.58780095852239</v>
      </c>
      <c r="T84" s="28">
        <f t="shared" si="27"/>
        <v>2.4</v>
      </c>
      <c r="U84" s="28" t="str">
        <f t="shared" si="28"/>
        <v>0D e 3h</v>
      </c>
      <c r="V84" s="27">
        <f>IFERROR(SUMIFS('[2]Controle de Produção'!$K:$K,'[2]Controle de Produção'!$L:$L,D84,'[2]Controle de Produção'!$P:$P,C84,'[2]Controle de Produção'!$B:$B,"&gt;=" &amp; G84,'[2]Controle de Produção'!$C:$C,"&lt;=" &amp; N84, '[2]Controle de Produção'!$G:$G,B84), "")</f>
        <v>0</v>
      </c>
      <c r="W84" s="27" t="str">
        <f>IFERROR(SUMIFS([3]EXPEDIÇÃO!$K:$K,[3]EXPEDIÇÃO!$E:$E,D84,[3]EXPEDIÇÃO!$D:$D,C84,[3]EXPEDIÇÃO!$N:$N,"&gt;=" &amp; G84,[3]EXPEDIÇÃO!$N:$N,"&lt;="&amp;N84), "")</f>
        <v/>
      </c>
      <c r="X84" s="27">
        <f>COUNTIFS('[2]Controle de Produção'!$P:$P,C84,'[2]Controle de Produção'!$L:$L,D84,'[2]Controle de Produção'!$B:$B,"&gt;=" &amp; G84)</f>
        <v>2</v>
      </c>
      <c r="Y84" s="27">
        <f t="shared" si="29"/>
        <v>0</v>
      </c>
      <c r="Z84" s="27">
        <f>IFERROR(COUNTIFS('[2]Controle de Produção'!$L:$L,D84,'[2]Controle de Produção'!$P:$P,C84,'[2]Controle de Produção'!$B:$B,"&gt;=" &amp; G84,'[2]Controle de Produção'!$C:$C,"&lt;=" &amp; N84, '[2]Controle de Produção'!$G:$G,B84), "")</f>
        <v>0</v>
      </c>
      <c r="AA84" s="108" t="str">
        <f t="shared" si="30"/>
        <v/>
      </c>
      <c r="AB84" s="41" t="str" cm="1">
        <f t="array" ref="AB84">_xlfn.IFS((H84*0.95)&lt;=V84,"Concluído",AND(V84 =0, J84&lt;&gt;""),"Programado",AND(V84=0,D84=""),"Desenvolv.",V84=0,"Não Iniciado",AND(V84&gt;0,V84&lt;H84,AO84=TRUE),"Em Produção",AND(V84&gt;0,V84&lt;H84,AO84=FALSE),"Produção Parcial")</f>
        <v>Não Iniciado</v>
      </c>
      <c r="AC84" s="42" t="b">
        <v>1</v>
      </c>
      <c r="AD84" s="42" t="b">
        <v>1</v>
      </c>
      <c r="AE84" s="42" t="b">
        <v>1</v>
      </c>
      <c r="AF84" s="42" t="b">
        <v>1</v>
      </c>
      <c r="AG84" s="42" t="s">
        <v>38</v>
      </c>
      <c r="AH84" s="42" t="s">
        <v>38</v>
      </c>
      <c r="AI84" s="42" t="b">
        <v>1</v>
      </c>
      <c r="AJ84" s="50" t="s">
        <v>38</v>
      </c>
      <c r="AK84" s="50"/>
      <c r="AL84" s="42" t="b">
        <v>1</v>
      </c>
      <c r="AM84" s="42" t="b">
        <v>1</v>
      </c>
      <c r="AN84" s="42" t="b">
        <v>1</v>
      </c>
      <c r="AO84" s="45" t="b" cm="1">
        <f t="array" ref="AO84">AND(COUNTIF(AC84:AN84,FALSE)=0,SUMPRODUCT(ISNUMBER(AC84:AN84)*1)=0)</f>
        <v>1</v>
      </c>
      <c r="AP84" s="59"/>
      <c r="AQ84" s="111">
        <f>IF(AB84="",99999999999,IFERROR(MATCH(AB84,{"Produção Parcial","Em Produção","Programado","Não Iniciado","Desenvolv.","Concluído"},0),7)*100000000+IF(ISNUMBER(J84),J84-46000,9999)*10000+IF(A84="",99,A84)*100+IF(C84="",99,CODE(LEFT(C84,1))))</f>
        <v>499990071</v>
      </c>
    </row>
    <row r="85" spans="1:45" s="36" customFormat="1" ht="25.15" hidden="1" customHeight="1" x14ac:dyDescent="0.25">
      <c r="A85" s="36">
        <v>0</v>
      </c>
      <c r="B85" s="38" t="s">
        <v>208</v>
      </c>
      <c r="C85" s="24" t="str">
        <f>INDEX([1]Produtos!$G:$G,MATCH($D85,[1]Produtos!$B:$B,0))</f>
        <v>GOTA ZEN</v>
      </c>
      <c r="D85" s="24" t="s">
        <v>210</v>
      </c>
      <c r="E85" s="70" t="str">
        <f>INDEX([1]Produtos!$C:$C,MATCH($D85,[1]Produtos!$B:$B,0))&amp;IF($F85&lt;&gt;"-"," - "&amp;LEFT($F85,1),"")&amp;" &gt; "&amp;$B85</f>
        <v>BODY SPLASH GLOW CHAMPAGNE &gt; GOTA ZEN - Body Slash</v>
      </c>
      <c r="F85" s="38" t="s">
        <v>38</v>
      </c>
      <c r="G85" s="38">
        <v>45778</v>
      </c>
      <c r="H85" s="39">
        <v>2000</v>
      </c>
      <c r="I85" s="24" t="s">
        <v>39</v>
      </c>
      <c r="J85" s="68" t="str" cm="1">
        <f t="array" ref="J85">IFERROR(INDEX('[2]Previsão Envase'!$D$5:$D$4867, MATCH(1,('[2]Previsão Envase'!$F$5:$F$4867=$E85)+('[2]Previsão Envase'!$G$5:$G$4867=$E85)+('[2]Previsão Envase'!$H$5:$H$4867=$E85),0)),"")</f>
        <v/>
      </c>
      <c r="K85" s="68" t="str">
        <f>IF(COUNTIF('[2]Previsão Envase'!$F:$F,E85)&gt;0,"Linha 1",
IF(COUNTIF('[2]Previsão Envase'!$G:$G,E85)&gt;0,"Linha 2",
IF(COUNTIF('[2]Previsão Envase'!$H:$H,E85)&gt;0,"Linha 3","")))</f>
        <v/>
      </c>
      <c r="L85" s="96">
        <f>COUNTIF('[2]Previsão Envase'!$F:$H,E85)-COUNTIF('[2]Previsão Envase'!$F$1:$H$4,E85)</f>
        <v>0</v>
      </c>
      <c r="M85" s="35">
        <f t="shared" si="25"/>
        <v>0</v>
      </c>
      <c r="N85" s="68" t="str">
        <f>IFERROR(MAX(_xlfn.MAXIFS('[2]Controle de Produção'!$C:$C,'[2]Controle de Produção'!$L:$L,$D85,'[2]Controle de Produção'!$P:$P,$C85,'[2]Controle de Produção'!$G:$G,$B85),_xlfn.MAXIFS([3]EXPEDIÇÃO!$N:$N,[3]EXPEDIÇÃO!$E:$E,$D85,[3]EXPEDIÇÃO!$D:$D,$C85,[3]EXPEDIÇÃO!$N:$N,"&gt;="&amp;$G85)),"")</f>
        <v/>
      </c>
      <c r="O85" s="70">
        <f>INDEX([1]Produtos!$E:$E,MATCH($D85,[1]Produtos!$B:$B,0))</f>
        <v>210</v>
      </c>
      <c r="P85" s="70" t="str">
        <f>INDEX([1]Produtos!$F:$F,MATCH($D85,[1]Produtos!$B:$B,0))</f>
        <v>ml</v>
      </c>
      <c r="Q85" s="105">
        <f>INDEX([1]Produtos!$Y:$Y,MATCH($D85,[1]Produtos!$B:$B,0))</f>
        <v>2.0200000000000005</v>
      </c>
      <c r="R85" s="35">
        <f t="shared" si="26"/>
        <v>7592.2902086267013</v>
      </c>
      <c r="S85" s="27">
        <f>IFERROR(INDEX([1]Produtos!$L:$L,MATCH(D85,[1]Produtos!$B:$B,0)), "")</f>
        <v>843.58780095852239</v>
      </c>
      <c r="T85" s="28">
        <f t="shared" si="27"/>
        <v>2.4</v>
      </c>
      <c r="U85" s="28" t="str">
        <f t="shared" si="28"/>
        <v>0D e 3h</v>
      </c>
      <c r="V85" s="27">
        <f>IFERROR(SUMIFS('[2]Controle de Produção'!$K:$K,'[2]Controle de Produção'!$L:$L,D85,'[2]Controle de Produção'!$P:$P,C85,'[2]Controle de Produção'!$B:$B,"&gt;=" &amp; G85,'[2]Controle de Produção'!$C:$C,"&lt;=" &amp; N85, '[2]Controle de Produção'!$G:$G,B85), "")</f>
        <v>0</v>
      </c>
      <c r="W85" s="27" t="str">
        <f>IFERROR(SUMIFS([3]EXPEDIÇÃO!$K:$K,[3]EXPEDIÇÃO!$E:$E,D85,[3]EXPEDIÇÃO!$D:$D,C85,[3]EXPEDIÇÃO!$N:$N,"&gt;=" &amp; G85,[3]EXPEDIÇÃO!$N:$N,"&lt;="&amp;N85), "")</f>
        <v/>
      </c>
      <c r="X85" s="27">
        <f>COUNTIFS('[2]Controle de Produção'!$P:$P,C85,'[2]Controle de Produção'!$L:$L,D85,'[2]Controle de Produção'!$B:$B,"&gt;=" &amp; G85)</f>
        <v>4</v>
      </c>
      <c r="Y85" s="27">
        <f t="shared" si="29"/>
        <v>0</v>
      </c>
      <c r="Z85" s="27">
        <f>IFERROR(COUNTIFS('[2]Controle de Produção'!$L:$L,D85,'[2]Controle de Produção'!$P:$P,C85,'[2]Controle de Produção'!$B:$B,"&gt;=" &amp; G85,'[2]Controle de Produção'!$C:$C,"&lt;=" &amp; N85, '[2]Controle de Produção'!$G:$G,B85), "")</f>
        <v>0</v>
      </c>
      <c r="AA85" s="108" t="str">
        <f t="shared" si="30"/>
        <v/>
      </c>
      <c r="AB85" s="41" t="str" cm="1">
        <f t="array" ref="AB85">_xlfn.IFS((H85*0.95)&lt;=V85,"Concluído",AND(V85 =0, J85&lt;&gt;""),"Programado",AND(V85=0,D85=""),"Desenvolv.",V85=0,"Não Iniciado",AND(V85&gt;0,V85&lt;H85,AO85=TRUE),"Em Produção",AND(V85&gt;0,V85&lt;H85,AO85=FALSE),"Produção Parcial")</f>
        <v>Não Iniciado</v>
      </c>
      <c r="AC85" s="42" t="b">
        <v>1</v>
      </c>
      <c r="AD85" s="42" t="b">
        <v>1</v>
      </c>
      <c r="AE85" s="42" t="b">
        <v>1</v>
      </c>
      <c r="AF85" s="42" t="b">
        <v>1</v>
      </c>
      <c r="AG85" s="42" t="s">
        <v>38</v>
      </c>
      <c r="AH85" s="42" t="s">
        <v>38</v>
      </c>
      <c r="AI85" s="42" t="b">
        <v>1</v>
      </c>
      <c r="AJ85" s="50" t="s">
        <v>38</v>
      </c>
      <c r="AK85" s="50"/>
      <c r="AL85" s="42" t="b">
        <v>1</v>
      </c>
      <c r="AM85" s="42" t="b">
        <v>1</v>
      </c>
      <c r="AN85" s="42" t="b">
        <v>1</v>
      </c>
      <c r="AO85" s="45" t="b" cm="1">
        <f t="array" ref="AO85">AND(COUNTIF(AC85:AN85,FALSE)=0,SUMPRODUCT(ISNUMBER(AC85:AN85)*1)=0)</f>
        <v>1</v>
      </c>
      <c r="AP85" s="59"/>
      <c r="AQ85" s="111">
        <f>IF(AB85="",99999999999,IFERROR(MATCH(AB85,{"Produção Parcial","Em Produção","Programado","Não Iniciado","Desenvolv.","Concluído"},0),7)*100000000+IF(ISNUMBER(J85),J85-46000,9999)*10000+IF(A85="",99,A85)*100+IF(C85="",99,CODE(LEFT(C85,1))))</f>
        <v>499990071</v>
      </c>
    </row>
    <row r="86" spans="1:45" s="36" customFormat="1" ht="25.15" hidden="1" customHeight="1" x14ac:dyDescent="0.25">
      <c r="A86" s="36">
        <v>0</v>
      </c>
      <c r="B86" s="38" t="s">
        <v>208</v>
      </c>
      <c r="C86" s="24" t="str">
        <f>INDEX([1]Produtos!$G:$G,MATCH($D86,[1]Produtos!$B:$B,0))</f>
        <v>GOTA ZEN</v>
      </c>
      <c r="D86" s="24" t="s">
        <v>214</v>
      </c>
      <c r="E86" s="70" t="str">
        <f>INDEX([1]Produtos!$C:$C,MATCH($D86,[1]Produtos!$B:$B,0))&amp;IF($F86&lt;&gt;"-"," - "&amp;LEFT($F86,1),"")&amp;" &gt; "&amp;$B86</f>
        <v>BODY SPLASH GOTA LOVE &gt; GOTA ZEN - Body Slash</v>
      </c>
      <c r="F86" s="38" t="s">
        <v>38</v>
      </c>
      <c r="G86" s="38">
        <v>45778</v>
      </c>
      <c r="H86" s="39">
        <v>2000</v>
      </c>
      <c r="I86" s="24" t="s">
        <v>39</v>
      </c>
      <c r="J86" s="68" t="str" cm="1">
        <f t="array" ref="J86">IFERROR(INDEX('[2]Previsão Envase'!$D$5:$D$4867, MATCH(1,('[2]Previsão Envase'!$F$5:$F$4867=$E86)+('[2]Previsão Envase'!$G$5:$G$4867=$E86)+('[2]Previsão Envase'!$H$5:$H$4867=$E86),0)),"")</f>
        <v/>
      </c>
      <c r="K86" s="68" t="str">
        <f>IF(COUNTIF('[2]Previsão Envase'!$F:$F,E86)&gt;0,"Linha 1",
IF(COUNTIF('[2]Previsão Envase'!$G:$G,E86)&gt;0,"Linha 2",
IF(COUNTIF('[2]Previsão Envase'!$H:$H,E86)&gt;0,"Linha 3","")))</f>
        <v/>
      </c>
      <c r="L86" s="96">
        <f>COUNTIF('[2]Previsão Envase'!$F:$H,E86)-COUNTIF('[2]Previsão Envase'!$F$1:$H$4,E86)</f>
        <v>0</v>
      </c>
      <c r="M86" s="35">
        <f t="shared" si="25"/>
        <v>0</v>
      </c>
      <c r="N86" s="68" t="str">
        <f>IFERROR(MAX(_xlfn.MAXIFS('[2]Controle de Produção'!$C:$C,'[2]Controle de Produção'!$L:$L,$D86,'[2]Controle de Produção'!$P:$P,$C86,'[2]Controle de Produção'!$G:$G,$B86),_xlfn.MAXIFS([3]EXPEDIÇÃO!$N:$N,[3]EXPEDIÇÃO!$E:$E,$D86,[3]EXPEDIÇÃO!$D:$D,$C86,[3]EXPEDIÇÃO!$N:$N,"&gt;="&amp;$G86)),"")</f>
        <v/>
      </c>
      <c r="O86" s="70">
        <f>INDEX([1]Produtos!$E:$E,MATCH($D86,[1]Produtos!$B:$B,0))</f>
        <v>210</v>
      </c>
      <c r="P86" s="70" t="str">
        <f>INDEX([1]Produtos!$F:$F,MATCH($D86,[1]Produtos!$B:$B,0))</f>
        <v>ml</v>
      </c>
      <c r="Q86" s="105">
        <f>INDEX([1]Produtos!$Y:$Y,MATCH($D86,[1]Produtos!$B:$B,0))</f>
        <v>2.0200000000000005</v>
      </c>
      <c r="R86" s="35">
        <f t="shared" si="26"/>
        <v>7592.2902086267013</v>
      </c>
      <c r="S86" s="27">
        <f>IFERROR(INDEX([1]Produtos!$L:$L,MATCH(D86,[1]Produtos!$B:$B,0)), "")</f>
        <v>843.58780095852239</v>
      </c>
      <c r="T86" s="28">
        <f t="shared" si="27"/>
        <v>2.4</v>
      </c>
      <c r="U86" s="28" t="str">
        <f t="shared" si="28"/>
        <v>0D e 3h</v>
      </c>
      <c r="V86" s="27">
        <f>IFERROR(SUMIFS('[2]Controle de Produção'!$K:$K,'[2]Controle de Produção'!$L:$L,D86,'[2]Controle de Produção'!$P:$P,C86,'[2]Controle de Produção'!$B:$B,"&gt;=" &amp; G86,'[2]Controle de Produção'!$C:$C,"&lt;=" &amp; N86, '[2]Controle de Produção'!$G:$G,B86), "")</f>
        <v>0</v>
      </c>
      <c r="W86" s="27" t="str">
        <f>IFERROR(SUMIFS([3]EXPEDIÇÃO!$K:$K,[3]EXPEDIÇÃO!$E:$E,D86,[3]EXPEDIÇÃO!$D:$D,C86,[3]EXPEDIÇÃO!$N:$N,"&gt;=" &amp; G86,[3]EXPEDIÇÃO!$N:$N,"&lt;="&amp;N86), "")</f>
        <v/>
      </c>
      <c r="X86" s="27">
        <f>COUNTIFS('[2]Controle de Produção'!$P:$P,C86,'[2]Controle de Produção'!$L:$L,D86,'[2]Controle de Produção'!$B:$B,"&gt;=" &amp; G86)</f>
        <v>3</v>
      </c>
      <c r="Y86" s="27">
        <f t="shared" si="29"/>
        <v>0</v>
      </c>
      <c r="Z86" s="27">
        <f>IFERROR(COUNTIFS('[2]Controle de Produção'!$L:$L,D86,'[2]Controle de Produção'!$P:$P,C86,'[2]Controle de Produção'!$B:$B,"&gt;=" &amp; G86,'[2]Controle de Produção'!$C:$C,"&lt;=" &amp; N86, '[2]Controle de Produção'!$G:$G,B86), "")</f>
        <v>0</v>
      </c>
      <c r="AA86" s="108" t="str">
        <f t="shared" si="30"/>
        <v/>
      </c>
      <c r="AB86" s="41" t="str" cm="1">
        <f t="array" ref="AB86">_xlfn.IFS((H86*0.95)&lt;=V86,"Concluído",AND(V86 =0, J86&lt;&gt;""),"Programado",AND(V86=0,D86=""),"Desenvolv.",V86=0,"Não Iniciado",AND(V86&gt;0,V86&lt;H86,AO86=TRUE),"Em Produção",AND(V86&gt;0,V86&lt;H86,AO86=FALSE),"Produção Parcial")</f>
        <v>Não Iniciado</v>
      </c>
      <c r="AC86" s="42" t="b">
        <v>1</v>
      </c>
      <c r="AD86" s="42" t="b">
        <v>1</v>
      </c>
      <c r="AE86" s="42" t="b">
        <v>1</v>
      </c>
      <c r="AF86" s="42" t="b">
        <v>1</v>
      </c>
      <c r="AG86" s="42" t="s">
        <v>38</v>
      </c>
      <c r="AH86" s="42" t="s">
        <v>38</v>
      </c>
      <c r="AI86" s="42" t="b">
        <v>1</v>
      </c>
      <c r="AJ86" s="50" t="s">
        <v>38</v>
      </c>
      <c r="AK86" s="50"/>
      <c r="AL86" s="42" t="b">
        <v>1</v>
      </c>
      <c r="AM86" s="42" t="b">
        <v>1</v>
      </c>
      <c r="AN86" s="42" t="b">
        <v>1</v>
      </c>
      <c r="AO86" s="45" t="b" cm="1">
        <f t="array" ref="AO86">AND(COUNTIF(AC86:AN86,FALSE)=0,SUMPRODUCT(ISNUMBER(AC86:AN86)*1)=0)</f>
        <v>1</v>
      </c>
      <c r="AP86" s="59"/>
      <c r="AQ86" s="111">
        <f>IF(AB86="",99999999999,IFERROR(MATCH(AB86,{"Produção Parcial","Em Produção","Programado","Não Iniciado","Desenvolv.","Concluído"},0),7)*100000000+IF(ISNUMBER(J86),J86-46000,9999)*10000+IF(A86="",99,A86)*100+IF(C86="",99,CODE(LEFT(C86,1))))</f>
        <v>499990071</v>
      </c>
    </row>
    <row r="87" spans="1:45" s="36" customFormat="1" ht="25.15" hidden="1" customHeight="1" x14ac:dyDescent="0.25">
      <c r="A87" s="36">
        <v>0</v>
      </c>
      <c r="B87" s="103" t="s">
        <v>416</v>
      </c>
      <c r="C87" s="70" t="str">
        <f>INDEX([1]Produtos!$G:$G,MATCH($D87,[1]Produtos!$B:$B,0))</f>
        <v>GOTA ZEN</v>
      </c>
      <c r="D87" s="24" t="s">
        <v>212</v>
      </c>
      <c r="E87" s="70" t="str">
        <f>INDEX([1]Produtos!$C:$C,MATCH($D87,[1]Produtos!$B:$B,0))&amp;IF($F87&lt;&gt;"-"," - "&amp;LEFT($F87,1),"")&amp;" &gt; "&amp;$B87</f>
        <v>BODY SPLASH GOTA BELLE &gt; MARIO 09/02/26</v>
      </c>
      <c r="F87" s="51" t="s">
        <v>38</v>
      </c>
      <c r="G87" s="38">
        <v>46009</v>
      </c>
      <c r="H87" s="39">
        <v>2800</v>
      </c>
      <c r="I87" s="24" t="s">
        <v>39</v>
      </c>
      <c r="J87" s="68" t="str" cm="1">
        <f t="array" ref="J87">IFERROR(INDEX('[2]Previsão Envase'!$D$5:$D$4867, MATCH(1,('[2]Previsão Envase'!$F$5:$F$4867=$E87)+('[2]Previsão Envase'!$G$5:$G$4867=$E87)+('[2]Previsão Envase'!$H$5:$H$4867=$E87),0)),"")</f>
        <v/>
      </c>
      <c r="K87" s="68" t="str">
        <f>IF(COUNTIF('[2]Previsão Envase'!$F:$F,E87)&gt;0,"Linha 1",
IF(COUNTIF('[2]Previsão Envase'!$G:$G,E87)&gt;0,"Linha 2",
IF(COUNTIF('[2]Previsão Envase'!$H:$H,E87)&gt;0,"Linha 3","")))</f>
        <v/>
      </c>
      <c r="L87" s="96">
        <f>COUNTIF('[2]Previsão Envase'!$F:$H,E87)-COUNTIF('[2]Previsão Envase'!$F$1:$H$4,E87)</f>
        <v>0</v>
      </c>
      <c r="M87" s="35">
        <f t="shared" si="25"/>
        <v>0</v>
      </c>
      <c r="N87" s="68" t="str">
        <f>IFERROR(MAX(_xlfn.MAXIFS('[2]Controle de Produção'!$C:$C,'[2]Controle de Produção'!$L:$L,$D87,'[2]Controle de Produção'!$P:$P,$C87,'[2]Controle de Produção'!$G:$G,$B87),_xlfn.MAXIFS([3]EXPEDIÇÃO!$N:$N,[3]EXPEDIÇÃO!$E:$E,$D87,[3]EXPEDIÇÃO!$D:$D,$C87,[3]EXPEDIÇÃO!$N:$N,"&gt;="&amp;$G87)),"")</f>
        <v/>
      </c>
      <c r="O87" s="70">
        <f>INDEX([1]Produtos!$E:$E,MATCH($D87,[1]Produtos!$B:$B,0))</f>
        <v>210</v>
      </c>
      <c r="P87" s="70" t="str">
        <f>INDEX([1]Produtos!$F:$F,MATCH($D87,[1]Produtos!$B:$B,0))</f>
        <v>ml</v>
      </c>
      <c r="Q87" s="105">
        <f>INDEX([1]Produtos!$Y:$Y,MATCH($D87,[1]Produtos!$B:$B,0))</f>
        <v>2.0200000000000005</v>
      </c>
      <c r="R87" s="35">
        <f t="shared" si="26"/>
        <v>7592.2902086267013</v>
      </c>
      <c r="S87" s="27">
        <f>IFERROR(INDEX([1]Produtos!$L:$L,MATCH(D87,[1]Produtos!$B:$B,0)), "")</f>
        <v>843.58780095852239</v>
      </c>
      <c r="T87" s="28">
        <f t="shared" si="27"/>
        <v>3.4</v>
      </c>
      <c r="U87" s="28" t="str">
        <f t="shared" si="28"/>
        <v>0D e 4h</v>
      </c>
      <c r="V87" s="27">
        <f>IFERROR(SUMIFS('[2]Controle de Produção'!$K:$K,'[2]Controle de Produção'!$L:$L,D87,'[2]Controle de Produção'!$P:$P,C87,'[2]Controle de Produção'!$B:$B,"&gt;=" &amp; G87,'[2]Controle de Produção'!$C:$C,"&lt;=" &amp; N87, '[2]Controle de Produção'!$G:$G,B87), "")</f>
        <v>0</v>
      </c>
      <c r="W87" s="27" t="str">
        <f>IFERROR(SUMIFS([3]EXPEDIÇÃO!$K:$K,[3]EXPEDIÇÃO!$E:$E,D87,[3]EXPEDIÇÃO!$D:$D,C87,[3]EXPEDIÇÃO!$N:$N,"&gt;=" &amp; G87,[3]EXPEDIÇÃO!$N:$N,"&lt;="&amp;N87), "")</f>
        <v/>
      </c>
      <c r="X87" s="27">
        <f>COUNTIFS('[2]Controle de Produção'!$P:$P,C87,'[2]Controle de Produção'!$L:$L,D87,'[2]Controle de Produção'!$B:$B,"&gt;=" &amp; G87)</f>
        <v>1</v>
      </c>
      <c r="Y87" s="27">
        <f t="shared" si="29"/>
        <v>0</v>
      </c>
      <c r="Z87" s="27">
        <f>IFERROR(COUNTIFS('[2]Controle de Produção'!$L:$L,D87,'[2]Controle de Produção'!$P:$P,C87,'[2]Controle de Produção'!$B:$B,"&gt;=" &amp; G87,'[2]Controle de Produção'!$C:$C,"&lt;=" &amp; N87, '[2]Controle de Produção'!$G:$G,B87), "")</f>
        <v>0</v>
      </c>
      <c r="AA87" s="108" t="str">
        <f t="shared" si="30"/>
        <v/>
      </c>
      <c r="AB87" s="41" t="str" cm="1">
        <f t="array" ref="AB87">_xlfn.IFS((H87*0.95)&lt;=V87,"Concluído",AND(V87 =0, J87&lt;&gt;""),"Programado",AND(V87=0,D87=""),"Desenvolv.",V87=0,"Não Iniciado",AND(V87&gt;0,V87&lt;H87,AO87=TRUE),"Em Produção",AND(V87&gt;0,V87&lt;H87,AO87=FALSE),"Produção Parcial")</f>
        <v>Não Iniciado</v>
      </c>
      <c r="AC87" s="42" t="b">
        <v>1</v>
      </c>
      <c r="AD87" s="42" t="b">
        <v>1</v>
      </c>
      <c r="AE87" s="42" t="b">
        <v>1</v>
      </c>
      <c r="AF87" s="42" t="b">
        <v>1</v>
      </c>
      <c r="AG87" s="42" t="s">
        <v>38</v>
      </c>
      <c r="AH87" s="42" t="s">
        <v>38</v>
      </c>
      <c r="AI87" s="42" t="b">
        <v>1</v>
      </c>
      <c r="AJ87" s="42" t="s">
        <v>38</v>
      </c>
      <c r="AK87" s="42" t="s">
        <v>38</v>
      </c>
      <c r="AL87" s="42" t="b">
        <v>1</v>
      </c>
      <c r="AM87" s="42" t="b">
        <v>1</v>
      </c>
      <c r="AN87" s="42" t="b">
        <v>1</v>
      </c>
      <c r="AO87" s="45" t="b" cm="1">
        <f t="array" ref="AO87">AND(COUNTIF(AC87:AN87,FALSE)=0,SUMPRODUCT(ISNUMBER(AC87:AN87)*1)=0)</f>
        <v>1</v>
      </c>
      <c r="AP87" s="59"/>
      <c r="AQ87" s="111">
        <f>IF(AB87="",99999999999,IFERROR(MATCH(AB87,{"Produção Parcial","Em Produção","Programado","Não Iniciado","Desenvolv.","Concluído"},0),7)*100000000+IF(ISNUMBER(J87),J87-46000,9999)*10000+IF(A87="",99,A87)*100+IF(C87="",99,CODE(LEFT(C87,1))))</f>
        <v>499990071</v>
      </c>
    </row>
    <row r="88" spans="1:45" s="36" customFormat="1" ht="25.15" hidden="1" customHeight="1" x14ac:dyDescent="0.25">
      <c r="A88" s="36">
        <v>0</v>
      </c>
      <c r="B88" s="103" t="s">
        <v>416</v>
      </c>
      <c r="C88" s="70" t="str">
        <f>INDEX([1]Produtos!$G:$G,MATCH($D88,[1]Produtos!$B:$B,0))</f>
        <v>GOTA ZEN</v>
      </c>
      <c r="D88" s="24" t="s">
        <v>214</v>
      </c>
      <c r="E88" s="70" t="str">
        <f>INDEX([1]Produtos!$C:$C,MATCH($D88,[1]Produtos!$B:$B,0))&amp;IF($F88&lt;&gt;"-"," - "&amp;LEFT($F88,1),"")&amp;" &gt; "&amp;$B88</f>
        <v>BODY SPLASH GOTA LOVE &gt; MARIO 09/02/26</v>
      </c>
      <c r="F88" s="51" t="s">
        <v>38</v>
      </c>
      <c r="G88" s="38">
        <v>46009</v>
      </c>
      <c r="H88" s="39">
        <v>2800</v>
      </c>
      <c r="I88" s="24" t="s">
        <v>39</v>
      </c>
      <c r="J88" s="68" t="str" cm="1">
        <f t="array" ref="J88">IFERROR(INDEX('[2]Previsão Envase'!$D$5:$D$4867, MATCH(1,('[2]Previsão Envase'!$F$5:$F$4867=$E88)+('[2]Previsão Envase'!$G$5:$G$4867=$E88)+('[2]Previsão Envase'!$H$5:$H$4867=$E88),0)),"")</f>
        <v/>
      </c>
      <c r="K88" s="68" t="str">
        <f>IF(COUNTIF('[2]Previsão Envase'!$F:$F,E88)&gt;0,"Linha 1",
IF(COUNTIF('[2]Previsão Envase'!$G:$G,E88)&gt;0,"Linha 2",
IF(COUNTIF('[2]Previsão Envase'!$H:$H,E88)&gt;0,"Linha 3","")))</f>
        <v/>
      </c>
      <c r="L88" s="96">
        <f>COUNTIF('[2]Previsão Envase'!$F:$H,E88)-COUNTIF('[2]Previsão Envase'!$F$1:$H$4,E88)</f>
        <v>0</v>
      </c>
      <c r="M88" s="35">
        <f t="shared" si="25"/>
        <v>0</v>
      </c>
      <c r="N88" s="68" t="str">
        <f>IFERROR(MAX(_xlfn.MAXIFS('[2]Controle de Produção'!$C:$C,'[2]Controle de Produção'!$L:$L,$D88,'[2]Controle de Produção'!$P:$P,$C88,'[2]Controle de Produção'!$G:$G,$B88),_xlfn.MAXIFS([3]EXPEDIÇÃO!$N:$N,[3]EXPEDIÇÃO!$E:$E,$D88,[3]EXPEDIÇÃO!$D:$D,$C88,[3]EXPEDIÇÃO!$N:$N,"&gt;="&amp;$G88)),"")</f>
        <v/>
      </c>
      <c r="O88" s="70">
        <f>INDEX([1]Produtos!$E:$E,MATCH($D88,[1]Produtos!$B:$B,0))</f>
        <v>210</v>
      </c>
      <c r="P88" s="70" t="str">
        <f>INDEX([1]Produtos!$F:$F,MATCH($D88,[1]Produtos!$B:$B,0))</f>
        <v>ml</v>
      </c>
      <c r="Q88" s="105">
        <f>INDEX([1]Produtos!$Y:$Y,MATCH($D88,[1]Produtos!$B:$B,0))</f>
        <v>2.0200000000000005</v>
      </c>
      <c r="R88" s="35">
        <f t="shared" si="26"/>
        <v>7592.2902086267013</v>
      </c>
      <c r="S88" s="27">
        <f>IFERROR(INDEX([1]Produtos!$L:$L,MATCH(D88,[1]Produtos!$B:$B,0)), "")</f>
        <v>843.58780095852239</v>
      </c>
      <c r="T88" s="28">
        <f t="shared" si="27"/>
        <v>3.4</v>
      </c>
      <c r="U88" s="28" t="str">
        <f t="shared" si="28"/>
        <v>0D e 4h</v>
      </c>
      <c r="V88" s="27">
        <f>IFERROR(SUMIFS('[2]Controle de Produção'!$K:$K,'[2]Controle de Produção'!$L:$L,D88,'[2]Controle de Produção'!$P:$P,C88,'[2]Controle de Produção'!$B:$B,"&gt;=" &amp; G88,'[2]Controle de Produção'!$C:$C,"&lt;=" &amp; N88, '[2]Controle de Produção'!$G:$G,B88), "")</f>
        <v>0</v>
      </c>
      <c r="W88" s="27" t="str">
        <f>IFERROR(SUMIFS([3]EXPEDIÇÃO!$K:$K,[3]EXPEDIÇÃO!$E:$E,D88,[3]EXPEDIÇÃO!$D:$D,C88,[3]EXPEDIÇÃO!$N:$N,"&gt;=" &amp; G88,[3]EXPEDIÇÃO!$N:$N,"&lt;="&amp;N88), "")</f>
        <v/>
      </c>
      <c r="X88" s="27">
        <f>COUNTIFS('[2]Controle de Produção'!$P:$P,C88,'[2]Controle de Produção'!$L:$L,D88,'[2]Controle de Produção'!$B:$B,"&gt;=" &amp; G88)</f>
        <v>2</v>
      </c>
      <c r="Y88" s="27">
        <f t="shared" si="29"/>
        <v>0</v>
      </c>
      <c r="Z88" s="27">
        <f>IFERROR(COUNTIFS('[2]Controle de Produção'!$L:$L,D88,'[2]Controle de Produção'!$P:$P,C88,'[2]Controle de Produção'!$B:$B,"&gt;=" &amp; G88,'[2]Controle de Produção'!$C:$C,"&lt;=" &amp; N88, '[2]Controle de Produção'!$G:$G,B88), "")</f>
        <v>0</v>
      </c>
      <c r="AA88" s="108" t="str">
        <f t="shared" si="30"/>
        <v/>
      </c>
      <c r="AB88" s="41" t="str" cm="1">
        <f t="array" ref="AB88">_xlfn.IFS((H88*0.95)&lt;=V88,"Concluído",AND(V88 =0, J88&lt;&gt;""),"Programado",AND(V88=0,D88=""),"Desenvolv.",V88=0,"Não Iniciado",AND(V88&gt;0,V88&lt;H88,AO88=TRUE),"Em Produção",AND(V88&gt;0,V88&lt;H88,AO88=FALSE),"Produção Parcial")</f>
        <v>Não Iniciado</v>
      </c>
      <c r="AC88" s="42" t="b">
        <v>1</v>
      </c>
      <c r="AD88" s="42" t="b">
        <v>1</v>
      </c>
      <c r="AE88" s="42" t="b">
        <v>1</v>
      </c>
      <c r="AF88" s="42" t="b">
        <v>1</v>
      </c>
      <c r="AG88" s="42" t="s">
        <v>38</v>
      </c>
      <c r="AH88" s="42" t="s">
        <v>38</v>
      </c>
      <c r="AI88" s="42" t="b">
        <v>1</v>
      </c>
      <c r="AJ88" s="42" t="s">
        <v>38</v>
      </c>
      <c r="AK88" s="42" t="s">
        <v>38</v>
      </c>
      <c r="AL88" s="42" t="b">
        <v>1</v>
      </c>
      <c r="AM88" s="42" t="b">
        <v>1</v>
      </c>
      <c r="AN88" s="42" t="b">
        <v>1</v>
      </c>
      <c r="AO88" s="45" t="b" cm="1">
        <f t="array" ref="AO88">AND(COUNTIF(AC88:AN88,FALSE)=0,SUMPRODUCT(ISNUMBER(AC88:AN88)*1)=0)</f>
        <v>1</v>
      </c>
      <c r="AP88" s="59"/>
      <c r="AQ88" s="111">
        <f>IF(AB88="",99999999999,IFERROR(MATCH(AB88,{"Produção Parcial","Em Produção","Programado","Não Iniciado","Desenvolv.","Concluído"},0),7)*100000000+IF(ISNUMBER(J88),J88-46000,9999)*10000+IF(A88="",99,A88)*100+IF(C88="",99,CODE(LEFT(C88,1))))</f>
        <v>499990071</v>
      </c>
    </row>
    <row r="89" spans="1:45" s="36" customFormat="1" ht="25.15" hidden="1" customHeight="1" x14ac:dyDescent="0.25">
      <c r="A89" s="36">
        <v>0</v>
      </c>
      <c r="B89" s="38" t="s">
        <v>416</v>
      </c>
      <c r="C89" s="70" t="str">
        <f>INDEX([1]Produtos!$G:$G,MATCH($D89,[1]Produtos!$B:$B,0))</f>
        <v>GOTA ZEN</v>
      </c>
      <c r="D89" s="24" t="s">
        <v>210</v>
      </c>
      <c r="E89" s="70" t="str">
        <f>INDEX([1]Produtos!$C:$C,MATCH($D89,[1]Produtos!$B:$B,0))&amp;IF($F89&lt;&gt;"-"," - "&amp;LEFT($F89,1),"")&amp;" &gt; "&amp;$B89</f>
        <v>BODY SPLASH GLOW CHAMPAGNE &gt; MARIO 09/02/26</v>
      </c>
      <c r="F89" s="51" t="s">
        <v>38</v>
      </c>
      <c r="G89" s="38">
        <v>46009</v>
      </c>
      <c r="H89" s="39">
        <v>2800</v>
      </c>
      <c r="I89" s="24" t="s">
        <v>39</v>
      </c>
      <c r="J89" s="68" t="str" cm="1">
        <f t="array" ref="J89">IFERROR(INDEX('[2]Previsão Envase'!$D$5:$D$4867, MATCH(1,('[2]Previsão Envase'!$F$5:$F$4867=$E89)+('[2]Previsão Envase'!$G$5:$G$4867=$E89)+('[2]Previsão Envase'!$H$5:$H$4867=$E89),0)),"")</f>
        <v/>
      </c>
      <c r="K89" s="68" t="str">
        <f>IF(COUNTIF('[2]Previsão Envase'!$F:$F,E89)&gt;0,"Linha 1",
IF(COUNTIF('[2]Previsão Envase'!$G:$G,E89)&gt;0,"Linha 2",
IF(COUNTIF('[2]Previsão Envase'!$H:$H,E89)&gt;0,"Linha 3","")))</f>
        <v/>
      </c>
      <c r="L89" s="96">
        <f>COUNTIF('[2]Previsão Envase'!$F:$H,E89)-COUNTIF('[2]Previsão Envase'!$F$1:$H$4,E89)</f>
        <v>0</v>
      </c>
      <c r="M89" s="35">
        <f t="shared" si="25"/>
        <v>0</v>
      </c>
      <c r="N89" s="68" t="str">
        <f>IFERROR(MAX(_xlfn.MAXIFS('[2]Controle de Produção'!$C:$C,'[2]Controle de Produção'!$L:$L,$D89,'[2]Controle de Produção'!$P:$P,$C89,'[2]Controle de Produção'!$G:$G,$B89),_xlfn.MAXIFS([3]EXPEDIÇÃO!$N:$N,[3]EXPEDIÇÃO!$E:$E,$D89,[3]EXPEDIÇÃO!$D:$D,$C89,[3]EXPEDIÇÃO!$N:$N,"&gt;="&amp;$G89)),"")</f>
        <v/>
      </c>
      <c r="O89" s="70">
        <f>INDEX([1]Produtos!$E:$E,MATCH($D89,[1]Produtos!$B:$B,0))</f>
        <v>210</v>
      </c>
      <c r="P89" s="70" t="str">
        <f>INDEX([1]Produtos!$F:$F,MATCH($D89,[1]Produtos!$B:$B,0))</f>
        <v>ml</v>
      </c>
      <c r="Q89" s="105">
        <f>INDEX([1]Produtos!$Y:$Y,MATCH($D89,[1]Produtos!$B:$B,0))</f>
        <v>2.0200000000000005</v>
      </c>
      <c r="R89" s="35">
        <f t="shared" si="26"/>
        <v>7592.2902086267013</v>
      </c>
      <c r="S89" s="27">
        <f>IFERROR(INDEX([1]Produtos!$L:$L,MATCH(D89,[1]Produtos!$B:$B,0)), "")</f>
        <v>843.58780095852239</v>
      </c>
      <c r="T89" s="28">
        <f t="shared" si="27"/>
        <v>3.4</v>
      </c>
      <c r="U89" s="28" t="str">
        <f t="shared" si="28"/>
        <v>0D e 4h</v>
      </c>
      <c r="V89" s="27">
        <f>IFERROR(SUMIFS('[2]Controle de Produção'!$K:$K,'[2]Controle de Produção'!$L:$L,D89,'[2]Controle de Produção'!$P:$P,C89,'[2]Controle de Produção'!$B:$B,"&gt;=" &amp; G89,'[2]Controle de Produção'!$C:$C,"&lt;=" &amp; N89, '[2]Controle de Produção'!$G:$G,B89), "")</f>
        <v>0</v>
      </c>
      <c r="W89" s="27" t="str">
        <f>IFERROR(SUMIFS([3]EXPEDIÇÃO!$K:$K,[3]EXPEDIÇÃO!$E:$E,D89,[3]EXPEDIÇÃO!$D:$D,C89,[3]EXPEDIÇÃO!$N:$N,"&gt;=" &amp; G89,[3]EXPEDIÇÃO!$N:$N,"&lt;="&amp;N89), "")</f>
        <v/>
      </c>
      <c r="X89" s="27">
        <f>COUNTIFS('[2]Controle de Produção'!$P:$P,C89,'[2]Controle de Produção'!$L:$L,D89,'[2]Controle de Produção'!$B:$B,"&gt;=" &amp; G89)</f>
        <v>3</v>
      </c>
      <c r="Y89" s="27">
        <f t="shared" si="29"/>
        <v>0</v>
      </c>
      <c r="Z89" s="27">
        <f>IFERROR(COUNTIFS('[2]Controle de Produção'!$L:$L,D89,'[2]Controle de Produção'!$P:$P,C89,'[2]Controle de Produção'!$B:$B,"&gt;=" &amp; G89,'[2]Controle de Produção'!$C:$C,"&lt;=" &amp; N89, '[2]Controle de Produção'!$G:$G,B89), "")</f>
        <v>0</v>
      </c>
      <c r="AA89" s="108" t="str">
        <f t="shared" si="30"/>
        <v/>
      </c>
      <c r="AB89" s="41" t="str" cm="1">
        <f t="array" ref="AB89">_xlfn.IFS((H89*0.95)&lt;=V89,"Concluído",AND(V89 =0, J89&lt;&gt;""),"Programado",AND(V89=0,D89=""),"Desenvolv.",V89=0,"Não Iniciado",AND(V89&gt;0,V89&lt;H89,AO89=TRUE),"Em Produção",AND(V89&gt;0,V89&lt;H89,AO89=FALSE),"Produção Parcial")</f>
        <v>Não Iniciado</v>
      </c>
      <c r="AC89" s="42" t="b">
        <v>1</v>
      </c>
      <c r="AD89" s="42" t="b">
        <v>1</v>
      </c>
      <c r="AE89" s="42" t="b">
        <v>1</v>
      </c>
      <c r="AF89" s="42" t="b">
        <v>1</v>
      </c>
      <c r="AG89" s="42" t="s">
        <v>38</v>
      </c>
      <c r="AH89" s="42" t="s">
        <v>38</v>
      </c>
      <c r="AI89" s="42" t="b">
        <v>1</v>
      </c>
      <c r="AJ89" s="42" t="s">
        <v>38</v>
      </c>
      <c r="AK89" s="42" t="s">
        <v>38</v>
      </c>
      <c r="AL89" s="42" t="b">
        <v>1</v>
      </c>
      <c r="AM89" s="42" t="b">
        <v>1</v>
      </c>
      <c r="AN89" s="42" t="b">
        <v>1</v>
      </c>
      <c r="AO89" s="45" t="b" cm="1">
        <f t="array" ref="AO89">AND(COUNTIF(AC89:AN89,FALSE)=0,SUMPRODUCT(ISNUMBER(AC89:AN89)*1)=0)</f>
        <v>1</v>
      </c>
      <c r="AP89" s="59"/>
      <c r="AQ89" s="111">
        <f>IF(AB89="",99999999999,IFERROR(MATCH(AB89,{"Produção Parcial","Em Produção","Programado","Não Iniciado","Desenvolv.","Concluído"},0),7)*100000000+IF(ISNUMBER(J89),J89-46000,9999)*10000+IF(A89="",99,A89)*100+IF(C89="",99,CODE(LEFT(C89,1))))</f>
        <v>499990071</v>
      </c>
    </row>
    <row r="90" spans="1:45" s="36" customFormat="1" ht="25.15" hidden="1" customHeight="1" x14ac:dyDescent="0.25">
      <c r="A90" s="36">
        <v>0</v>
      </c>
      <c r="B90" s="38" t="s">
        <v>121</v>
      </c>
      <c r="C90" s="70" t="str">
        <f>INDEX([1]Produtos!$G:$G,MATCH($D90,[1]Produtos!$B:$B,0))</f>
        <v>HABIBI PERFUMES</v>
      </c>
      <c r="D90" s="24" t="s">
        <v>124</v>
      </c>
      <c r="E90" s="70" t="str">
        <f>INDEX([1]Produtos!$C:$C,MATCH($D90,[1]Produtos!$B:$B,0))&amp;IF($F90&lt;&gt;"-"," - "&amp;LEFT($F90,1),"")&amp;" &gt; "&amp;$B90</f>
        <v>HIDRATANTE BISNAGA ANGELUS 200g - 1 &gt; HABIBI 01</v>
      </c>
      <c r="F90" s="51" t="s">
        <v>441</v>
      </c>
      <c r="G90" s="38">
        <v>46009</v>
      </c>
      <c r="H90" s="39">
        <v>2000</v>
      </c>
      <c r="I90" s="24" t="s">
        <v>39</v>
      </c>
      <c r="J90" s="68" t="str" cm="1">
        <f t="array" ref="J90">IFERROR(INDEX('[2]Previsão Envase'!$D$5:$D$4867, MATCH(1,('[2]Previsão Envase'!$F$5:$F$4867=$E90)+('[2]Previsão Envase'!$G$5:$G$4867=$E90)+('[2]Previsão Envase'!$H$5:$H$4867=$E90),0)),"")</f>
        <v/>
      </c>
      <c r="K90" s="68" t="str">
        <f>IF(COUNTIF('[2]Previsão Envase'!$F:$F,E90)&gt;0,"Linha 1",
IF(COUNTIF('[2]Previsão Envase'!$G:$G,E90)&gt;0,"Linha 2",
IF(COUNTIF('[2]Previsão Envase'!$H:$H,E90)&gt;0,"Linha 3","")))</f>
        <v/>
      </c>
      <c r="L90" s="96">
        <f>COUNTIF('[2]Previsão Envase'!$F:$H,E90)-COUNTIF('[2]Previsão Envase'!$F$1:$H$4,E90)</f>
        <v>0</v>
      </c>
      <c r="M90" s="35">
        <f t="shared" si="25"/>
        <v>0</v>
      </c>
      <c r="N90" s="68" t="str">
        <f>IFERROR(MAX(_xlfn.MAXIFS('[2]Controle de Produção'!$C:$C,'[2]Controle de Produção'!$L:$L,$D90,'[2]Controle de Produção'!$P:$P,$C90,'[2]Controle de Produção'!$G:$G,$B90),_xlfn.MAXIFS([3]EXPEDIÇÃO!$N:$N,[3]EXPEDIÇÃO!$E:$E,$D90,[3]EXPEDIÇÃO!$D:$D,$C90,[3]EXPEDIÇÃO!$N:$N,"&gt;="&amp;$G90)),"")</f>
        <v/>
      </c>
      <c r="O90" s="70">
        <f>INDEX([1]Produtos!$E:$E,MATCH($D90,[1]Produtos!$B:$B,0))</f>
        <v>200</v>
      </c>
      <c r="P90" s="70" t="str">
        <f>INDEX([1]Produtos!$F:$F,MATCH($D90,[1]Produtos!$B:$B,0))</f>
        <v>g</v>
      </c>
      <c r="Q90" s="105">
        <f>INDEX([1]Produtos!$Y:$Y,MATCH($D90,[1]Produtos!$B:$B,0))</f>
        <v>2</v>
      </c>
      <c r="R90" s="35">
        <f t="shared" si="26"/>
        <v>5520.5897431648482</v>
      </c>
      <c r="S90" s="27">
        <f>IFERROR(INDEX([1]Produtos!$L:$L,MATCH(D90,[1]Produtos!$B:$B,0)), "")</f>
        <v>613.39886035164977</v>
      </c>
      <c r="T90" s="28">
        <f t="shared" si="27"/>
        <v>3.3000000000000003</v>
      </c>
      <c r="U90" s="28" t="str">
        <f t="shared" si="28"/>
        <v>0D e 4h</v>
      </c>
      <c r="V90" s="27">
        <f>IFERROR(SUMIFS('[2]Controle de Produção'!$K:$K,'[2]Controle de Produção'!$L:$L,D90,'[2]Controle de Produção'!$P:$P,C90,'[2]Controle de Produção'!$B:$B,"&gt;=" &amp; G90,'[2]Controle de Produção'!$C:$C,"&lt;=" &amp; N90, '[2]Controle de Produção'!$G:$G,B90), "")</f>
        <v>0</v>
      </c>
      <c r="W90" s="27" t="str">
        <f>IFERROR(SUMIFS([3]EXPEDIÇÃO!$K:$K,[3]EXPEDIÇÃO!$E:$E,D90,[3]EXPEDIÇÃO!$D:$D,C90,[3]EXPEDIÇÃO!$N:$N,"&gt;=" &amp; G90,[3]EXPEDIÇÃO!$N:$N,"&lt;="&amp;N90), "")</f>
        <v/>
      </c>
      <c r="X90" s="27">
        <f>COUNTIFS('[2]Controle de Produção'!$P:$P,C90,'[2]Controle de Produção'!$L:$L,D90,'[2]Controle de Produção'!$B:$B,"&gt;=" &amp; G90)</f>
        <v>5</v>
      </c>
      <c r="Y90" s="27">
        <f t="shared" si="29"/>
        <v>0</v>
      </c>
      <c r="Z90" s="27">
        <f>IFERROR(COUNTIFS('[2]Controle de Produção'!$L:$L,D90,'[2]Controle de Produção'!$P:$P,C90,'[2]Controle de Produção'!$B:$B,"&gt;=" &amp; G90,'[2]Controle de Produção'!$C:$C,"&lt;=" &amp; N90, '[2]Controle de Produção'!$G:$G,B90), "")</f>
        <v>0</v>
      </c>
      <c r="AA90" s="108" t="str">
        <f t="shared" si="30"/>
        <v/>
      </c>
      <c r="AB90" s="41" t="str" cm="1">
        <f t="array" ref="AB90">_xlfn.IFS((H90*0.95)&lt;=V90,"Concluído",AND(V90 =0, J90&lt;&gt;""),"Programado",AND(V90=0,D90=""),"Desenvolv.",V90=0,"Não Iniciado",AND(V90&gt;0,V90&lt;H90,AO90=TRUE),"Em Produção",AND(V90&gt;0,V90&lt;H90,AO90=FALSE),"Produção Parcial")</f>
        <v>Não Iniciado</v>
      </c>
      <c r="AC90" s="42" t="b">
        <v>1</v>
      </c>
      <c r="AD90" s="42" t="b">
        <v>1</v>
      </c>
      <c r="AE90" s="42" t="s">
        <v>38</v>
      </c>
      <c r="AF90" s="42" t="b">
        <v>1</v>
      </c>
      <c r="AG90" s="42" t="b">
        <v>1</v>
      </c>
      <c r="AH90" s="42" t="b">
        <v>1</v>
      </c>
      <c r="AI90" s="42" t="s">
        <v>38</v>
      </c>
      <c r="AJ90" s="42" t="b">
        <v>1</v>
      </c>
      <c r="AK90" s="42" t="s">
        <v>38</v>
      </c>
      <c r="AL90" s="42" t="b">
        <v>1</v>
      </c>
      <c r="AM90" s="42" t="b">
        <v>1</v>
      </c>
      <c r="AN90" s="42" t="b">
        <v>1</v>
      </c>
      <c r="AO90" s="45" t="b" cm="1">
        <f t="array" ref="AO90">AND(COUNTIF(AC90:AN90,FALSE)=0,SUMPRODUCT(ISNUMBER(AC90:AN90)*1)=0)</f>
        <v>1</v>
      </c>
      <c r="AP90" s="59"/>
      <c r="AQ90" s="111">
        <f>IF(AB90="",99999999999,IFERROR(MATCH(AB90,{"Produção Parcial","Em Produção","Programado","Não Iniciado","Desenvolv.","Concluído"},0),7)*100000000+IF(ISNUMBER(J90),J90-46000,9999)*10000+IF(A90="",99,A90)*100+IF(C90="",99,CODE(LEFT(C90,1))))</f>
        <v>499990072</v>
      </c>
    </row>
    <row r="91" spans="1:45" s="36" customFormat="1" ht="25.15" hidden="1" customHeight="1" x14ac:dyDescent="0.25">
      <c r="A91" s="36">
        <v>0</v>
      </c>
      <c r="B91" s="38" t="s">
        <v>177</v>
      </c>
      <c r="C91" s="24" t="str">
        <f>INDEX([1]Produtos!$G:$G,MATCH($D91,[1]Produtos!$B:$B,0))</f>
        <v>ISA BEAUTY</v>
      </c>
      <c r="D91" s="24" t="s">
        <v>178</v>
      </c>
      <c r="E91" s="70" t="str">
        <f>INDEX([1]Produtos!$C:$C,MATCH($D91,[1]Produtos!$B:$B,0))&amp;IF($F91&lt;&gt;"-"," - "&amp;LEFT($F91,1),"")&amp;" &gt; "&amp;$B91</f>
        <v>GELATINA CAPILAR CHEIRINHO DE TUTTI-FRUTTI &gt; 03_07</v>
      </c>
      <c r="F91" s="51" t="s">
        <v>38</v>
      </c>
      <c r="G91" s="38">
        <v>45862</v>
      </c>
      <c r="H91" s="39">
        <v>10000</v>
      </c>
      <c r="I91" s="24" t="s">
        <v>39</v>
      </c>
      <c r="J91" s="68" t="str" cm="1">
        <f t="array" ref="J91">IFERROR(INDEX('[2]Previsão Envase'!$D$5:$D$4867, MATCH(1,('[2]Previsão Envase'!$F$5:$F$4867=$E91)+('[2]Previsão Envase'!$G$5:$G$4867=$E91)+('[2]Previsão Envase'!$H$5:$H$4867=$E91),0)),"")</f>
        <v/>
      </c>
      <c r="K91" s="68" t="str">
        <f>IF(COUNTIF('[2]Previsão Envase'!$F:$F,E91)&gt;0,"Linha 1",
IF(COUNTIF('[2]Previsão Envase'!$G:$G,E91)&gt;0,"Linha 2",
IF(COUNTIF('[2]Previsão Envase'!$H:$H,E91)&gt;0,"Linha 3","")))</f>
        <v/>
      </c>
      <c r="L91" s="96">
        <f>COUNTIF('[2]Previsão Envase'!$F:$H,E91)-COUNTIF('[2]Previsão Envase'!$F$1:$H$4,E91)</f>
        <v>0</v>
      </c>
      <c r="M91" s="35">
        <f t="shared" si="25"/>
        <v>0</v>
      </c>
      <c r="N91" s="68" t="str">
        <f>IFERROR(MAX(_xlfn.MAXIFS('[2]Controle de Produção'!$C:$C,'[2]Controle de Produção'!$L:$L,$D91,'[2]Controle de Produção'!$P:$P,$C91,'[2]Controle de Produção'!$G:$G,$B91),_xlfn.MAXIFS([3]EXPEDIÇÃO!$N:$N,[3]EXPEDIÇÃO!$E:$E,$D91,[3]EXPEDIÇÃO!$D:$D,$C91,[3]EXPEDIÇÃO!$N:$N,"&gt;="&amp;$G91)),"")</f>
        <v/>
      </c>
      <c r="O91" s="70">
        <f>INDEX([1]Produtos!$E:$E,MATCH($D91,[1]Produtos!$B:$B,0))</f>
        <v>500</v>
      </c>
      <c r="P91" s="70" t="str">
        <f>INDEX([1]Produtos!$F:$F,MATCH($D91,[1]Produtos!$B:$B,0))</f>
        <v>ml</v>
      </c>
      <c r="Q91" s="105">
        <f>INDEX([1]Produtos!$Y:$Y,MATCH($D91,[1]Produtos!$B:$B,0))</f>
        <v>0</v>
      </c>
      <c r="R91" s="35">
        <f t="shared" si="26"/>
        <v>4672.1934435811372</v>
      </c>
      <c r="S91" s="27">
        <f>IFERROR(INDEX([1]Produtos!$L:$L,MATCH(D91,[1]Produtos!$B:$B,0)), "")</f>
        <v>519.13260484234854</v>
      </c>
      <c r="T91" s="28">
        <f t="shared" si="27"/>
        <v>19.3</v>
      </c>
      <c r="U91" s="28" t="str">
        <f t="shared" si="28"/>
        <v>2D e 2h</v>
      </c>
      <c r="V91" s="27">
        <f>IFERROR(SUMIFS('[2]Controle de Produção'!$K:$K,'[2]Controle de Produção'!$L:$L,D91,'[2]Controle de Produção'!$P:$P,C91,'[2]Controle de Produção'!$B:$B,"&gt;=" &amp; G91,'[2]Controle de Produção'!$C:$C,"&lt;=" &amp; N91, '[2]Controle de Produção'!$G:$G,B91), "")</f>
        <v>0</v>
      </c>
      <c r="W91" s="27" t="str">
        <f>IFERROR(SUMIFS([3]EXPEDIÇÃO!$K:$K,[3]EXPEDIÇÃO!$E:$E,D91,[3]EXPEDIÇÃO!$D:$D,C91,[3]EXPEDIÇÃO!$N:$N,"&gt;=" &amp; G91,[3]EXPEDIÇÃO!$N:$N,"&lt;="&amp;N91), "")</f>
        <v/>
      </c>
      <c r="X91" s="27">
        <f>COUNTIFS('[2]Controle de Produção'!$P:$P,C91,'[2]Controle de Produção'!$L:$L,D91,'[2]Controle de Produção'!$B:$B,"&gt;=" &amp; G91)</f>
        <v>11</v>
      </c>
      <c r="Y91" s="27">
        <f t="shared" si="29"/>
        <v>0</v>
      </c>
      <c r="Z91" s="27">
        <f>IFERROR(COUNTIFS('[2]Controle de Produção'!$L:$L,D91,'[2]Controle de Produção'!$P:$P,C91,'[2]Controle de Produção'!$B:$B,"&gt;=" &amp; G91,'[2]Controle de Produção'!$C:$C,"&lt;=" &amp; N91, '[2]Controle de Produção'!$G:$G,B91), "")</f>
        <v>0</v>
      </c>
      <c r="AA91" s="108" t="str">
        <f t="shared" si="30"/>
        <v/>
      </c>
      <c r="AB91" s="41" t="str" cm="1">
        <f t="array" ref="AB91">_xlfn.IFS((H91*0.95)&lt;=V91,"Concluído",AND(V91 =0, J91&lt;&gt;""),"Programado",AND(V91=0,D91=""),"Desenvolv.",V91=0,"Não Iniciado",AND(V91&gt;0,V91&lt;H91,AO91=TRUE),"Em Produção",AND(V91&gt;0,V91&lt;H91,AO91=FALSE),"Produção Parcial")</f>
        <v>Não Iniciado</v>
      </c>
      <c r="AC91" s="42" t="b">
        <v>1</v>
      </c>
      <c r="AD91" s="42" t="b">
        <v>1</v>
      </c>
      <c r="AE91" s="42" t="b">
        <v>1</v>
      </c>
      <c r="AF91" s="42" t="b">
        <v>1</v>
      </c>
      <c r="AG91" s="42" t="b">
        <v>1</v>
      </c>
      <c r="AH91" s="42" t="s">
        <v>38</v>
      </c>
      <c r="AI91" s="42" t="s">
        <v>38</v>
      </c>
      <c r="AJ91" s="42" t="s">
        <v>38</v>
      </c>
      <c r="AK91" s="42" t="b">
        <v>0</v>
      </c>
      <c r="AL91" s="42" t="b">
        <v>1</v>
      </c>
      <c r="AM91" s="42" t="b">
        <v>1</v>
      </c>
      <c r="AN91" s="87">
        <f>7/7</f>
        <v>1</v>
      </c>
      <c r="AO91" s="45" t="b" cm="1">
        <f t="array" ref="AO91">AND(COUNTIF(AC91:AN91,FALSE)=0,SUMPRODUCT(ISNUMBER(AC91:AN91)*1)=0)</f>
        <v>0</v>
      </c>
      <c r="AP91" s="59"/>
      <c r="AQ91" s="111">
        <f>IF(AB91="",99999999999,IFERROR(MATCH(AB91,{"Produção Parcial","Em Produção","Programado","Não Iniciado","Desenvolv.","Concluído"},0),7)*100000000+IF(ISNUMBER(J91),J91-46000,9999)*10000+IF(A91="",99,A91)*100+IF(C91="",99,CODE(LEFT(C91,1))))</f>
        <v>499990073</v>
      </c>
    </row>
    <row r="92" spans="1:45" s="36" customFormat="1" ht="25.15" hidden="1" customHeight="1" x14ac:dyDescent="0.25">
      <c r="A92" s="36">
        <v>0</v>
      </c>
      <c r="B92" s="38" t="s">
        <v>177</v>
      </c>
      <c r="C92" s="70" t="str">
        <f>INDEX([1]Produtos!$G:$G,MATCH($D92,[1]Produtos!$B:$B,0))</f>
        <v>ISA BEAUTY</v>
      </c>
      <c r="D92" s="24" t="s">
        <v>192</v>
      </c>
      <c r="E92" s="70" t="str">
        <f>INDEX([1]Produtos!$C:$C,MATCH($D92,[1]Produtos!$B:$B,0))&amp;IF($F92&lt;&gt;"-"," - "&amp;LEFT($F92,1),"")&amp;" &gt; "&amp;$B92</f>
        <v>GELEIA DE BANHO ABDALLAH &gt; 03_07</v>
      </c>
      <c r="F92" s="51" t="s">
        <v>38</v>
      </c>
      <c r="G92" s="38">
        <v>45862</v>
      </c>
      <c r="H92" s="39">
        <v>5000</v>
      </c>
      <c r="I92" s="24" t="s">
        <v>39</v>
      </c>
      <c r="J92" s="68" t="str" cm="1">
        <f t="array" ref="J92">IFERROR(INDEX('[2]Previsão Envase'!$D$5:$D$4867, MATCH(1,('[2]Previsão Envase'!$F$5:$F$4867=$E92)+('[2]Previsão Envase'!$G$5:$G$4867=$E92)+('[2]Previsão Envase'!$H$5:$H$4867=$E92),0)),"")</f>
        <v/>
      </c>
      <c r="K92" s="68" t="str">
        <f>IF(COUNTIF('[2]Previsão Envase'!$F:$F,E92)&gt;0,"Linha 1",
IF(COUNTIF('[2]Previsão Envase'!$G:$G,E92)&gt;0,"Linha 2",
IF(COUNTIF('[2]Previsão Envase'!$H:$H,E92)&gt;0,"Linha 3","")))</f>
        <v/>
      </c>
      <c r="L92" s="96">
        <f>COUNTIF('[2]Previsão Envase'!$F:$H,E92)-COUNTIF('[2]Previsão Envase'!$F$1:$H$4,E92)</f>
        <v>0</v>
      </c>
      <c r="M92" s="35">
        <f t="shared" si="25"/>
        <v>0</v>
      </c>
      <c r="N92" s="68" t="str">
        <f>IFERROR(MAX(_xlfn.MAXIFS('[2]Controle de Produção'!$C:$C,'[2]Controle de Produção'!$L:$L,$D92,'[2]Controle de Produção'!$P:$P,$C92,'[2]Controle de Produção'!$G:$G,$B92),_xlfn.MAXIFS([3]EXPEDIÇÃO!$N:$N,[3]EXPEDIÇÃO!$E:$E,$D92,[3]EXPEDIÇÃO!$D:$D,$C92,[3]EXPEDIÇÃO!$N:$N,"&gt;="&amp;$G92)),"")</f>
        <v/>
      </c>
      <c r="O92" s="70">
        <f>INDEX([1]Produtos!$E:$E,MATCH($D92,[1]Produtos!$B:$B,0))</f>
        <v>190</v>
      </c>
      <c r="P92" s="70" t="str">
        <f>INDEX([1]Produtos!$F:$F,MATCH($D92,[1]Produtos!$B:$B,0))</f>
        <v>ml</v>
      </c>
      <c r="Q92" s="105">
        <f>INDEX([1]Produtos!$Y:$Y,MATCH($D92,[1]Produtos!$B:$B,0))</f>
        <v>0</v>
      </c>
      <c r="R92" s="35">
        <f t="shared" si="26"/>
        <v>6588.4449153457572</v>
      </c>
      <c r="S92" s="27">
        <f>IFERROR(INDEX([1]Produtos!$L:$L,MATCH(D92,[1]Produtos!$B:$B,0)), "")</f>
        <v>732.04943503841741</v>
      </c>
      <c r="T92" s="28">
        <f t="shared" si="27"/>
        <v>6.8999999999999995</v>
      </c>
      <c r="U92" s="28" t="str">
        <f t="shared" si="28"/>
        <v>0D e 7h</v>
      </c>
      <c r="V92" s="27">
        <f>IFERROR(SUMIFS('[2]Controle de Produção'!$K:$K,'[2]Controle de Produção'!$L:$L,D92,'[2]Controle de Produção'!$P:$P,C92,'[2]Controle de Produção'!$B:$B,"&gt;=" &amp; G92,'[2]Controle de Produção'!$C:$C,"&lt;=" &amp; N92, '[2]Controle de Produção'!$G:$G,B92), "")</f>
        <v>0</v>
      </c>
      <c r="W92" s="27" t="str">
        <f>IFERROR(SUMIFS([3]EXPEDIÇÃO!$K:$K,[3]EXPEDIÇÃO!$E:$E,D92,[3]EXPEDIÇÃO!$D:$D,C92,[3]EXPEDIÇÃO!$N:$N,"&gt;=" &amp; G92,[3]EXPEDIÇÃO!$N:$N,"&lt;="&amp;N92), "")</f>
        <v/>
      </c>
      <c r="X92" s="27">
        <f>COUNTIFS('[2]Controle de Produção'!$P:$P,C92,'[2]Controle de Produção'!$L:$L,D92,'[2]Controle de Produção'!$B:$B,"&gt;=" &amp; G92)</f>
        <v>2</v>
      </c>
      <c r="Y92" s="27">
        <f t="shared" si="29"/>
        <v>0</v>
      </c>
      <c r="Z92" s="27">
        <f>IFERROR(COUNTIFS('[2]Controle de Produção'!$L:$L,D92,'[2]Controle de Produção'!$P:$P,C92,'[2]Controle de Produção'!$B:$B,"&gt;=" &amp; G92,'[2]Controle de Produção'!$C:$C,"&lt;=" &amp; N92, '[2]Controle de Produção'!$G:$G,B92), "")</f>
        <v>0</v>
      </c>
      <c r="AA92" s="108" t="str">
        <f t="shared" si="30"/>
        <v/>
      </c>
      <c r="AB92" s="41" t="str" cm="1">
        <f t="array" ref="AB92">_xlfn.IFS((H92*0.95)&lt;=V92,"Concluído",AND(V92 =0, J92&lt;&gt;""),"Programado",AND(V92=0,D92=""),"Desenvolv.",V92=0,"Não Iniciado",AND(V92&gt;0,V92&lt;H92,AO92=TRUE),"Em Produção",AND(V92&gt;0,V92&lt;H92,AO92=FALSE),"Produção Parcial")</f>
        <v>Não Iniciado</v>
      </c>
      <c r="AC92" s="42" t="b">
        <v>1</v>
      </c>
      <c r="AD92" s="42" t="b">
        <v>1</v>
      </c>
      <c r="AE92" s="42" t="b">
        <v>1</v>
      </c>
      <c r="AF92" s="42" t="b">
        <v>0</v>
      </c>
      <c r="AG92" s="42" t="b">
        <v>1</v>
      </c>
      <c r="AH92" s="42" t="s">
        <v>38</v>
      </c>
      <c r="AI92" s="42" t="s">
        <v>38</v>
      </c>
      <c r="AJ92" s="42" t="s">
        <v>38</v>
      </c>
      <c r="AK92" s="42" t="b">
        <v>0</v>
      </c>
      <c r="AL92" s="42" t="b">
        <v>0</v>
      </c>
      <c r="AM92" s="42" t="b">
        <v>0</v>
      </c>
      <c r="AN92" s="42" t="b">
        <v>0</v>
      </c>
      <c r="AO92" s="45" t="b" cm="1">
        <f t="array" ref="AO92">AND(COUNTIF(AC92:AN92,FALSE)=0,SUMPRODUCT(ISNUMBER(AC92:AN92)*1)=0)</f>
        <v>0</v>
      </c>
      <c r="AP92" s="59"/>
      <c r="AQ92" s="111">
        <f>IF(AB92="",99999999999,IFERROR(MATCH(AB92,{"Produção Parcial","Em Produção","Programado","Não Iniciado","Desenvolv.","Concluído"},0),7)*100000000+IF(ISNUMBER(J92),J92-46000,9999)*10000+IF(A92="",99,A92)*100+IF(C92="",99,CODE(LEFT(C92,1))))</f>
        <v>499990073</v>
      </c>
    </row>
    <row r="93" spans="1:45" s="36" customFormat="1" ht="25.15" hidden="1" customHeight="1" x14ac:dyDescent="0.25">
      <c r="A93" s="36">
        <v>0</v>
      </c>
      <c r="B93" s="38" t="s">
        <v>177</v>
      </c>
      <c r="C93" s="70" t="str">
        <f>INDEX([1]Produtos!$G:$G,MATCH($D93,[1]Produtos!$B:$B,0))</f>
        <v>ISA BEAUTY</v>
      </c>
      <c r="D93" s="24" t="s">
        <v>194</v>
      </c>
      <c r="E93" s="70" t="str">
        <f>INDEX([1]Produtos!$C:$C,MATCH($D93,[1]Produtos!$B:$B,0))&amp;IF($F93&lt;&gt;"-"," - "&amp;LEFT($F93,1),"")&amp;" &gt; "&amp;$B93</f>
        <v>GELEIA DE BANHO ÁRABE &gt; 03_07</v>
      </c>
      <c r="F93" s="51" t="s">
        <v>38</v>
      </c>
      <c r="G93" s="38">
        <v>45862</v>
      </c>
      <c r="H93" s="39">
        <v>5000</v>
      </c>
      <c r="I93" s="24" t="s">
        <v>39</v>
      </c>
      <c r="J93" s="68" t="str" cm="1">
        <f t="array" ref="J93">IFERROR(INDEX('[2]Previsão Envase'!$D$5:$D$4867, MATCH(1,('[2]Previsão Envase'!$F$5:$F$4867=$E93)+('[2]Previsão Envase'!$G$5:$G$4867=$E93)+('[2]Previsão Envase'!$H$5:$H$4867=$E93),0)),"")</f>
        <v/>
      </c>
      <c r="K93" s="68" t="str">
        <f>IF(COUNTIF('[2]Previsão Envase'!$F:$F,E93)&gt;0,"Linha 1",
IF(COUNTIF('[2]Previsão Envase'!$G:$G,E93)&gt;0,"Linha 2",
IF(COUNTIF('[2]Previsão Envase'!$H:$H,E93)&gt;0,"Linha 3","")))</f>
        <v/>
      </c>
      <c r="L93" s="96">
        <f>COUNTIF('[2]Previsão Envase'!$F:$H,E93)-COUNTIF('[2]Previsão Envase'!$F$1:$H$4,E93)</f>
        <v>0</v>
      </c>
      <c r="M93" s="35">
        <f t="shared" si="25"/>
        <v>0</v>
      </c>
      <c r="N93" s="68" t="str">
        <f>IFERROR(MAX(_xlfn.MAXIFS('[2]Controle de Produção'!$C:$C,'[2]Controle de Produção'!$L:$L,$D93,'[2]Controle de Produção'!$P:$P,$C93,'[2]Controle de Produção'!$G:$G,$B93),_xlfn.MAXIFS([3]EXPEDIÇÃO!$N:$N,[3]EXPEDIÇÃO!$E:$E,$D93,[3]EXPEDIÇÃO!$D:$D,$C93,[3]EXPEDIÇÃO!$N:$N,"&gt;="&amp;$G93)),"")</f>
        <v/>
      </c>
      <c r="O93" s="70">
        <f>INDEX([1]Produtos!$E:$E,MATCH($D93,[1]Produtos!$B:$B,0))</f>
        <v>190</v>
      </c>
      <c r="P93" s="70" t="str">
        <f>INDEX([1]Produtos!$F:$F,MATCH($D93,[1]Produtos!$B:$B,0))</f>
        <v>ml</v>
      </c>
      <c r="Q93" s="105">
        <f>INDEX([1]Produtos!$Y:$Y,MATCH($D93,[1]Produtos!$B:$B,0))</f>
        <v>0</v>
      </c>
      <c r="R93" s="35">
        <f t="shared" si="26"/>
        <v>6588.4449153457572</v>
      </c>
      <c r="S93" s="27">
        <f>IFERROR(INDEX([1]Produtos!$L:$L,MATCH(D93,[1]Produtos!$B:$B,0)), "")</f>
        <v>732.04943503841741</v>
      </c>
      <c r="T93" s="28">
        <f t="shared" si="27"/>
        <v>6.8999999999999995</v>
      </c>
      <c r="U93" s="28" t="str">
        <f t="shared" si="28"/>
        <v>0D e 7h</v>
      </c>
      <c r="V93" s="27">
        <f>IFERROR(SUMIFS('[2]Controle de Produção'!$K:$K,'[2]Controle de Produção'!$L:$L,D93,'[2]Controle de Produção'!$P:$P,C93,'[2]Controle de Produção'!$B:$B,"&gt;=" &amp; G93,'[2]Controle de Produção'!$C:$C,"&lt;=" &amp; N93, '[2]Controle de Produção'!$G:$G,B93), "")</f>
        <v>0</v>
      </c>
      <c r="W93" s="27" t="str">
        <f>IFERROR(SUMIFS([3]EXPEDIÇÃO!$K:$K,[3]EXPEDIÇÃO!$E:$E,D93,[3]EXPEDIÇÃO!$D:$D,C93,[3]EXPEDIÇÃO!$N:$N,"&gt;=" &amp; G93,[3]EXPEDIÇÃO!$N:$N,"&lt;="&amp;N93), "")</f>
        <v/>
      </c>
      <c r="X93" s="27">
        <f>COUNTIFS('[2]Controle de Produção'!$P:$P,C93,'[2]Controle de Produção'!$L:$L,D93,'[2]Controle de Produção'!$B:$B,"&gt;=" &amp; G93)</f>
        <v>2</v>
      </c>
      <c r="Y93" s="27">
        <f t="shared" si="29"/>
        <v>0</v>
      </c>
      <c r="Z93" s="27">
        <f>IFERROR(COUNTIFS('[2]Controle de Produção'!$L:$L,D93,'[2]Controle de Produção'!$P:$P,C93,'[2]Controle de Produção'!$B:$B,"&gt;=" &amp; G93,'[2]Controle de Produção'!$C:$C,"&lt;=" &amp; N93, '[2]Controle de Produção'!$G:$G,B93), "")</f>
        <v>0</v>
      </c>
      <c r="AA93" s="108" t="str">
        <f t="shared" si="30"/>
        <v/>
      </c>
      <c r="AB93" s="41" t="str" cm="1">
        <f t="array" ref="AB93">_xlfn.IFS((H93*0.95)&lt;=V93,"Concluído",AND(V93 =0, J93&lt;&gt;""),"Programado",AND(V93=0,D93=""),"Desenvolv.",V93=0,"Não Iniciado",AND(V93&gt;0,V93&lt;H93,AO93=TRUE),"Em Produção",AND(V93&gt;0,V93&lt;H93,AO93=FALSE),"Produção Parcial")</f>
        <v>Não Iniciado</v>
      </c>
      <c r="AC93" s="42" t="b">
        <v>1</v>
      </c>
      <c r="AD93" s="42" t="b">
        <v>1</v>
      </c>
      <c r="AE93" s="42" t="b">
        <v>1</v>
      </c>
      <c r="AF93" s="42" t="b">
        <v>0</v>
      </c>
      <c r="AG93" s="42" t="b">
        <v>1</v>
      </c>
      <c r="AH93" s="42" t="s">
        <v>38</v>
      </c>
      <c r="AI93" s="42" t="s">
        <v>38</v>
      </c>
      <c r="AJ93" s="42" t="s">
        <v>38</v>
      </c>
      <c r="AK93" s="42" t="b">
        <v>0</v>
      </c>
      <c r="AL93" s="42" t="b">
        <v>0</v>
      </c>
      <c r="AM93" s="42" t="b">
        <v>0</v>
      </c>
      <c r="AN93" s="42" t="b">
        <v>0</v>
      </c>
      <c r="AO93" s="45" t="b" cm="1">
        <f t="array" ref="AO93">AND(COUNTIF(AC93:AN93,FALSE)=0,SUMPRODUCT(ISNUMBER(AC93:AN93)*1)=0)</f>
        <v>0</v>
      </c>
      <c r="AP93" s="59"/>
      <c r="AQ93" s="111">
        <f>IF(AB93="",99999999999,IFERROR(MATCH(AB93,{"Produção Parcial","Em Produção","Programado","Não Iniciado","Desenvolv.","Concluído"},0),7)*100000000+IF(ISNUMBER(J93),J93-46000,9999)*10000+IF(A93="",99,A93)*100+IF(C93="",99,CODE(LEFT(C93,1))))</f>
        <v>499990073</v>
      </c>
    </row>
    <row r="94" spans="1:45" s="36" customFormat="1" ht="25.15" hidden="1" customHeight="1" x14ac:dyDescent="0.25">
      <c r="A94" s="36">
        <v>0</v>
      </c>
      <c r="B94" s="38" t="s">
        <v>169</v>
      </c>
      <c r="C94" s="65" t="str">
        <f>INDEX([1]Produtos!$G:$G,MATCH($D94,[1]Produtos!$B:$B,0))</f>
        <v>KURYOS</v>
      </c>
      <c r="D94" s="65" t="s">
        <v>175</v>
      </c>
      <c r="E94" s="70" t="str">
        <f>INDEX([1]Produtos!$C:$C,MATCH($D94,[1]Produtos!$B:$B,0))&amp;IF($F94&lt;&gt;"-"," - "&amp;LEFT($F94,1),"")&amp;" &gt; "&amp;$B94</f>
        <v>BASE PARA PERFUME FINA BASE 500ml &gt; 03_06</v>
      </c>
      <c r="F94" s="38" t="s">
        <v>38</v>
      </c>
      <c r="G94" s="38">
        <v>45841</v>
      </c>
      <c r="H94" s="39">
        <v>400</v>
      </c>
      <c r="I94" s="65" t="s">
        <v>39</v>
      </c>
      <c r="J94" s="68" t="str" cm="1">
        <f t="array" ref="J94">IFERROR(INDEX('[2]Previsão Envase'!$D$5:$D$4867, MATCH(1,('[2]Previsão Envase'!$F$5:$F$4867=$E94)+('[2]Previsão Envase'!$G$5:$G$4867=$E94)+('[2]Previsão Envase'!$H$5:$H$4867=$E94),0)),"")</f>
        <v/>
      </c>
      <c r="K94" s="68" t="str">
        <f>IF(COUNTIF('[2]Previsão Envase'!$F:$F,E94)&gt;0,"Linha 1",
IF(COUNTIF('[2]Previsão Envase'!$G:$G,E94)&gt;0,"Linha 2",
IF(COUNTIF('[2]Previsão Envase'!$H:$H,E94)&gt;0,"Linha 3","")))</f>
        <v/>
      </c>
      <c r="L94" s="96">
        <f>COUNTIF('[2]Previsão Envase'!$F:$H,E94)-COUNTIF('[2]Previsão Envase'!$F$1:$H$4,E94)</f>
        <v>0</v>
      </c>
      <c r="M94" s="35">
        <f t="shared" si="25"/>
        <v>0</v>
      </c>
      <c r="N94" s="68" t="str">
        <f>IFERROR(MAX(_xlfn.MAXIFS('[2]Controle de Produção'!$C:$C,'[2]Controle de Produção'!$L:$L,$D94,'[2]Controle de Produção'!$P:$P,$C94,'[2]Controle de Produção'!$G:$G,$B94),_xlfn.MAXIFS([3]EXPEDIÇÃO!$N:$N,[3]EXPEDIÇÃO!$E:$E,$D94,[3]EXPEDIÇÃO!$D:$D,$C94,[3]EXPEDIÇÃO!$N:$N,"&gt;="&amp;$G94)),"")</f>
        <v/>
      </c>
      <c r="O94" s="70">
        <f>INDEX([1]Produtos!$E:$E,MATCH($D94,[1]Produtos!$B:$B,0))</f>
        <v>500</v>
      </c>
      <c r="P94" s="70" t="str">
        <f>INDEX([1]Produtos!$F:$F,MATCH($D94,[1]Produtos!$B:$B,0))</f>
        <v>ml</v>
      </c>
      <c r="Q94" s="105">
        <f>INDEX([1]Produtos!$Y:$Y,MATCH($D94,[1]Produtos!$B:$B,0))</f>
        <v>0</v>
      </c>
      <c r="R94" s="35">
        <f t="shared" si="26"/>
        <v>2120.1944716590451</v>
      </c>
      <c r="S94" s="27">
        <f>IFERROR(INDEX([1]Produtos!$L:$L,MATCH(D94,[1]Produtos!$B:$B,0)), "")</f>
        <v>235.57716351767166</v>
      </c>
      <c r="T94" s="28">
        <f t="shared" si="27"/>
        <v>1.7000000000000002</v>
      </c>
      <c r="U94" s="28" t="str">
        <f t="shared" si="28"/>
        <v>0D e 2h</v>
      </c>
      <c r="V94" s="27">
        <f>IFERROR(SUMIFS('[2]Controle de Produção'!$K:$K,'[2]Controle de Produção'!$L:$L,D94,'[2]Controle de Produção'!$P:$P,C94,'[2]Controle de Produção'!$B:$B,"&gt;=" &amp; G94,'[2]Controle de Produção'!$C:$C,"&lt;=" &amp; N94, '[2]Controle de Produção'!$G:$G,B94), "")</f>
        <v>0</v>
      </c>
      <c r="W94" s="27" t="str">
        <f>IFERROR(SUMIFS([3]EXPEDIÇÃO!$K:$K,[3]EXPEDIÇÃO!$E:$E,D94,[3]EXPEDIÇÃO!$D:$D,C94,[3]EXPEDIÇÃO!$N:$N,"&gt;=" &amp; G94,[3]EXPEDIÇÃO!$N:$N,"&lt;="&amp;N94), "")</f>
        <v/>
      </c>
      <c r="X94" s="27">
        <f>COUNTIFS('[2]Controle de Produção'!$P:$P,C94,'[2]Controle de Produção'!$L:$L,D94,'[2]Controle de Produção'!$B:$B,"&gt;=" &amp; G94)</f>
        <v>9</v>
      </c>
      <c r="Y94" s="27">
        <f t="shared" si="29"/>
        <v>0</v>
      </c>
      <c r="Z94" s="27">
        <f>IFERROR(COUNTIFS('[2]Controle de Produção'!$L:$L,D94,'[2]Controle de Produção'!$P:$P,C94,'[2]Controle de Produção'!$B:$B,"&gt;=" &amp; G94,'[2]Controle de Produção'!$C:$C,"&lt;=" &amp; N94, '[2]Controle de Produção'!$G:$G,B94), "")</f>
        <v>0</v>
      </c>
      <c r="AA94" s="108" t="str">
        <f t="shared" si="30"/>
        <v/>
      </c>
      <c r="AB94" s="41" t="str" cm="1">
        <f t="array" ref="AB94">_xlfn.IFS((H94*0.95)&lt;=V94,"Concluído",AND(V94 =0, J94&lt;&gt;""),"Programado",AND(V94=0,D94=""),"Desenvolv.",V94=0,"Não Iniciado",AND(V94&gt;0,V94&lt;H94,AO94=TRUE),"Em Produção",AND(V94&gt;0,V94&lt;H94,AO94=FALSE),"Produção Parcial")</f>
        <v>Não Iniciado</v>
      </c>
      <c r="AC94" s="42" t="b">
        <v>1</v>
      </c>
      <c r="AD94" s="42" t="b">
        <v>1</v>
      </c>
      <c r="AE94" s="42" t="b">
        <v>1</v>
      </c>
      <c r="AF94" s="42" t="b">
        <v>1</v>
      </c>
      <c r="AG94" s="42" t="b">
        <v>1</v>
      </c>
      <c r="AH94" s="42" t="s">
        <v>38</v>
      </c>
      <c r="AI94" s="42" t="s">
        <v>38</v>
      </c>
      <c r="AJ94" s="42" t="s">
        <v>38</v>
      </c>
      <c r="AK94" s="42" t="b">
        <v>0</v>
      </c>
      <c r="AL94" s="42" t="b">
        <v>1</v>
      </c>
      <c r="AM94" s="42" t="s">
        <v>38</v>
      </c>
      <c r="AN94" s="42" t="b">
        <v>1</v>
      </c>
      <c r="AO94" s="45" t="b" cm="1">
        <f t="array" ref="AO94">AND(COUNTIF(AC94:AN94,FALSE)=0,SUMPRODUCT(ISNUMBER(AC94:AN94)*1)=0)</f>
        <v>0</v>
      </c>
      <c r="AP94" s="59"/>
      <c r="AQ94" s="111">
        <f>IF(AB94="",99999999999,IFERROR(MATCH(AB94,{"Produção Parcial","Em Produção","Programado","Não Iniciado","Desenvolv.","Concluído"},0),7)*100000000+IF(ISNUMBER(J94),J94-46000,9999)*10000+IF(A94="",99,A94)*100+IF(C94="",99,CODE(LEFT(C94,1))))</f>
        <v>499990075</v>
      </c>
    </row>
    <row r="95" spans="1:45" s="36" customFormat="1" ht="25.15" hidden="1" customHeight="1" x14ac:dyDescent="0.25">
      <c r="A95" s="36">
        <v>0</v>
      </c>
      <c r="B95" s="38" t="s">
        <v>169</v>
      </c>
      <c r="C95" s="65" t="str">
        <f>INDEX([1]Produtos!$G:$G,MATCH($D95,[1]Produtos!$B:$B,0))</f>
        <v>KURYOS</v>
      </c>
      <c r="D95" s="65" t="s">
        <v>48</v>
      </c>
      <c r="E95" s="70" t="str">
        <f>INDEX([1]Produtos!$C:$C,MATCH($D95,[1]Produtos!$B:$B,0))&amp;IF($F95&lt;&gt;"-"," - "&amp;LEFT($F95,1),"")&amp;" &gt; "&amp;$B95</f>
        <v>BASE PARA PERFUME FINA BASE PREMIUM 1l &gt; 03_06</v>
      </c>
      <c r="F95" s="38" t="s">
        <v>38</v>
      </c>
      <c r="G95" s="38">
        <v>45841</v>
      </c>
      <c r="H95" s="39">
        <v>100</v>
      </c>
      <c r="I95" s="65" t="s">
        <v>39</v>
      </c>
      <c r="J95" s="68" t="str" cm="1">
        <f t="array" ref="J95">IFERROR(INDEX('[2]Previsão Envase'!$D$5:$D$4867, MATCH(1,('[2]Previsão Envase'!$F$5:$F$4867=$E95)+('[2]Previsão Envase'!$G$5:$G$4867=$E95)+('[2]Previsão Envase'!$H$5:$H$4867=$E95),0)),"")</f>
        <v/>
      </c>
      <c r="K95" s="68" t="str">
        <f>IF(COUNTIF('[2]Previsão Envase'!$F:$F,E95)&gt;0,"Linha 1",
IF(COUNTIF('[2]Previsão Envase'!$G:$G,E95)&gt;0,"Linha 2",
IF(COUNTIF('[2]Previsão Envase'!$H:$H,E95)&gt;0,"Linha 3","")))</f>
        <v/>
      </c>
      <c r="L95" s="96">
        <f>COUNTIF('[2]Previsão Envase'!$F:$H,E95)-COUNTIF('[2]Previsão Envase'!$F$1:$H$4,E95)</f>
        <v>0</v>
      </c>
      <c r="M95" s="35">
        <f t="shared" si="25"/>
        <v>0</v>
      </c>
      <c r="N95" s="68" t="str">
        <f>IFERROR(MAX(_xlfn.MAXIFS('[2]Controle de Produção'!$C:$C,'[2]Controle de Produção'!$L:$L,$D95,'[2]Controle de Produção'!$P:$P,$C95,'[2]Controle de Produção'!$G:$G,$B95),_xlfn.MAXIFS([3]EXPEDIÇÃO!$N:$N,[3]EXPEDIÇÃO!$E:$E,$D95,[3]EXPEDIÇÃO!$D:$D,$C95,[3]EXPEDIÇÃO!$N:$N,"&gt;="&amp;$G95)),"")</f>
        <v/>
      </c>
      <c r="O95" s="70">
        <f>INDEX([1]Produtos!$E:$E,MATCH($D95,[1]Produtos!$B:$B,0))</f>
        <v>1000</v>
      </c>
      <c r="P95" s="70" t="str">
        <f>INDEX([1]Produtos!$F:$F,MATCH($D95,[1]Produtos!$B:$B,0))</f>
        <v>ml</v>
      </c>
      <c r="Q95" s="105">
        <f>INDEX([1]Produtos!$Y:$Y,MATCH($D95,[1]Produtos!$B:$B,0))</f>
        <v>0</v>
      </c>
      <c r="R95" s="35">
        <f t="shared" si="26"/>
        <v>2120.1944716590451</v>
      </c>
      <c r="S95" s="27">
        <f>IFERROR(INDEX([1]Produtos!$L:$L,MATCH(D95,[1]Produtos!$B:$B,0)), "")</f>
        <v>235.57716351767166</v>
      </c>
      <c r="T95" s="28">
        <f t="shared" si="27"/>
        <v>0.5</v>
      </c>
      <c r="U95" s="28" t="str">
        <f t="shared" si="28"/>
        <v>0D e 1h</v>
      </c>
      <c r="V95" s="27">
        <f>IFERROR(SUMIFS('[2]Controle de Produção'!$K:$K,'[2]Controle de Produção'!$L:$L,D95,'[2]Controle de Produção'!$P:$P,C95,'[2]Controle de Produção'!$B:$B,"&gt;=" &amp; G95,'[2]Controle de Produção'!$C:$C,"&lt;=" &amp; N95, '[2]Controle de Produção'!$G:$G,B95), "")</f>
        <v>0</v>
      </c>
      <c r="W95" s="27" t="str">
        <f>IFERROR(SUMIFS([3]EXPEDIÇÃO!$K:$K,[3]EXPEDIÇÃO!$E:$E,D95,[3]EXPEDIÇÃO!$D:$D,C95,[3]EXPEDIÇÃO!$N:$N,"&gt;=" &amp; G95,[3]EXPEDIÇÃO!$N:$N,"&lt;="&amp;N95), "")</f>
        <v/>
      </c>
      <c r="X95" s="27">
        <f>COUNTIFS('[2]Controle de Produção'!$P:$P,C95,'[2]Controle de Produção'!$L:$L,D95,'[2]Controle de Produção'!$B:$B,"&gt;=" &amp; G95)</f>
        <v>9</v>
      </c>
      <c r="Y95" s="27">
        <f t="shared" si="29"/>
        <v>0</v>
      </c>
      <c r="Z95" s="27">
        <f>IFERROR(COUNTIFS('[2]Controle de Produção'!$L:$L,D95,'[2]Controle de Produção'!$P:$P,C95,'[2]Controle de Produção'!$B:$B,"&gt;=" &amp; G95,'[2]Controle de Produção'!$C:$C,"&lt;=" &amp; N95, '[2]Controle de Produção'!$G:$G,B95), "")</f>
        <v>0</v>
      </c>
      <c r="AA95" s="108" t="str">
        <f t="shared" si="30"/>
        <v/>
      </c>
      <c r="AB95" s="41" t="str" cm="1">
        <f t="array" ref="AB95">_xlfn.IFS((H95*0.95)&lt;=V95,"Concluído",AND(V95 =0, J95&lt;&gt;""),"Programado",AND(V95=0,D95=""),"Desenvolv.",V95=0,"Não Iniciado",AND(V95&gt;0,V95&lt;H95,AO95=TRUE),"Em Produção",AND(V95&gt;0,V95&lt;H95,AO95=FALSE),"Produção Parcial")</f>
        <v>Não Iniciado</v>
      </c>
      <c r="AC95" s="42" t="b">
        <v>1</v>
      </c>
      <c r="AD95" s="42" t="b">
        <v>1</v>
      </c>
      <c r="AE95" s="50" t="s">
        <v>38</v>
      </c>
      <c r="AF95" s="42" t="b">
        <v>1</v>
      </c>
      <c r="AG95" s="42" t="b">
        <v>1</v>
      </c>
      <c r="AH95" s="42" t="s">
        <v>38</v>
      </c>
      <c r="AI95" s="42" t="s">
        <v>38</v>
      </c>
      <c r="AJ95" s="42" t="s">
        <v>38</v>
      </c>
      <c r="AK95" s="42" t="b">
        <v>0</v>
      </c>
      <c r="AL95" s="42" t="b">
        <v>1</v>
      </c>
      <c r="AM95" s="42" t="s">
        <v>38</v>
      </c>
      <c r="AN95" s="42" t="b">
        <v>1</v>
      </c>
      <c r="AO95" s="45" t="b" cm="1">
        <f t="array" ref="AO95">AND(COUNTIF(AC95:AN95,FALSE)=0,SUMPRODUCT(ISNUMBER(AC95:AN95)*1)=0)</f>
        <v>0</v>
      </c>
      <c r="AP95" s="59"/>
      <c r="AQ95" s="111">
        <f>IF(AB95="",99999999999,IFERROR(MATCH(AB95,{"Produção Parcial","Em Produção","Programado","Não Iniciado","Desenvolv.","Concluído"},0),7)*100000000+IF(ISNUMBER(J95),J95-46000,9999)*10000+IF(A95="",99,A95)*100+IF(C95="",99,CODE(LEFT(C95,1))))</f>
        <v>499990075</v>
      </c>
    </row>
    <row r="96" spans="1:45" s="36" customFormat="1" ht="25.15" hidden="1" customHeight="1" x14ac:dyDescent="0.25">
      <c r="A96" s="36">
        <v>0</v>
      </c>
      <c r="B96" s="38" t="s">
        <v>170</v>
      </c>
      <c r="C96" s="65" t="str">
        <f>INDEX([1]Produtos!$G:$G,MATCH($D96,[1]Produtos!$B:$B,0))</f>
        <v>KURYOS</v>
      </c>
      <c r="D96" s="65" t="s">
        <v>175</v>
      </c>
      <c r="E96" s="70" t="str">
        <f>INDEX([1]Produtos!$C:$C,MATCH($D96,[1]Produtos!$B:$B,0))&amp;IF($F96&lt;&gt;"-"," - "&amp;LEFT($F96,1),"")&amp;" &gt; "&amp;$B96</f>
        <v>BASE PARA PERFUME FINA BASE 500ml &gt; 04_07</v>
      </c>
      <c r="F96" s="38" t="s">
        <v>38</v>
      </c>
      <c r="G96" s="38">
        <v>45866</v>
      </c>
      <c r="H96" s="39">
        <v>2520</v>
      </c>
      <c r="I96" s="65" t="s">
        <v>39</v>
      </c>
      <c r="J96" s="68" t="str" cm="1">
        <f t="array" ref="J96">IFERROR(INDEX('[2]Previsão Envase'!$D$5:$D$4867, MATCH(1,('[2]Previsão Envase'!$F$5:$F$4867=$E96)+('[2]Previsão Envase'!$G$5:$G$4867=$E96)+('[2]Previsão Envase'!$H$5:$H$4867=$E96),0)),"")</f>
        <v/>
      </c>
      <c r="K96" s="68" t="str">
        <f>IF(COUNTIF('[2]Previsão Envase'!$F:$F,E96)&gt;0,"Linha 1",
IF(COUNTIF('[2]Previsão Envase'!$G:$G,E96)&gt;0,"Linha 2",
IF(COUNTIF('[2]Previsão Envase'!$H:$H,E96)&gt;0,"Linha 3","")))</f>
        <v/>
      </c>
      <c r="L96" s="96">
        <f>COUNTIF('[2]Previsão Envase'!$F:$H,E96)-COUNTIF('[2]Previsão Envase'!$F$1:$H$4,E96)</f>
        <v>0</v>
      </c>
      <c r="M96" s="35">
        <f t="shared" si="25"/>
        <v>0</v>
      </c>
      <c r="N96" s="68" t="str">
        <f>IFERROR(MAX(_xlfn.MAXIFS('[2]Controle de Produção'!$C:$C,'[2]Controle de Produção'!$L:$L,$D96,'[2]Controle de Produção'!$P:$P,$C96,'[2]Controle de Produção'!$G:$G,$B96),_xlfn.MAXIFS([3]EXPEDIÇÃO!$N:$N,[3]EXPEDIÇÃO!$E:$E,$D96,[3]EXPEDIÇÃO!$D:$D,$C96,[3]EXPEDIÇÃO!$N:$N,"&gt;="&amp;$G96)),"")</f>
        <v/>
      </c>
      <c r="O96" s="70">
        <f>INDEX([1]Produtos!$E:$E,MATCH($D96,[1]Produtos!$B:$B,0))</f>
        <v>500</v>
      </c>
      <c r="P96" s="70" t="str">
        <f>INDEX([1]Produtos!$F:$F,MATCH($D96,[1]Produtos!$B:$B,0))</f>
        <v>ml</v>
      </c>
      <c r="Q96" s="105">
        <f>INDEX([1]Produtos!$Y:$Y,MATCH($D96,[1]Produtos!$B:$B,0))</f>
        <v>0</v>
      </c>
      <c r="R96" s="35">
        <f t="shared" si="26"/>
        <v>2120.1944716590451</v>
      </c>
      <c r="S96" s="27">
        <f>IFERROR(INDEX([1]Produtos!$L:$L,MATCH(D96,[1]Produtos!$B:$B,0)), "")</f>
        <v>235.57716351767166</v>
      </c>
      <c r="T96" s="28">
        <f t="shared" si="27"/>
        <v>10.7</v>
      </c>
      <c r="U96" s="28" t="str">
        <f t="shared" si="28"/>
        <v>1D e 2h</v>
      </c>
      <c r="V96" s="27">
        <f>IFERROR(SUMIFS('[2]Controle de Produção'!$K:$K,'[2]Controle de Produção'!$L:$L,D96,'[2]Controle de Produção'!$P:$P,C96,'[2]Controle de Produção'!$B:$B,"&gt;=" &amp; G96,'[2]Controle de Produção'!$C:$C,"&lt;=" &amp; N96, '[2]Controle de Produção'!$G:$G,B96), "")</f>
        <v>0</v>
      </c>
      <c r="W96" s="27" t="str">
        <f>IFERROR(SUMIFS([3]EXPEDIÇÃO!$K:$K,[3]EXPEDIÇÃO!$E:$E,D96,[3]EXPEDIÇÃO!$D:$D,C96,[3]EXPEDIÇÃO!$N:$N,"&gt;=" &amp; G96,[3]EXPEDIÇÃO!$N:$N,"&lt;="&amp;N96), "")</f>
        <v/>
      </c>
      <c r="X96" s="27">
        <f>COUNTIFS('[2]Controle de Produção'!$P:$P,C96,'[2]Controle de Produção'!$L:$L,D96,'[2]Controle de Produção'!$B:$B,"&gt;=" &amp; G96)</f>
        <v>8</v>
      </c>
      <c r="Y96" s="27">
        <f t="shared" si="29"/>
        <v>0</v>
      </c>
      <c r="Z96" s="27">
        <f>IFERROR(COUNTIFS('[2]Controle de Produção'!$L:$L,D96,'[2]Controle de Produção'!$P:$P,C96,'[2]Controle de Produção'!$B:$B,"&gt;=" &amp; G96,'[2]Controle de Produção'!$C:$C,"&lt;=" &amp; N96, '[2]Controle de Produção'!$G:$G,B96), "")</f>
        <v>0</v>
      </c>
      <c r="AA96" s="108" t="str">
        <f t="shared" si="30"/>
        <v/>
      </c>
      <c r="AB96" s="41" t="str" cm="1">
        <f t="array" ref="AB96">_xlfn.IFS((H96*0.95)&lt;=V96,"Concluído",AND(V96 =0, J96&lt;&gt;""),"Programado",AND(V96=0,D96=""),"Desenvolv.",V96=0,"Não Iniciado",AND(V96&gt;0,V96&lt;H96,AO96=TRUE),"Em Produção",AND(V96&gt;0,V96&lt;H96,AO96=FALSE),"Produção Parcial")</f>
        <v>Não Iniciado</v>
      </c>
      <c r="AC96" s="42" t="b">
        <v>1</v>
      </c>
      <c r="AD96" s="42" t="b">
        <v>1</v>
      </c>
      <c r="AE96" s="42" t="b">
        <v>1</v>
      </c>
      <c r="AF96" s="42" t="b">
        <v>1</v>
      </c>
      <c r="AG96" s="42" t="b">
        <v>1</v>
      </c>
      <c r="AH96" s="42" t="s">
        <v>38</v>
      </c>
      <c r="AI96" s="42" t="s">
        <v>38</v>
      </c>
      <c r="AJ96" s="42" t="s">
        <v>38</v>
      </c>
      <c r="AK96" s="42" t="b">
        <v>0</v>
      </c>
      <c r="AL96" s="42" t="b">
        <v>1</v>
      </c>
      <c r="AM96" s="42" t="s">
        <v>38</v>
      </c>
      <c r="AN96" s="86" t="b">
        <v>1</v>
      </c>
      <c r="AO96" s="45" t="b" cm="1">
        <f t="array" ref="AO96">AND(COUNTIF(AC96:AN96,FALSE)=0,SUMPRODUCT(ISNUMBER(AC96:AN96)*1)=0)</f>
        <v>0</v>
      </c>
      <c r="AP96" s="59"/>
      <c r="AQ96" s="111">
        <f>IF(AB96="",99999999999,IFERROR(MATCH(AB96,{"Produção Parcial","Em Produção","Programado","Não Iniciado","Desenvolv.","Concluído"},0),7)*100000000+IF(ISNUMBER(J96),J96-46000,9999)*10000+IF(A96="",99,A96)*100+IF(C96="",99,CODE(LEFT(C96,1))))</f>
        <v>499990075</v>
      </c>
      <c r="AR96"/>
      <c r="AS96"/>
    </row>
    <row r="97" spans="1:45" s="36" customFormat="1" ht="25.15" hidden="1" customHeight="1" x14ac:dyDescent="0.25">
      <c r="A97" s="36">
        <v>0</v>
      </c>
      <c r="B97" s="38" t="s">
        <v>93</v>
      </c>
      <c r="C97" s="24" t="str">
        <f>INDEX([1]Produtos!$G:$G,MATCH($D97,[1]Produtos!$B:$B,0))</f>
        <v>MISS RÔSE</v>
      </c>
      <c r="D97" s="24" t="s">
        <v>41</v>
      </c>
      <c r="E97" s="70" t="str">
        <f>INDEX([1]Produtos!$C:$C,MATCH($D97,[1]Produtos!$B:$B,0))&amp;IF($F97&lt;&gt;"-"," - "&amp;LEFT($F97,1),"")&amp;" &gt; "&amp;$B97</f>
        <v>BODY SPLASH AURORA IMPERIAL - 1 &gt; 01_06</v>
      </c>
      <c r="F97" s="51" t="s">
        <v>94</v>
      </c>
      <c r="G97" s="38">
        <v>45824</v>
      </c>
      <c r="H97" s="39">
        <v>40000</v>
      </c>
      <c r="I97" s="24" t="s">
        <v>42</v>
      </c>
      <c r="J97" s="68" t="str" cm="1">
        <f t="array" ref="J97">IFERROR(INDEX('[2]Previsão Envase'!$D$5:$D$4867, MATCH(1,('[2]Previsão Envase'!$F$5:$F$4867=$E97)+('[2]Previsão Envase'!$G$5:$G$4867=$E97)+('[2]Previsão Envase'!$H$5:$H$4867=$E97),0)),"")</f>
        <v/>
      </c>
      <c r="K97" s="68" t="str">
        <f>IF(COUNTIF('[2]Previsão Envase'!$F:$F,E97)&gt;0,"Linha 1",
IF(COUNTIF('[2]Previsão Envase'!$G:$G,E97)&gt;0,"Linha 2",
IF(COUNTIF('[2]Previsão Envase'!$H:$H,E97)&gt;0,"Linha 3","")))</f>
        <v/>
      </c>
      <c r="L97" s="96">
        <f>COUNTIF('[2]Previsão Envase'!$F:$H,E97)-COUNTIF('[2]Previsão Envase'!$F$1:$H$4,E97)</f>
        <v>0</v>
      </c>
      <c r="M97" s="35">
        <f t="shared" si="25"/>
        <v>0</v>
      </c>
      <c r="N97" s="68" t="str">
        <f>IFERROR(MAX(_xlfn.MAXIFS('[2]Controle de Produção'!$C:$C,'[2]Controle de Produção'!$L:$L,$D97,'[2]Controle de Produção'!$P:$P,$C97,'[2]Controle de Produção'!$G:$G,$B97),_xlfn.MAXIFS([3]EXPEDIÇÃO!$N:$N,[3]EXPEDIÇÃO!$E:$E,$D97,[3]EXPEDIÇÃO!$D:$D,$C97,[3]EXPEDIÇÃO!$N:$N,"&gt;="&amp;$G97)),"")</f>
        <v/>
      </c>
      <c r="O97" s="70">
        <f>INDEX([1]Produtos!$E:$E,MATCH($D97,[1]Produtos!$B:$B,0))</f>
        <v>220</v>
      </c>
      <c r="P97" s="70" t="str">
        <f>INDEX([1]Produtos!$F:$F,MATCH($D97,[1]Produtos!$B:$B,0))</f>
        <v>ml</v>
      </c>
      <c r="Q97" s="105">
        <f>INDEX([1]Produtos!$Y:$Y,MATCH($D97,[1]Produtos!$B:$B,0))</f>
        <v>0.51</v>
      </c>
      <c r="R97" s="35">
        <f t="shared" si="26"/>
        <v>7592.2902086267013</v>
      </c>
      <c r="S97" s="27">
        <f>IFERROR(INDEX([1]Produtos!$L:$L,MATCH(D97,[1]Produtos!$B:$B,0)), "")</f>
        <v>843.58780095852239</v>
      </c>
      <c r="T97" s="28">
        <f t="shared" si="27"/>
        <v>47.5</v>
      </c>
      <c r="U97" s="28" t="str">
        <f t="shared" si="28"/>
        <v>5D e 4h</v>
      </c>
      <c r="V97" s="27">
        <f>IFERROR(SUMIFS('[2]Controle de Produção'!$K:$K,'[2]Controle de Produção'!$L:$L,D97,'[2]Controle de Produção'!$P:$P,C97,'[2]Controle de Produção'!$B:$B,"&gt;=" &amp; G97,'[2]Controle de Produção'!$C:$C,"&lt;=" &amp; N97, '[2]Controle de Produção'!$G:$G,B97), "")</f>
        <v>0</v>
      </c>
      <c r="W97" s="27" t="str">
        <f>IFERROR(SUMIFS([3]EXPEDIÇÃO!$K:$K,[3]EXPEDIÇÃO!$E:$E,D97,[3]EXPEDIÇÃO!$D:$D,C97,[3]EXPEDIÇÃO!$N:$N,"&gt;=" &amp; G97,[3]EXPEDIÇÃO!$N:$N,"&lt;="&amp;N97), "")</f>
        <v/>
      </c>
      <c r="X97" s="27">
        <f>COUNTIFS('[2]Controle de Produção'!$P:$P,C97,'[2]Controle de Produção'!$L:$L,D97,'[2]Controle de Produção'!$B:$B,"&gt;=" &amp; G97)</f>
        <v>62</v>
      </c>
      <c r="Y97" s="27">
        <f t="shared" si="29"/>
        <v>0</v>
      </c>
      <c r="Z97" s="27">
        <f>IFERROR(COUNTIFS('[2]Controle de Produção'!$L:$L,D97,'[2]Controle de Produção'!$P:$P,C97,'[2]Controle de Produção'!$B:$B,"&gt;=" &amp; G97,'[2]Controle de Produção'!$C:$C,"&lt;=" &amp; N97, '[2]Controle de Produção'!$G:$G,B97), "")</f>
        <v>0</v>
      </c>
      <c r="AA97" s="108" t="str">
        <f t="shared" si="30"/>
        <v/>
      </c>
      <c r="AB97" s="41" t="str" cm="1">
        <f t="array" ref="AB97">_xlfn.IFS((H97*0.95)&lt;=V97,"Concluído",AND(V97 =0, J97&lt;&gt;""),"Programado",AND(V97=0,D97=""),"Desenvolv.",V97=0,"Não Iniciado",AND(V97&gt;0,V97&lt;H97,AO97=TRUE),"Em Produção",AND(V97&gt;0,V97&lt;H97,AO97=FALSE),"Produção Parcial")</f>
        <v>Não Iniciado</v>
      </c>
      <c r="AC97" s="42" t="b">
        <v>1</v>
      </c>
      <c r="AD97" s="42" t="b">
        <v>1</v>
      </c>
      <c r="AE97" s="42" t="b">
        <v>1</v>
      </c>
      <c r="AF97" s="88" t="b">
        <v>1</v>
      </c>
      <c r="AG97" s="42" t="s">
        <v>38</v>
      </c>
      <c r="AH97" s="42" t="s">
        <v>38</v>
      </c>
      <c r="AI97" s="42" t="b">
        <v>1</v>
      </c>
      <c r="AJ97" s="42" t="s">
        <v>38</v>
      </c>
      <c r="AK97" s="42" t="b">
        <v>0</v>
      </c>
      <c r="AL97" s="42" t="b">
        <v>1</v>
      </c>
      <c r="AM97" s="69" t="b">
        <v>1</v>
      </c>
      <c r="AN97" s="87">
        <f>2/2</f>
        <v>1</v>
      </c>
      <c r="AO97" s="45" t="b" cm="1">
        <f t="array" ref="AO97">AND(COUNTIF(AC97:AN97,FALSE)=0,SUMPRODUCT(ISNUMBER(AC97:AN97)*1)=0)</f>
        <v>0</v>
      </c>
      <c r="AP97" s="59"/>
      <c r="AQ97" s="111">
        <f>IF(AB97="",99999999999,IFERROR(MATCH(AB97,{"Produção Parcial","Em Produção","Programado","Não Iniciado","Desenvolv.","Concluído"},0),7)*100000000+IF(ISNUMBER(J97),J97-46000,9999)*10000+IF(A97="",99,A97)*100+IF(C97="",99,CODE(LEFT(C97,1))))</f>
        <v>499990077</v>
      </c>
      <c r="AR97"/>
      <c r="AS97"/>
    </row>
    <row r="98" spans="1:45" s="36" customFormat="1" ht="25.15" hidden="1" customHeight="1" x14ac:dyDescent="0.25">
      <c r="A98" s="36">
        <v>0</v>
      </c>
      <c r="B98" s="38" t="s">
        <v>82</v>
      </c>
      <c r="C98" s="24" t="str">
        <f>INDEX([1]Produtos!$G:$G,MATCH($D98,[1]Produtos!$B:$B,0))</f>
        <v>MISS RÔSE</v>
      </c>
      <c r="D98" s="24" t="s">
        <v>83</v>
      </c>
      <c r="E98" s="70" t="str">
        <f>INDEX([1]Produtos!$C:$C,MATCH($D98,[1]Produtos!$B:$B,0))&amp;IF($F98&lt;&gt;"-"," - "&amp;LEFT($F98,1),"")&amp;" &gt; "&amp;$B98</f>
        <v>BODY SPLASH DEUSA DO NILO &gt; 01_07</v>
      </c>
      <c r="F98" s="51" t="s">
        <v>38</v>
      </c>
      <c r="G98" s="38">
        <v>45852</v>
      </c>
      <c r="H98" s="39">
        <v>10000</v>
      </c>
      <c r="I98" s="24" t="s">
        <v>42</v>
      </c>
      <c r="J98" s="68" t="str" cm="1">
        <f t="array" ref="J98">IFERROR(INDEX('[2]Previsão Envase'!$D$5:$D$4867, MATCH(1,('[2]Previsão Envase'!$F$5:$F$4867=$E98)+('[2]Previsão Envase'!$G$5:$G$4867=$E98)+('[2]Previsão Envase'!$H$5:$H$4867=$E98),0)),"")</f>
        <v/>
      </c>
      <c r="K98" s="68" t="str">
        <f>IF(COUNTIF('[2]Previsão Envase'!$F:$F,E98)&gt;0,"Linha 1",
IF(COUNTIF('[2]Previsão Envase'!$G:$G,E98)&gt;0,"Linha 2",
IF(COUNTIF('[2]Previsão Envase'!$H:$H,E98)&gt;0,"Linha 3","")))</f>
        <v/>
      </c>
      <c r="L98" s="96">
        <f>COUNTIF('[2]Previsão Envase'!$F:$H,E98)-COUNTIF('[2]Previsão Envase'!$F$1:$H$4,E98)</f>
        <v>0</v>
      </c>
      <c r="M98" s="35">
        <f t="shared" si="25"/>
        <v>0</v>
      </c>
      <c r="N98" s="68" t="str">
        <f>IFERROR(MAX(_xlfn.MAXIFS('[2]Controle de Produção'!$C:$C,'[2]Controle de Produção'!$L:$L,$D98,'[2]Controle de Produção'!$P:$P,$C98,'[2]Controle de Produção'!$G:$G,$B98),_xlfn.MAXIFS([3]EXPEDIÇÃO!$N:$N,[3]EXPEDIÇÃO!$E:$E,$D98,[3]EXPEDIÇÃO!$D:$D,$C98,[3]EXPEDIÇÃO!$N:$N,"&gt;="&amp;$G98)),"")</f>
        <v/>
      </c>
      <c r="O98" s="70">
        <f>INDEX([1]Produtos!$E:$E,MATCH($D98,[1]Produtos!$B:$B,0))</f>
        <v>220</v>
      </c>
      <c r="P98" s="70" t="str">
        <f>INDEX([1]Produtos!$F:$F,MATCH($D98,[1]Produtos!$B:$B,0))</f>
        <v>ml</v>
      </c>
      <c r="Q98" s="105">
        <f>INDEX([1]Produtos!$Y:$Y,MATCH($D98,[1]Produtos!$B:$B,0))</f>
        <v>0.51</v>
      </c>
      <c r="R98" s="35">
        <f t="shared" si="26"/>
        <v>7592.2902086267013</v>
      </c>
      <c r="S98" s="27">
        <f>IFERROR(INDEX([1]Produtos!$L:$L,MATCH(D98,[1]Produtos!$B:$B,0)), "")</f>
        <v>843.58780095852239</v>
      </c>
      <c r="T98" s="28">
        <f t="shared" si="27"/>
        <v>11.9</v>
      </c>
      <c r="U98" s="28" t="str">
        <f t="shared" si="28"/>
        <v>1D e 4h</v>
      </c>
      <c r="V98" s="27">
        <f>IFERROR(SUMIFS('[2]Controle de Produção'!$K:$K,'[2]Controle de Produção'!$L:$L,D98,'[2]Controle de Produção'!$P:$P,C98,'[2]Controle de Produção'!$B:$B,"&gt;=" &amp; G98,'[2]Controle de Produção'!$C:$C,"&lt;=" &amp; N98, '[2]Controle de Produção'!$G:$G,B98), "")</f>
        <v>0</v>
      </c>
      <c r="W98" s="27" t="str">
        <f>IFERROR(SUMIFS([3]EXPEDIÇÃO!$K:$K,[3]EXPEDIÇÃO!$E:$E,D98,[3]EXPEDIÇÃO!$D:$D,C98,[3]EXPEDIÇÃO!$N:$N,"&gt;=" &amp; G98,[3]EXPEDIÇÃO!$N:$N,"&lt;="&amp;N98), "")</f>
        <v/>
      </c>
      <c r="X98" s="27">
        <f>COUNTIFS('[2]Controle de Produção'!$P:$P,C98,'[2]Controle de Produção'!$L:$L,D98,'[2]Controle de Produção'!$B:$B,"&gt;=" &amp; G98)</f>
        <v>29</v>
      </c>
      <c r="Y98" s="27">
        <f t="shared" si="29"/>
        <v>0</v>
      </c>
      <c r="Z98" s="27">
        <f>IFERROR(COUNTIFS('[2]Controle de Produção'!$L:$L,D98,'[2]Controle de Produção'!$P:$P,C98,'[2]Controle de Produção'!$B:$B,"&gt;=" &amp; G98,'[2]Controle de Produção'!$C:$C,"&lt;=" &amp; N98, '[2]Controle de Produção'!$G:$G,B98), "")</f>
        <v>0</v>
      </c>
      <c r="AA98" s="108" t="str">
        <f t="shared" si="30"/>
        <v/>
      </c>
      <c r="AB98" s="41" t="str" cm="1">
        <f t="array" ref="AB98">_xlfn.IFS((H98*0.95)&lt;=V98,"Concluído",AND(V98 =0, J98&lt;&gt;""),"Programado",AND(V98=0,D98=""),"Desenvolv.",V98=0,"Não Iniciado",AND(V98&gt;0,V98&lt;H98,AO98=TRUE),"Em Produção",AND(V98&gt;0,V98&lt;H98,AO98=FALSE),"Produção Parcial")</f>
        <v>Não Iniciado</v>
      </c>
      <c r="AC98" s="42" t="b">
        <v>1</v>
      </c>
      <c r="AD98" s="42" t="b">
        <v>1</v>
      </c>
      <c r="AE98" s="42" t="b">
        <v>1</v>
      </c>
      <c r="AF98" s="42" t="b">
        <v>1</v>
      </c>
      <c r="AG98" s="42" t="s">
        <v>38</v>
      </c>
      <c r="AH98" s="42" t="s">
        <v>38</v>
      </c>
      <c r="AI98" s="42" t="b">
        <v>1</v>
      </c>
      <c r="AJ98" s="90" t="s">
        <v>38</v>
      </c>
      <c r="AK98" s="90" t="b">
        <v>0</v>
      </c>
      <c r="AL98" s="42" t="b">
        <v>1</v>
      </c>
      <c r="AM98" s="42" t="b">
        <v>1</v>
      </c>
      <c r="AN98" s="86" t="b">
        <v>1</v>
      </c>
      <c r="AO98" s="45" t="b" cm="1">
        <f t="array" ref="AO98">AND(COUNTIF(AC98:AN98,FALSE)=0,SUMPRODUCT(ISNUMBER(AC98:AN98)*1)=0)</f>
        <v>0</v>
      </c>
      <c r="AP98" s="59"/>
      <c r="AQ98" s="111">
        <f>IF(AB98="",99999999999,IFERROR(MATCH(AB98,{"Produção Parcial","Em Produção","Programado","Não Iniciado","Desenvolv.","Concluído"},0),7)*100000000+IF(ISNUMBER(J98),J98-46000,9999)*10000+IF(A98="",99,A98)*100+IF(C98="",99,CODE(LEFT(C98,1))))</f>
        <v>499990077</v>
      </c>
      <c r="AR98"/>
      <c r="AS98"/>
    </row>
    <row r="99" spans="1:45" s="36" customFormat="1" ht="25.15" hidden="1" customHeight="1" x14ac:dyDescent="0.25">
      <c r="A99" s="36">
        <v>0</v>
      </c>
      <c r="B99" s="38" t="s">
        <v>82</v>
      </c>
      <c r="C99" s="70" t="str">
        <f>INDEX([1]Produtos!$G:$G,MATCH($D99,[1]Produtos!$B:$B,0))</f>
        <v>MISS RÔSE</v>
      </c>
      <c r="D99" s="24" t="s">
        <v>70</v>
      </c>
      <c r="E99" s="70" t="str">
        <f>INDEX([1]Produtos!$C:$C,MATCH($D99,[1]Produtos!$B:$B,0))&amp;IF($F99&lt;&gt;"-"," - "&amp;LEFT($F99,1),"")&amp;" &gt; "&amp;$B99</f>
        <v>BODY SPLASH ECLIPSE DOURADO &gt; 01_07</v>
      </c>
      <c r="F99" s="51" t="s">
        <v>38</v>
      </c>
      <c r="G99" s="38">
        <v>45852</v>
      </c>
      <c r="H99" s="39">
        <v>10000</v>
      </c>
      <c r="I99" s="24" t="s">
        <v>42</v>
      </c>
      <c r="J99" s="68" t="str" cm="1">
        <f t="array" ref="J99">IFERROR(INDEX('[2]Previsão Envase'!$D$5:$D$4867, MATCH(1,('[2]Previsão Envase'!$F$5:$F$4867=$E99)+('[2]Previsão Envase'!$G$5:$G$4867=$E99)+('[2]Previsão Envase'!$H$5:$H$4867=$E99),0)),"")</f>
        <v/>
      </c>
      <c r="K99" s="68" t="str">
        <f>IF(COUNTIF('[2]Previsão Envase'!$F:$F,E99)&gt;0,"Linha 1",
IF(COUNTIF('[2]Previsão Envase'!$G:$G,E99)&gt;0,"Linha 2",
IF(COUNTIF('[2]Previsão Envase'!$H:$H,E99)&gt;0,"Linha 3","")))</f>
        <v/>
      </c>
      <c r="L99" s="96">
        <f>COUNTIF('[2]Previsão Envase'!$F:$H,E99)-COUNTIF('[2]Previsão Envase'!$F$1:$H$4,E99)</f>
        <v>0</v>
      </c>
      <c r="M99" s="35">
        <f t="shared" si="25"/>
        <v>0</v>
      </c>
      <c r="N99" s="68" t="str">
        <f>IFERROR(MAX(_xlfn.MAXIFS('[2]Controle de Produção'!$C:$C,'[2]Controle de Produção'!$L:$L,$D99,'[2]Controle de Produção'!$P:$P,$C99,'[2]Controle de Produção'!$G:$G,$B99),_xlfn.MAXIFS([3]EXPEDIÇÃO!$N:$N,[3]EXPEDIÇÃO!$E:$E,$D99,[3]EXPEDIÇÃO!$D:$D,$C99,[3]EXPEDIÇÃO!$N:$N,"&gt;="&amp;$G99)),"")</f>
        <v/>
      </c>
      <c r="O99" s="70">
        <f>INDEX([1]Produtos!$E:$E,MATCH($D99,[1]Produtos!$B:$B,0))</f>
        <v>220</v>
      </c>
      <c r="P99" s="70" t="str">
        <f>INDEX([1]Produtos!$F:$F,MATCH($D99,[1]Produtos!$B:$B,0))</f>
        <v>ml</v>
      </c>
      <c r="Q99" s="105">
        <f>INDEX([1]Produtos!$Y:$Y,MATCH($D99,[1]Produtos!$B:$B,0))</f>
        <v>0.51</v>
      </c>
      <c r="R99" s="35">
        <f t="shared" si="26"/>
        <v>7592.2902086267013</v>
      </c>
      <c r="S99" s="27">
        <f>IFERROR(INDEX([1]Produtos!$L:$L,MATCH(D99,[1]Produtos!$B:$B,0)), "")</f>
        <v>843.58780095852239</v>
      </c>
      <c r="T99" s="28">
        <f t="shared" si="27"/>
        <v>11.9</v>
      </c>
      <c r="U99" s="28" t="str">
        <f t="shared" si="28"/>
        <v>1D e 4h</v>
      </c>
      <c r="V99" s="27">
        <f>IFERROR(SUMIFS('[2]Controle de Produção'!$K:$K,'[2]Controle de Produção'!$L:$L,D99,'[2]Controle de Produção'!$P:$P,C99,'[2]Controle de Produção'!$B:$B,"&gt;=" &amp; G99,'[2]Controle de Produção'!$C:$C,"&lt;=" &amp; N99, '[2]Controle de Produção'!$G:$G,B99), "")</f>
        <v>0</v>
      </c>
      <c r="W99" s="27" t="str">
        <f>IFERROR(SUMIFS([3]EXPEDIÇÃO!$K:$K,[3]EXPEDIÇÃO!$E:$E,D99,[3]EXPEDIÇÃO!$D:$D,C99,[3]EXPEDIÇÃO!$N:$N,"&gt;=" &amp; G99,[3]EXPEDIÇÃO!$N:$N,"&lt;="&amp;N99), "")</f>
        <v/>
      </c>
      <c r="X99" s="27">
        <f>COUNTIFS('[2]Controle de Produção'!$P:$P,C99,'[2]Controle de Produção'!$L:$L,D99,'[2]Controle de Produção'!$B:$B,"&gt;=" &amp; G99)</f>
        <v>34</v>
      </c>
      <c r="Y99" s="27">
        <f t="shared" si="29"/>
        <v>0</v>
      </c>
      <c r="Z99" s="27">
        <f>IFERROR(COUNTIFS('[2]Controle de Produção'!$L:$L,D99,'[2]Controle de Produção'!$P:$P,C99,'[2]Controle de Produção'!$B:$B,"&gt;=" &amp; G99,'[2]Controle de Produção'!$C:$C,"&lt;=" &amp; N99, '[2]Controle de Produção'!$G:$G,B99), "")</f>
        <v>0</v>
      </c>
      <c r="AA99" s="108" t="str">
        <f t="shared" si="30"/>
        <v/>
      </c>
      <c r="AB99" s="41" t="str" cm="1">
        <f t="array" ref="AB99">_xlfn.IFS((H99*0.95)&lt;=V99,"Concluído",AND(V99 =0, J99&lt;&gt;""),"Programado",AND(V99=0,D99=""),"Desenvolv.",V99=0,"Não Iniciado",AND(V99&gt;0,V99&lt;H99,AO99=TRUE),"Em Produção",AND(V99&gt;0,V99&lt;H99,AO99=FALSE),"Produção Parcial")</f>
        <v>Não Iniciado</v>
      </c>
      <c r="AC99" s="42" t="b">
        <v>1</v>
      </c>
      <c r="AD99" s="42" t="b">
        <v>1</v>
      </c>
      <c r="AE99" s="67" t="b">
        <v>1</v>
      </c>
      <c r="AF99" s="42" t="b">
        <v>1</v>
      </c>
      <c r="AG99" s="42" t="s">
        <v>38</v>
      </c>
      <c r="AH99" s="42" t="s">
        <v>38</v>
      </c>
      <c r="AI99" s="42" t="b">
        <v>1</v>
      </c>
      <c r="AJ99" s="90" t="s">
        <v>38</v>
      </c>
      <c r="AK99" s="42" t="b">
        <v>0</v>
      </c>
      <c r="AL99" s="42" t="b">
        <v>1</v>
      </c>
      <c r="AM99" s="42" t="b">
        <v>1</v>
      </c>
      <c r="AN99" s="42" t="b">
        <v>1</v>
      </c>
      <c r="AO99" s="45" t="b" cm="1">
        <f t="array" ref="AO99">AND(COUNTIF(AC99:AN99,FALSE)=0,SUMPRODUCT(ISNUMBER(AC99:AN99)*1)=0)</f>
        <v>0</v>
      </c>
      <c r="AP99" s="59"/>
      <c r="AQ99" s="111">
        <f>IF(AB99="",99999999999,IFERROR(MATCH(AB99,{"Produção Parcial","Em Produção","Programado","Não Iniciado","Desenvolv.","Concluído"},0),7)*100000000+IF(ISNUMBER(J99),J99-46000,9999)*10000+IF(A99="",99,A99)*100+IF(C99="",99,CODE(LEFT(C99,1))))</f>
        <v>499990077</v>
      </c>
    </row>
    <row r="100" spans="1:45" s="36" customFormat="1" ht="25.15" hidden="1" customHeight="1" x14ac:dyDescent="0.25">
      <c r="A100" s="36">
        <v>0</v>
      </c>
      <c r="B100" s="38" t="s">
        <v>146</v>
      </c>
      <c r="C100" s="70" t="str">
        <f>INDEX([1]Produtos!$G:$G,MATCH($D100,[1]Produtos!$B:$B,0))</f>
        <v>MAAKE</v>
      </c>
      <c r="D100" s="24" t="s">
        <v>147</v>
      </c>
      <c r="E100" s="70" t="str">
        <f>INDEX([1]Produtos!$C:$C,MATCH($D100,[1]Produtos!$B:$B,0))&amp;IF($F100&lt;&gt;"-"," - "&amp;LEFT($F100,1),"")&amp;" &gt; "&amp;$B100</f>
        <v>ÓLEO CORPORAL ALGODÃO &gt; ANDRÉ 15/09</v>
      </c>
      <c r="F100" s="51" t="s">
        <v>38</v>
      </c>
      <c r="G100" s="38">
        <v>45915</v>
      </c>
      <c r="H100" s="39">
        <v>5000</v>
      </c>
      <c r="I100" s="24" t="s">
        <v>39</v>
      </c>
      <c r="J100" s="68" t="str" cm="1">
        <f t="array" ref="J100">IFERROR(INDEX('[2]Previsão Envase'!$D$5:$D$4867, MATCH(1,('[2]Previsão Envase'!$F$5:$F$4867=$E100)+('[2]Previsão Envase'!$G$5:$G$4867=$E100)+('[2]Previsão Envase'!$H$5:$H$4867=$E100),0)),"")</f>
        <v/>
      </c>
      <c r="K100" s="68" t="str">
        <f>IF(COUNTIF('[2]Previsão Envase'!$F:$F,E100)&gt;0,"Linha 1",
IF(COUNTIF('[2]Previsão Envase'!$G:$G,E100)&gt;0,"Linha 2",
IF(COUNTIF('[2]Previsão Envase'!$H:$H,E100)&gt;0,"Linha 3","")))</f>
        <v/>
      </c>
      <c r="L100" s="96">
        <f>COUNTIF('[2]Previsão Envase'!$F:$H,E100)-COUNTIF('[2]Previsão Envase'!$F$1:$H$4,E100)</f>
        <v>0</v>
      </c>
      <c r="M100" s="35">
        <f t="shared" si="25"/>
        <v>0</v>
      </c>
      <c r="N100" s="68" t="str">
        <f>IFERROR(MAX(_xlfn.MAXIFS('[2]Controle de Produção'!$C:$C,'[2]Controle de Produção'!$L:$L,$D100,'[2]Controle de Produção'!$P:$P,$C100,'[2]Controle de Produção'!$G:$G,$B100),_xlfn.MAXIFS([3]EXPEDIÇÃO!$N:$N,[3]EXPEDIÇÃO!$E:$E,$D100,[3]EXPEDIÇÃO!$D:$D,$C100,[3]EXPEDIÇÃO!$N:$N,"&gt;="&amp;$G100)),"")</f>
        <v/>
      </c>
      <c r="O100" s="70">
        <f>INDEX([1]Produtos!$E:$E,MATCH($D100,[1]Produtos!$B:$B,0))</f>
        <v>150</v>
      </c>
      <c r="P100" s="70" t="str">
        <f>INDEX([1]Produtos!$F:$F,MATCH($D100,[1]Produtos!$B:$B,0))</f>
        <v>ml</v>
      </c>
      <c r="Q100" s="105">
        <f>INDEX([1]Produtos!$Y:$Y,MATCH($D100,[1]Produtos!$B:$B,0))</f>
        <v>1</v>
      </c>
      <c r="R100" s="35">
        <f t="shared" si="26"/>
        <v>5716.9929852086261</v>
      </c>
      <c r="S100" s="27">
        <f>IFERROR(INDEX([1]Produtos!$L:$L,MATCH(D100,[1]Produtos!$B:$B,0)), "")</f>
        <v>635.22144280095847</v>
      </c>
      <c r="T100" s="28">
        <f t="shared" si="27"/>
        <v>7.8999999999999995</v>
      </c>
      <c r="U100" s="28" t="str">
        <f t="shared" si="28"/>
        <v>0D e 8h</v>
      </c>
      <c r="V100" s="27">
        <f>IFERROR(SUMIFS('[2]Controle de Produção'!$K:$K,'[2]Controle de Produção'!$L:$L,D100,'[2]Controle de Produção'!$P:$P,C100,'[2]Controle de Produção'!$B:$B,"&gt;=" &amp; G100,'[2]Controle de Produção'!$C:$C,"&lt;=" &amp; N100, '[2]Controle de Produção'!$G:$G,B100), "")</f>
        <v>0</v>
      </c>
      <c r="W100" s="27" t="str">
        <f>IFERROR(SUMIFS([3]EXPEDIÇÃO!$K:$K,[3]EXPEDIÇÃO!$E:$E,D100,[3]EXPEDIÇÃO!$D:$D,C100,[3]EXPEDIÇÃO!$N:$N,"&gt;=" &amp; G100,[3]EXPEDIÇÃO!$N:$N,"&lt;="&amp;N100), "")</f>
        <v/>
      </c>
      <c r="X100" s="27">
        <f>COUNTIFS('[2]Controle de Produção'!$P:$P,C100,'[2]Controle de Produção'!$L:$L,D100,'[2]Controle de Produção'!$B:$B,"&gt;=" &amp; G100)</f>
        <v>2</v>
      </c>
      <c r="Y100" s="27">
        <f t="shared" si="29"/>
        <v>0</v>
      </c>
      <c r="Z100" s="27">
        <f>IFERROR(COUNTIFS('[2]Controle de Produção'!$L:$L,D100,'[2]Controle de Produção'!$P:$P,C100,'[2]Controle de Produção'!$B:$B,"&gt;=" &amp; G100,'[2]Controle de Produção'!$C:$C,"&lt;=" &amp; N100, '[2]Controle de Produção'!$G:$G,B100), "")</f>
        <v>0</v>
      </c>
      <c r="AA100" s="108" t="str">
        <f t="shared" si="30"/>
        <v/>
      </c>
      <c r="AB100" s="41" t="str" cm="1">
        <f t="array" ref="AB100">_xlfn.IFS((H100*0.95)&lt;=V100,"Concluído",AND(V100 =0, J100&lt;&gt;""),"Programado",AND(V100=0,D100=""),"Desenvolv.",V100=0,"Não Iniciado",AND(V100&gt;0,V100&lt;H100,AO100=TRUE),"Em Produção",AND(V100&gt;0,V100&lt;H100,AO100=FALSE),"Produção Parcial")</f>
        <v>Não Iniciado</v>
      </c>
      <c r="AC100" s="42" t="b">
        <v>1</v>
      </c>
      <c r="AD100" s="42" t="b">
        <v>1</v>
      </c>
      <c r="AE100" s="42" t="b">
        <v>1</v>
      </c>
      <c r="AF100" s="42" t="b">
        <v>1</v>
      </c>
      <c r="AG100" s="42" t="b">
        <v>1</v>
      </c>
      <c r="AH100" s="42" t="s">
        <v>38</v>
      </c>
      <c r="AI100" s="42" t="s">
        <v>38</v>
      </c>
      <c r="AJ100" s="32" t="s">
        <v>38</v>
      </c>
      <c r="AK100" s="90" t="b">
        <v>0</v>
      </c>
      <c r="AL100" s="42" t="b">
        <v>1</v>
      </c>
      <c r="AM100" s="42" t="b">
        <v>1</v>
      </c>
      <c r="AN100" s="42" t="b">
        <v>1</v>
      </c>
      <c r="AO100" s="45" t="b" cm="1">
        <f t="array" ref="AO100">AND(COUNTIF(AC100:AN100,FALSE)=0,SUMPRODUCT(ISNUMBER(AC100:AN100)*1)=0)</f>
        <v>0</v>
      </c>
      <c r="AP100" s="59"/>
      <c r="AQ100" s="111">
        <f>IF(AB100="",99999999999,IFERROR(MATCH(AB100,{"Produção Parcial","Em Produção","Programado","Não Iniciado","Desenvolv.","Concluído"},0),7)*100000000+IF(ISNUMBER(J100),J100-46000,9999)*10000+IF(A100="",99,A100)*100+IF(C100="",99,CODE(LEFT(C100,1))))</f>
        <v>499990077</v>
      </c>
    </row>
    <row r="101" spans="1:45" s="36" customFormat="1" ht="25.15" hidden="1" customHeight="1" x14ac:dyDescent="0.25">
      <c r="A101" s="36">
        <v>0</v>
      </c>
      <c r="B101" s="38" t="s">
        <v>138</v>
      </c>
      <c r="C101" s="70" t="str">
        <f>INDEX([1]Produtos!$G:$G,MATCH($D101,[1]Produtos!$B:$B,0))</f>
        <v>MISS RÔSE</v>
      </c>
      <c r="D101" s="24" t="s">
        <v>139</v>
      </c>
      <c r="E101" s="70" t="str">
        <f>INDEX([1]Produtos!$C:$C,MATCH($D101,[1]Produtos!$B:$B,0))&amp;IF($F101&lt;&gt;"-"," - "&amp;LEFT($F101,1),"")&amp;" &gt; "&amp;$B101</f>
        <v xml:space="preserve"> BRUMA MATTE FIX 120ml &gt; FABIANO 03/02/26</v>
      </c>
      <c r="F101" s="51" t="s">
        <v>38</v>
      </c>
      <c r="G101" s="38">
        <v>46056</v>
      </c>
      <c r="H101" s="39">
        <v>48000</v>
      </c>
      <c r="I101" s="24" t="s">
        <v>39</v>
      </c>
      <c r="J101" s="68" t="str" cm="1">
        <f t="array" ref="J101">IFERROR(INDEX('[2]Previsão Envase'!$D$5:$D$4867, MATCH(1,('[2]Previsão Envase'!$F$5:$F$4867=$E101)+('[2]Previsão Envase'!$G$5:$G$4867=$E101)+('[2]Previsão Envase'!$H$5:$H$4867=$E101),0)),"")</f>
        <v/>
      </c>
      <c r="K101" s="68" t="str">
        <f>IF(COUNTIF('[2]Previsão Envase'!$F:$F,E101)&gt;0,"Linha 1",
IF(COUNTIF('[2]Previsão Envase'!$G:$G,E101)&gt;0,"Linha 2",
IF(COUNTIF('[2]Previsão Envase'!$H:$H,E101)&gt;0,"Linha 3","")))</f>
        <v/>
      </c>
      <c r="L101" s="96">
        <f>COUNTIF('[2]Previsão Envase'!$F:$H,E101)-COUNTIF('[2]Previsão Envase'!$F$1:$H$4,E101)</f>
        <v>0</v>
      </c>
      <c r="M101" s="35">
        <f t="shared" si="25"/>
        <v>0</v>
      </c>
      <c r="N101" s="68" t="str">
        <f>IFERROR(MAX(_xlfn.MAXIFS('[2]Controle de Produção'!$C:$C,'[2]Controle de Produção'!$L:$L,$D101,'[2]Controle de Produção'!$P:$P,$C101,'[2]Controle de Produção'!$G:$G,$B101),_xlfn.MAXIFS([3]EXPEDIÇÃO!$N:$N,[3]EXPEDIÇÃO!$E:$E,$D101,[3]EXPEDIÇÃO!$D:$D,$C101,[3]EXPEDIÇÃO!$N:$N,"&gt;="&amp;$G101)),"")</f>
        <v/>
      </c>
      <c r="O101" s="70">
        <f>INDEX([1]Produtos!$E:$E,MATCH($D101,[1]Produtos!$B:$B,0))</f>
        <v>120</v>
      </c>
      <c r="P101" s="70" t="str">
        <f>INDEX([1]Produtos!$F:$F,MATCH($D101,[1]Produtos!$B:$B,0))</f>
        <v>ml</v>
      </c>
      <c r="Q101" s="105">
        <f>INDEX([1]Produtos!$Y:$Y,MATCH($D101,[1]Produtos!$B:$B,0))</f>
        <v>0.55000000000000004</v>
      </c>
      <c r="R101" s="35">
        <f t="shared" si="26"/>
        <v>6293.633066336899</v>
      </c>
      <c r="S101" s="27">
        <f>IFERROR(INDEX([1]Produtos!$L:$L,MATCH(D101,[1]Produtos!$B:$B,0)), "")</f>
        <v>699.29256292632215</v>
      </c>
      <c r="T101" s="28">
        <f t="shared" si="27"/>
        <v>68.699999999999989</v>
      </c>
      <c r="U101" s="28" t="str">
        <f t="shared" si="28"/>
        <v>7D e 8h</v>
      </c>
      <c r="V101" s="27">
        <f>IFERROR(SUMIFS('[2]Controle de Produção'!$K:$K,'[2]Controle de Produção'!$L:$L,D101,'[2]Controle de Produção'!$P:$P,C101,'[2]Controle de Produção'!$B:$B,"&gt;=" &amp; G101,'[2]Controle de Produção'!$C:$C,"&lt;=" &amp; N101, '[2]Controle de Produção'!$G:$G,B101), "")</f>
        <v>0</v>
      </c>
      <c r="W101" s="27" t="str">
        <f>IFERROR(SUMIFS([3]EXPEDIÇÃO!$K:$K,[3]EXPEDIÇÃO!$E:$E,D101,[3]EXPEDIÇÃO!$D:$D,C101,[3]EXPEDIÇÃO!$N:$N,"&gt;=" &amp; G101,[3]EXPEDIÇÃO!$N:$N,"&lt;="&amp;N101), "")</f>
        <v/>
      </c>
      <c r="X101" s="27">
        <f>COUNTIFS('[2]Controle de Produção'!$P:$P,C101,'[2]Controle de Produção'!$L:$L,D101,'[2]Controle de Produção'!$B:$B,"&gt;=" &amp; G101)</f>
        <v>11</v>
      </c>
      <c r="Y101" s="27">
        <f t="shared" si="29"/>
        <v>0</v>
      </c>
      <c r="Z101" s="27">
        <f>IFERROR(COUNTIFS('[2]Controle de Produção'!$L:$L,D101,'[2]Controle de Produção'!$P:$P,C101,'[2]Controle de Produção'!$B:$B,"&gt;=" &amp; G101,'[2]Controle de Produção'!$C:$C,"&lt;=" &amp; N101, '[2]Controle de Produção'!$G:$G,B101), "")</f>
        <v>0</v>
      </c>
      <c r="AA101" s="108" t="str">
        <f t="shared" si="30"/>
        <v/>
      </c>
      <c r="AB101" s="41" t="str" cm="1">
        <f t="array" ref="AB101">_xlfn.IFS((H101*0.95)&lt;=V101,"Concluído",AND(V101 =0, J101&lt;&gt;""),"Programado",AND(V101=0,D101=""),"Desenvolv.",V101=0,"Não Iniciado",AND(V101&gt;0,V101&lt;H101,AO101=TRUE),"Em Produção",AND(V101&gt;0,V101&lt;H101,AO101=FALSE),"Produção Parcial")</f>
        <v>Não Iniciado</v>
      </c>
      <c r="AC101" s="42" t="b">
        <v>1</v>
      </c>
      <c r="AD101" s="42" t="b">
        <v>1</v>
      </c>
      <c r="AE101" s="42" t="b">
        <v>1</v>
      </c>
      <c r="AF101" s="42" t="b">
        <v>1</v>
      </c>
      <c r="AG101" s="42" t="s">
        <v>38</v>
      </c>
      <c r="AH101" s="42" t="s">
        <v>38</v>
      </c>
      <c r="AI101" s="42" t="b">
        <v>1</v>
      </c>
      <c r="AJ101" s="32" t="b">
        <v>1</v>
      </c>
      <c r="AK101" s="90" t="b">
        <v>1</v>
      </c>
      <c r="AL101" s="42" t="b">
        <v>1</v>
      </c>
      <c r="AM101" s="42" t="b">
        <v>1</v>
      </c>
      <c r="AN101" s="42" t="b">
        <v>1</v>
      </c>
      <c r="AO101" s="45" t="b" cm="1">
        <f t="array" ref="AO101">AND(COUNTIF(AC101:AN101,FALSE)=0,SUMPRODUCT(ISNUMBER(AC101:AN101)*1)=0)</f>
        <v>1</v>
      </c>
      <c r="AP101" s="59"/>
      <c r="AQ101" s="111">
        <f>IF(AB101="",99999999999,IFERROR(MATCH(AB101,{"Produção Parcial","Em Produção","Programado","Não Iniciado","Desenvolv.","Concluído"},0),7)*100000000+IF(ISNUMBER(J101),J101-46000,9999)*10000+IF(A101="",99,A101)*100+IF(C101="",99,CODE(LEFT(C101,1))))</f>
        <v>499990077</v>
      </c>
    </row>
    <row r="102" spans="1:45" s="36" customFormat="1" ht="25.15" hidden="1" customHeight="1" x14ac:dyDescent="0.25">
      <c r="A102" s="36">
        <v>0</v>
      </c>
      <c r="B102" s="38" t="s">
        <v>138</v>
      </c>
      <c r="C102" s="70" t="str">
        <f>INDEX([1]Produtos!$G:$G,MATCH($D102,[1]Produtos!$B:$B,0))</f>
        <v>MISS RÔSE</v>
      </c>
      <c r="D102" s="24" t="s">
        <v>139</v>
      </c>
      <c r="E102" s="70" t="str">
        <f>INDEX([1]Produtos!$C:$C,MATCH($D102,[1]Produtos!$B:$B,0))&amp;IF($F102&lt;&gt;"-"," - "&amp;LEFT($F102,1),"")&amp;" &gt; "&amp;$B102</f>
        <v xml:space="preserve"> BRUMA MATTE FIX 120ml - 2 &gt; FABIANO 03/02/26</v>
      </c>
      <c r="F102" s="51" t="s">
        <v>141</v>
      </c>
      <c r="G102" s="38">
        <v>46056</v>
      </c>
      <c r="H102" s="39">
        <v>48000</v>
      </c>
      <c r="I102" s="24" t="s">
        <v>39</v>
      </c>
      <c r="J102" s="68" t="str" cm="1">
        <f t="array" ref="J102">IFERROR(INDEX('[2]Previsão Envase'!$D$5:$D$4867, MATCH(1,('[2]Previsão Envase'!$F$5:$F$4867=$E102)+('[2]Previsão Envase'!$G$5:$G$4867=$E102)+('[2]Previsão Envase'!$H$5:$H$4867=$E102),0)),"")</f>
        <v/>
      </c>
      <c r="K102" s="68" t="str">
        <f>IF(COUNTIF('[2]Previsão Envase'!$F:$F,E102)&gt;0,"Linha 1",
IF(COUNTIF('[2]Previsão Envase'!$G:$G,E102)&gt;0,"Linha 2",
IF(COUNTIF('[2]Previsão Envase'!$H:$H,E102)&gt;0,"Linha 3","")))</f>
        <v/>
      </c>
      <c r="L102" s="96">
        <f>COUNTIF('[2]Previsão Envase'!$F:$H,E102)-COUNTIF('[2]Previsão Envase'!$F$1:$H$4,E102)</f>
        <v>0</v>
      </c>
      <c r="M102" s="35">
        <f t="shared" si="25"/>
        <v>0</v>
      </c>
      <c r="N102" s="68" t="str">
        <f>IFERROR(MAX(_xlfn.MAXIFS('[2]Controle de Produção'!$C:$C,'[2]Controle de Produção'!$L:$L,$D102,'[2]Controle de Produção'!$P:$P,$C102,'[2]Controle de Produção'!$G:$G,$B102),_xlfn.MAXIFS([3]EXPEDIÇÃO!$N:$N,[3]EXPEDIÇÃO!$E:$E,$D102,[3]EXPEDIÇÃO!$D:$D,$C102,[3]EXPEDIÇÃO!$N:$N,"&gt;="&amp;$G102)),"")</f>
        <v/>
      </c>
      <c r="O102" s="70">
        <f>INDEX([1]Produtos!$E:$E,MATCH($D102,[1]Produtos!$B:$B,0))</f>
        <v>120</v>
      </c>
      <c r="P102" s="70" t="str">
        <f>INDEX([1]Produtos!$F:$F,MATCH($D102,[1]Produtos!$B:$B,0))</f>
        <v>ml</v>
      </c>
      <c r="Q102" s="105">
        <f>INDEX([1]Produtos!$Y:$Y,MATCH($D102,[1]Produtos!$B:$B,0))</f>
        <v>0.55000000000000004</v>
      </c>
      <c r="R102" s="35">
        <f t="shared" si="26"/>
        <v>6293.633066336899</v>
      </c>
      <c r="S102" s="27">
        <f>IFERROR(INDEX([1]Produtos!$L:$L,MATCH(D102,[1]Produtos!$B:$B,0)), "")</f>
        <v>699.29256292632215</v>
      </c>
      <c r="T102" s="28">
        <f t="shared" si="27"/>
        <v>68.699999999999989</v>
      </c>
      <c r="U102" s="28" t="str">
        <f t="shared" si="28"/>
        <v>7D e 8h</v>
      </c>
      <c r="V102" s="27">
        <f>IFERROR(SUMIFS('[2]Controle de Produção'!$K:$K,'[2]Controle de Produção'!$L:$L,D102,'[2]Controle de Produção'!$P:$P,C102,'[2]Controle de Produção'!$B:$B,"&gt;=" &amp; G102,'[2]Controle de Produção'!$C:$C,"&lt;=" &amp; N102, '[2]Controle de Produção'!$G:$G,B102), "")</f>
        <v>0</v>
      </c>
      <c r="W102" s="27" t="str">
        <f>IFERROR(SUMIFS([3]EXPEDIÇÃO!$K:$K,[3]EXPEDIÇÃO!$E:$E,D102,[3]EXPEDIÇÃO!$D:$D,C102,[3]EXPEDIÇÃO!$N:$N,"&gt;=" &amp; G102,[3]EXPEDIÇÃO!$N:$N,"&lt;="&amp;N102), "")</f>
        <v/>
      </c>
      <c r="X102" s="27">
        <f>COUNTIFS('[2]Controle de Produção'!$P:$P,C102,'[2]Controle de Produção'!$L:$L,D102,'[2]Controle de Produção'!$B:$B,"&gt;=" &amp; G102)</f>
        <v>11</v>
      </c>
      <c r="Y102" s="27">
        <f t="shared" si="29"/>
        <v>0</v>
      </c>
      <c r="Z102" s="27">
        <f>IFERROR(COUNTIFS('[2]Controle de Produção'!$L:$L,D102,'[2]Controle de Produção'!$P:$P,C102,'[2]Controle de Produção'!$B:$B,"&gt;=" &amp; G102,'[2]Controle de Produção'!$C:$C,"&lt;=" &amp; N102, '[2]Controle de Produção'!$G:$G,B102), "")</f>
        <v>0</v>
      </c>
      <c r="AA102" s="108" t="str">
        <f t="shared" si="30"/>
        <v/>
      </c>
      <c r="AB102" s="41" t="str" cm="1">
        <f t="array" ref="AB102">_xlfn.IFS((H102*0.95)&lt;=V102,"Concluído",AND(V102 =0, J102&lt;&gt;""),"Programado",AND(V102=0,D102=""),"Desenvolv.",V102=0,"Não Iniciado",AND(V102&gt;0,V102&lt;H102,AO102=TRUE),"Em Produção",AND(V102&gt;0,V102&lt;H102,AO102=FALSE),"Produção Parcial")</f>
        <v>Não Iniciado</v>
      </c>
      <c r="AC102" s="42" t="b">
        <v>1</v>
      </c>
      <c r="AD102" s="42" t="b">
        <v>1</v>
      </c>
      <c r="AE102" s="42" t="b">
        <v>1</v>
      </c>
      <c r="AF102" s="42" t="b">
        <v>1</v>
      </c>
      <c r="AG102" s="42" t="s">
        <v>38</v>
      </c>
      <c r="AH102" s="42" t="s">
        <v>38</v>
      </c>
      <c r="AI102" s="42" t="b">
        <v>1</v>
      </c>
      <c r="AJ102" s="42" t="b">
        <v>1</v>
      </c>
      <c r="AK102" s="42" t="s">
        <v>38</v>
      </c>
      <c r="AL102" s="42" t="b">
        <v>1</v>
      </c>
      <c r="AM102" s="42" t="b">
        <v>1</v>
      </c>
      <c r="AN102" s="42" t="b">
        <v>1</v>
      </c>
      <c r="AO102" s="45" t="b" cm="1">
        <f t="array" ref="AO102">AND(COUNTIF(AC102:AN102,FALSE)=0,SUMPRODUCT(ISNUMBER(AC102:AN102)*1)=0)</f>
        <v>1</v>
      </c>
      <c r="AP102" s="59"/>
      <c r="AQ102" s="111">
        <f>IF(AB102="",99999999999,IFERROR(MATCH(AB102,{"Produção Parcial","Em Produção","Programado","Não Iniciado","Desenvolv.","Concluído"},0),7)*100000000+IF(ISNUMBER(J102),J102-46000,9999)*10000+IF(A102="",99,A102)*100+IF(C102="",99,CODE(LEFT(C102,1))))</f>
        <v>499990077</v>
      </c>
    </row>
    <row r="103" spans="1:45" s="36" customFormat="1" ht="25.15" hidden="1" customHeight="1" x14ac:dyDescent="0.25">
      <c r="A103" s="36">
        <v>0</v>
      </c>
      <c r="B103" s="38" t="s">
        <v>87</v>
      </c>
      <c r="C103" s="70" t="str">
        <f>INDEX([1]Produtos!$G:$G,MATCH($D103,[1]Produtos!$B:$B,0))</f>
        <v>MISS RÔSE</v>
      </c>
      <c r="D103" s="24" t="s">
        <v>83</v>
      </c>
      <c r="E103" s="70" t="str">
        <f>INDEX([1]Produtos!$C:$C,MATCH($D103,[1]Produtos!$B:$B,0))&amp;IF($F103&lt;&gt;"-"," - "&amp;LEFT($F103,1),"")&amp;" &gt; "&amp;$B103</f>
        <v>BODY SPLASH DEUSA DO NILO &gt; FABIANO 06/11</v>
      </c>
      <c r="F103" s="51" t="s">
        <v>38</v>
      </c>
      <c r="G103" s="38">
        <v>45967</v>
      </c>
      <c r="H103" s="39">
        <v>17000</v>
      </c>
      <c r="I103" s="24" t="s">
        <v>58</v>
      </c>
      <c r="J103" s="68" t="str" cm="1">
        <f t="array" ref="J103">IFERROR(INDEX('[2]Previsão Envase'!$D$5:$D$4867, MATCH(1,('[2]Previsão Envase'!$F$5:$F$4867=$E103)+('[2]Previsão Envase'!$G$5:$G$4867=$E103)+('[2]Previsão Envase'!$H$5:$H$4867=$E103),0)),"")</f>
        <v/>
      </c>
      <c r="K103" s="68" t="str">
        <f>IF(COUNTIF('[2]Previsão Envase'!$F:$F,E103)&gt;0,"Linha 1",
IF(COUNTIF('[2]Previsão Envase'!$G:$G,E103)&gt;0,"Linha 2",
IF(COUNTIF('[2]Previsão Envase'!$H:$H,E103)&gt;0,"Linha 3","")))</f>
        <v/>
      </c>
      <c r="L103" s="96">
        <f>COUNTIF('[2]Previsão Envase'!$F:$H,E103)-COUNTIF('[2]Previsão Envase'!$F$1:$H$4,E103)</f>
        <v>0</v>
      </c>
      <c r="M103" s="35">
        <f t="shared" si="25"/>
        <v>0</v>
      </c>
      <c r="N103" s="68" t="str">
        <f>IFERROR(MAX(_xlfn.MAXIFS('[2]Controle de Produção'!$C:$C,'[2]Controle de Produção'!$L:$L,$D103,'[2]Controle de Produção'!$P:$P,$C103,'[2]Controle de Produção'!$G:$G,$B103),_xlfn.MAXIFS([3]EXPEDIÇÃO!$N:$N,[3]EXPEDIÇÃO!$E:$E,$D103,[3]EXPEDIÇÃO!$D:$D,$C103,[3]EXPEDIÇÃO!$N:$N,"&gt;="&amp;$G103)),"")</f>
        <v/>
      </c>
      <c r="O103" s="70">
        <f>INDEX([1]Produtos!$E:$E,MATCH($D103,[1]Produtos!$B:$B,0))</f>
        <v>220</v>
      </c>
      <c r="P103" s="70" t="str">
        <f>INDEX([1]Produtos!$F:$F,MATCH($D103,[1]Produtos!$B:$B,0))</f>
        <v>ml</v>
      </c>
      <c r="Q103" s="105">
        <f>INDEX([1]Produtos!$Y:$Y,MATCH($D103,[1]Produtos!$B:$B,0))</f>
        <v>0.51</v>
      </c>
      <c r="R103" s="35">
        <f t="shared" si="26"/>
        <v>7592.2902086267013</v>
      </c>
      <c r="S103" s="27">
        <f>IFERROR(INDEX([1]Produtos!$L:$L,MATCH(D103,[1]Produtos!$B:$B,0)), "")</f>
        <v>843.58780095852239</v>
      </c>
      <c r="T103" s="28">
        <f t="shared" si="27"/>
        <v>20.200000000000003</v>
      </c>
      <c r="U103" s="28" t="str">
        <f t="shared" si="28"/>
        <v>2D e 3h</v>
      </c>
      <c r="V103" s="27">
        <f>IFERROR(SUMIFS('[2]Controle de Produção'!$K:$K,'[2]Controle de Produção'!$L:$L,D103,'[2]Controle de Produção'!$P:$P,C103,'[2]Controle de Produção'!$B:$B,"&gt;=" &amp; G103,'[2]Controle de Produção'!$C:$C,"&lt;=" &amp; N103, '[2]Controle de Produção'!$G:$G,B103), "")</f>
        <v>0</v>
      </c>
      <c r="W103" s="27" t="str">
        <f>IFERROR(SUMIFS([3]EXPEDIÇÃO!$K:$K,[3]EXPEDIÇÃO!$E:$E,D103,[3]EXPEDIÇÃO!$D:$D,C103,[3]EXPEDIÇÃO!$N:$N,"&gt;=" &amp; G103,[3]EXPEDIÇÃO!$N:$N,"&lt;="&amp;N103), "")</f>
        <v/>
      </c>
      <c r="X103" s="27">
        <f>COUNTIFS('[2]Controle de Produção'!$P:$P,C103,'[2]Controle de Produção'!$L:$L,D103,'[2]Controle de Produção'!$B:$B,"&gt;=" &amp; G103)</f>
        <v>19</v>
      </c>
      <c r="Y103" s="27">
        <f t="shared" si="29"/>
        <v>0</v>
      </c>
      <c r="Z103" s="27">
        <f>IFERROR(COUNTIFS('[2]Controle de Produção'!$L:$L,D103,'[2]Controle de Produção'!$P:$P,C103,'[2]Controle de Produção'!$B:$B,"&gt;=" &amp; G103,'[2]Controle de Produção'!$C:$C,"&lt;=" &amp; N103, '[2]Controle de Produção'!$G:$G,B103), "")</f>
        <v>0</v>
      </c>
      <c r="AA103" s="108" t="str">
        <f t="shared" si="30"/>
        <v/>
      </c>
      <c r="AB103" s="41" t="str" cm="1">
        <f t="array" ref="AB103">_xlfn.IFS((H103*0.95)&lt;=V103,"Concluído",AND(V103 =0, J103&lt;&gt;""),"Programado",AND(V103=0,D103=""),"Desenvolv.",V103=0,"Não Iniciado",AND(V103&gt;0,V103&lt;H103,AO103=TRUE),"Em Produção",AND(V103&gt;0,V103&lt;H103,AO103=FALSE),"Produção Parcial")</f>
        <v>Não Iniciado</v>
      </c>
      <c r="AC103" s="42" t="b">
        <v>0</v>
      </c>
      <c r="AD103" s="42" t="b">
        <v>0</v>
      </c>
      <c r="AE103" s="42" t="b">
        <v>0</v>
      </c>
      <c r="AF103" s="42" t="b">
        <v>0</v>
      </c>
      <c r="AG103" s="42" t="b">
        <v>0</v>
      </c>
      <c r="AH103" s="42" t="b">
        <v>0</v>
      </c>
      <c r="AI103" s="42" t="b">
        <v>0</v>
      </c>
      <c r="AJ103" s="42" t="b">
        <v>0</v>
      </c>
      <c r="AK103" s="42" t="b">
        <v>0</v>
      </c>
      <c r="AL103" s="42" t="b">
        <v>0</v>
      </c>
      <c r="AM103" s="42" t="b">
        <v>0</v>
      </c>
      <c r="AN103" s="91" t="b">
        <v>0</v>
      </c>
      <c r="AO103" s="45" t="b" cm="1">
        <f t="array" ref="AO103">AND(COUNTIF(AC103:AN103,FALSE)=0,SUMPRODUCT(ISNUMBER(AC103:AN103)*1)=0)</f>
        <v>0</v>
      </c>
      <c r="AP103" s="59"/>
      <c r="AQ103" s="111">
        <f>IF(AB103="",99999999999,IFERROR(MATCH(AB103,{"Produção Parcial","Em Produção","Programado","Não Iniciado","Desenvolv.","Concluído"},0),7)*100000000+IF(ISNUMBER(J103),J103-46000,9999)*10000+IF(A103="",99,A103)*100+IF(C103="",99,CODE(LEFT(C103,1))))</f>
        <v>499990077</v>
      </c>
    </row>
    <row r="104" spans="1:45" s="36" customFormat="1" ht="25.15" hidden="1" customHeight="1" x14ac:dyDescent="0.25">
      <c r="A104" s="36">
        <v>0</v>
      </c>
      <c r="B104" s="38" t="s">
        <v>36</v>
      </c>
      <c r="C104" s="70" t="str">
        <f>INDEX([1]Produtos!$G:$G,MATCH($D104,[1]Produtos!$B:$B,0))</f>
        <v>MISS RÔSE</v>
      </c>
      <c r="D104" s="24" t="s">
        <v>74</v>
      </c>
      <c r="E104" s="70" t="str">
        <f>INDEX([1]Produtos!$C:$C,MATCH($D104,[1]Produtos!$B:$B,0))&amp;IF($F104&lt;&gt;"-"," - "&amp;LEFT($F104,1),"")&amp;" &gt; "&amp;$B104</f>
        <v>BODY SPLASH LEAO DO DESERTO BOURBON 200ml &gt; FABIANO 09/12</v>
      </c>
      <c r="F104" s="51" t="s">
        <v>38</v>
      </c>
      <c r="G104" s="38">
        <v>46000</v>
      </c>
      <c r="H104" s="39">
        <v>15000</v>
      </c>
      <c r="I104" s="24" t="s">
        <v>39</v>
      </c>
      <c r="J104" s="68" t="str" cm="1">
        <f t="array" ref="J104">IFERROR(INDEX('[2]Previsão Envase'!$D$5:$D$4867, MATCH(1,('[2]Previsão Envase'!$F$5:$F$4867=$E104)+('[2]Previsão Envase'!$G$5:$G$4867=$E104)+('[2]Previsão Envase'!$H$5:$H$4867=$E104),0)),"")</f>
        <v/>
      </c>
      <c r="K104" s="68" t="str">
        <f>IF(COUNTIF('[2]Previsão Envase'!$F:$F,E104)&gt;0,"Linha 1",
IF(COUNTIF('[2]Previsão Envase'!$G:$G,E104)&gt;0,"Linha 2",
IF(COUNTIF('[2]Previsão Envase'!$H:$H,E104)&gt;0,"Linha 3","")))</f>
        <v/>
      </c>
      <c r="L104" s="96">
        <f>COUNTIF('[2]Previsão Envase'!$F:$H,E104)-COUNTIF('[2]Previsão Envase'!$F$1:$H$4,E104)</f>
        <v>0</v>
      </c>
      <c r="M104" s="35">
        <f t="shared" si="25"/>
        <v>0</v>
      </c>
      <c r="N104" s="68" t="str">
        <f>IFERROR(MAX(_xlfn.MAXIFS('[2]Controle de Produção'!$C:$C,'[2]Controle de Produção'!$L:$L,$D104,'[2]Controle de Produção'!$P:$P,$C104,'[2]Controle de Produção'!$G:$G,$B104),_xlfn.MAXIFS([3]EXPEDIÇÃO!$N:$N,[3]EXPEDIÇÃO!$E:$E,$D104,[3]EXPEDIÇÃO!$D:$D,$C104,[3]EXPEDIÇÃO!$N:$N,"&gt;="&amp;$G104)),"")</f>
        <v/>
      </c>
      <c r="O104" s="70">
        <f>INDEX([1]Produtos!$E:$E,MATCH($D104,[1]Produtos!$B:$B,0))</f>
        <v>215</v>
      </c>
      <c r="P104" s="70" t="str">
        <f>INDEX([1]Produtos!$F:$F,MATCH($D104,[1]Produtos!$B:$B,0))</f>
        <v>ml</v>
      </c>
      <c r="Q104" s="105">
        <f>INDEX([1]Produtos!$Y:$Y,MATCH($D104,[1]Produtos!$B:$B,0))</f>
        <v>0.85</v>
      </c>
      <c r="R104" s="35">
        <f t="shared" si="26"/>
        <v>7592.2902086267013</v>
      </c>
      <c r="S104" s="27">
        <f>IFERROR(INDEX([1]Produtos!$L:$L,MATCH(D104,[1]Produtos!$B:$B,0)), "")</f>
        <v>843.58780095852239</v>
      </c>
      <c r="T104" s="28">
        <f t="shared" si="27"/>
        <v>17.8</v>
      </c>
      <c r="U104" s="28" t="str">
        <f t="shared" si="28"/>
        <v>2D e 1h</v>
      </c>
      <c r="V104" s="27">
        <f>IFERROR(SUMIFS('[2]Controle de Produção'!$K:$K,'[2]Controle de Produção'!$L:$L,D104,'[2]Controle de Produção'!$P:$P,C104,'[2]Controle de Produção'!$B:$B,"&gt;=" &amp; G104,'[2]Controle de Produção'!$C:$C,"&lt;=" &amp; N104, '[2]Controle de Produção'!$G:$G,B104), "")</f>
        <v>0</v>
      </c>
      <c r="W104" s="27" t="str">
        <f>IFERROR(SUMIFS([3]EXPEDIÇÃO!$K:$K,[3]EXPEDIÇÃO!$E:$E,D104,[3]EXPEDIÇÃO!$D:$D,C104,[3]EXPEDIÇÃO!$N:$N,"&gt;=" &amp; G104,[3]EXPEDIÇÃO!$N:$N,"&lt;="&amp;N104), "")</f>
        <v/>
      </c>
      <c r="X104" s="27">
        <f>COUNTIFS('[2]Controle de Produção'!$P:$P,C104,'[2]Controle de Produção'!$L:$L,D104,'[2]Controle de Produção'!$B:$B,"&gt;=" &amp; G104)</f>
        <v>24</v>
      </c>
      <c r="Y104" s="27">
        <f t="shared" si="29"/>
        <v>0</v>
      </c>
      <c r="Z104" s="27">
        <f>IFERROR(COUNTIFS('[2]Controle de Produção'!$L:$L,D104,'[2]Controle de Produção'!$P:$P,C104,'[2]Controle de Produção'!$B:$B,"&gt;=" &amp; G104,'[2]Controle de Produção'!$C:$C,"&lt;=" &amp; N104, '[2]Controle de Produção'!$G:$G,B104), "")</f>
        <v>0</v>
      </c>
      <c r="AA104" s="108" t="str">
        <f t="shared" si="30"/>
        <v/>
      </c>
      <c r="AB104" s="41" t="str" cm="1">
        <f t="array" ref="AB104">_xlfn.IFS((H104*0.95)&lt;=V104,"Concluído",AND(V104 =0, J104&lt;&gt;""),"Programado",AND(V104=0,D104=""),"Desenvolv.",V104=0,"Não Iniciado",AND(V104&gt;0,V104&lt;H104,AO104=TRUE),"Em Produção",AND(V104&gt;0,V104&lt;H104,AO104=FALSE),"Produção Parcial")</f>
        <v>Não Iniciado</v>
      </c>
      <c r="AC104" s="42" t="b">
        <v>1</v>
      </c>
      <c r="AD104" s="42" t="b">
        <v>1</v>
      </c>
      <c r="AE104" s="42" t="b">
        <v>1</v>
      </c>
      <c r="AF104" s="42" t="b">
        <v>1</v>
      </c>
      <c r="AG104" s="42" t="b">
        <v>1</v>
      </c>
      <c r="AH104" s="42" t="s">
        <v>38</v>
      </c>
      <c r="AI104" s="42" t="b">
        <v>1</v>
      </c>
      <c r="AJ104" s="42" t="s">
        <v>38</v>
      </c>
      <c r="AK104" s="42" t="b">
        <v>0</v>
      </c>
      <c r="AL104" s="42" t="b">
        <v>1</v>
      </c>
      <c r="AM104" s="42" t="b">
        <v>1</v>
      </c>
      <c r="AN104" s="42" t="b">
        <v>1</v>
      </c>
      <c r="AO104" s="45" t="b" cm="1">
        <f t="array" ref="AO104">AND(COUNTIF(AC104:AN104,FALSE)=0,SUMPRODUCT(ISNUMBER(AC104:AN104)*1)=0)</f>
        <v>0</v>
      </c>
      <c r="AP104" s="59"/>
      <c r="AQ104" s="111">
        <f>IF(AB104="",99999999999,IFERROR(MATCH(AB104,{"Produção Parcial","Em Produção","Programado","Não Iniciado","Desenvolv.","Concluído"},0),7)*100000000+IF(ISNUMBER(J104),J104-46000,9999)*10000+IF(A104="",99,A104)*100+IF(C104="",99,CODE(LEFT(C104,1))))</f>
        <v>499990077</v>
      </c>
    </row>
    <row r="105" spans="1:45" s="36" customFormat="1" ht="25.15" hidden="1" customHeight="1" x14ac:dyDescent="0.25">
      <c r="A105" s="36">
        <v>0</v>
      </c>
      <c r="B105" s="38" t="s">
        <v>62</v>
      </c>
      <c r="C105" s="70" t="str">
        <f>INDEX([1]Produtos!$G:$G,MATCH($D105,[1]Produtos!$B:$B,0))</f>
        <v>MISS RÔSE</v>
      </c>
      <c r="D105" s="24" t="s">
        <v>83</v>
      </c>
      <c r="E105" s="70" t="str">
        <f>INDEX([1]Produtos!$C:$C,MATCH($D105,[1]Produtos!$B:$B,0))&amp;IF($F105&lt;&gt;"-"," - "&amp;LEFT($F105,1),"")&amp;" &gt; "&amp;$B105</f>
        <v>BODY SPLASH DEUSA DO NILO - 1 &gt; FABIANO 19/11</v>
      </c>
      <c r="F105" s="51">
        <v>1</v>
      </c>
      <c r="G105" s="38">
        <v>45968</v>
      </c>
      <c r="H105" s="39">
        <v>13000</v>
      </c>
      <c r="I105" s="24" t="s">
        <v>42</v>
      </c>
      <c r="J105" s="68" t="str" cm="1">
        <f t="array" ref="J105">IFERROR(INDEX('[2]Previsão Envase'!$D$5:$D$4867, MATCH(1,('[2]Previsão Envase'!$F$5:$F$4867=$E105)+('[2]Previsão Envase'!$G$5:$G$4867=$E105)+('[2]Previsão Envase'!$H$5:$H$4867=$E105),0)),"")</f>
        <v/>
      </c>
      <c r="K105" s="68" t="str">
        <f>IF(COUNTIF('[2]Previsão Envase'!$F:$F,E105)&gt;0,"Linha 1",
IF(COUNTIF('[2]Previsão Envase'!$G:$G,E105)&gt;0,"Linha 2",
IF(COUNTIF('[2]Previsão Envase'!$H:$H,E105)&gt;0,"Linha 3","")))</f>
        <v/>
      </c>
      <c r="L105" s="96">
        <f>COUNTIF('[2]Previsão Envase'!$F:$H,E105)-COUNTIF('[2]Previsão Envase'!$F$1:$H$4,E105)</f>
        <v>0</v>
      </c>
      <c r="M105" s="35">
        <f t="shared" si="25"/>
        <v>0</v>
      </c>
      <c r="N105" s="68" t="str">
        <f>IFERROR(MAX(_xlfn.MAXIFS('[2]Controle de Produção'!$C:$C,'[2]Controle de Produção'!$L:$L,$D105,'[2]Controle de Produção'!$P:$P,$C105,'[2]Controle de Produção'!$G:$G,$B105),_xlfn.MAXIFS([3]EXPEDIÇÃO!$N:$N,[3]EXPEDIÇÃO!$E:$E,$D105,[3]EXPEDIÇÃO!$D:$D,$C105,[3]EXPEDIÇÃO!$N:$N,"&gt;="&amp;$G105)),"")</f>
        <v/>
      </c>
      <c r="O105" s="70">
        <f>INDEX([1]Produtos!$E:$E,MATCH($D105,[1]Produtos!$B:$B,0))</f>
        <v>220</v>
      </c>
      <c r="P105" s="70" t="str">
        <f>INDEX([1]Produtos!$F:$F,MATCH($D105,[1]Produtos!$B:$B,0))</f>
        <v>ml</v>
      </c>
      <c r="Q105" s="105">
        <f>INDEX([1]Produtos!$Y:$Y,MATCH($D105,[1]Produtos!$B:$B,0))</f>
        <v>0.51</v>
      </c>
      <c r="R105" s="35">
        <f t="shared" si="26"/>
        <v>7592.2902086267013</v>
      </c>
      <c r="S105" s="27">
        <f>IFERROR(INDEX([1]Produtos!$L:$L,MATCH(D105,[1]Produtos!$B:$B,0)), "")</f>
        <v>843.58780095852239</v>
      </c>
      <c r="T105" s="28">
        <f t="shared" si="27"/>
        <v>15.5</v>
      </c>
      <c r="U105" s="28" t="str">
        <f t="shared" si="28"/>
        <v>1D e 7h</v>
      </c>
      <c r="V105" s="27">
        <f>IFERROR(SUMIFS('[2]Controle de Produção'!$K:$K,'[2]Controle de Produção'!$L:$L,D105,'[2]Controle de Produção'!$P:$P,C105,'[2]Controle de Produção'!$B:$B,"&gt;=" &amp; G105,'[2]Controle de Produção'!$C:$C,"&lt;=" &amp; N105, '[2]Controle de Produção'!$G:$G,B105), "")</f>
        <v>0</v>
      </c>
      <c r="W105" s="27" t="str">
        <f>IFERROR(SUMIFS([3]EXPEDIÇÃO!$K:$K,[3]EXPEDIÇÃO!$E:$E,D105,[3]EXPEDIÇÃO!$D:$D,C105,[3]EXPEDIÇÃO!$N:$N,"&gt;=" &amp; G105,[3]EXPEDIÇÃO!$N:$N,"&lt;="&amp;N105), "")</f>
        <v/>
      </c>
      <c r="X105" s="27">
        <f>COUNTIFS('[2]Controle de Produção'!$P:$P,C105,'[2]Controle de Produção'!$L:$L,D105,'[2]Controle de Produção'!$B:$B,"&gt;=" &amp; G105)</f>
        <v>19</v>
      </c>
      <c r="Y105" s="27">
        <f t="shared" si="29"/>
        <v>0</v>
      </c>
      <c r="Z105" s="27">
        <f>IFERROR(COUNTIFS('[2]Controle de Produção'!$L:$L,D105,'[2]Controle de Produção'!$P:$P,C105,'[2]Controle de Produção'!$B:$B,"&gt;=" &amp; G105,'[2]Controle de Produção'!$C:$C,"&lt;=" &amp; N105, '[2]Controle de Produção'!$G:$G,B105), "")</f>
        <v>0</v>
      </c>
      <c r="AA105" s="108" t="str">
        <f t="shared" si="30"/>
        <v/>
      </c>
      <c r="AB105" s="41" t="str" cm="1">
        <f t="array" ref="AB105">_xlfn.IFS((H105*0.95)&lt;=V105,"Concluído",AND(V105 =0, J105&lt;&gt;""),"Programado",AND(V105=0,D105=""),"Desenvolv.",V105=0,"Não Iniciado",AND(V105&gt;0,V105&lt;H105,AO105=TRUE),"Em Produção",AND(V105&gt;0,V105&lt;H105,AO105=FALSE),"Produção Parcial")</f>
        <v>Não Iniciado</v>
      </c>
      <c r="AC105" s="42" t="b">
        <v>1</v>
      </c>
      <c r="AD105" s="42" t="b">
        <v>1</v>
      </c>
      <c r="AE105" s="42" t="b">
        <v>1</v>
      </c>
      <c r="AF105" s="42" t="b">
        <v>1</v>
      </c>
      <c r="AG105" s="42" t="s">
        <v>38</v>
      </c>
      <c r="AH105" s="42" t="s">
        <v>38</v>
      </c>
      <c r="AI105" s="42" t="b">
        <v>1</v>
      </c>
      <c r="AJ105" s="42" t="s">
        <v>38</v>
      </c>
      <c r="AK105" s="42" t="b">
        <v>0</v>
      </c>
      <c r="AL105" s="42" t="b">
        <v>1</v>
      </c>
      <c r="AM105" s="42" t="b">
        <v>1</v>
      </c>
      <c r="AN105" s="42" t="b">
        <v>1</v>
      </c>
      <c r="AO105" s="45" t="b" cm="1">
        <f t="array" ref="AO105">AND(COUNTIF(AC105:AN105,FALSE)=0,SUMPRODUCT(ISNUMBER(AC105:AN105)*1)=0)</f>
        <v>0</v>
      </c>
      <c r="AP105" s="59"/>
      <c r="AQ105" s="111">
        <f>IF(AB105="",99999999999,IFERROR(MATCH(AB105,{"Produção Parcial","Em Produção","Programado","Não Iniciado","Desenvolv.","Concluído"},0),7)*100000000+IF(ISNUMBER(J105),J105-46000,9999)*10000+IF(A105="",99,A105)*100+IF(C105="",99,CODE(LEFT(C105,1))))</f>
        <v>499990077</v>
      </c>
    </row>
    <row r="106" spans="1:45" s="36" customFormat="1" ht="25.15" hidden="1" customHeight="1" x14ac:dyDescent="0.25">
      <c r="A106" s="36">
        <v>0</v>
      </c>
      <c r="B106" s="38" t="s">
        <v>62</v>
      </c>
      <c r="C106" s="70" t="str">
        <f>INDEX([1]Produtos!$G:$G,MATCH($D106,[1]Produtos!$B:$B,0))</f>
        <v>MISS RÔSE</v>
      </c>
      <c r="D106" s="24" t="s">
        <v>83</v>
      </c>
      <c r="E106" s="70" t="str">
        <f>INDEX([1]Produtos!$C:$C,MATCH($D106,[1]Produtos!$B:$B,0))&amp;IF($F106&lt;&gt;"-"," - "&amp;LEFT($F106,1),"")&amp;" &gt; "&amp;$B106</f>
        <v>BODY SPLASH DEUSA DO NILO - 2 &gt; FABIANO 19/11</v>
      </c>
      <c r="F106" s="51">
        <v>2</v>
      </c>
      <c r="G106" s="38">
        <v>46008</v>
      </c>
      <c r="H106" s="39">
        <v>15000</v>
      </c>
      <c r="I106" s="24" t="s">
        <v>42</v>
      </c>
      <c r="J106" s="68" t="str" cm="1">
        <f t="array" ref="J106">IFERROR(INDEX('[2]Previsão Envase'!$D$5:$D$4867, MATCH(1,('[2]Previsão Envase'!$F$5:$F$4867=$E106)+('[2]Previsão Envase'!$G$5:$G$4867=$E106)+('[2]Previsão Envase'!$H$5:$H$4867=$E106),0)),"")</f>
        <v/>
      </c>
      <c r="K106" s="68" t="str">
        <f>IF(COUNTIF('[2]Previsão Envase'!$F:$F,E106)&gt;0,"Linha 1",
IF(COUNTIF('[2]Previsão Envase'!$G:$G,E106)&gt;0,"Linha 2",
IF(COUNTIF('[2]Previsão Envase'!$H:$H,E106)&gt;0,"Linha 3","")))</f>
        <v/>
      </c>
      <c r="L106" s="96">
        <f>COUNTIF('[2]Previsão Envase'!$F:$H,E106)-COUNTIF('[2]Previsão Envase'!$F$1:$H$4,E106)</f>
        <v>0</v>
      </c>
      <c r="M106" s="35">
        <f t="shared" si="25"/>
        <v>0</v>
      </c>
      <c r="N106" s="68" t="str">
        <f>IFERROR(MAX(_xlfn.MAXIFS('[2]Controle de Produção'!$C:$C,'[2]Controle de Produção'!$L:$L,$D106,'[2]Controle de Produção'!$P:$P,$C106,'[2]Controle de Produção'!$G:$G,$B106),_xlfn.MAXIFS([3]EXPEDIÇÃO!$N:$N,[3]EXPEDIÇÃO!$E:$E,$D106,[3]EXPEDIÇÃO!$D:$D,$C106,[3]EXPEDIÇÃO!$N:$N,"&gt;="&amp;$G106)),"")</f>
        <v/>
      </c>
      <c r="O106" s="70">
        <f>INDEX([1]Produtos!$E:$E,MATCH($D106,[1]Produtos!$B:$B,0))</f>
        <v>220</v>
      </c>
      <c r="P106" s="70" t="str">
        <f>INDEX([1]Produtos!$F:$F,MATCH($D106,[1]Produtos!$B:$B,0))</f>
        <v>ml</v>
      </c>
      <c r="Q106" s="105">
        <f>INDEX([1]Produtos!$Y:$Y,MATCH($D106,[1]Produtos!$B:$B,0))</f>
        <v>0.51</v>
      </c>
      <c r="R106" s="35">
        <f t="shared" si="26"/>
        <v>7592.2902086267013</v>
      </c>
      <c r="S106" s="27">
        <f>IFERROR(INDEX([1]Produtos!$L:$L,MATCH(D106,[1]Produtos!$B:$B,0)), "")</f>
        <v>843.58780095852239</v>
      </c>
      <c r="T106" s="28">
        <f t="shared" si="27"/>
        <v>17.8</v>
      </c>
      <c r="U106" s="28" t="str">
        <f t="shared" si="28"/>
        <v>2D e 1h</v>
      </c>
      <c r="V106" s="27">
        <f>IFERROR(SUMIFS('[2]Controle de Produção'!$K:$K,'[2]Controle de Produção'!$L:$L,D106,'[2]Controle de Produção'!$P:$P,C106,'[2]Controle de Produção'!$B:$B,"&gt;=" &amp; G106,'[2]Controle de Produção'!$C:$C,"&lt;=" &amp; N106, '[2]Controle de Produção'!$G:$G,B106), "")</f>
        <v>0</v>
      </c>
      <c r="W106" s="27" t="str">
        <f>IFERROR(SUMIFS([3]EXPEDIÇÃO!$K:$K,[3]EXPEDIÇÃO!$E:$E,D106,[3]EXPEDIÇÃO!$D:$D,C106,[3]EXPEDIÇÃO!$N:$N,"&gt;=" &amp; G106,[3]EXPEDIÇÃO!$N:$N,"&lt;="&amp;N106), "")</f>
        <v/>
      </c>
      <c r="X106" s="27">
        <f>COUNTIFS('[2]Controle de Produção'!$P:$P,C106,'[2]Controle de Produção'!$L:$L,D106,'[2]Controle de Produção'!$B:$B,"&gt;=" &amp; G106)</f>
        <v>7</v>
      </c>
      <c r="Y106" s="27">
        <f t="shared" si="29"/>
        <v>0</v>
      </c>
      <c r="Z106" s="27">
        <f>IFERROR(COUNTIFS('[2]Controle de Produção'!$L:$L,D106,'[2]Controle de Produção'!$P:$P,C106,'[2]Controle de Produção'!$B:$B,"&gt;=" &amp; G106,'[2]Controle de Produção'!$C:$C,"&lt;=" &amp; N106, '[2]Controle de Produção'!$G:$G,B106), "")</f>
        <v>0</v>
      </c>
      <c r="AA106" s="108" t="str">
        <f t="shared" si="30"/>
        <v/>
      </c>
      <c r="AB106" s="41" t="str" cm="1">
        <f t="array" ref="AB106">_xlfn.IFS((H106*0.95)&lt;=V106,"Concluído",AND(V106 =0, J106&lt;&gt;""),"Programado",AND(V106=0,D106=""),"Desenvolv.",V106=0,"Não Iniciado",AND(V106&gt;0,V106&lt;H106,AO106=TRUE),"Em Produção",AND(V106&gt;0,V106&lt;H106,AO106=FALSE),"Produção Parcial")</f>
        <v>Não Iniciado</v>
      </c>
      <c r="AC106" s="42" t="b">
        <v>1</v>
      </c>
      <c r="AD106" s="42" t="b">
        <v>1</v>
      </c>
      <c r="AE106" s="42" t="b">
        <v>0</v>
      </c>
      <c r="AF106" s="42" t="b">
        <v>0</v>
      </c>
      <c r="AG106" s="42" t="s">
        <v>38</v>
      </c>
      <c r="AH106" s="42" t="s">
        <v>38</v>
      </c>
      <c r="AI106" s="42" t="b">
        <v>1</v>
      </c>
      <c r="AJ106" s="42" t="s">
        <v>38</v>
      </c>
      <c r="AK106" s="42" t="s">
        <v>38</v>
      </c>
      <c r="AL106" s="42" t="b">
        <v>1</v>
      </c>
      <c r="AM106" s="42" t="b">
        <v>1</v>
      </c>
      <c r="AN106" s="42" t="b">
        <v>1</v>
      </c>
      <c r="AO106" s="45" t="b" cm="1">
        <f t="array" ref="AO106">AND(COUNTIF(AC106:AN106,FALSE)=0,SUMPRODUCT(ISNUMBER(AC106:AN106)*1)=0)</f>
        <v>0</v>
      </c>
      <c r="AP106" s="59"/>
      <c r="AQ106" s="111">
        <f>IF(AB106="",99999999999,IFERROR(MATCH(AB106,{"Produção Parcial","Em Produção","Programado","Não Iniciado","Desenvolv.","Concluído"},0),7)*100000000+IF(ISNUMBER(J106),J106-46000,9999)*10000+IF(A106="",99,A106)*100+IF(C106="",99,CODE(LEFT(C106,1))))</f>
        <v>499990077</v>
      </c>
    </row>
    <row r="107" spans="1:45" s="36" customFormat="1" ht="25.15" hidden="1" customHeight="1" x14ac:dyDescent="0.25">
      <c r="A107" s="36">
        <v>0</v>
      </c>
      <c r="B107" s="38" t="s">
        <v>40</v>
      </c>
      <c r="C107" s="70" t="str">
        <f>INDEX([1]Produtos!$G:$G,MATCH($D107,[1]Produtos!$B:$B,0))</f>
        <v>MISS RÔSE</v>
      </c>
      <c r="D107" s="24" t="s">
        <v>41</v>
      </c>
      <c r="E107" s="70" t="str">
        <f>INDEX([1]Produtos!$C:$C,MATCH($D107,[1]Produtos!$B:$B,0))&amp;IF($F107&lt;&gt;"-"," - "&amp;LEFT($F107,1),"")&amp;" &gt; "&amp;$B107</f>
        <v>BODY SPLASH AURORA IMPERIAL &gt; FABIANO 20/01/26</v>
      </c>
      <c r="F107" s="51" t="s">
        <v>38</v>
      </c>
      <c r="G107" s="38">
        <v>46042</v>
      </c>
      <c r="H107" s="39">
        <v>20000</v>
      </c>
      <c r="I107" s="24" t="s">
        <v>42</v>
      </c>
      <c r="J107" s="68" t="str" cm="1">
        <f t="array" ref="J107">IFERROR(INDEX('[2]Previsão Envase'!$D$5:$D$4867, MATCH(1,('[2]Previsão Envase'!$F$5:$F$4867=$E107)+('[2]Previsão Envase'!$G$5:$G$4867=$E107)+('[2]Previsão Envase'!$H$5:$H$4867=$E107),0)),"")</f>
        <v/>
      </c>
      <c r="K107" s="68" t="str">
        <f>IF(COUNTIF('[2]Previsão Envase'!$F:$F,E107)&gt;0,"Linha 1",
IF(COUNTIF('[2]Previsão Envase'!$G:$G,E107)&gt;0,"Linha 2",
IF(COUNTIF('[2]Previsão Envase'!$H:$H,E107)&gt;0,"Linha 3","")))</f>
        <v/>
      </c>
      <c r="L107" s="96">
        <f>COUNTIF('[2]Previsão Envase'!$F:$H,E107)-COUNTIF('[2]Previsão Envase'!$F$1:$H$4,E107)</f>
        <v>0</v>
      </c>
      <c r="M107" s="35">
        <f t="shared" si="25"/>
        <v>0</v>
      </c>
      <c r="N107" s="68" t="str">
        <f>IFERROR(MAX(_xlfn.MAXIFS('[2]Controle de Produção'!$C:$C,'[2]Controle de Produção'!$L:$L,$D107,'[2]Controle de Produção'!$P:$P,$C107,'[2]Controle de Produção'!$G:$G,$B107),_xlfn.MAXIFS([3]EXPEDIÇÃO!$N:$N,[3]EXPEDIÇÃO!$E:$E,$D107,[3]EXPEDIÇÃO!$D:$D,$C107,[3]EXPEDIÇÃO!$N:$N,"&gt;="&amp;$G107)),"")</f>
        <v/>
      </c>
      <c r="O107" s="70">
        <f>INDEX([1]Produtos!$E:$E,MATCH($D107,[1]Produtos!$B:$B,0))</f>
        <v>220</v>
      </c>
      <c r="P107" s="70" t="str">
        <f>INDEX([1]Produtos!$F:$F,MATCH($D107,[1]Produtos!$B:$B,0))</f>
        <v>ml</v>
      </c>
      <c r="Q107" s="105">
        <f>INDEX([1]Produtos!$Y:$Y,MATCH($D107,[1]Produtos!$B:$B,0))</f>
        <v>0.51</v>
      </c>
      <c r="R107" s="35">
        <f t="shared" si="26"/>
        <v>7592.2902086267013</v>
      </c>
      <c r="S107" s="27">
        <f>IFERROR(INDEX([1]Produtos!$L:$L,MATCH(D107,[1]Produtos!$B:$B,0)), "")</f>
        <v>843.58780095852239</v>
      </c>
      <c r="T107" s="28">
        <f t="shared" si="27"/>
        <v>23.8</v>
      </c>
      <c r="U107" s="28" t="str">
        <f t="shared" si="28"/>
        <v>2D e 7h</v>
      </c>
      <c r="V107" s="27">
        <f>IFERROR(SUMIFS('[2]Controle de Produção'!$K:$K,'[2]Controle de Produção'!$L:$L,D107,'[2]Controle de Produção'!$P:$P,C107,'[2]Controle de Produção'!$B:$B,"&gt;=" &amp; G107,'[2]Controle de Produção'!$C:$C,"&lt;=" &amp; N107, '[2]Controle de Produção'!$G:$G,B107), "")</f>
        <v>0</v>
      </c>
      <c r="W107" s="27" t="str">
        <f>IFERROR(SUMIFS([3]EXPEDIÇÃO!$K:$K,[3]EXPEDIÇÃO!$E:$E,D107,[3]EXPEDIÇÃO!$D:$D,C107,[3]EXPEDIÇÃO!$N:$N,"&gt;=" &amp; G107,[3]EXPEDIÇÃO!$N:$N,"&lt;="&amp;N107), "")</f>
        <v/>
      </c>
      <c r="X107" s="27">
        <f>COUNTIFS('[2]Controle de Produção'!$P:$P,C107,'[2]Controle de Produção'!$L:$L,D107,'[2]Controle de Produção'!$B:$B,"&gt;=" &amp; G107)</f>
        <v>18</v>
      </c>
      <c r="Y107" s="27">
        <f t="shared" si="29"/>
        <v>0</v>
      </c>
      <c r="Z107" s="27">
        <f>IFERROR(COUNTIFS('[2]Controle de Produção'!$L:$L,D107,'[2]Controle de Produção'!$P:$P,C107,'[2]Controle de Produção'!$B:$B,"&gt;=" &amp; G107,'[2]Controle de Produção'!$C:$C,"&lt;=" &amp; N107, '[2]Controle de Produção'!$G:$G,B107), "")</f>
        <v>0</v>
      </c>
      <c r="AA107" s="108" t="str">
        <f t="shared" si="30"/>
        <v/>
      </c>
      <c r="AB107" s="41" t="str" cm="1">
        <f t="array" ref="AB107">_xlfn.IFS((H107*0.95)&lt;=V107,"Concluído",AND(V107 =0, J107&lt;&gt;""),"Programado",AND(V107=0,D107=""),"Desenvolv.",V107=0,"Não Iniciado",AND(V107&gt;0,V107&lt;H107,AO107=TRUE),"Em Produção",AND(V107&gt;0,V107&lt;H107,AO107=FALSE),"Produção Parcial")</f>
        <v>Não Iniciado</v>
      </c>
      <c r="AC107" s="42" t="b">
        <v>1</v>
      </c>
      <c r="AD107" s="42" t="b">
        <v>1</v>
      </c>
      <c r="AE107" s="42" t="b">
        <v>1</v>
      </c>
      <c r="AF107" s="42" t="b">
        <v>1</v>
      </c>
      <c r="AG107" s="42" t="s">
        <v>38</v>
      </c>
      <c r="AH107" s="42" t="s">
        <v>38</v>
      </c>
      <c r="AI107" s="42" t="b">
        <v>1</v>
      </c>
      <c r="AJ107" s="42" t="s">
        <v>38</v>
      </c>
      <c r="AK107" s="42" t="s">
        <v>38</v>
      </c>
      <c r="AL107" s="42" t="b">
        <v>1</v>
      </c>
      <c r="AM107" s="42" t="b">
        <v>1</v>
      </c>
      <c r="AN107" s="42" t="b">
        <v>0</v>
      </c>
      <c r="AO107" s="45" t="b" cm="1">
        <f t="array" ref="AO107">AND(COUNTIF(AC107:AN107,FALSE)=0,SUMPRODUCT(ISNUMBER(AC107:AN107)*1)=0)</f>
        <v>0</v>
      </c>
      <c r="AP107" s="59"/>
      <c r="AQ107" s="111">
        <f>IF(AB107="",99999999999,IFERROR(MATCH(AB107,{"Produção Parcial","Em Produção","Programado","Não Iniciado","Desenvolv.","Concluído"},0),7)*100000000+IF(ISNUMBER(J107),J107-46000,9999)*10000+IF(A107="",99,A107)*100+IF(C107="",99,CODE(LEFT(C107,1))))</f>
        <v>499990077</v>
      </c>
    </row>
    <row r="108" spans="1:45" s="36" customFormat="1" ht="25.15" hidden="1" customHeight="1" x14ac:dyDescent="0.25">
      <c r="A108" s="36">
        <v>0</v>
      </c>
      <c r="B108" s="38" t="s">
        <v>91</v>
      </c>
      <c r="C108" s="70" t="str">
        <f>INDEX([1]Produtos!$G:$G,MATCH($D108,[1]Produtos!$B:$B,0))</f>
        <v>MISS RÔSE</v>
      </c>
      <c r="D108" s="24" t="s">
        <v>41</v>
      </c>
      <c r="E108" s="70" t="str">
        <f>INDEX([1]Produtos!$C:$C,MATCH($D108,[1]Produtos!$B:$B,0))&amp;IF($F108&lt;&gt;"-"," - "&amp;LEFT($F108,1),"")&amp;" &gt; "&amp;$B108</f>
        <v>BODY SPLASH AURORA IMPERIAL &gt; Fabiano 20/10</v>
      </c>
      <c r="F108" s="51" t="s">
        <v>38</v>
      </c>
      <c r="G108" s="38">
        <v>45950</v>
      </c>
      <c r="H108" s="39">
        <v>24500</v>
      </c>
      <c r="I108" s="24" t="s">
        <v>42</v>
      </c>
      <c r="J108" s="68" t="str" cm="1">
        <f t="array" ref="J108">IFERROR(INDEX('[2]Previsão Envase'!$D$5:$D$4867, MATCH(1,('[2]Previsão Envase'!$F$5:$F$4867=$E108)+('[2]Previsão Envase'!$G$5:$G$4867=$E108)+('[2]Previsão Envase'!$H$5:$H$4867=$E108),0)),"")</f>
        <v/>
      </c>
      <c r="K108" s="68" t="str">
        <f>IF(COUNTIF('[2]Previsão Envase'!$F:$F,E108)&gt;0,"Linha 1",
IF(COUNTIF('[2]Previsão Envase'!$G:$G,E108)&gt;0,"Linha 2",
IF(COUNTIF('[2]Previsão Envase'!$H:$H,E108)&gt;0,"Linha 3","")))</f>
        <v/>
      </c>
      <c r="L108" s="96">
        <f>COUNTIF('[2]Previsão Envase'!$F:$H,E108)-COUNTIF('[2]Previsão Envase'!$F$1:$H$4,E108)</f>
        <v>0</v>
      </c>
      <c r="M108" s="35">
        <f t="shared" si="25"/>
        <v>0</v>
      </c>
      <c r="N108" s="68" t="str">
        <f>IFERROR(MAX(_xlfn.MAXIFS('[2]Controle de Produção'!$C:$C,'[2]Controle de Produção'!$L:$L,$D108,'[2]Controle de Produção'!$P:$P,$C108,'[2]Controle de Produção'!$G:$G,$B108),_xlfn.MAXIFS([3]EXPEDIÇÃO!$N:$N,[3]EXPEDIÇÃO!$E:$E,$D108,[3]EXPEDIÇÃO!$D:$D,$C108,[3]EXPEDIÇÃO!$N:$N,"&gt;="&amp;$G108)),"")</f>
        <v/>
      </c>
      <c r="O108" s="70">
        <f>INDEX([1]Produtos!$E:$E,MATCH($D108,[1]Produtos!$B:$B,0))</f>
        <v>220</v>
      </c>
      <c r="P108" s="70" t="str">
        <f>INDEX([1]Produtos!$F:$F,MATCH($D108,[1]Produtos!$B:$B,0))</f>
        <v>ml</v>
      </c>
      <c r="Q108" s="105">
        <f>INDEX([1]Produtos!$Y:$Y,MATCH($D108,[1]Produtos!$B:$B,0))</f>
        <v>0.51</v>
      </c>
      <c r="R108" s="35">
        <f t="shared" si="26"/>
        <v>7592.2902086267013</v>
      </c>
      <c r="S108" s="27">
        <f>IFERROR(INDEX([1]Produtos!$L:$L,MATCH(D108,[1]Produtos!$B:$B,0)), "")</f>
        <v>843.58780095852239</v>
      </c>
      <c r="T108" s="28">
        <f t="shared" si="27"/>
        <v>29.1</v>
      </c>
      <c r="U108" s="28" t="str">
        <f t="shared" si="28"/>
        <v>3D e 3h</v>
      </c>
      <c r="V108" s="27">
        <f>IFERROR(SUMIFS('[2]Controle de Produção'!$K:$K,'[2]Controle de Produção'!$L:$L,D108,'[2]Controle de Produção'!$P:$P,C108,'[2]Controle de Produção'!$B:$B,"&gt;=" &amp; G108,'[2]Controle de Produção'!$C:$C,"&lt;=" &amp; N108, '[2]Controle de Produção'!$G:$G,B108), "")</f>
        <v>0</v>
      </c>
      <c r="W108" s="27" t="str">
        <f>IFERROR(SUMIFS([3]EXPEDIÇÃO!$K:$K,[3]EXPEDIÇÃO!$E:$E,D108,[3]EXPEDIÇÃO!$D:$D,C108,[3]EXPEDIÇÃO!$N:$N,"&gt;=" &amp; G108,[3]EXPEDIÇÃO!$N:$N,"&lt;="&amp;N108), "")</f>
        <v/>
      </c>
      <c r="X108" s="27">
        <f>COUNTIFS('[2]Controle de Produção'!$P:$P,C108,'[2]Controle de Produção'!$L:$L,D108,'[2]Controle de Produção'!$B:$B,"&gt;=" &amp; G108)</f>
        <v>29</v>
      </c>
      <c r="Y108" s="27">
        <f t="shared" si="29"/>
        <v>0</v>
      </c>
      <c r="Z108" s="27">
        <f>IFERROR(COUNTIFS('[2]Controle de Produção'!$L:$L,D108,'[2]Controle de Produção'!$P:$P,C108,'[2]Controle de Produção'!$B:$B,"&gt;=" &amp; G108,'[2]Controle de Produção'!$C:$C,"&lt;=" &amp; N108, '[2]Controle de Produção'!$G:$G,B108), "")</f>
        <v>0</v>
      </c>
      <c r="AA108" s="108" t="str">
        <f t="shared" si="30"/>
        <v/>
      </c>
      <c r="AB108" s="41" t="str" cm="1">
        <f t="array" ref="AB108">_xlfn.IFS((H108*0.95)&lt;=V108,"Concluído",AND(V108 =0, J108&lt;&gt;""),"Programado",AND(V108=0,D108=""),"Desenvolv.",V108=0,"Não Iniciado",AND(V108&gt;0,V108&lt;H108,AO108=TRUE),"Em Produção",AND(V108&gt;0,V108&lt;H108,AO108=FALSE),"Produção Parcial")</f>
        <v>Não Iniciado</v>
      </c>
      <c r="AC108" s="42" t="b">
        <v>1</v>
      </c>
      <c r="AD108" s="42" t="b">
        <v>1</v>
      </c>
      <c r="AE108" s="42" t="b">
        <v>1</v>
      </c>
      <c r="AF108" s="42" t="b">
        <v>1</v>
      </c>
      <c r="AG108" s="42" t="s">
        <v>38</v>
      </c>
      <c r="AH108" s="42" t="s">
        <v>38</v>
      </c>
      <c r="AI108" s="42" t="b">
        <v>1</v>
      </c>
      <c r="AJ108" s="42" t="s">
        <v>38</v>
      </c>
      <c r="AK108" s="42" t="s">
        <v>38</v>
      </c>
      <c r="AL108" s="42" t="b">
        <v>1</v>
      </c>
      <c r="AM108" s="42" t="b">
        <v>1</v>
      </c>
      <c r="AN108" s="42" t="b">
        <v>1</v>
      </c>
      <c r="AO108" s="45" t="b" cm="1">
        <f t="array" ref="AO108">AND(COUNTIF(AC108:AN108,FALSE)=0,SUMPRODUCT(ISNUMBER(AC108:AN108)*1)=0)</f>
        <v>1</v>
      </c>
      <c r="AP108" s="59"/>
      <c r="AQ108" s="111">
        <f>IF(AB108="",99999999999,IFERROR(MATCH(AB108,{"Produção Parcial","Em Produção","Programado","Não Iniciado","Desenvolv.","Concluído"},0),7)*100000000+IF(ISNUMBER(J108),J108-46000,9999)*10000+IF(A108="",99,A108)*100+IF(C108="",99,CODE(LEFT(C108,1))))</f>
        <v>499990077</v>
      </c>
    </row>
    <row r="109" spans="1:45" s="36" customFormat="1" ht="25.15" hidden="1" customHeight="1" x14ac:dyDescent="0.25">
      <c r="A109" s="36">
        <v>0</v>
      </c>
      <c r="B109" s="38" t="s">
        <v>79</v>
      </c>
      <c r="C109" s="70" t="str">
        <f>INDEX([1]Produtos!$G:$G,MATCH($D109,[1]Produtos!$B:$B,0))</f>
        <v>MISS RÔSE</v>
      </c>
      <c r="D109" s="24" t="s">
        <v>70</v>
      </c>
      <c r="E109" s="70" t="str">
        <f>INDEX([1]Produtos!$C:$C,MATCH($D109,[1]Produtos!$B:$B,0))&amp;IF($F109&lt;&gt;"-"," - "&amp;LEFT($F109,1),"")&amp;" &gt; "&amp;$B109</f>
        <v>BODY SPLASH ECLIPSE DOURADO - 2 &gt; Fabiano 22/09</v>
      </c>
      <c r="F109" s="51" t="s">
        <v>84</v>
      </c>
      <c r="G109" s="38">
        <v>45933</v>
      </c>
      <c r="H109" s="39">
        <v>5000</v>
      </c>
      <c r="I109" s="24" t="s">
        <v>42</v>
      </c>
      <c r="J109" s="68" t="str" cm="1">
        <f t="array" ref="J109">IFERROR(INDEX('[2]Previsão Envase'!$D$5:$D$4867, MATCH(1,('[2]Previsão Envase'!$F$5:$F$4867=$E109)+('[2]Previsão Envase'!$G$5:$G$4867=$E109)+('[2]Previsão Envase'!$H$5:$H$4867=$E109),0)),"")</f>
        <v/>
      </c>
      <c r="K109" s="68" t="str">
        <f>IF(COUNTIF('[2]Previsão Envase'!$F:$F,E109)&gt;0,"Linha 1",
IF(COUNTIF('[2]Previsão Envase'!$G:$G,E109)&gt;0,"Linha 2",
IF(COUNTIF('[2]Previsão Envase'!$H:$H,E109)&gt;0,"Linha 3","")))</f>
        <v/>
      </c>
      <c r="L109" s="96">
        <f>COUNTIF('[2]Previsão Envase'!$F:$H,E109)-COUNTIF('[2]Previsão Envase'!$F$1:$H$4,E109)</f>
        <v>0</v>
      </c>
      <c r="M109" s="35">
        <f t="shared" si="25"/>
        <v>0</v>
      </c>
      <c r="N109" s="68" t="str">
        <f>IFERROR(MAX(_xlfn.MAXIFS('[2]Controle de Produção'!$C:$C,'[2]Controle de Produção'!$L:$L,$D109,'[2]Controle de Produção'!$P:$P,$C109,'[2]Controle de Produção'!$G:$G,$B109),_xlfn.MAXIFS([3]EXPEDIÇÃO!$N:$N,[3]EXPEDIÇÃO!$E:$E,$D109,[3]EXPEDIÇÃO!$D:$D,$C109,[3]EXPEDIÇÃO!$N:$N,"&gt;="&amp;$G109)),"")</f>
        <v/>
      </c>
      <c r="O109" s="70">
        <f>INDEX([1]Produtos!$E:$E,MATCH($D109,[1]Produtos!$B:$B,0))</f>
        <v>220</v>
      </c>
      <c r="P109" s="70" t="str">
        <f>INDEX([1]Produtos!$F:$F,MATCH($D109,[1]Produtos!$B:$B,0))</f>
        <v>ml</v>
      </c>
      <c r="Q109" s="105">
        <f>INDEX([1]Produtos!$Y:$Y,MATCH($D109,[1]Produtos!$B:$B,0))</f>
        <v>0.51</v>
      </c>
      <c r="R109" s="35">
        <f t="shared" si="26"/>
        <v>7592.2902086267013</v>
      </c>
      <c r="S109" s="27">
        <f>IFERROR(INDEX([1]Produtos!$L:$L,MATCH(D109,[1]Produtos!$B:$B,0)), "")</f>
        <v>843.58780095852239</v>
      </c>
      <c r="T109" s="28">
        <f t="shared" si="27"/>
        <v>6</v>
      </c>
      <c r="U109" s="28" t="str">
        <f t="shared" si="28"/>
        <v>0D e 6h</v>
      </c>
      <c r="V109" s="27">
        <f>IFERROR(SUMIFS('[2]Controle de Produção'!$K:$K,'[2]Controle de Produção'!$L:$L,D109,'[2]Controle de Produção'!$P:$P,C109,'[2]Controle de Produção'!$B:$B,"&gt;=" &amp; G109,'[2]Controle de Produção'!$C:$C,"&lt;=" &amp; N109, '[2]Controle de Produção'!$G:$G,B109), "")</f>
        <v>0</v>
      </c>
      <c r="W109" s="27" t="str">
        <f>IFERROR(SUMIFS([3]EXPEDIÇÃO!$K:$K,[3]EXPEDIÇÃO!$E:$E,D109,[3]EXPEDIÇÃO!$D:$D,C109,[3]EXPEDIÇÃO!$N:$N,"&gt;=" &amp; G109,[3]EXPEDIÇÃO!$N:$N,"&lt;="&amp;N109), "")</f>
        <v/>
      </c>
      <c r="X109" s="27">
        <f>COUNTIFS('[2]Controle de Produção'!$P:$P,C109,'[2]Controle de Produção'!$L:$L,D109,'[2]Controle de Produção'!$B:$B,"&gt;=" &amp; G109)</f>
        <v>22</v>
      </c>
      <c r="Y109" s="27">
        <f t="shared" si="29"/>
        <v>0</v>
      </c>
      <c r="Z109" s="27">
        <f>IFERROR(COUNTIFS('[2]Controle de Produção'!$L:$L,D109,'[2]Controle de Produção'!$P:$P,C109,'[2]Controle de Produção'!$B:$B,"&gt;=" &amp; G109,'[2]Controle de Produção'!$C:$C,"&lt;=" &amp; N109, '[2]Controle de Produção'!$G:$G,B109), "")</f>
        <v>0</v>
      </c>
      <c r="AA109" s="108" t="str">
        <f t="shared" si="30"/>
        <v/>
      </c>
      <c r="AB109" s="41" t="str" cm="1">
        <f t="array" ref="AB109">_xlfn.IFS((H109*0.95)&lt;=V109,"Concluído",AND(V109 =0, J109&lt;&gt;""),"Programado",AND(V109=0,D109=""),"Desenvolv.",V109=0,"Não Iniciado",AND(V109&gt;0,V109&lt;H109,AO109=TRUE),"Em Produção",AND(V109&gt;0,V109&lt;H109,AO109=FALSE),"Produção Parcial")</f>
        <v>Não Iniciado</v>
      </c>
      <c r="AC109" s="42" t="b">
        <v>1</v>
      </c>
      <c r="AD109" s="42" t="b">
        <v>1</v>
      </c>
      <c r="AE109" s="67" t="b">
        <v>1</v>
      </c>
      <c r="AF109" s="42" t="b">
        <v>1</v>
      </c>
      <c r="AG109" s="42" t="s">
        <v>38</v>
      </c>
      <c r="AH109" s="42" t="s">
        <v>38</v>
      </c>
      <c r="AI109" s="42" t="b">
        <v>1</v>
      </c>
      <c r="AJ109" s="42" t="s">
        <v>38</v>
      </c>
      <c r="AK109" s="42" t="s">
        <v>38</v>
      </c>
      <c r="AL109" s="42" t="b">
        <v>1</v>
      </c>
      <c r="AM109" s="42" t="b">
        <v>1</v>
      </c>
      <c r="AN109" s="42" t="b">
        <v>1</v>
      </c>
      <c r="AO109" s="45" t="b" cm="1">
        <f t="array" ref="AO109">AND(COUNTIF(AC109:AN109,FALSE)=0,SUMPRODUCT(ISNUMBER(AC109:AN109)*1)=0)</f>
        <v>1</v>
      </c>
      <c r="AP109" s="59"/>
      <c r="AQ109" s="111">
        <f>IF(AB109="",99999999999,IFERROR(MATCH(AB109,{"Produção Parcial","Em Produção","Programado","Não Iniciado","Desenvolv.","Concluído"},0),7)*100000000+IF(ISNUMBER(J109),J109-46000,9999)*10000+IF(A109="",99,A109)*100+IF(C109="",99,CODE(LEFT(C109,1))))</f>
        <v>499990077</v>
      </c>
    </row>
    <row r="110" spans="1:45" s="36" customFormat="1" ht="25.15" hidden="1" customHeight="1" x14ac:dyDescent="0.25">
      <c r="A110" s="36">
        <v>0</v>
      </c>
      <c r="B110" s="38" t="s">
        <v>79</v>
      </c>
      <c r="C110" s="70" t="str">
        <f>INDEX([1]Produtos!$G:$G,MATCH($D110,[1]Produtos!$B:$B,0))</f>
        <v>MISS RÔSE</v>
      </c>
      <c r="D110" s="24" t="s">
        <v>70</v>
      </c>
      <c r="E110" s="70" t="str">
        <f>INDEX([1]Produtos!$C:$C,MATCH($D110,[1]Produtos!$B:$B,0))&amp;IF($F110&lt;&gt;"-"," - "&amp;LEFT($F110,1),"")&amp;" &gt; "&amp;$B110</f>
        <v>BODY SPLASH ECLIPSE DOURADO - 3 &gt; Fabiano 22/09</v>
      </c>
      <c r="F110" s="51" t="s">
        <v>85</v>
      </c>
      <c r="G110" s="38">
        <v>45940</v>
      </c>
      <c r="H110" s="39">
        <v>6500</v>
      </c>
      <c r="I110" s="24" t="s">
        <v>42</v>
      </c>
      <c r="J110" s="68" t="str" cm="1">
        <f t="array" ref="J110">IFERROR(INDEX('[2]Previsão Envase'!$D$5:$D$4867, MATCH(1,('[2]Previsão Envase'!$F$5:$F$4867=$E110)+('[2]Previsão Envase'!$G$5:$G$4867=$E110)+('[2]Previsão Envase'!$H$5:$H$4867=$E110),0)),"")</f>
        <v/>
      </c>
      <c r="K110" s="68" t="str">
        <f>IF(COUNTIF('[2]Previsão Envase'!$F:$F,E110)&gt;0,"Linha 1",
IF(COUNTIF('[2]Previsão Envase'!$G:$G,E110)&gt;0,"Linha 2",
IF(COUNTIF('[2]Previsão Envase'!$H:$H,E110)&gt;0,"Linha 3","")))</f>
        <v/>
      </c>
      <c r="L110" s="96">
        <f>COUNTIF('[2]Previsão Envase'!$F:$H,E110)-COUNTIF('[2]Previsão Envase'!$F$1:$H$4,E110)</f>
        <v>0</v>
      </c>
      <c r="M110" s="35">
        <f t="shared" si="25"/>
        <v>0</v>
      </c>
      <c r="N110" s="68" t="str">
        <f>IFERROR(MAX(_xlfn.MAXIFS('[2]Controle de Produção'!$C:$C,'[2]Controle de Produção'!$L:$L,$D110,'[2]Controle de Produção'!$P:$P,$C110,'[2]Controle de Produção'!$G:$G,$B110),_xlfn.MAXIFS([3]EXPEDIÇÃO!$N:$N,[3]EXPEDIÇÃO!$E:$E,$D110,[3]EXPEDIÇÃO!$D:$D,$C110,[3]EXPEDIÇÃO!$N:$N,"&gt;="&amp;$G110)),"")</f>
        <v/>
      </c>
      <c r="O110" s="70">
        <f>INDEX([1]Produtos!$E:$E,MATCH($D110,[1]Produtos!$B:$B,0))</f>
        <v>220</v>
      </c>
      <c r="P110" s="70" t="str">
        <f>INDEX([1]Produtos!$F:$F,MATCH($D110,[1]Produtos!$B:$B,0))</f>
        <v>ml</v>
      </c>
      <c r="Q110" s="105">
        <f>INDEX([1]Produtos!$Y:$Y,MATCH($D110,[1]Produtos!$B:$B,0))</f>
        <v>0.51</v>
      </c>
      <c r="R110" s="35">
        <f t="shared" si="26"/>
        <v>7592.2902086267013</v>
      </c>
      <c r="S110" s="27">
        <f>IFERROR(INDEX([1]Produtos!$L:$L,MATCH(D110,[1]Produtos!$B:$B,0)), "")</f>
        <v>843.58780095852239</v>
      </c>
      <c r="T110" s="28">
        <f t="shared" si="27"/>
        <v>7.8</v>
      </c>
      <c r="U110" s="28" t="str">
        <f t="shared" si="28"/>
        <v>0D e 8h</v>
      </c>
      <c r="V110" s="27">
        <f>IFERROR(SUMIFS('[2]Controle de Produção'!$K:$K,'[2]Controle de Produção'!$L:$L,D110,'[2]Controle de Produção'!$P:$P,C110,'[2]Controle de Produção'!$B:$B,"&gt;=" &amp; G110,'[2]Controle de Produção'!$C:$C,"&lt;=" &amp; N110, '[2]Controle de Produção'!$G:$G,B110), "")</f>
        <v>0</v>
      </c>
      <c r="W110" s="27" t="str">
        <f>IFERROR(SUMIFS([3]EXPEDIÇÃO!$K:$K,[3]EXPEDIÇÃO!$E:$E,D110,[3]EXPEDIÇÃO!$D:$D,C110,[3]EXPEDIÇÃO!$N:$N,"&gt;=" &amp; G110,[3]EXPEDIÇÃO!$N:$N,"&lt;="&amp;N110), "")</f>
        <v/>
      </c>
      <c r="X110" s="27">
        <f>COUNTIFS('[2]Controle de Produção'!$P:$P,C110,'[2]Controle de Produção'!$L:$L,D110,'[2]Controle de Produção'!$B:$B,"&gt;=" &amp; G110)</f>
        <v>20</v>
      </c>
      <c r="Y110" s="27">
        <f t="shared" si="29"/>
        <v>0</v>
      </c>
      <c r="Z110" s="27">
        <f>IFERROR(COUNTIFS('[2]Controle de Produção'!$L:$L,D110,'[2]Controle de Produção'!$P:$P,C110,'[2]Controle de Produção'!$B:$B,"&gt;=" &amp; G110,'[2]Controle de Produção'!$C:$C,"&lt;=" &amp; N110, '[2]Controle de Produção'!$G:$G,B110), "")</f>
        <v>0</v>
      </c>
      <c r="AA110" s="108" t="str">
        <f t="shared" si="30"/>
        <v/>
      </c>
      <c r="AB110" s="41" t="str" cm="1">
        <f t="array" ref="AB110">_xlfn.IFS((H110*0.9)&lt;=V110,"Concluído",AND(V110 =0, J110&lt;&gt;""),"Programado",AND(V110=0,D110=""),"Desenvolv.",V110=0,"Não Iniciado",AND(V110&gt;0,V110&lt;H110,AO110=TRUE),"Em Produção",AND(V110&gt;0,V110&lt;H110,AO110=FALSE),"Produção Parcial")</f>
        <v>Não Iniciado</v>
      </c>
      <c r="AC110" s="42" t="b">
        <v>1</v>
      </c>
      <c r="AD110" s="42" t="b">
        <v>1</v>
      </c>
      <c r="AE110" s="67" t="b">
        <v>1</v>
      </c>
      <c r="AF110" s="42" t="b">
        <v>1</v>
      </c>
      <c r="AG110" s="42" t="s">
        <v>38</v>
      </c>
      <c r="AH110" s="42" t="s">
        <v>38</v>
      </c>
      <c r="AI110" s="42" t="b">
        <v>1</v>
      </c>
      <c r="AJ110" s="42" t="s">
        <v>38</v>
      </c>
      <c r="AK110" s="42" t="s">
        <v>38</v>
      </c>
      <c r="AL110" s="42" t="b">
        <v>1</v>
      </c>
      <c r="AM110" s="42" t="b">
        <v>1</v>
      </c>
      <c r="AN110" s="42" t="b">
        <v>1</v>
      </c>
      <c r="AO110" s="45" t="b" cm="1">
        <f t="array" ref="AO110">AND(COUNTIF(AC110:AN110,FALSE)=0,SUMPRODUCT(ISNUMBER(AC110:AN110)*1)=0)</f>
        <v>1</v>
      </c>
      <c r="AP110" s="59"/>
      <c r="AQ110" s="111">
        <f>IF(AB110="",99999999999,IFERROR(MATCH(AB110,{"Produção Parcial","Em Produção","Programado","Não Iniciado","Desenvolv.","Concluído"},0),7)*100000000+IF(ISNUMBER(J110),J110-46000,9999)*10000+IF(A110="",99,A110)*100+IF(C110="",99,CODE(LEFT(C110,1))))</f>
        <v>499990077</v>
      </c>
    </row>
    <row r="111" spans="1:45" s="36" customFormat="1" ht="25.15" hidden="1" customHeight="1" x14ac:dyDescent="0.25">
      <c r="A111" s="36">
        <v>0</v>
      </c>
      <c r="B111" s="38" t="s">
        <v>79</v>
      </c>
      <c r="C111" s="24" t="s">
        <v>86</v>
      </c>
      <c r="D111" s="24" t="s">
        <v>83</v>
      </c>
      <c r="E111" s="70" t="str">
        <f>INDEX([1]Produtos!$C:$C,MATCH($D111,[1]Produtos!$B:$B,0))&amp;IF($F111&lt;&gt;"-"," - "&amp;LEFT($F111,1),"")&amp;" &gt; "&amp;$B111</f>
        <v>BODY SPLASH DEUSA DO NILO &gt; Fabiano 22/09</v>
      </c>
      <c r="F111" s="51" t="s">
        <v>38</v>
      </c>
      <c r="G111" s="38">
        <v>45922</v>
      </c>
      <c r="H111" s="39">
        <v>3500</v>
      </c>
      <c r="I111" s="24" t="s">
        <v>42</v>
      </c>
      <c r="J111" s="68" t="str" cm="1">
        <f t="array" ref="J111">IFERROR(INDEX('[2]Previsão Envase'!$D$5:$D$4867, MATCH(1,('[2]Previsão Envase'!$F$5:$F$4867=$E111)+('[2]Previsão Envase'!$G$5:$G$4867=$E111)+('[2]Previsão Envase'!$H$5:$H$4867=$E111),0)),"")</f>
        <v/>
      </c>
      <c r="K111" s="68" t="str">
        <f>IF(COUNTIF('[2]Previsão Envase'!$F:$F,E111)&gt;0,"Linha 1",
IF(COUNTIF('[2]Previsão Envase'!$G:$G,E111)&gt;0,"Linha 2",
IF(COUNTIF('[2]Previsão Envase'!$H:$H,E111)&gt;0,"Linha 3","")))</f>
        <v/>
      </c>
      <c r="L111" s="96">
        <f>COUNTIF('[2]Previsão Envase'!$F:$H,E111)-COUNTIF('[2]Previsão Envase'!$F$1:$H$4,E111)</f>
        <v>0</v>
      </c>
      <c r="M111" s="35">
        <f t="shared" si="25"/>
        <v>0</v>
      </c>
      <c r="N111" s="68" t="str">
        <f>IFERROR(MAX(_xlfn.MAXIFS('[2]Controle de Produção'!$C:$C,'[2]Controle de Produção'!$L:$L,$D111,'[2]Controle de Produção'!$P:$P,$C111,'[2]Controle de Produção'!$G:$G,$B111),_xlfn.MAXIFS([3]EXPEDIÇÃO!$N:$N,[3]EXPEDIÇÃO!$E:$E,$D111,[3]EXPEDIÇÃO!$D:$D,$C111,[3]EXPEDIÇÃO!$N:$N,"&gt;="&amp;$G111)),"")</f>
        <v/>
      </c>
      <c r="O111" s="70">
        <f>INDEX([1]Produtos!$E:$E,MATCH($D111,[1]Produtos!$B:$B,0))</f>
        <v>220</v>
      </c>
      <c r="P111" s="70" t="str">
        <f>INDEX([1]Produtos!$F:$F,MATCH($D111,[1]Produtos!$B:$B,0))</f>
        <v>ml</v>
      </c>
      <c r="Q111" s="105">
        <f>INDEX([1]Produtos!$Y:$Y,MATCH($D111,[1]Produtos!$B:$B,0))</f>
        <v>0.51</v>
      </c>
      <c r="R111" s="35">
        <f t="shared" si="26"/>
        <v>7592.2902086267013</v>
      </c>
      <c r="S111" s="27">
        <f>IFERROR(INDEX([1]Produtos!$L:$L,MATCH(D111,[1]Produtos!$B:$B,0)), "")</f>
        <v>843.58780095852239</v>
      </c>
      <c r="T111" s="28">
        <f t="shared" si="27"/>
        <v>4.1999999999999993</v>
      </c>
      <c r="U111" s="28" t="str">
        <f t="shared" si="28"/>
        <v>0D e 5h</v>
      </c>
      <c r="V111" s="27">
        <f>IFERROR(SUMIFS('[2]Controle de Produção'!$K:$K,'[2]Controle de Produção'!$L:$L,D111,'[2]Controle de Produção'!$P:$P,C111,'[2]Controle de Produção'!$B:$B,"&gt;=" &amp; G111,'[2]Controle de Produção'!$C:$C,"&lt;=" &amp; N111, '[2]Controle de Produção'!$G:$G,B111), "")</f>
        <v>0</v>
      </c>
      <c r="W111" s="27" t="str">
        <f>IFERROR(SUMIFS([3]EXPEDIÇÃO!$K:$K,[3]EXPEDIÇÃO!$E:$E,D111,[3]EXPEDIÇÃO!$D:$D,C111,[3]EXPEDIÇÃO!$N:$N,"&gt;=" &amp; G111,[3]EXPEDIÇÃO!$N:$N,"&lt;="&amp;N111), "")</f>
        <v/>
      </c>
      <c r="X111" s="27">
        <f>COUNTIFS('[2]Controle de Produção'!$P:$P,C111,'[2]Controle de Produção'!$L:$L,D111,'[2]Controle de Produção'!$B:$B,"&gt;=" &amp; G111)</f>
        <v>21</v>
      </c>
      <c r="Y111" s="27">
        <f t="shared" si="29"/>
        <v>0</v>
      </c>
      <c r="Z111" s="27">
        <f>IFERROR(COUNTIFS('[2]Controle de Produção'!$L:$L,D111,'[2]Controle de Produção'!$P:$P,C111,'[2]Controle de Produção'!$B:$B,"&gt;=" &amp; G111,'[2]Controle de Produção'!$C:$C,"&lt;=" &amp; N111, '[2]Controle de Produção'!$G:$G,B111), "")</f>
        <v>0</v>
      </c>
      <c r="AA111" s="108" t="str">
        <f t="shared" si="30"/>
        <v/>
      </c>
      <c r="AB111" s="41" t="str" cm="1">
        <f t="array" ref="AB111">_xlfn.IFS((H111*0.95)&lt;=V111,"Concluído",AND(V111 =0, J111&lt;&gt;""),"Programado",AND(V111=0,D111=""),"Desenvolv.",V111=0,"Não Iniciado",AND(V111&gt;0,V111&lt;H111,AO111=TRUE),"Em Produção",AND(V111&gt;0,V111&lt;H111,AO111=FALSE),"Produção Parcial")</f>
        <v>Não Iniciado</v>
      </c>
      <c r="AC111" s="42" t="b">
        <v>1</v>
      </c>
      <c r="AD111" s="42" t="b">
        <v>1</v>
      </c>
      <c r="AE111" s="42" t="b">
        <v>1</v>
      </c>
      <c r="AF111" s="42" t="b">
        <v>1</v>
      </c>
      <c r="AG111" s="42" t="s">
        <v>38</v>
      </c>
      <c r="AH111" s="42" t="s">
        <v>38</v>
      </c>
      <c r="AI111" s="42" t="b">
        <v>1</v>
      </c>
      <c r="AJ111" s="42" t="s">
        <v>38</v>
      </c>
      <c r="AK111" s="42" t="s">
        <v>38</v>
      </c>
      <c r="AL111" s="42" t="b">
        <v>1</v>
      </c>
      <c r="AM111" s="42" t="b">
        <v>1</v>
      </c>
      <c r="AN111" s="87">
        <f>2/2</f>
        <v>1</v>
      </c>
      <c r="AO111" s="45" t="b" cm="1">
        <f t="array" ref="AO111">AND(COUNTIF(AC111:AN111,FALSE)=0,SUMPRODUCT(ISNUMBER(AC111:AN111)*1)=0)</f>
        <v>0</v>
      </c>
      <c r="AP111" s="59"/>
      <c r="AQ111" s="111">
        <f>IF(AB111="",99999999999,IFERROR(MATCH(AB111,{"Produção Parcial","Em Produção","Programado","Não Iniciado","Desenvolv.","Concluído"},0),7)*100000000+IF(ISNUMBER(J111),J111-46000,9999)*10000+IF(A111="",99,A111)*100+IF(C111="",99,CODE(LEFT(C111,1))))</f>
        <v>499990077</v>
      </c>
    </row>
    <row r="112" spans="1:45" s="36" customFormat="1" ht="25.15" hidden="1" customHeight="1" x14ac:dyDescent="0.25">
      <c r="A112" s="36">
        <v>0</v>
      </c>
      <c r="B112" s="38" t="s">
        <v>76</v>
      </c>
      <c r="C112" s="70" t="str">
        <f>INDEX([1]Produtos!$G:$G,MATCH($D112,[1]Produtos!$B:$B,0))</f>
        <v>MISS RÔSE</v>
      </c>
      <c r="D112" s="24" t="s">
        <v>77</v>
      </c>
      <c r="E112" s="70" t="str">
        <f>INDEX([1]Produtos!$C:$C,MATCH($D112,[1]Produtos!$B:$B,0))&amp;IF($F112&lt;&gt;"-"," - "&amp;LEFT($F112,1),"")&amp;" &gt; "&amp;$B112</f>
        <v>BODY SPLASH FORÇA DO LEAO &gt; MAHMUD 23/10</v>
      </c>
      <c r="F112" s="51" t="s">
        <v>38</v>
      </c>
      <c r="G112" s="38">
        <v>45957</v>
      </c>
      <c r="H112" s="39">
        <v>61000</v>
      </c>
      <c r="I112" s="24" t="s">
        <v>42</v>
      </c>
      <c r="J112" s="68" t="str" cm="1">
        <f t="array" ref="J112">IFERROR(INDEX('[2]Previsão Envase'!$D$5:$D$4867, MATCH(1,('[2]Previsão Envase'!$F$5:$F$4867=$E112)+('[2]Previsão Envase'!$G$5:$G$4867=$E112)+('[2]Previsão Envase'!$H$5:$H$4867=$E112),0)),"")</f>
        <v/>
      </c>
      <c r="K112" s="68" t="str">
        <f>IF(COUNTIF('[2]Previsão Envase'!$F:$F,E112)&gt;0,"Linha 1",
IF(COUNTIF('[2]Previsão Envase'!$G:$G,E112)&gt;0,"Linha 2",
IF(COUNTIF('[2]Previsão Envase'!$H:$H,E112)&gt;0,"Linha 3","")))</f>
        <v/>
      </c>
      <c r="L112" s="96">
        <f>COUNTIF('[2]Previsão Envase'!$F:$H,E112)-COUNTIF('[2]Previsão Envase'!$F$1:$H$4,E112)</f>
        <v>0</v>
      </c>
      <c r="M112" s="35">
        <f t="shared" si="25"/>
        <v>0</v>
      </c>
      <c r="N112" s="68" t="str">
        <f>IFERROR(MAX(_xlfn.MAXIFS('[2]Controle de Produção'!$C:$C,'[2]Controle de Produção'!$L:$L,$D112,'[2]Controle de Produção'!$P:$P,$C112,'[2]Controle de Produção'!$G:$G,$B112),_xlfn.MAXIFS([3]EXPEDIÇÃO!$N:$N,[3]EXPEDIÇÃO!$E:$E,$D112,[3]EXPEDIÇÃO!$D:$D,$C112,[3]EXPEDIÇÃO!$N:$N,"&gt;="&amp;$G112)),"")</f>
        <v/>
      </c>
      <c r="O112" s="70">
        <f>INDEX([1]Produtos!$E:$E,MATCH($D112,[1]Produtos!$B:$B,0))</f>
        <v>220</v>
      </c>
      <c r="P112" s="70" t="str">
        <f>INDEX([1]Produtos!$F:$F,MATCH($D112,[1]Produtos!$B:$B,0))</f>
        <v>ml</v>
      </c>
      <c r="Q112" s="105">
        <f>INDEX([1]Produtos!$Y:$Y,MATCH($D112,[1]Produtos!$B:$B,0))</f>
        <v>1.1000000000000001</v>
      </c>
      <c r="R112" s="35">
        <f t="shared" si="26"/>
        <v>7592.2902086267013</v>
      </c>
      <c r="S112" s="27">
        <f>IFERROR(INDEX([1]Produtos!$L:$L,MATCH(D112,[1]Produtos!$B:$B,0)), "")</f>
        <v>843.58780095852239</v>
      </c>
      <c r="T112" s="28">
        <f t="shared" si="27"/>
        <v>72.399999999999991</v>
      </c>
      <c r="U112" s="28" t="str">
        <f t="shared" si="28"/>
        <v>8D e 2h</v>
      </c>
      <c r="V112" s="27">
        <f>IFERROR(SUMIFS('[2]Controle de Produção'!$K:$K,'[2]Controle de Produção'!$L:$L,D112,'[2]Controle de Produção'!$P:$P,C112,'[2]Controle de Produção'!$B:$B,"&gt;=" &amp; G112,'[2]Controle de Produção'!$C:$C,"&lt;=" &amp; N112, '[2]Controle de Produção'!$G:$G,B112), "")</f>
        <v>0</v>
      </c>
      <c r="W112" s="27" t="str">
        <f>IFERROR(SUMIFS([3]EXPEDIÇÃO!$K:$K,[3]EXPEDIÇÃO!$E:$E,D112,[3]EXPEDIÇÃO!$D:$D,C112,[3]EXPEDIÇÃO!$N:$N,"&gt;=" &amp; G112,[3]EXPEDIÇÃO!$N:$N,"&lt;="&amp;N112), "")</f>
        <v/>
      </c>
      <c r="X112" s="27">
        <f>COUNTIFS('[2]Controle de Produção'!$P:$P,C112,'[2]Controle de Produção'!$L:$L,D112,'[2]Controle de Produção'!$B:$B,"&gt;=" &amp; G112)</f>
        <v>36</v>
      </c>
      <c r="Y112" s="27">
        <f t="shared" si="29"/>
        <v>0</v>
      </c>
      <c r="Z112" s="27">
        <f>IFERROR(COUNTIFS('[2]Controle de Produção'!$L:$L,D112,'[2]Controle de Produção'!$P:$P,C112,'[2]Controle de Produção'!$B:$B,"&gt;=" &amp; G112,'[2]Controle de Produção'!$C:$C,"&lt;=" &amp; N112, '[2]Controle de Produção'!$G:$G,B112), "")</f>
        <v>0</v>
      </c>
      <c r="AA112" s="108" t="str">
        <f t="shared" si="30"/>
        <v/>
      </c>
      <c r="AB112" s="41" t="str" cm="1">
        <f t="array" ref="AB112">_xlfn.IFS((H112*0.95)&lt;=V112,"Concluído",AND(V112 =0, J112&lt;&gt;""),"Programado",AND(V112=0,D112=""),"Desenvolv.",V112=0,"Não Iniciado",AND(V112&gt;0,V112&lt;H112,AO112=TRUE),"Em Produção",AND(V112&gt;0,V112&lt;H112,AO112=FALSE),"Produção Parcial")</f>
        <v>Não Iniciado</v>
      </c>
      <c r="AC112" s="42" t="b">
        <v>1</v>
      </c>
      <c r="AD112" s="42" t="b">
        <v>1</v>
      </c>
      <c r="AE112" s="42" t="b">
        <v>1</v>
      </c>
      <c r="AF112" s="42" t="b">
        <v>1</v>
      </c>
      <c r="AG112" s="42" t="b">
        <v>1</v>
      </c>
      <c r="AH112" s="42" t="s">
        <v>38</v>
      </c>
      <c r="AI112" s="42" t="b">
        <v>1</v>
      </c>
      <c r="AJ112" s="42" t="s">
        <v>38</v>
      </c>
      <c r="AK112" s="42" t="s">
        <v>38</v>
      </c>
      <c r="AL112" s="42" t="b">
        <v>1</v>
      </c>
      <c r="AM112" s="42" t="b">
        <v>1</v>
      </c>
      <c r="AN112" s="42" t="b">
        <v>1</v>
      </c>
      <c r="AO112" s="45" t="b" cm="1">
        <f t="array" ref="AO112">AND(COUNTIF(AC112:AN112,FALSE)=0,SUMPRODUCT(ISNUMBER(AC112:AN112)*1)=0)</f>
        <v>1</v>
      </c>
      <c r="AP112" s="59"/>
      <c r="AQ112" s="111">
        <f>IF(AB112="",99999999999,IFERROR(MATCH(AB112,{"Produção Parcial","Em Produção","Programado","Não Iniciado","Desenvolv.","Concluído"},0),7)*100000000+IF(ISNUMBER(J112),J112-46000,9999)*10000+IF(A112="",99,A112)*100+IF(C112="",99,CODE(LEFT(C112,1))))</f>
        <v>499990077</v>
      </c>
    </row>
    <row r="113" spans="1:45" s="36" customFormat="1" ht="25.15" hidden="1" customHeight="1" x14ac:dyDescent="0.25">
      <c r="A113" s="36">
        <v>0</v>
      </c>
      <c r="B113" s="62" t="s">
        <v>81</v>
      </c>
      <c r="C113" s="24" t="str">
        <f>INDEX([1]Produtos!$G:$G,MATCH($D113,[1]Produtos!$B:$B,0))</f>
        <v>MISS RÔSE</v>
      </c>
      <c r="D113" s="24" t="s">
        <v>80</v>
      </c>
      <c r="E113" s="70" t="str">
        <f>INDEX([1]Produtos!$C:$C,MATCH($D113,[1]Produtos!$B:$B,0))&amp;IF($F113&lt;&gt;"-"," - "&amp;LEFT($F113,1),"")&amp;" &gt; "&amp;$B113</f>
        <v>BODY SPLASH NÉCTAR DAS TAMARAS &gt; Miss Rôse - Body Splash 1.0</v>
      </c>
      <c r="F113" s="51" t="s">
        <v>38</v>
      </c>
      <c r="G113" s="38">
        <v>45809</v>
      </c>
      <c r="H113" s="39">
        <v>5000</v>
      </c>
      <c r="I113" s="24" t="s">
        <v>39</v>
      </c>
      <c r="J113" s="68" t="str" cm="1">
        <f t="array" ref="J113">IFERROR(INDEX('[2]Previsão Envase'!$D$5:$D$4867, MATCH(1,('[2]Previsão Envase'!$F$5:$F$4867=$E113)+('[2]Previsão Envase'!$G$5:$G$4867=$E113)+('[2]Previsão Envase'!$H$5:$H$4867=$E113),0)),"")</f>
        <v/>
      </c>
      <c r="K113" s="68" t="str">
        <f>IF(COUNTIF('[2]Previsão Envase'!$F:$F,E113)&gt;0,"Linha 1",
IF(COUNTIF('[2]Previsão Envase'!$G:$G,E113)&gt;0,"Linha 2",
IF(COUNTIF('[2]Previsão Envase'!$H:$H,E113)&gt;0,"Linha 3","")))</f>
        <v/>
      </c>
      <c r="L113" s="96">
        <f>COUNTIF('[2]Previsão Envase'!$F:$H,E113)-COUNTIF('[2]Previsão Envase'!$F$1:$H$4,E113)</f>
        <v>0</v>
      </c>
      <c r="M113" s="35">
        <f t="shared" si="25"/>
        <v>0</v>
      </c>
      <c r="N113" s="68" t="str">
        <f>IFERROR(MAX(_xlfn.MAXIFS('[2]Controle de Produção'!$C:$C,'[2]Controle de Produção'!$L:$L,$D113,'[2]Controle de Produção'!$P:$P,$C113,'[2]Controle de Produção'!$G:$G,$B113),_xlfn.MAXIFS([3]EXPEDIÇÃO!$N:$N,[3]EXPEDIÇÃO!$E:$E,$D113,[3]EXPEDIÇÃO!$D:$D,$C113,[3]EXPEDIÇÃO!$N:$N,"&gt;="&amp;$G113)),"")</f>
        <v/>
      </c>
      <c r="O113" s="70">
        <f>INDEX([1]Produtos!$E:$E,MATCH($D113,[1]Produtos!$B:$B,0))</f>
        <v>220</v>
      </c>
      <c r="P113" s="70" t="str">
        <f>INDEX([1]Produtos!$F:$F,MATCH($D113,[1]Produtos!$B:$B,0))</f>
        <v>ml</v>
      </c>
      <c r="Q113" s="105">
        <f>INDEX([1]Produtos!$Y:$Y,MATCH($D113,[1]Produtos!$B:$B,0))</f>
        <v>0.51</v>
      </c>
      <c r="R113" s="35">
        <f t="shared" si="26"/>
        <v>7592.2902086267013</v>
      </c>
      <c r="S113" s="27">
        <f>IFERROR(INDEX([1]Produtos!$L:$L,MATCH(D113,[1]Produtos!$B:$B,0)), "")</f>
        <v>843.58780095852239</v>
      </c>
      <c r="T113" s="28">
        <f t="shared" si="27"/>
        <v>6</v>
      </c>
      <c r="U113" s="28" t="str">
        <f t="shared" si="28"/>
        <v>0D e 6h</v>
      </c>
      <c r="V113" s="27">
        <f>IFERROR(SUMIFS('[2]Controle de Produção'!$K:$K,'[2]Controle de Produção'!$L:$L,D113,'[2]Controle de Produção'!$P:$P,C113,'[2]Controle de Produção'!$B:$B,"&gt;=" &amp; G113,'[2]Controle de Produção'!$C:$C,"&lt;=" &amp; N113, '[2]Controle de Produção'!$G:$G,B113), "")</f>
        <v>0</v>
      </c>
      <c r="W113" s="27" t="str">
        <f>IFERROR(SUMIFS([3]EXPEDIÇÃO!$K:$K,[3]EXPEDIÇÃO!$E:$E,D113,[3]EXPEDIÇÃO!$D:$D,C113,[3]EXPEDIÇÃO!$N:$N,"&gt;=" &amp; G113,[3]EXPEDIÇÃO!$N:$N,"&lt;="&amp;N113), "")</f>
        <v/>
      </c>
      <c r="X113" s="27">
        <f>COUNTIFS('[2]Controle de Produção'!$P:$P,C113,'[2]Controle de Produção'!$L:$L,D113,'[2]Controle de Produção'!$B:$B,"&gt;=" &amp; G113)</f>
        <v>22</v>
      </c>
      <c r="Y113" s="27">
        <f t="shared" si="29"/>
        <v>0</v>
      </c>
      <c r="Z113" s="27">
        <f>IFERROR(COUNTIFS('[2]Controle de Produção'!$L:$L,D113,'[2]Controle de Produção'!$P:$P,C113,'[2]Controle de Produção'!$B:$B,"&gt;=" &amp; G113,'[2]Controle de Produção'!$C:$C,"&lt;=" &amp; N113, '[2]Controle de Produção'!$G:$G,B113), "")</f>
        <v>0</v>
      </c>
      <c r="AA113" s="108" t="str">
        <f t="shared" si="30"/>
        <v/>
      </c>
      <c r="AB113" s="41" t="str" cm="1">
        <f t="array" ref="AB113">_xlfn.IFS((H113*0.95)&lt;=V113,"Concluído",AND(V113 =0, J113&lt;&gt;""),"Programado",AND(V113=0,D113=""),"Desenvolv.",V113=0,"Não Iniciado",AND(V113&gt;0,V113&lt;H113,AO113=TRUE),"Em Produção",AND(V113&gt;0,V113&lt;H113,AO113=FALSE),"Produção Parcial")</f>
        <v>Não Iniciado</v>
      </c>
      <c r="AC113" s="42" t="b">
        <v>1</v>
      </c>
      <c r="AD113" s="42" t="b">
        <v>1</v>
      </c>
      <c r="AE113" s="42" t="b">
        <v>1</v>
      </c>
      <c r="AF113" s="42" t="b">
        <v>1</v>
      </c>
      <c r="AG113" s="42" t="s">
        <v>38</v>
      </c>
      <c r="AH113" s="42" t="s">
        <v>38</v>
      </c>
      <c r="AI113" s="42" t="b">
        <v>1</v>
      </c>
      <c r="AJ113" s="42" t="s">
        <v>38</v>
      </c>
      <c r="AK113" s="42" t="s">
        <v>38</v>
      </c>
      <c r="AL113" s="42" t="b">
        <v>1</v>
      </c>
      <c r="AM113" s="42" t="b">
        <v>1</v>
      </c>
      <c r="AN113" s="86" t="b">
        <v>1</v>
      </c>
      <c r="AO113" s="45" t="b" cm="1">
        <f t="array" ref="AO113">AND(COUNTIF(AC113:AN113,FALSE)=0,SUMPRODUCT(ISNUMBER(AC113:AN113)*1)=0)</f>
        <v>1</v>
      </c>
      <c r="AP113" s="61"/>
      <c r="AQ113" s="111">
        <f>IF(AB113="",99999999999,IFERROR(MATCH(AB113,{"Produção Parcial","Em Produção","Programado","Não Iniciado","Desenvolv.","Concluído"},0),7)*100000000+IF(ISNUMBER(J113),J113-46000,9999)*10000+IF(A113="",99,A113)*100+IF(C113="",99,CODE(LEFT(C113,1))))</f>
        <v>499990077</v>
      </c>
    </row>
    <row r="114" spans="1:45" s="36" customFormat="1" ht="25.15" hidden="1" customHeight="1" x14ac:dyDescent="0.25">
      <c r="A114" s="36">
        <v>0</v>
      </c>
      <c r="B114" s="62" t="s">
        <v>81</v>
      </c>
      <c r="C114" s="70" t="str">
        <f>INDEX([1]Produtos!$G:$G,MATCH($D114,[1]Produtos!$B:$B,0))</f>
        <v>MISS RÔSE</v>
      </c>
      <c r="D114" s="24" t="s">
        <v>70</v>
      </c>
      <c r="E114" s="70" t="str">
        <f>INDEX([1]Produtos!$C:$C,MATCH($D114,[1]Produtos!$B:$B,0))&amp;IF($F114&lt;&gt;"-"," - "&amp;LEFT($F114,1),"")&amp;" &gt; "&amp;$B114</f>
        <v>BODY SPLASH ECLIPSE DOURADO &gt; Miss Rôse - Body Splash 1.0</v>
      </c>
      <c r="F114" s="51" t="s">
        <v>38</v>
      </c>
      <c r="G114" s="38">
        <v>45809</v>
      </c>
      <c r="H114" s="39">
        <v>10000</v>
      </c>
      <c r="I114" s="24" t="s">
        <v>39</v>
      </c>
      <c r="J114" s="68" t="str" cm="1">
        <f t="array" ref="J114">IFERROR(INDEX('[2]Previsão Envase'!$D$5:$D$4867, MATCH(1,('[2]Previsão Envase'!$F$5:$F$4867=$E114)+('[2]Previsão Envase'!$G$5:$G$4867=$E114)+('[2]Previsão Envase'!$H$5:$H$4867=$E114),0)),"")</f>
        <v/>
      </c>
      <c r="K114" s="68" t="str">
        <f>IF(COUNTIF('[2]Previsão Envase'!$F:$F,E114)&gt;0,"Linha 1",
IF(COUNTIF('[2]Previsão Envase'!$G:$G,E114)&gt;0,"Linha 2",
IF(COUNTIF('[2]Previsão Envase'!$H:$H,E114)&gt;0,"Linha 3","")))</f>
        <v/>
      </c>
      <c r="L114" s="96">
        <f>COUNTIF('[2]Previsão Envase'!$F:$H,E114)-COUNTIF('[2]Previsão Envase'!$F$1:$H$4,E114)</f>
        <v>0</v>
      </c>
      <c r="M114" s="35">
        <f t="shared" si="25"/>
        <v>0</v>
      </c>
      <c r="N114" s="68" t="str">
        <f>IFERROR(MAX(_xlfn.MAXIFS('[2]Controle de Produção'!$C:$C,'[2]Controle de Produção'!$L:$L,$D114,'[2]Controle de Produção'!$P:$P,$C114,'[2]Controle de Produção'!$G:$G,$B114),_xlfn.MAXIFS([3]EXPEDIÇÃO!$N:$N,[3]EXPEDIÇÃO!$E:$E,$D114,[3]EXPEDIÇÃO!$D:$D,$C114,[3]EXPEDIÇÃO!$N:$N,"&gt;="&amp;$G114)),"")</f>
        <v/>
      </c>
      <c r="O114" s="70">
        <f>INDEX([1]Produtos!$E:$E,MATCH($D114,[1]Produtos!$B:$B,0))</f>
        <v>220</v>
      </c>
      <c r="P114" s="70" t="str">
        <f>INDEX([1]Produtos!$F:$F,MATCH($D114,[1]Produtos!$B:$B,0))</f>
        <v>ml</v>
      </c>
      <c r="Q114" s="105">
        <f>INDEX([1]Produtos!$Y:$Y,MATCH($D114,[1]Produtos!$B:$B,0))</f>
        <v>0.51</v>
      </c>
      <c r="R114" s="35">
        <f t="shared" si="26"/>
        <v>7592.2902086267013</v>
      </c>
      <c r="S114" s="27">
        <f>IFERROR(INDEX([1]Produtos!$L:$L,MATCH(D114,[1]Produtos!$B:$B,0)), "")</f>
        <v>843.58780095852239</v>
      </c>
      <c r="T114" s="28">
        <f t="shared" si="27"/>
        <v>11.9</v>
      </c>
      <c r="U114" s="28" t="str">
        <f t="shared" si="28"/>
        <v>1D e 4h</v>
      </c>
      <c r="V114" s="27">
        <f>IFERROR(SUMIFS('[2]Controle de Produção'!$K:$K,'[2]Controle de Produção'!$L:$L,D114,'[2]Controle de Produção'!$P:$P,C114,'[2]Controle de Produção'!$B:$B,"&gt;=" &amp; G114,'[2]Controle de Produção'!$C:$C,"&lt;=" &amp; N114, '[2]Controle de Produção'!$G:$G,B114), "")</f>
        <v>0</v>
      </c>
      <c r="W114" s="27" t="str">
        <f>IFERROR(SUMIFS([3]EXPEDIÇÃO!$K:$K,[3]EXPEDIÇÃO!$E:$E,D114,[3]EXPEDIÇÃO!$D:$D,C114,[3]EXPEDIÇÃO!$N:$N,"&gt;=" &amp; G114,[3]EXPEDIÇÃO!$N:$N,"&lt;="&amp;N114), "")</f>
        <v/>
      </c>
      <c r="X114" s="27">
        <f>COUNTIFS('[2]Controle de Produção'!$P:$P,C114,'[2]Controle de Produção'!$L:$L,D114,'[2]Controle de Produção'!$B:$B,"&gt;=" &amp; G114)</f>
        <v>38</v>
      </c>
      <c r="Y114" s="27">
        <f t="shared" si="29"/>
        <v>0</v>
      </c>
      <c r="Z114" s="27">
        <f>IFERROR(COUNTIFS('[2]Controle de Produção'!$L:$L,D114,'[2]Controle de Produção'!$P:$P,C114,'[2]Controle de Produção'!$B:$B,"&gt;=" &amp; G114,'[2]Controle de Produção'!$C:$C,"&lt;=" &amp; N114, '[2]Controle de Produção'!$G:$G,B114), "")</f>
        <v>0</v>
      </c>
      <c r="AA114" s="108" t="str">
        <f t="shared" si="30"/>
        <v/>
      </c>
      <c r="AB114" s="41" t="str" cm="1">
        <f t="array" ref="AB114">_xlfn.IFS((H114*0.95)&lt;=V114,"Concluído",AND(V114 =0, J114&lt;&gt;""),"Programado",AND(V114=0,D114=""),"Desenvolv.",V114=0,"Não Iniciado",AND(V114&gt;0,V114&lt;H114,AO114=TRUE),"Em Produção",AND(V114&gt;0,V114&lt;H114,AO114=FALSE),"Produção Parcial")</f>
        <v>Não Iniciado</v>
      </c>
      <c r="AC114" s="42" t="b">
        <v>1</v>
      </c>
      <c r="AD114" s="42" t="b">
        <v>1</v>
      </c>
      <c r="AE114" s="42" t="b">
        <v>1</v>
      </c>
      <c r="AF114" s="42" t="b">
        <v>1</v>
      </c>
      <c r="AG114" s="42" t="s">
        <v>38</v>
      </c>
      <c r="AH114" s="42" t="s">
        <v>38</v>
      </c>
      <c r="AI114" s="42" t="b">
        <v>1</v>
      </c>
      <c r="AJ114" s="42" t="s">
        <v>38</v>
      </c>
      <c r="AK114" s="42" t="s">
        <v>38</v>
      </c>
      <c r="AL114" s="42" t="b">
        <v>1</v>
      </c>
      <c r="AM114" s="42" t="b">
        <v>1</v>
      </c>
      <c r="AN114" s="42" t="b">
        <v>1</v>
      </c>
      <c r="AO114" s="45" t="b" cm="1">
        <f t="array" ref="AO114">AND(COUNTIF(AC114:AN114,FALSE)=0,SUMPRODUCT(ISNUMBER(AC114:AN114)*1)=0)</f>
        <v>1</v>
      </c>
      <c r="AP114" s="61"/>
      <c r="AQ114" s="111">
        <f>IF(AB114="",99999999999,IFERROR(MATCH(AB114,{"Produção Parcial","Em Produção","Programado","Não Iniciado","Desenvolv.","Concluído"},0),7)*100000000+IF(ISNUMBER(J114),J114-46000,9999)*10000+IF(A114="",99,A114)*100+IF(C114="",99,CODE(LEFT(C114,1))))</f>
        <v>499990077</v>
      </c>
      <c r="AR114"/>
      <c r="AS114"/>
    </row>
    <row r="115" spans="1:45" s="36" customFormat="1" ht="25.15" hidden="1" customHeight="1" x14ac:dyDescent="0.25">
      <c r="A115" s="36">
        <v>0</v>
      </c>
      <c r="B115" s="62" t="s">
        <v>81</v>
      </c>
      <c r="C115" s="24" t="str">
        <f>INDEX([1]Produtos!$G:$G,MATCH($D115,[1]Produtos!$B:$B,0))</f>
        <v>MISS RÔSE</v>
      </c>
      <c r="D115" s="24" t="s">
        <v>41</v>
      </c>
      <c r="E115" s="70" t="str">
        <f>INDEX([1]Produtos!$C:$C,MATCH($D115,[1]Produtos!$B:$B,0))&amp;IF($F115&lt;&gt;"-"," - "&amp;LEFT($F115,1),"")&amp;" &gt; "&amp;$B115</f>
        <v>BODY SPLASH AURORA IMPERIAL &gt; Miss Rôse - Body Splash 1.0</v>
      </c>
      <c r="F115" s="38" t="s">
        <v>38</v>
      </c>
      <c r="G115" s="38">
        <v>45809</v>
      </c>
      <c r="H115" s="39">
        <v>25000</v>
      </c>
      <c r="I115" s="24" t="s">
        <v>39</v>
      </c>
      <c r="J115" s="68" t="str" cm="1">
        <f t="array" ref="J115">IFERROR(INDEX('[2]Previsão Envase'!$D$5:$D$4867, MATCH(1,('[2]Previsão Envase'!$F$5:$F$4867=$E115)+('[2]Previsão Envase'!$G$5:$G$4867=$E115)+('[2]Previsão Envase'!$H$5:$H$4867=$E115),0)),"")</f>
        <v/>
      </c>
      <c r="K115" s="68" t="str">
        <f>IF(COUNTIF('[2]Previsão Envase'!$F:$F,E115)&gt;0,"Linha 1",
IF(COUNTIF('[2]Previsão Envase'!$G:$G,E115)&gt;0,"Linha 2",
IF(COUNTIF('[2]Previsão Envase'!$H:$H,E115)&gt;0,"Linha 3","")))</f>
        <v/>
      </c>
      <c r="L115" s="96">
        <f>COUNTIF('[2]Previsão Envase'!$F:$H,E115)-COUNTIF('[2]Previsão Envase'!$F$1:$H$4,E115)</f>
        <v>0</v>
      </c>
      <c r="M115" s="35">
        <f t="shared" si="25"/>
        <v>0</v>
      </c>
      <c r="N115" s="68" t="str">
        <f>IFERROR(MAX(_xlfn.MAXIFS('[2]Controle de Produção'!$C:$C,'[2]Controle de Produção'!$L:$L,$D115,'[2]Controle de Produção'!$P:$P,$C115,'[2]Controle de Produção'!$G:$G,$B115),_xlfn.MAXIFS([3]EXPEDIÇÃO!$N:$N,[3]EXPEDIÇÃO!$E:$E,$D115,[3]EXPEDIÇÃO!$D:$D,$C115,[3]EXPEDIÇÃO!$N:$N,"&gt;="&amp;$G115)),"")</f>
        <v/>
      </c>
      <c r="O115" s="70">
        <f>INDEX([1]Produtos!$E:$E,MATCH($D115,[1]Produtos!$B:$B,0))</f>
        <v>220</v>
      </c>
      <c r="P115" s="70" t="str">
        <f>INDEX([1]Produtos!$F:$F,MATCH($D115,[1]Produtos!$B:$B,0))</f>
        <v>ml</v>
      </c>
      <c r="Q115" s="105">
        <f>INDEX([1]Produtos!$Y:$Y,MATCH($D115,[1]Produtos!$B:$B,0))</f>
        <v>0.51</v>
      </c>
      <c r="R115" s="35">
        <f t="shared" si="26"/>
        <v>7592.2902086267013</v>
      </c>
      <c r="S115" s="27">
        <f>IFERROR(INDEX([1]Produtos!$L:$L,MATCH(D115,[1]Produtos!$B:$B,0)), "")</f>
        <v>843.58780095852239</v>
      </c>
      <c r="T115" s="28">
        <f t="shared" si="27"/>
        <v>29.700000000000003</v>
      </c>
      <c r="U115" s="28" t="str">
        <f t="shared" si="28"/>
        <v>3D e 4h</v>
      </c>
      <c r="V115" s="27">
        <f>IFERROR(SUMIFS('[2]Controle de Produção'!$K:$K,'[2]Controle de Produção'!$L:$L,D115,'[2]Controle de Produção'!$P:$P,C115,'[2]Controle de Produção'!$B:$B,"&gt;=" &amp; G115,'[2]Controle de Produção'!$C:$C,"&lt;=" &amp; N115, '[2]Controle de Produção'!$G:$G,B115), "")</f>
        <v>0</v>
      </c>
      <c r="W115" s="27" t="str">
        <f>IFERROR(SUMIFS([3]EXPEDIÇÃO!$K:$K,[3]EXPEDIÇÃO!$E:$E,D115,[3]EXPEDIÇÃO!$D:$D,C115,[3]EXPEDIÇÃO!$N:$N,"&gt;=" &amp; G115,[3]EXPEDIÇÃO!$N:$N,"&lt;="&amp;N115), "")</f>
        <v/>
      </c>
      <c r="X115" s="27">
        <f>COUNTIFS('[2]Controle de Produção'!$P:$P,C115,'[2]Controle de Produção'!$L:$L,D115,'[2]Controle de Produção'!$B:$B,"&gt;=" &amp; G115)</f>
        <v>62</v>
      </c>
      <c r="Y115" s="27">
        <f t="shared" si="29"/>
        <v>0</v>
      </c>
      <c r="Z115" s="57">
        <f>IFERROR(COUNTIFS('[2]Controle de Produção'!$L:$L,D115,'[2]Controle de Produção'!$P:$P,C115,'[2]Controle de Produção'!$B:$B,"&gt;=" &amp; G115,'[2]Controle de Produção'!$C:$C,"&lt;=" &amp; N115, '[2]Controle de Produção'!$G:$G,B115), "")</f>
        <v>0</v>
      </c>
      <c r="AA115" s="108" t="str">
        <f t="shared" si="30"/>
        <v/>
      </c>
      <c r="AB115" s="41" t="str" cm="1">
        <f t="array" ref="AB115">_xlfn.IFS((H115*0.95)&lt;=V115,"Concluído",AND(V115 =0, J115&lt;&gt;""),"Programado",AND(V115=0,D115=""),"Desenvolv.",V115=0,"Não Iniciado",AND(V115&gt;0,V115&lt;H115,AO115=TRUE),"Em Produção",AND(V115&gt;0,V115&lt;H115,AO115=FALSE),"Produção Parcial")</f>
        <v>Não Iniciado</v>
      </c>
      <c r="AC115" s="42" t="b">
        <v>1</v>
      </c>
      <c r="AD115" s="42" t="b">
        <v>1</v>
      </c>
      <c r="AE115" s="42" t="b">
        <v>1</v>
      </c>
      <c r="AF115" s="42" t="b">
        <v>1</v>
      </c>
      <c r="AG115" s="42" t="s">
        <v>38</v>
      </c>
      <c r="AH115" s="42" t="s">
        <v>38</v>
      </c>
      <c r="AI115" s="42" t="b">
        <v>1</v>
      </c>
      <c r="AJ115" s="42" t="s">
        <v>38</v>
      </c>
      <c r="AK115" s="42" t="s">
        <v>38</v>
      </c>
      <c r="AL115" s="42" t="b">
        <v>1</v>
      </c>
      <c r="AM115" s="71" t="b">
        <v>1</v>
      </c>
      <c r="AN115" s="42" t="b">
        <v>0</v>
      </c>
      <c r="AO115" s="45" t="b" cm="1">
        <f t="array" ref="AO115">AND(COUNTIF(AC115:AN115,FALSE)=0,SUMPRODUCT(ISNUMBER(AC115:AN115)*1)=0)</f>
        <v>0</v>
      </c>
      <c r="AP115" s="59" t="s">
        <v>92</v>
      </c>
      <c r="AQ115" s="111">
        <f>IF(AB115="",99999999999,IFERROR(MATCH(AB115,{"Produção Parcial","Em Produção","Programado","Não Iniciado","Desenvolv.","Concluído"},0),7)*100000000+IF(ISNUMBER(J115),J115-46000,9999)*10000+IF(A115="",99,A115)*100+IF(C115="",99,CODE(LEFT(C115,1))))</f>
        <v>499990077</v>
      </c>
    </row>
    <row r="116" spans="1:45" s="36" customFormat="1" ht="25.15" hidden="1" customHeight="1" x14ac:dyDescent="0.25">
      <c r="A116" s="36">
        <v>0</v>
      </c>
      <c r="B116" s="62" t="s">
        <v>66</v>
      </c>
      <c r="C116" s="24" t="str">
        <f>INDEX([1]Produtos!$G:$G,MATCH($D116,[1]Produtos!$B:$B,0))</f>
        <v>MISS RÔSE</v>
      </c>
      <c r="D116" s="24" t="s">
        <v>65</v>
      </c>
      <c r="E116" s="70" t="str">
        <f>INDEX([1]Produtos!$C:$C,MATCH($D116,[1]Produtos!$B:$B,0))&amp;IF($F116&lt;&gt;"-"," - "&amp;LEFT($F116,1),"")&amp;" &gt; "&amp;$B116</f>
        <v>CREME HIDRATANTE CORPORAL DEUSA DO NILO &gt; Miss Rôse - Hidratante</v>
      </c>
      <c r="F116" s="51" t="s">
        <v>38</v>
      </c>
      <c r="G116" s="38">
        <v>45799</v>
      </c>
      <c r="H116" s="39">
        <v>10000</v>
      </c>
      <c r="I116" s="24" t="s">
        <v>39</v>
      </c>
      <c r="J116" s="68" t="str" cm="1">
        <f t="array" ref="J116">IFERROR(INDEX('[2]Previsão Envase'!$D$5:$D$4867, MATCH(1,('[2]Previsão Envase'!$F$5:$F$4867=$E116)+('[2]Previsão Envase'!$G$5:$G$4867=$E116)+('[2]Previsão Envase'!$H$5:$H$4867=$E116),0)),"")</f>
        <v/>
      </c>
      <c r="K116" s="68" t="str">
        <f>IF(COUNTIF('[2]Previsão Envase'!$F:$F,E116)&gt;0,"Linha 1",
IF(COUNTIF('[2]Previsão Envase'!$G:$G,E116)&gt;0,"Linha 2",
IF(COUNTIF('[2]Previsão Envase'!$H:$H,E116)&gt;0,"Linha 3","")))</f>
        <v/>
      </c>
      <c r="L116" s="96">
        <f>COUNTIF('[2]Previsão Envase'!$F:$H,E116)-COUNTIF('[2]Previsão Envase'!$F$1:$H$4,E116)</f>
        <v>0</v>
      </c>
      <c r="M116" s="35">
        <f t="shared" si="25"/>
        <v>0</v>
      </c>
      <c r="N116" s="68" t="str">
        <f>IFERROR(MAX(_xlfn.MAXIFS('[2]Controle de Produção'!$C:$C,'[2]Controle de Produção'!$L:$L,$D116,'[2]Controle de Produção'!$P:$P,$C116,'[2]Controle de Produção'!$G:$G,$B116),_xlfn.MAXIFS([3]EXPEDIÇÃO!$N:$N,[3]EXPEDIÇÃO!$E:$E,$D116,[3]EXPEDIÇÃO!$D:$D,$C116,[3]EXPEDIÇÃO!$N:$N,"&gt;="&amp;$G116)),"")</f>
        <v/>
      </c>
      <c r="O116" s="70">
        <f>INDEX([1]Produtos!$E:$E,MATCH($D116,[1]Produtos!$B:$B,0))</f>
        <v>200</v>
      </c>
      <c r="P116" s="70" t="str">
        <f>INDEX([1]Produtos!$F:$F,MATCH($D116,[1]Produtos!$B:$B,0))</f>
        <v>ml</v>
      </c>
      <c r="Q116" s="105">
        <f>INDEX([1]Produtos!$Y:$Y,MATCH($D116,[1]Produtos!$B:$B,0))</f>
        <v>0</v>
      </c>
      <c r="R116" s="35">
        <f t="shared" si="26"/>
        <v>5520.5897431648482</v>
      </c>
      <c r="S116" s="27">
        <f>IFERROR(INDEX([1]Produtos!$L:$L,MATCH(D116,[1]Produtos!$B:$B,0)), "")</f>
        <v>613.39886035164977</v>
      </c>
      <c r="T116" s="28">
        <f t="shared" si="27"/>
        <v>16.400000000000002</v>
      </c>
      <c r="U116" s="28" t="str">
        <f t="shared" si="28"/>
        <v>1D e 8h</v>
      </c>
      <c r="V116" s="27">
        <f>IFERROR(SUMIFS('[2]Controle de Produção'!$K:$K,'[2]Controle de Produção'!$L:$L,D116,'[2]Controle de Produção'!$P:$P,C116,'[2]Controle de Produção'!$B:$B,"&gt;=" &amp; G116,'[2]Controle de Produção'!$C:$C,"&lt;=" &amp; N116, '[2]Controle de Produção'!$G:$G,B116), "")</f>
        <v>0</v>
      </c>
      <c r="W116" s="27" t="str">
        <f>IFERROR(SUMIFS([3]EXPEDIÇÃO!$K:$K,[3]EXPEDIÇÃO!$E:$E,D116,[3]EXPEDIÇÃO!$D:$D,C116,[3]EXPEDIÇÃO!$N:$N,"&gt;=" &amp; G116,[3]EXPEDIÇÃO!$N:$N,"&lt;="&amp;N116), "")</f>
        <v/>
      </c>
      <c r="X116" s="27">
        <f>COUNTIFS('[2]Controle de Produção'!$P:$P,C116,'[2]Controle de Produção'!$L:$L,D116,'[2]Controle de Produção'!$B:$B,"&gt;=" &amp; G116)</f>
        <v>9</v>
      </c>
      <c r="Y116" s="27">
        <f t="shared" si="29"/>
        <v>0</v>
      </c>
      <c r="Z116" s="27">
        <f>IFERROR(COUNTIFS('[2]Controle de Produção'!$L:$L,D116,'[2]Controle de Produção'!$P:$P,C116,'[2]Controle de Produção'!$B:$B,"&gt;=" &amp; G116,'[2]Controle de Produção'!$C:$C,"&lt;=" &amp; N116, '[2]Controle de Produção'!$G:$G,B116), "")</f>
        <v>0</v>
      </c>
      <c r="AA116" s="108" t="str">
        <f t="shared" si="30"/>
        <v/>
      </c>
      <c r="AB116" s="41" t="str" cm="1">
        <f t="array" ref="AB116">_xlfn.IFS((H116*0.95)&lt;=V116,"Concluído",AND(V116 =0, J116&lt;&gt;""),"Programado",AND(V116=0,D116=""),"Desenvolv.",V116=0,"Não Iniciado",AND(V116&gt;0,V116&lt;H116,AO116=TRUE),"Em Produção",AND(V116&gt;0,V116&lt;H116,AO116=FALSE),"Produção Parcial")</f>
        <v>Não Iniciado</v>
      </c>
      <c r="AC116" s="42" t="b">
        <v>1</v>
      </c>
      <c r="AD116" s="42" t="b">
        <v>1</v>
      </c>
      <c r="AE116" s="67" t="b">
        <v>1</v>
      </c>
      <c r="AF116" s="42" t="b">
        <v>1</v>
      </c>
      <c r="AG116" s="32" t="s">
        <v>38</v>
      </c>
      <c r="AH116" s="42" t="s">
        <v>38</v>
      </c>
      <c r="AI116" s="42" t="b">
        <v>1</v>
      </c>
      <c r="AJ116" s="42" t="s">
        <v>38</v>
      </c>
      <c r="AK116" s="42" t="s">
        <v>38</v>
      </c>
      <c r="AL116" s="42" t="b">
        <v>1</v>
      </c>
      <c r="AM116" s="42" t="b">
        <v>1</v>
      </c>
      <c r="AN116" s="42" t="b">
        <v>0</v>
      </c>
      <c r="AO116" s="45" t="b" cm="1">
        <f t="array" ref="AO116">AND(COUNTIF(AC116:AN116,FALSE)=0,SUMPRODUCT(ISNUMBER(AC116:AN116)*1)=0)</f>
        <v>0</v>
      </c>
      <c r="AP116" s="59"/>
      <c r="AQ116" s="111">
        <f>IF(AB116="",99999999999,IFERROR(MATCH(AB116,{"Produção Parcial","Em Produção","Programado","Não Iniciado","Desenvolv.","Concluído"},0),7)*100000000+IF(ISNUMBER(J116),J116-46000,9999)*10000+IF(A116="",99,A116)*100+IF(C116="",99,CODE(LEFT(C116,1))))</f>
        <v>499990077</v>
      </c>
      <c r="AR116"/>
      <c r="AS116"/>
    </row>
    <row r="117" spans="1:45" s="36" customFormat="1" ht="25.15" hidden="1" customHeight="1" x14ac:dyDescent="0.25">
      <c r="A117" s="36">
        <v>0</v>
      </c>
      <c r="B117" s="38" t="s">
        <v>95</v>
      </c>
      <c r="C117" s="24" t="str">
        <f>INDEX([1]Produtos!$G:$G,MATCH($D117,[1]Produtos!$B:$B,0))</f>
        <v>MOUTIER</v>
      </c>
      <c r="D117" s="24" t="s">
        <v>107</v>
      </c>
      <c r="E117" s="70" t="str">
        <f>INDEX([1]Produtos!$C:$C,MATCH($D117,[1]Produtos!$B:$B,0))&amp;IF($F117&lt;&gt;"-"," - "&amp;LEFT($F117,1),"")&amp;" &gt; "&amp;$B117</f>
        <v>PERFUME FEMININO 03 GOOD GIRL &gt; Moutier 01/09</v>
      </c>
      <c r="F117" s="51" t="s">
        <v>38</v>
      </c>
      <c r="G117" s="38">
        <v>45887</v>
      </c>
      <c r="H117" s="39">
        <v>300</v>
      </c>
      <c r="I117" s="24" t="s">
        <v>42</v>
      </c>
      <c r="J117" s="68" t="str" cm="1">
        <f t="array" ref="J117">IFERROR(INDEX('[2]Previsão Envase'!$D$5:$D$4867, MATCH(1,('[2]Previsão Envase'!$F$5:$F$4867=$E117)+('[2]Previsão Envase'!$G$5:$G$4867=$E117)+('[2]Previsão Envase'!$H$5:$H$4867=$E117),0)),"")</f>
        <v/>
      </c>
      <c r="K117" s="68" t="str">
        <f>IF(COUNTIF('[2]Previsão Envase'!$F:$F,E117)&gt;0,"Linha 1",
IF(COUNTIF('[2]Previsão Envase'!$G:$G,E117)&gt;0,"Linha 2",
IF(COUNTIF('[2]Previsão Envase'!$H:$H,E117)&gt;0,"Linha 3","")))</f>
        <v/>
      </c>
      <c r="L117" s="96">
        <f>COUNTIF('[2]Previsão Envase'!$F:$H,E117)-COUNTIF('[2]Previsão Envase'!$F$1:$H$4,E117)</f>
        <v>0</v>
      </c>
      <c r="M117" s="35">
        <f t="shared" si="25"/>
        <v>0</v>
      </c>
      <c r="N117" s="68" t="str">
        <f>IFERROR(MAX(_xlfn.MAXIFS('[2]Controle de Produção'!$C:$C,'[2]Controle de Produção'!$L:$L,$D117,'[2]Controle de Produção'!$P:$P,$C117,'[2]Controle de Produção'!$G:$G,$B117),_xlfn.MAXIFS([3]EXPEDIÇÃO!$N:$N,[3]EXPEDIÇÃO!$E:$E,$D117,[3]EXPEDIÇÃO!$D:$D,$C117,[3]EXPEDIÇÃO!$N:$N,"&gt;="&amp;$G117)),"")</f>
        <v/>
      </c>
      <c r="O117" s="70">
        <f>INDEX([1]Produtos!$E:$E,MATCH($D117,[1]Produtos!$B:$B,0))</f>
        <v>50</v>
      </c>
      <c r="P117" s="70" t="str">
        <f>INDEX([1]Produtos!$F:$F,MATCH($D117,[1]Produtos!$B:$B,0))</f>
        <v>ml</v>
      </c>
      <c r="Q117" s="105">
        <f>INDEX([1]Produtos!$Y:$Y,MATCH($D117,[1]Produtos!$B:$B,0))</f>
        <v>0</v>
      </c>
      <c r="R117" s="35">
        <f t="shared" si="26"/>
        <v>1577.3766463727152</v>
      </c>
      <c r="S117" s="27">
        <f>IFERROR(INDEX([1]Produtos!$L:$L,MATCH(D117,[1]Produtos!$B:$B,0)), "")</f>
        <v>175.26407181919058</v>
      </c>
      <c r="T117" s="28">
        <f t="shared" si="27"/>
        <v>1.8</v>
      </c>
      <c r="U117" s="28" t="str">
        <f t="shared" si="28"/>
        <v>0D e 2h</v>
      </c>
      <c r="V117" s="27">
        <f>IFERROR(SUMIFS('[2]Controle de Produção'!$K:$K,'[2]Controle de Produção'!$L:$L,D117,'[2]Controle de Produção'!$P:$P,C117,'[2]Controle de Produção'!$B:$B,"&gt;=" &amp; G117,'[2]Controle de Produção'!$C:$C,"&lt;=" &amp; N117, '[2]Controle de Produção'!$G:$G,B117), "")</f>
        <v>0</v>
      </c>
      <c r="W117" s="27" t="str">
        <f>IFERROR(SUMIFS([3]EXPEDIÇÃO!$K:$K,[3]EXPEDIÇÃO!$E:$E,D117,[3]EXPEDIÇÃO!$D:$D,C117,[3]EXPEDIÇÃO!$N:$N,"&gt;=" &amp; G117,[3]EXPEDIÇÃO!$N:$N,"&lt;="&amp;N117), "")</f>
        <v/>
      </c>
      <c r="X117" s="27">
        <f>COUNTIFS('[2]Controle de Produção'!$P:$P,C117,'[2]Controle de Produção'!$L:$L,D117,'[2]Controle de Produção'!$B:$B,"&gt;=" &amp; G117)</f>
        <v>1</v>
      </c>
      <c r="Y117" s="27">
        <f t="shared" si="29"/>
        <v>0</v>
      </c>
      <c r="Z117" s="27">
        <f>IFERROR(COUNTIFS('[2]Controle de Produção'!$L:$L,D117,'[2]Controle de Produção'!$P:$P,C117,'[2]Controle de Produção'!$B:$B,"&gt;=" &amp; G117,'[2]Controle de Produção'!$C:$C,"&lt;=" &amp; N117, '[2]Controle de Produção'!$G:$G,B117), "")</f>
        <v>0</v>
      </c>
      <c r="AA117" s="108" t="str">
        <f t="shared" si="30"/>
        <v/>
      </c>
      <c r="AB117" s="41" t="str" cm="1">
        <f t="array" ref="AB117">_xlfn.IFS((H117*0.95)&lt;=V117,"Concluído",AND(V117 =0, J117&lt;&gt;""),"Programado",AND(V117=0,D117=""),"Desenvolv.",V117=0,"Não Iniciado",AND(V117&gt;0,V117&lt;H117,AO117=TRUE),"Em Produção",AND(V117&gt;0,V117&lt;H117,AO117=FALSE),"Produção Parcial")</f>
        <v>Não Iniciado</v>
      </c>
      <c r="AC117" s="42" t="b">
        <v>1</v>
      </c>
      <c r="AD117" s="42" t="b">
        <v>1</v>
      </c>
      <c r="AE117" s="42" t="b">
        <v>0</v>
      </c>
      <c r="AF117" s="42" t="b">
        <v>0</v>
      </c>
      <c r="AG117" s="42" t="b">
        <v>0</v>
      </c>
      <c r="AH117" s="42" t="b">
        <v>0</v>
      </c>
      <c r="AI117" s="42" t="b">
        <v>0</v>
      </c>
      <c r="AJ117" s="42" t="b">
        <v>0</v>
      </c>
      <c r="AK117" s="42" t="b">
        <v>0</v>
      </c>
      <c r="AL117" s="42" t="b">
        <v>0</v>
      </c>
      <c r="AM117" s="42" t="b">
        <v>1</v>
      </c>
      <c r="AN117" s="42" t="b">
        <v>0</v>
      </c>
      <c r="AO117" s="45" t="b" cm="1">
        <f t="array" ref="AO117">AND(COUNTIF(AC117:AN117,FALSE)=0,SUMPRODUCT(ISNUMBER(AC117:AN117)*1)=0)</f>
        <v>0</v>
      </c>
      <c r="AP117" s="59"/>
      <c r="AQ117" s="111">
        <f>IF(AB117="",99999999999,IFERROR(MATCH(AB117,{"Produção Parcial","Em Produção","Programado","Não Iniciado","Desenvolv.","Concluído"},0),7)*100000000+IF(ISNUMBER(J117),J117-46000,9999)*10000+IF(A117="",99,A117)*100+IF(C117="",99,CODE(LEFT(C117,1))))</f>
        <v>499990077</v>
      </c>
    </row>
    <row r="118" spans="1:45" s="36" customFormat="1" ht="25.15" hidden="1" customHeight="1" x14ac:dyDescent="0.25">
      <c r="A118" s="36">
        <v>0</v>
      </c>
      <c r="B118" s="38" t="s">
        <v>106</v>
      </c>
      <c r="C118" s="24" t="str">
        <f>INDEX([1]Produtos!$G:$G,MATCH($D118,[1]Produtos!$B:$B,0))</f>
        <v>MOUTIER</v>
      </c>
      <c r="D118" s="24" t="s">
        <v>108</v>
      </c>
      <c r="E118" s="70" t="str">
        <f>INDEX([1]Produtos!$C:$C,MATCH($D118,[1]Produtos!$B:$B,0))&amp;IF($F118&lt;&gt;"-"," - "&amp;LEFT($F118,1),"")&amp;" &gt; "&amp;$B118</f>
        <v>PERFUME FEMININO 02 LA VIE EST BELLE &gt; Perfumes Moutier</v>
      </c>
      <c r="F118" s="38" t="s">
        <v>38</v>
      </c>
      <c r="G118" s="38">
        <v>45810</v>
      </c>
      <c r="H118" s="39">
        <v>1000</v>
      </c>
      <c r="I118" s="24" t="s">
        <v>39</v>
      </c>
      <c r="J118" s="68" t="str" cm="1">
        <f t="array" ref="J118">IFERROR(INDEX('[2]Previsão Envase'!$D$5:$D$4867, MATCH(1,('[2]Previsão Envase'!$F$5:$F$4867=$E118)+('[2]Previsão Envase'!$G$5:$G$4867=$E118)+('[2]Previsão Envase'!$H$5:$H$4867=$E118),0)),"")</f>
        <v/>
      </c>
      <c r="K118" s="68" t="str">
        <f>IF(COUNTIF('[2]Previsão Envase'!$F:$F,E118)&gt;0,"Linha 1",
IF(COUNTIF('[2]Previsão Envase'!$G:$G,E118)&gt;0,"Linha 2",
IF(COUNTIF('[2]Previsão Envase'!$H:$H,E118)&gt;0,"Linha 3","")))</f>
        <v/>
      </c>
      <c r="L118" s="96">
        <f>COUNTIF('[2]Previsão Envase'!$F:$H,E118)-COUNTIF('[2]Previsão Envase'!$F$1:$H$4,E118)</f>
        <v>0</v>
      </c>
      <c r="M118" s="35">
        <f t="shared" si="25"/>
        <v>0</v>
      </c>
      <c r="N118" s="68" t="str">
        <f>IFERROR(MAX(_xlfn.MAXIFS('[2]Controle de Produção'!$C:$C,'[2]Controle de Produção'!$L:$L,$D118,'[2]Controle de Produção'!$P:$P,$C118,'[2]Controle de Produção'!$G:$G,$B118),_xlfn.MAXIFS([3]EXPEDIÇÃO!$N:$N,[3]EXPEDIÇÃO!$E:$E,$D118,[3]EXPEDIÇÃO!$D:$D,$C118,[3]EXPEDIÇÃO!$N:$N,"&gt;="&amp;$G118)),"")</f>
        <v/>
      </c>
      <c r="O118" s="70">
        <f>INDEX([1]Produtos!$E:$E,MATCH($D118,[1]Produtos!$B:$B,0))</f>
        <v>50</v>
      </c>
      <c r="P118" s="70" t="str">
        <f>INDEX([1]Produtos!$F:$F,MATCH($D118,[1]Produtos!$B:$B,0))</f>
        <v>ml</v>
      </c>
      <c r="Q118" s="105">
        <f>INDEX([1]Produtos!$Y:$Y,MATCH($D118,[1]Produtos!$B:$B,0))</f>
        <v>0</v>
      </c>
      <c r="R118" s="35">
        <f t="shared" si="26"/>
        <v>1577.3766463727152</v>
      </c>
      <c r="S118" s="27">
        <f>IFERROR(INDEX([1]Produtos!$L:$L,MATCH(D118,[1]Produtos!$B:$B,0)), "")</f>
        <v>175.26407181919058</v>
      </c>
      <c r="T118" s="28">
        <f t="shared" si="27"/>
        <v>5.8</v>
      </c>
      <c r="U118" s="28" t="str">
        <f t="shared" si="28"/>
        <v>0D e 6h</v>
      </c>
      <c r="V118" s="27">
        <f>IFERROR(SUMIFS('[2]Controle de Produção'!$K:$K,'[2]Controle de Produção'!$L:$L,D118,'[2]Controle de Produção'!$P:$P,C118,'[2]Controle de Produção'!$B:$B,"&gt;=" &amp; G118,'[2]Controle de Produção'!$C:$C,"&lt;=" &amp; N118, '[2]Controle de Produção'!$G:$G,B118), "")</f>
        <v>0</v>
      </c>
      <c r="W118" s="27" t="str">
        <f>IFERROR(SUMIFS([3]EXPEDIÇÃO!$K:$K,[3]EXPEDIÇÃO!$E:$E,D118,[3]EXPEDIÇÃO!$D:$D,C118,[3]EXPEDIÇÃO!$N:$N,"&gt;=" &amp; G118,[3]EXPEDIÇÃO!$N:$N,"&lt;="&amp;N118), "")</f>
        <v/>
      </c>
      <c r="X118" s="27">
        <f>COUNTIFS('[2]Controle de Produção'!$P:$P,C118,'[2]Controle de Produção'!$L:$L,D118,'[2]Controle de Produção'!$B:$B,"&gt;=" &amp; G118)</f>
        <v>3</v>
      </c>
      <c r="Y118" s="27">
        <f t="shared" si="29"/>
        <v>0</v>
      </c>
      <c r="Z118" s="27">
        <f>IFERROR(COUNTIFS('[2]Controle de Produção'!$L:$L,D118,'[2]Controle de Produção'!$P:$P,C118,'[2]Controle de Produção'!$B:$B,"&gt;=" &amp; G118,'[2]Controle de Produção'!$C:$C,"&lt;=" &amp; N118, '[2]Controle de Produção'!$G:$G,B118), "")</f>
        <v>0</v>
      </c>
      <c r="AA118" s="108" t="str">
        <f t="shared" si="30"/>
        <v/>
      </c>
      <c r="AB118" s="41" t="str" cm="1">
        <f t="array" ref="AB118">_xlfn.IFS((H118*0.95)&lt;=V118,"Concluído",AND(V118 =0, J118&lt;&gt;""),"Programado",AND(V118=0,D118=""),"Desenvolv.",V118=0,"Não Iniciado",AND(V118&gt;0,V118&lt;H118,AO118=TRUE),"Em Produção",AND(V118&gt;0,V118&lt;H118,AO118=FALSE),"Produção Parcial")</f>
        <v>Não Iniciado</v>
      </c>
      <c r="AC118" s="42" t="b">
        <v>1</v>
      </c>
      <c r="AD118" s="42" t="b">
        <v>1</v>
      </c>
      <c r="AE118" s="42" t="b">
        <v>1</v>
      </c>
      <c r="AF118" s="42" t="b">
        <v>1</v>
      </c>
      <c r="AG118" s="42" t="b">
        <v>1</v>
      </c>
      <c r="AH118" s="42" t="b">
        <v>1</v>
      </c>
      <c r="AI118" s="42" t="b">
        <v>1</v>
      </c>
      <c r="AJ118" s="42" t="b">
        <v>1</v>
      </c>
      <c r="AK118" s="42" t="b">
        <v>0</v>
      </c>
      <c r="AL118" s="42" t="b">
        <v>1</v>
      </c>
      <c r="AM118" s="42" t="b">
        <v>1</v>
      </c>
      <c r="AN118" s="42" t="b">
        <v>1</v>
      </c>
      <c r="AO118" s="45" t="b" cm="1">
        <f t="array" ref="AO118">AND(COUNTIF(AC118:AN118,FALSE)=0,SUMPRODUCT(ISNUMBER(AC118:AN118)*1)=0)</f>
        <v>0</v>
      </c>
      <c r="AP118" s="59"/>
      <c r="AQ118" s="111">
        <f>IF(AB118="",99999999999,IFERROR(MATCH(AB118,{"Produção Parcial","Em Produção","Programado","Não Iniciado","Desenvolv.","Concluído"},0),7)*100000000+IF(ISNUMBER(J118),J118-46000,9999)*10000+IF(A118="",99,A118)*100+IF(C118="",99,CODE(LEFT(C118,1))))</f>
        <v>499990077</v>
      </c>
    </row>
    <row r="119" spans="1:45" s="36" customFormat="1" ht="25.15" hidden="1" customHeight="1" x14ac:dyDescent="0.25">
      <c r="A119" s="36">
        <v>0</v>
      </c>
      <c r="B119" s="38" t="s">
        <v>106</v>
      </c>
      <c r="C119" s="24" t="str">
        <f>INDEX([1]Produtos!$G:$G,MATCH($D119,[1]Produtos!$B:$B,0))</f>
        <v>MOUTIER</v>
      </c>
      <c r="D119" s="24" t="s">
        <v>107</v>
      </c>
      <c r="E119" s="70" t="str">
        <f>INDEX([1]Produtos!$C:$C,MATCH($D119,[1]Produtos!$B:$B,0))&amp;IF($F119&lt;&gt;"-"," - "&amp;LEFT($F119,1),"")&amp;" &gt; "&amp;$B119</f>
        <v>PERFUME FEMININO 03 GOOD GIRL &gt; Perfumes Moutier</v>
      </c>
      <c r="F119" s="38" t="s">
        <v>38</v>
      </c>
      <c r="G119" s="38">
        <v>45810</v>
      </c>
      <c r="H119" s="39">
        <v>500</v>
      </c>
      <c r="I119" s="24" t="s">
        <v>39</v>
      </c>
      <c r="J119" s="68" t="str" cm="1">
        <f t="array" ref="J119">IFERROR(INDEX('[2]Previsão Envase'!$D$5:$D$4867, MATCH(1,('[2]Previsão Envase'!$F$5:$F$4867=$E119)+('[2]Previsão Envase'!$G$5:$G$4867=$E119)+('[2]Previsão Envase'!$H$5:$H$4867=$E119),0)),"")</f>
        <v/>
      </c>
      <c r="K119" s="68" t="str">
        <f>IF(COUNTIF('[2]Previsão Envase'!$F:$F,E119)&gt;0,"Linha 1",
IF(COUNTIF('[2]Previsão Envase'!$G:$G,E119)&gt;0,"Linha 2",
IF(COUNTIF('[2]Previsão Envase'!$H:$H,E119)&gt;0,"Linha 3","")))</f>
        <v/>
      </c>
      <c r="L119" s="96">
        <f>COUNTIF('[2]Previsão Envase'!$F:$H,E119)-COUNTIF('[2]Previsão Envase'!$F$1:$H$4,E119)</f>
        <v>0</v>
      </c>
      <c r="M119" s="35">
        <f t="shared" si="25"/>
        <v>0</v>
      </c>
      <c r="N119" s="68" t="str">
        <f>IFERROR(MAX(_xlfn.MAXIFS('[2]Controle de Produção'!$C:$C,'[2]Controle de Produção'!$L:$L,$D119,'[2]Controle de Produção'!$P:$P,$C119,'[2]Controle de Produção'!$G:$G,$B119),_xlfn.MAXIFS([3]EXPEDIÇÃO!$N:$N,[3]EXPEDIÇÃO!$E:$E,$D119,[3]EXPEDIÇÃO!$D:$D,$C119,[3]EXPEDIÇÃO!$N:$N,"&gt;="&amp;$G119)),"")</f>
        <v/>
      </c>
      <c r="O119" s="70">
        <f>INDEX([1]Produtos!$E:$E,MATCH($D119,[1]Produtos!$B:$B,0))</f>
        <v>50</v>
      </c>
      <c r="P119" s="70" t="str">
        <f>INDEX([1]Produtos!$F:$F,MATCH($D119,[1]Produtos!$B:$B,0))</f>
        <v>ml</v>
      </c>
      <c r="Q119" s="105">
        <f>INDEX([1]Produtos!$Y:$Y,MATCH($D119,[1]Produtos!$B:$B,0))</f>
        <v>0</v>
      </c>
      <c r="R119" s="35">
        <f t="shared" si="26"/>
        <v>1577.3766463727152</v>
      </c>
      <c r="S119" s="27">
        <f>IFERROR(INDEX([1]Produtos!$L:$L,MATCH(D119,[1]Produtos!$B:$B,0)), "")</f>
        <v>175.26407181919058</v>
      </c>
      <c r="T119" s="28">
        <f t="shared" si="27"/>
        <v>2.9</v>
      </c>
      <c r="U119" s="28" t="str">
        <f t="shared" si="28"/>
        <v>0D e 3h</v>
      </c>
      <c r="V119" s="27">
        <f>IFERROR(SUMIFS('[2]Controle de Produção'!$K:$K,'[2]Controle de Produção'!$L:$L,D119,'[2]Controle de Produção'!$P:$P,C119,'[2]Controle de Produção'!$B:$B,"&gt;=" &amp; G119,'[2]Controle de Produção'!$C:$C,"&lt;=" &amp; N119, '[2]Controle de Produção'!$G:$G,B119), "")</f>
        <v>0</v>
      </c>
      <c r="W119" s="27" t="str">
        <f>IFERROR(SUMIFS([3]EXPEDIÇÃO!$K:$K,[3]EXPEDIÇÃO!$E:$E,D119,[3]EXPEDIÇÃO!$D:$D,C119,[3]EXPEDIÇÃO!$N:$N,"&gt;=" &amp; G119,[3]EXPEDIÇÃO!$N:$N,"&lt;="&amp;N119), "")</f>
        <v/>
      </c>
      <c r="X119" s="27">
        <f>COUNTIFS('[2]Controle de Produção'!$P:$P,C119,'[2]Controle de Produção'!$L:$L,D119,'[2]Controle de Produção'!$B:$B,"&gt;=" &amp; G119)</f>
        <v>3</v>
      </c>
      <c r="Y119" s="27">
        <f t="shared" si="29"/>
        <v>0</v>
      </c>
      <c r="Z119" s="27">
        <f>IFERROR(COUNTIFS('[2]Controle de Produção'!$L:$L,D119,'[2]Controle de Produção'!$P:$P,C119,'[2]Controle de Produção'!$B:$B,"&gt;=" &amp; G119,'[2]Controle de Produção'!$C:$C,"&lt;=" &amp; N119, '[2]Controle de Produção'!$G:$G,B119), "")</f>
        <v>0</v>
      </c>
      <c r="AA119" s="108" t="str">
        <f t="shared" si="30"/>
        <v/>
      </c>
      <c r="AB119" s="41" t="str" cm="1">
        <f t="array" ref="AB119">_xlfn.IFS((H119*0.95)&lt;=V119,"Concluído",AND(V119 =0, J119&lt;&gt;""),"Programado",AND(V119=0,D119=""),"Desenvolv.",V119=0,"Não Iniciado",AND(V119&gt;0,V119&lt;H119,AO119=TRUE),"Em Produção",AND(V119&gt;0,V119&lt;H119,AO119=FALSE),"Produção Parcial")</f>
        <v>Não Iniciado</v>
      </c>
      <c r="AC119" s="42" t="b">
        <v>1</v>
      </c>
      <c r="AD119" s="42" t="b">
        <v>1</v>
      </c>
      <c r="AE119" s="42" t="b">
        <v>1</v>
      </c>
      <c r="AF119" s="42" t="b">
        <v>1</v>
      </c>
      <c r="AG119" s="42" t="b">
        <v>1</v>
      </c>
      <c r="AH119" s="42" t="b">
        <v>1</v>
      </c>
      <c r="AI119" s="42" t="b">
        <v>1</v>
      </c>
      <c r="AJ119" s="42" t="b">
        <v>1</v>
      </c>
      <c r="AK119" s="42" t="b">
        <v>0</v>
      </c>
      <c r="AL119" s="42" t="b">
        <v>1</v>
      </c>
      <c r="AM119" s="42" t="b">
        <v>1</v>
      </c>
      <c r="AN119" s="42" t="b">
        <v>1</v>
      </c>
      <c r="AO119" s="45" t="b" cm="1">
        <f t="array" ref="AO119">AND(COUNTIF(AC119:AN119,FALSE)=0,SUMPRODUCT(ISNUMBER(AC119:AN119)*1)=0)</f>
        <v>0</v>
      </c>
      <c r="AP119" s="59"/>
      <c r="AQ119" s="111">
        <f>IF(AB119="",99999999999,IFERROR(MATCH(AB119,{"Produção Parcial","Em Produção","Programado","Não Iniciado","Desenvolv.","Concluído"},0),7)*100000000+IF(ISNUMBER(J119),J119-46000,9999)*10000+IF(A119="",99,A119)*100+IF(C119="",99,CODE(LEFT(C119,1))))</f>
        <v>499990077</v>
      </c>
    </row>
    <row r="120" spans="1:45" s="36" customFormat="1" ht="25.15" hidden="1" customHeight="1" x14ac:dyDescent="0.25">
      <c r="A120" s="36">
        <v>0</v>
      </c>
      <c r="B120" s="38" t="s">
        <v>106</v>
      </c>
      <c r="C120" s="24" t="str">
        <f>INDEX([1]Produtos!$G:$G,MATCH($D120,[1]Produtos!$B:$B,0))</f>
        <v>MOUTIER</v>
      </c>
      <c r="D120" s="24" t="s">
        <v>120</v>
      </c>
      <c r="E120" s="70" t="str">
        <f>INDEX([1]Produtos!$C:$C,MATCH($D120,[1]Produtos!$B:$B,0))&amp;IF($F120&lt;&gt;"-"," - "&amp;LEFT($F120,1),"")&amp;" &gt; "&amp;$B120</f>
        <v>PERFUME FEMININO 08 DIOR J'ADORE &gt; Perfumes Moutier</v>
      </c>
      <c r="F120" s="51" t="s">
        <v>38</v>
      </c>
      <c r="G120" s="38">
        <v>45810</v>
      </c>
      <c r="H120" s="39">
        <v>500</v>
      </c>
      <c r="I120" s="24" t="s">
        <v>39</v>
      </c>
      <c r="J120" s="68" t="str" cm="1">
        <f t="array" ref="J120">IFERROR(INDEX('[2]Previsão Envase'!$D$5:$D$4867, MATCH(1,('[2]Previsão Envase'!$F$5:$F$4867=$E120)+('[2]Previsão Envase'!$G$5:$G$4867=$E120)+('[2]Previsão Envase'!$H$5:$H$4867=$E120),0)),"")</f>
        <v/>
      </c>
      <c r="K120" s="68" t="str">
        <f>IF(COUNTIF('[2]Previsão Envase'!$F:$F,E120)&gt;0,"Linha 1",
IF(COUNTIF('[2]Previsão Envase'!$G:$G,E120)&gt;0,"Linha 2",
IF(COUNTIF('[2]Previsão Envase'!$H:$H,E120)&gt;0,"Linha 3","")))</f>
        <v/>
      </c>
      <c r="L120" s="96">
        <f>COUNTIF('[2]Previsão Envase'!$F:$H,E120)-COUNTIF('[2]Previsão Envase'!$F$1:$H$4,E120)</f>
        <v>0</v>
      </c>
      <c r="M120" s="35">
        <f t="shared" si="25"/>
        <v>0</v>
      </c>
      <c r="N120" s="68" t="str">
        <f>IFERROR(MAX(_xlfn.MAXIFS('[2]Controle de Produção'!$C:$C,'[2]Controle de Produção'!$L:$L,$D120,'[2]Controle de Produção'!$P:$P,$C120,'[2]Controle de Produção'!$G:$G,$B120),_xlfn.MAXIFS([3]EXPEDIÇÃO!$N:$N,[3]EXPEDIÇÃO!$E:$E,$D120,[3]EXPEDIÇÃO!$D:$D,$C120,[3]EXPEDIÇÃO!$N:$N,"&gt;="&amp;$G120)),"")</f>
        <v/>
      </c>
      <c r="O120" s="70">
        <f>INDEX([1]Produtos!$E:$E,MATCH($D120,[1]Produtos!$B:$B,0))</f>
        <v>50</v>
      </c>
      <c r="P120" s="70" t="str">
        <f>INDEX([1]Produtos!$F:$F,MATCH($D120,[1]Produtos!$B:$B,0))</f>
        <v>ml</v>
      </c>
      <c r="Q120" s="105">
        <f>INDEX([1]Produtos!$Y:$Y,MATCH($D120,[1]Produtos!$B:$B,0))</f>
        <v>0</v>
      </c>
      <c r="R120" s="35">
        <f t="shared" si="26"/>
        <v>1577.3766463727152</v>
      </c>
      <c r="S120" s="27">
        <f>IFERROR(INDEX([1]Produtos!$L:$L,MATCH(D120,[1]Produtos!$B:$B,0)), "")</f>
        <v>175.26407181919058</v>
      </c>
      <c r="T120" s="28">
        <f t="shared" si="27"/>
        <v>2.9</v>
      </c>
      <c r="U120" s="28" t="str">
        <f t="shared" si="28"/>
        <v>0D e 3h</v>
      </c>
      <c r="V120" s="27">
        <f>IFERROR(SUMIFS('[2]Controle de Produção'!$K:$K,'[2]Controle de Produção'!$L:$L,D120,'[2]Controle de Produção'!$P:$P,C120,'[2]Controle de Produção'!$B:$B,"&gt;=" &amp; G120,'[2]Controle de Produção'!$C:$C,"&lt;=" &amp; N120, '[2]Controle de Produção'!$G:$G,B120), "")</f>
        <v>0</v>
      </c>
      <c r="W120" s="27" t="str">
        <f>IFERROR(SUMIFS([3]EXPEDIÇÃO!$K:$K,[3]EXPEDIÇÃO!$E:$E,D120,[3]EXPEDIÇÃO!$D:$D,C120,[3]EXPEDIÇÃO!$N:$N,"&gt;=" &amp; G120,[3]EXPEDIÇÃO!$N:$N,"&lt;="&amp;N120), "")</f>
        <v/>
      </c>
      <c r="X120" s="27">
        <f>COUNTIFS('[2]Controle de Produção'!$P:$P,C120,'[2]Controle de Produção'!$L:$L,D120,'[2]Controle de Produção'!$B:$B,"&gt;=" &amp; G120)</f>
        <v>2</v>
      </c>
      <c r="Y120" s="27">
        <f t="shared" si="29"/>
        <v>0</v>
      </c>
      <c r="Z120" s="27">
        <f>IFERROR(COUNTIFS('[2]Controle de Produção'!$L:$L,D120,'[2]Controle de Produção'!$P:$P,C120,'[2]Controle de Produção'!$B:$B,"&gt;=" &amp; G120,'[2]Controle de Produção'!$C:$C,"&lt;=" &amp; N120, '[2]Controle de Produção'!$G:$G,B120), "")</f>
        <v>0</v>
      </c>
      <c r="AA120" s="108" t="str">
        <f t="shared" si="30"/>
        <v/>
      </c>
      <c r="AB120" s="41" t="str" cm="1">
        <f t="array" ref="AB120">_xlfn.IFS((H120*0.95)&lt;=V120,"Concluído",AND(V120 =0, J120&lt;&gt;""),"Programado",AND(V120=0,D120=""),"Desenvolv.",V120=0,"Não Iniciado",AND(V120&gt;0,V120&lt;H120,AO120=TRUE),"Em Produção",AND(V120&gt;0,V120&lt;H120,AO120=FALSE),"Produção Parcial")</f>
        <v>Não Iniciado</v>
      </c>
      <c r="AC120" s="42" t="b">
        <v>1</v>
      </c>
      <c r="AD120" s="42" t="b">
        <v>1</v>
      </c>
      <c r="AE120" s="89" t="b">
        <v>1</v>
      </c>
      <c r="AF120" s="42" t="b">
        <v>1</v>
      </c>
      <c r="AG120" s="42" t="b">
        <v>1</v>
      </c>
      <c r="AH120" s="42" t="b">
        <v>1</v>
      </c>
      <c r="AI120" s="42" t="b">
        <v>1</v>
      </c>
      <c r="AJ120" s="42" t="b">
        <v>1</v>
      </c>
      <c r="AK120" s="42" t="b">
        <v>0</v>
      </c>
      <c r="AL120" s="42" t="b">
        <v>1</v>
      </c>
      <c r="AM120" s="42" t="b">
        <v>1</v>
      </c>
      <c r="AN120" s="42" t="b">
        <v>1</v>
      </c>
      <c r="AO120" s="45" t="b" cm="1">
        <f t="array" ref="AO120">AND(COUNTIF(AC120:AN120,FALSE)=0,SUMPRODUCT(ISNUMBER(AC120:AN120)*1)=0)</f>
        <v>0</v>
      </c>
      <c r="AP120" s="59"/>
      <c r="AQ120" s="111">
        <f>IF(AB120="",99999999999,IFERROR(MATCH(AB120,{"Produção Parcial","Em Produção","Programado","Não Iniciado","Desenvolv.","Concluído"},0),7)*100000000+IF(ISNUMBER(J120),J120-46000,9999)*10000+IF(A120="",99,A120)*100+IF(C120="",99,CODE(LEFT(C120,1))))</f>
        <v>499990077</v>
      </c>
    </row>
    <row r="121" spans="1:45" s="36" customFormat="1" ht="25.15" hidden="1" customHeight="1" x14ac:dyDescent="0.25">
      <c r="A121" s="36">
        <v>0</v>
      </c>
      <c r="B121" s="38" t="s">
        <v>429</v>
      </c>
      <c r="C121" s="70" t="str">
        <f>INDEX([1]Produtos!$G:$G,MATCH($D121,[1]Produtos!$B:$B,0))</f>
        <v>MISS RÔSE</v>
      </c>
      <c r="D121" s="24" t="s">
        <v>37</v>
      </c>
      <c r="E121" s="70" t="str">
        <f>INDEX([1]Produtos!$C:$C,MATCH($D121,[1]Produtos!$B:$B,0))&amp;IF($F121&lt;&gt;"-"," - "&amp;LEFT($F121,1),"")&amp;" &gt; "&amp;$B121</f>
        <v>BODY SPLASH ROSA RAINHA 200ml &gt; REPOSICAO 23/03</v>
      </c>
      <c r="F121" s="51" t="s">
        <v>38</v>
      </c>
      <c r="G121" s="38">
        <v>46104</v>
      </c>
      <c r="H121" s="39">
        <v>5760</v>
      </c>
      <c r="I121" s="24" t="s">
        <v>42</v>
      </c>
      <c r="J121" s="68" t="str" cm="1">
        <f t="array" ref="J121">IFERROR(INDEX('[2]Previsão Envase'!$D$5:$D$4867, MATCH(1,('[2]Previsão Envase'!$F$5:$F$4867=$E121)+('[2]Previsão Envase'!$G$5:$G$4867=$E121)+('[2]Previsão Envase'!$H$5:$H$4867=$E121),0)),"")</f>
        <v/>
      </c>
      <c r="K121" s="68" t="str">
        <f>IF(COUNTIF('[2]Previsão Envase'!$F:$F,E121)&gt;0,"Linha 1",
IF(COUNTIF('[2]Previsão Envase'!$G:$G,E121)&gt;0,"Linha 2",
IF(COUNTIF('[2]Previsão Envase'!$H:$H,E121)&gt;0,"Linha 3","")))</f>
        <v/>
      </c>
      <c r="L121" s="96">
        <f>COUNTIF('[2]Previsão Envase'!$F:$H,E121)-COUNTIF('[2]Previsão Envase'!$F$1:$H$4,E121)</f>
        <v>0</v>
      </c>
      <c r="M121" s="35">
        <f t="shared" si="25"/>
        <v>0</v>
      </c>
      <c r="N121" s="68" t="str">
        <f>IFERROR(MAX(_xlfn.MAXIFS('[2]Controle de Produção'!$C:$C,'[2]Controle de Produção'!$L:$L,$D121,'[2]Controle de Produção'!$P:$P,$C121,'[2]Controle de Produção'!$G:$G,$B121),_xlfn.MAXIFS([3]EXPEDIÇÃO!$N:$N,[3]EXPEDIÇÃO!$E:$E,$D121,[3]EXPEDIÇÃO!$D:$D,$C121,[3]EXPEDIÇÃO!$N:$N,"&gt;="&amp;$G121)),"")</f>
        <v/>
      </c>
      <c r="O121" s="70">
        <f>INDEX([1]Produtos!$E:$E,MATCH($D121,[1]Produtos!$B:$B,0))</f>
        <v>215</v>
      </c>
      <c r="P121" s="70" t="str">
        <f>INDEX([1]Produtos!$F:$F,MATCH($D121,[1]Produtos!$B:$B,0))</f>
        <v>ml</v>
      </c>
      <c r="Q121" s="105">
        <f>INDEX([1]Produtos!$Y:$Y,MATCH($D121,[1]Produtos!$B:$B,0))</f>
        <v>0.85</v>
      </c>
      <c r="R121" s="35">
        <f t="shared" si="26"/>
        <v>7592.2902086267013</v>
      </c>
      <c r="S121" s="27">
        <f>IFERROR(INDEX([1]Produtos!$L:$L,MATCH(D121,[1]Produtos!$B:$B,0)), "")</f>
        <v>843.58780095852239</v>
      </c>
      <c r="T121" s="28">
        <f t="shared" si="27"/>
        <v>6.8999999999999995</v>
      </c>
      <c r="U121" s="28" t="str">
        <f t="shared" si="28"/>
        <v>0D e 7h</v>
      </c>
      <c r="V121" s="27">
        <f>IFERROR(SUMIFS('[2]Controle de Produção'!$K:$K,'[2]Controle de Produção'!$L:$L,D121,'[2]Controle de Produção'!$P:$P,C121,'[2]Controle de Produção'!$B:$B,"&gt;=" &amp; G121,'[2]Controle de Produção'!$C:$C,"&lt;=" &amp; N121, '[2]Controle de Produção'!$G:$G,B121), "")</f>
        <v>0</v>
      </c>
      <c r="W121" s="27" t="str">
        <f>IFERROR(SUMIFS([3]EXPEDIÇÃO!$K:$K,[3]EXPEDIÇÃO!$E:$E,D121,[3]EXPEDIÇÃO!$D:$D,C121,[3]EXPEDIÇÃO!$N:$N,"&gt;=" &amp; G121,[3]EXPEDIÇÃO!$N:$N,"&lt;="&amp;N121), "")</f>
        <v/>
      </c>
      <c r="X121" s="27">
        <f>COUNTIFS('[2]Controle de Produção'!$P:$P,C121,'[2]Controle de Produção'!$L:$L,D121,'[2]Controle de Produção'!$B:$B,"&gt;=" &amp; G121)</f>
        <v>6</v>
      </c>
      <c r="Y121" s="27">
        <f t="shared" si="29"/>
        <v>0</v>
      </c>
      <c r="Z121" s="27">
        <f>IFERROR(COUNTIFS('[2]Controle de Produção'!$L:$L,D121,'[2]Controle de Produção'!$P:$P,C121,'[2]Controle de Produção'!$B:$B,"&gt;=" &amp; G121,'[2]Controle de Produção'!$C:$C,"&lt;=" &amp; N121, '[2]Controle de Produção'!$G:$G,B121), "")</f>
        <v>0</v>
      </c>
      <c r="AA121" s="108" t="str">
        <f t="shared" si="30"/>
        <v/>
      </c>
      <c r="AB121" s="41" t="str" cm="1">
        <f t="array" ref="AB121">_xlfn.IFS((H121*0.95)&lt;=V121,"Concluído",AND(V121 =0, J121&lt;&gt;""),"Programado",AND(V121=0,D121=""),"Desenvolv.",V121=0,"Não Iniciado",AND(V121&gt;0,V121&lt;H121,AO121=TRUE),"Em Produção",AND(V121&gt;0,V121&lt;H121,AO121=FALSE),"Produção Parcial")</f>
        <v>Não Iniciado</v>
      </c>
      <c r="AC121" s="42" t="b">
        <v>1</v>
      </c>
      <c r="AD121" s="42" t="b">
        <v>1</v>
      </c>
      <c r="AE121" s="67" t="b">
        <v>1</v>
      </c>
      <c r="AF121" s="42" t="b">
        <v>1</v>
      </c>
      <c r="AG121" s="42" t="b">
        <v>1</v>
      </c>
      <c r="AH121" s="42" t="s">
        <v>38</v>
      </c>
      <c r="AI121" s="67" t="b">
        <v>1</v>
      </c>
      <c r="AJ121" s="42" t="s">
        <v>38</v>
      </c>
      <c r="AK121" s="42" t="s">
        <v>38</v>
      </c>
      <c r="AL121" s="42" t="b">
        <v>1</v>
      </c>
      <c r="AM121" s="42" t="b">
        <v>1</v>
      </c>
      <c r="AN121" s="42" t="b">
        <v>1</v>
      </c>
      <c r="AO121" s="45" t="b" cm="1">
        <f t="array" ref="AO121">AND(COUNTIF(AC121:AN121,FALSE)=0,SUMPRODUCT(ISNUMBER(AC121:AN121)*1)=0)</f>
        <v>1</v>
      </c>
      <c r="AP121" s="59"/>
      <c r="AQ121" s="111">
        <f>IF(AB121="",99999999999,IFERROR(MATCH(AB121,{"Produção Parcial","Em Produção","Programado","Não Iniciado","Desenvolv.","Concluído"},0),7)*100000000+IF(ISNUMBER(J121),J121-46000,9999)*10000+IF(A121="",99,A121)*100+IF(C121="",99,CODE(LEFT(C121,1))))</f>
        <v>499990077</v>
      </c>
    </row>
    <row r="122" spans="1:45" s="36" customFormat="1" ht="25.15" hidden="1" customHeight="1" x14ac:dyDescent="0.25">
      <c r="A122" s="36">
        <v>0</v>
      </c>
      <c r="B122" s="38" t="s">
        <v>429</v>
      </c>
      <c r="C122" s="70" t="str">
        <f>INDEX([1]Produtos!$G:$G,MATCH($D122,[1]Produtos!$B:$B,0))</f>
        <v>MISS RÔSE</v>
      </c>
      <c r="D122" s="24" t="s">
        <v>74</v>
      </c>
      <c r="E122" s="70" t="str">
        <f>INDEX([1]Produtos!$C:$C,MATCH($D122,[1]Produtos!$B:$B,0))&amp;IF($F122&lt;&gt;"-"," - "&amp;LEFT($F122,1),"")&amp;" &gt; "&amp;$B122</f>
        <v>BODY SPLASH LEAO DO DESERTO BOURBON 200ml &gt; REPOSICAO 23/03</v>
      </c>
      <c r="F122" s="51" t="s">
        <v>38</v>
      </c>
      <c r="G122" s="38">
        <v>46104</v>
      </c>
      <c r="H122" s="39">
        <v>7680</v>
      </c>
      <c r="I122" s="24" t="s">
        <v>42</v>
      </c>
      <c r="J122" s="68" t="str" cm="1">
        <f t="array" ref="J122">IFERROR(INDEX('[2]Previsão Envase'!$D$5:$D$4867, MATCH(1,('[2]Previsão Envase'!$F$5:$F$4867=$E122)+('[2]Previsão Envase'!$G$5:$G$4867=$E122)+('[2]Previsão Envase'!$H$5:$H$4867=$E122),0)),"")</f>
        <v/>
      </c>
      <c r="K122" s="68" t="str">
        <f>IF(COUNTIF('[2]Previsão Envase'!$F:$F,E122)&gt;0,"Linha 1",
IF(COUNTIF('[2]Previsão Envase'!$G:$G,E122)&gt;0,"Linha 2",
IF(COUNTIF('[2]Previsão Envase'!$H:$H,E122)&gt;0,"Linha 3","")))</f>
        <v/>
      </c>
      <c r="L122" s="96">
        <f>COUNTIF('[2]Previsão Envase'!$F:$H,E122)-COUNTIF('[2]Previsão Envase'!$F$1:$H$4,E122)</f>
        <v>0</v>
      </c>
      <c r="M122" s="35">
        <f t="shared" si="25"/>
        <v>0</v>
      </c>
      <c r="N122" s="68" t="str">
        <f>IFERROR(MAX(_xlfn.MAXIFS('[2]Controle de Produção'!$C:$C,'[2]Controle de Produção'!$L:$L,$D122,'[2]Controle de Produção'!$P:$P,$C122,'[2]Controle de Produção'!$G:$G,$B122),_xlfn.MAXIFS([3]EXPEDIÇÃO!$N:$N,[3]EXPEDIÇÃO!$E:$E,$D122,[3]EXPEDIÇÃO!$D:$D,$C122,[3]EXPEDIÇÃO!$N:$N,"&gt;="&amp;$G122)),"")</f>
        <v/>
      </c>
      <c r="O122" s="70">
        <f>INDEX([1]Produtos!$E:$E,MATCH($D122,[1]Produtos!$B:$B,0))</f>
        <v>215</v>
      </c>
      <c r="P122" s="70" t="str">
        <f>INDEX([1]Produtos!$F:$F,MATCH($D122,[1]Produtos!$B:$B,0))</f>
        <v>ml</v>
      </c>
      <c r="Q122" s="105">
        <f>INDEX([1]Produtos!$Y:$Y,MATCH($D122,[1]Produtos!$B:$B,0))</f>
        <v>0.85</v>
      </c>
      <c r="R122" s="35">
        <f t="shared" si="26"/>
        <v>7592.2902086267013</v>
      </c>
      <c r="S122" s="27">
        <f>IFERROR(INDEX([1]Produtos!$L:$L,MATCH(D122,[1]Produtos!$B:$B,0)), "")</f>
        <v>843.58780095852239</v>
      </c>
      <c r="T122" s="28">
        <f t="shared" si="27"/>
        <v>9.1999999999999993</v>
      </c>
      <c r="U122" s="28" t="str">
        <f t="shared" si="28"/>
        <v>1D e 1h</v>
      </c>
      <c r="V122" s="27">
        <f>IFERROR(SUMIFS('[2]Controle de Produção'!$K:$K,'[2]Controle de Produção'!$L:$L,D122,'[2]Controle de Produção'!$P:$P,C122,'[2]Controle de Produção'!$B:$B,"&gt;=" &amp; G122,'[2]Controle de Produção'!$C:$C,"&lt;=" &amp; N122, '[2]Controle de Produção'!$G:$G,B122), "")</f>
        <v>0</v>
      </c>
      <c r="W122" s="27" t="str">
        <f>IFERROR(SUMIFS([3]EXPEDIÇÃO!$K:$K,[3]EXPEDIÇÃO!$E:$E,D122,[3]EXPEDIÇÃO!$D:$D,C122,[3]EXPEDIÇÃO!$N:$N,"&gt;=" &amp; G122,[3]EXPEDIÇÃO!$N:$N,"&lt;="&amp;N122), "")</f>
        <v/>
      </c>
      <c r="X122" s="27">
        <f>COUNTIFS('[2]Controle de Produção'!$P:$P,C122,'[2]Controle de Produção'!$L:$L,D122,'[2]Controle de Produção'!$B:$B,"&gt;=" &amp; G122)</f>
        <v>19</v>
      </c>
      <c r="Y122" s="27">
        <f t="shared" si="29"/>
        <v>0</v>
      </c>
      <c r="Z122" s="27">
        <f>IFERROR(COUNTIFS('[2]Controle de Produção'!$L:$L,D122,'[2]Controle de Produção'!$P:$P,C122,'[2]Controle de Produção'!$B:$B,"&gt;=" &amp; G122,'[2]Controle de Produção'!$C:$C,"&lt;=" &amp; N122, '[2]Controle de Produção'!$G:$G,B122), "")</f>
        <v>0</v>
      </c>
      <c r="AA122" s="108" t="str">
        <f t="shared" si="30"/>
        <v/>
      </c>
      <c r="AB122" s="41" t="str" cm="1">
        <f t="array" ref="AB122">_xlfn.IFS((H122*0.95)&lt;=V122,"Concluído",AND(V122 =0, J122&lt;&gt;""),"Programado",AND(V122=0,D122=""),"Desenvolv.",V122=0,"Não Iniciado",AND(V122&gt;0,V122&lt;H122,AO122=TRUE),"Em Produção",AND(V122&gt;0,V122&lt;H122,AO122=FALSE),"Produção Parcial")</f>
        <v>Não Iniciado</v>
      </c>
      <c r="AC122" s="42" t="b">
        <v>1</v>
      </c>
      <c r="AD122" s="42" t="b">
        <v>1</v>
      </c>
      <c r="AE122" s="67" t="b">
        <v>1</v>
      </c>
      <c r="AF122" s="42" t="b">
        <v>1</v>
      </c>
      <c r="AG122" s="42" t="b">
        <v>1</v>
      </c>
      <c r="AH122" s="42" t="s">
        <v>38</v>
      </c>
      <c r="AI122" s="67" t="b">
        <v>1</v>
      </c>
      <c r="AJ122" s="42" t="s">
        <v>38</v>
      </c>
      <c r="AK122" s="42" t="s">
        <v>38</v>
      </c>
      <c r="AL122" s="42" t="b">
        <v>1</v>
      </c>
      <c r="AM122" s="42" t="b">
        <v>1</v>
      </c>
      <c r="AN122" s="42" t="b">
        <v>1</v>
      </c>
      <c r="AO122" s="45" t="b" cm="1">
        <f t="array" ref="AO122">AND(COUNTIF(AC122:AN122,FALSE)=0,SUMPRODUCT(ISNUMBER(AC122:AN122)*1)=0)</f>
        <v>1</v>
      </c>
      <c r="AP122" s="59"/>
      <c r="AQ122" s="111">
        <f>IF(AB122="",99999999999,IFERROR(MATCH(AB122,{"Produção Parcial","Em Produção","Programado","Não Iniciado","Desenvolv.","Concluído"},0),7)*100000000+IF(ISNUMBER(J122),J122-46000,9999)*10000+IF(A122="",99,A122)*100+IF(C122="",99,CODE(LEFT(C122,1))))</f>
        <v>499990077</v>
      </c>
    </row>
    <row r="123" spans="1:45" s="36" customFormat="1" ht="25.15" hidden="1" customHeight="1" x14ac:dyDescent="0.25">
      <c r="A123" s="36">
        <v>0</v>
      </c>
      <c r="B123" s="38" t="s">
        <v>49</v>
      </c>
      <c r="C123" s="70" t="str">
        <f>INDEX([1]Produtos!$G:$G,MATCH($D123,[1]Produtos!$B:$B,0))</f>
        <v>SAFIRA</v>
      </c>
      <c r="D123" s="24" t="s">
        <v>53</v>
      </c>
      <c r="E123" s="70" t="str">
        <f>INDEX([1]Produtos!$C:$C,MATCH($D123,[1]Produtos!$B:$B,0))&amp;IF($F123&lt;&gt;"-"," - "&amp;LEFT($F123,1),"")&amp;" &gt; "&amp;$B123</f>
        <v>ESFOLIANTE FACIAL PITAYA &gt; SAFIRA 674</v>
      </c>
      <c r="F123" s="51" t="s">
        <v>38</v>
      </c>
      <c r="G123" s="38">
        <v>45953</v>
      </c>
      <c r="H123" s="39">
        <v>5320</v>
      </c>
      <c r="I123" s="24" t="s">
        <v>42</v>
      </c>
      <c r="J123" s="68" t="str" cm="1">
        <f t="array" ref="J123">IFERROR(INDEX('[2]Previsão Envase'!$D$5:$D$4867, MATCH(1,('[2]Previsão Envase'!$F$5:$F$4867=$E123)+('[2]Previsão Envase'!$G$5:$G$4867=$E123)+('[2]Previsão Envase'!$H$5:$H$4867=$E123),0)),"")</f>
        <v/>
      </c>
      <c r="K123" s="68" t="str">
        <f>IF(COUNTIF('[2]Previsão Envase'!$F:$F,E123)&gt;0,"Linha 1",
IF(COUNTIF('[2]Previsão Envase'!$G:$G,E123)&gt;0,"Linha 2",
IF(COUNTIF('[2]Previsão Envase'!$H:$H,E123)&gt;0,"Linha 3","")))</f>
        <v/>
      </c>
      <c r="L123" s="96">
        <f>COUNTIF('[2]Previsão Envase'!$F:$H,E123)-COUNTIF('[2]Previsão Envase'!$F$1:$H$4,E123)</f>
        <v>0</v>
      </c>
      <c r="M123" s="35">
        <f t="shared" si="25"/>
        <v>0</v>
      </c>
      <c r="N123" s="68" t="str">
        <f>IFERROR(MAX(_xlfn.MAXIFS('[2]Controle de Produção'!$C:$C,'[2]Controle de Produção'!$L:$L,$D123,'[2]Controle de Produção'!$P:$P,$C123,'[2]Controle de Produção'!$G:$G,$B123),_xlfn.MAXIFS([3]EXPEDIÇÃO!$N:$N,[3]EXPEDIÇÃO!$E:$E,$D123,[3]EXPEDIÇÃO!$D:$D,$C123,[3]EXPEDIÇÃO!$N:$N,"&gt;="&amp;$G123)),"")</f>
        <v/>
      </c>
      <c r="O123" s="70">
        <f>INDEX([1]Produtos!$E:$E,MATCH($D123,[1]Produtos!$B:$B,0))</f>
        <v>100</v>
      </c>
      <c r="P123" s="70" t="str">
        <f>INDEX([1]Produtos!$F:$F,MATCH($D123,[1]Produtos!$B:$B,0))</f>
        <v>ml</v>
      </c>
      <c r="Q123" s="105">
        <f>INDEX([1]Produtos!$Y:$Y,MATCH($D123,[1]Produtos!$B:$B,0))</f>
        <v>0</v>
      </c>
      <c r="R123" s="35">
        <f t="shared" si="26"/>
        <v>6490.0564190605701</v>
      </c>
      <c r="S123" s="27">
        <f>IFERROR(INDEX([1]Produtos!$L:$L,MATCH(D123,[1]Produtos!$B:$B,0)), "")</f>
        <v>721.11737989561891</v>
      </c>
      <c r="T123" s="28">
        <f t="shared" si="27"/>
        <v>7.3999999999999995</v>
      </c>
      <c r="U123" s="28" t="str">
        <f t="shared" si="28"/>
        <v>0D e 8h</v>
      </c>
      <c r="V123" s="27">
        <f>IFERROR(SUMIFS('[2]Controle de Produção'!$K:$K,'[2]Controle de Produção'!$L:$L,D123,'[2]Controle de Produção'!$P:$P,C123,'[2]Controle de Produção'!$B:$B,"&gt;=" &amp; G123,'[2]Controle de Produção'!$C:$C,"&lt;=" &amp; N123, '[2]Controle de Produção'!$G:$G,B123), "")</f>
        <v>0</v>
      </c>
      <c r="W123" s="27" t="str">
        <f>IFERROR(SUMIFS([3]EXPEDIÇÃO!$K:$K,[3]EXPEDIÇÃO!$E:$E,D123,[3]EXPEDIÇÃO!$D:$D,C123,[3]EXPEDIÇÃO!$N:$N,"&gt;=" &amp; G123,[3]EXPEDIÇÃO!$N:$N,"&lt;="&amp;N123), "")</f>
        <v/>
      </c>
      <c r="X123" s="27">
        <f>COUNTIFS('[2]Controle de Produção'!$P:$P,C123,'[2]Controle de Produção'!$L:$L,D123,'[2]Controle de Produção'!$B:$B,"&gt;=" &amp; G123)</f>
        <v>2</v>
      </c>
      <c r="Y123" s="27">
        <f t="shared" si="29"/>
        <v>0</v>
      </c>
      <c r="Z123" s="27">
        <f>IFERROR(COUNTIFS('[2]Controle de Produção'!$L:$L,D123,'[2]Controle de Produção'!$P:$P,C123,'[2]Controle de Produção'!$B:$B,"&gt;=" &amp; G123,'[2]Controle de Produção'!$C:$C,"&lt;=" &amp; N123, '[2]Controle de Produção'!$G:$G,B123), "")</f>
        <v>0</v>
      </c>
      <c r="AA123" s="108" t="str">
        <f t="shared" si="30"/>
        <v/>
      </c>
      <c r="AB123" s="41" t="str" cm="1">
        <f t="array" ref="AB123">_xlfn.IFS((H123*0.95)&lt;=V123,"Concluído",AND(V123 =0, J123&lt;&gt;""),"Programado",AND(V123=0,D123=""),"Desenvolv.",V123=0,"Não Iniciado",AND(V123&gt;0,V123&lt;H123,AO123=TRUE),"Em Produção",AND(V123&gt;0,V123&lt;H123,AO123=FALSE),"Produção Parcial")</f>
        <v>Não Iniciado</v>
      </c>
      <c r="AC123" s="42" t="b">
        <v>1</v>
      </c>
      <c r="AD123" s="42" t="b">
        <v>1</v>
      </c>
      <c r="AE123" s="42" t="s">
        <v>38</v>
      </c>
      <c r="AF123" s="42" t="b">
        <v>1</v>
      </c>
      <c r="AG123" s="42" t="b">
        <v>1</v>
      </c>
      <c r="AH123" s="42" t="s">
        <v>38</v>
      </c>
      <c r="AI123" s="42" t="s">
        <v>38</v>
      </c>
      <c r="AJ123" s="42" t="s">
        <v>38</v>
      </c>
      <c r="AK123" s="42" t="b">
        <v>0</v>
      </c>
      <c r="AL123" s="42" t="b">
        <v>1</v>
      </c>
      <c r="AM123" s="42" t="b">
        <v>1</v>
      </c>
      <c r="AN123" s="42" t="b">
        <v>0</v>
      </c>
      <c r="AO123" s="45" t="b" cm="1">
        <f t="array" ref="AO123">AND(COUNTIF(AC123:AN123,FALSE)=0,SUMPRODUCT(ISNUMBER(AC123:AN123)*1)=0)</f>
        <v>0</v>
      </c>
      <c r="AP123" s="59"/>
      <c r="AQ123" s="111">
        <f>IF(AB123="",99999999999,IFERROR(MATCH(AB123,{"Produção Parcial","Em Produção","Programado","Não Iniciado","Desenvolv.","Concluído"},0),7)*100000000+IF(ISNUMBER(J123),J123-46000,9999)*10000+IF(A123="",99,A123)*100+IF(C123="",99,CODE(LEFT(C123,1))))</f>
        <v>499990083</v>
      </c>
    </row>
    <row r="124" spans="1:45" s="36" customFormat="1" ht="25.15" hidden="1" customHeight="1" x14ac:dyDescent="0.25">
      <c r="A124" s="36">
        <v>0</v>
      </c>
      <c r="B124" s="38" t="s">
        <v>49</v>
      </c>
      <c r="C124" s="70" t="str">
        <f>INDEX([1]Produtos!$G:$G,MATCH($D124,[1]Produtos!$B:$B,0))</f>
        <v>SAFIRA</v>
      </c>
      <c r="D124" s="24" t="s">
        <v>52</v>
      </c>
      <c r="E124" s="70" t="str">
        <f>INDEX([1]Produtos!$C:$C,MATCH($D124,[1]Produtos!$B:$B,0))&amp;IF($F124&lt;&gt;"-"," - "&amp;LEFT($F124,1),"")&amp;" &gt; "&amp;$B124</f>
        <v>ESFOLIANTE FACIAL VITAMINA C &gt; SAFIRA 674</v>
      </c>
      <c r="F124" s="51" t="s">
        <v>38</v>
      </c>
      <c r="G124" s="38">
        <v>45953</v>
      </c>
      <c r="H124" s="39">
        <v>4226</v>
      </c>
      <c r="I124" s="24" t="s">
        <v>42</v>
      </c>
      <c r="J124" s="68" t="str" cm="1">
        <f t="array" ref="J124">IFERROR(INDEX('[2]Previsão Envase'!$D$5:$D$4867, MATCH(1,('[2]Previsão Envase'!$F$5:$F$4867=$E124)+('[2]Previsão Envase'!$G$5:$G$4867=$E124)+('[2]Previsão Envase'!$H$5:$H$4867=$E124),0)),"")</f>
        <v/>
      </c>
      <c r="K124" s="68" t="str">
        <f>IF(COUNTIF('[2]Previsão Envase'!$F:$F,E124)&gt;0,"Linha 1",
IF(COUNTIF('[2]Previsão Envase'!$G:$G,E124)&gt;0,"Linha 2",
IF(COUNTIF('[2]Previsão Envase'!$H:$H,E124)&gt;0,"Linha 3","")))</f>
        <v/>
      </c>
      <c r="L124" s="96">
        <f>COUNTIF('[2]Previsão Envase'!$F:$H,E124)-COUNTIF('[2]Previsão Envase'!$F$1:$H$4,E124)</f>
        <v>0</v>
      </c>
      <c r="M124" s="35">
        <f t="shared" si="25"/>
        <v>0</v>
      </c>
      <c r="N124" s="68" t="str">
        <f>IFERROR(MAX(_xlfn.MAXIFS('[2]Controle de Produção'!$C:$C,'[2]Controle de Produção'!$L:$L,$D124,'[2]Controle de Produção'!$P:$P,$C124,'[2]Controle de Produção'!$G:$G,$B124),_xlfn.MAXIFS([3]EXPEDIÇÃO!$N:$N,[3]EXPEDIÇÃO!$E:$E,$D124,[3]EXPEDIÇÃO!$D:$D,$C124,[3]EXPEDIÇÃO!$N:$N,"&gt;="&amp;$G124)),"")</f>
        <v/>
      </c>
      <c r="O124" s="70">
        <f>INDEX([1]Produtos!$E:$E,MATCH($D124,[1]Produtos!$B:$B,0))</f>
        <v>100</v>
      </c>
      <c r="P124" s="70" t="str">
        <f>INDEX([1]Produtos!$F:$F,MATCH($D124,[1]Produtos!$B:$B,0))</f>
        <v>ml</v>
      </c>
      <c r="Q124" s="105">
        <f>INDEX([1]Produtos!$Y:$Y,MATCH($D124,[1]Produtos!$B:$B,0))</f>
        <v>0</v>
      </c>
      <c r="R124" s="35">
        <f t="shared" si="26"/>
        <v>6490.0564190605701</v>
      </c>
      <c r="S124" s="27">
        <f>IFERROR(INDEX([1]Produtos!$L:$L,MATCH(D124,[1]Produtos!$B:$B,0)), "")</f>
        <v>721.11737989561891</v>
      </c>
      <c r="T124" s="28">
        <f t="shared" si="27"/>
        <v>5.8999999999999995</v>
      </c>
      <c r="U124" s="28" t="str">
        <f t="shared" si="28"/>
        <v>0D e 6h</v>
      </c>
      <c r="V124" s="27">
        <f>IFERROR(SUMIFS('[2]Controle de Produção'!$K:$K,'[2]Controle de Produção'!$L:$L,D124,'[2]Controle de Produção'!$P:$P,C124,'[2]Controle de Produção'!$B:$B,"&gt;=" &amp; G124,'[2]Controle de Produção'!$C:$C,"&lt;=" &amp; N124, '[2]Controle de Produção'!$G:$G,B124), "")</f>
        <v>0</v>
      </c>
      <c r="W124" s="27" t="str">
        <f>IFERROR(SUMIFS([3]EXPEDIÇÃO!$K:$K,[3]EXPEDIÇÃO!$E:$E,D124,[3]EXPEDIÇÃO!$D:$D,C124,[3]EXPEDIÇÃO!$N:$N,"&gt;=" &amp; G124,[3]EXPEDIÇÃO!$N:$N,"&lt;="&amp;N124), "")</f>
        <v/>
      </c>
      <c r="X124" s="27">
        <f>COUNTIFS('[2]Controle de Produção'!$P:$P,C124,'[2]Controle de Produção'!$L:$L,D124,'[2]Controle de Produção'!$B:$B,"&gt;=" &amp; G124)</f>
        <v>2</v>
      </c>
      <c r="Y124" s="27">
        <f t="shared" si="29"/>
        <v>0</v>
      </c>
      <c r="Z124" s="27">
        <f>IFERROR(COUNTIFS('[2]Controle de Produção'!$L:$L,D124,'[2]Controle de Produção'!$P:$P,C124,'[2]Controle de Produção'!$B:$B,"&gt;=" &amp; G124,'[2]Controle de Produção'!$C:$C,"&lt;=" &amp; N124, '[2]Controle de Produção'!$G:$G,B124), "")</f>
        <v>0</v>
      </c>
      <c r="AA124" s="108" t="str">
        <f t="shared" si="30"/>
        <v/>
      </c>
      <c r="AB124" s="41" t="str" cm="1">
        <f t="array" ref="AB124">_xlfn.IFS((H124*0.95)&lt;=V124,"Concluído",AND(V124 =0, J124&lt;&gt;""),"Programado",AND(V124=0,D124=""),"Desenvolv.",V124=0,"Não Iniciado",AND(V124&gt;0,V124&lt;H124,AO124=TRUE),"Em Produção",AND(V124&gt;0,V124&lt;H124,AO124=FALSE),"Produção Parcial")</f>
        <v>Não Iniciado</v>
      </c>
      <c r="AC124" s="42" t="b">
        <v>1</v>
      </c>
      <c r="AD124" s="42" t="b">
        <v>1</v>
      </c>
      <c r="AE124" s="42" t="s">
        <v>38</v>
      </c>
      <c r="AF124" s="42" t="b">
        <v>1</v>
      </c>
      <c r="AG124" s="42" t="b">
        <v>0</v>
      </c>
      <c r="AH124" s="42" t="s">
        <v>38</v>
      </c>
      <c r="AI124" s="42" t="s">
        <v>38</v>
      </c>
      <c r="AJ124" s="42" t="s">
        <v>38</v>
      </c>
      <c r="AK124" s="42" t="b">
        <v>0</v>
      </c>
      <c r="AL124" s="42" t="b">
        <v>1</v>
      </c>
      <c r="AM124" s="42" t="b">
        <v>1</v>
      </c>
      <c r="AN124" s="42" t="b">
        <v>0</v>
      </c>
      <c r="AO124" s="45" t="b" cm="1">
        <f t="array" ref="AO124">AND(COUNTIF(AC124:AN124,FALSE)=0,SUMPRODUCT(ISNUMBER(AC124:AN124)*1)=0)</f>
        <v>0</v>
      </c>
      <c r="AP124" s="59"/>
      <c r="AQ124" s="111">
        <f>IF(AB124="",99999999999,IFERROR(MATCH(AB124,{"Produção Parcial","Em Produção","Programado","Não Iniciado","Desenvolv.","Concluído"},0),7)*100000000+IF(ISNUMBER(J124),J124-46000,9999)*10000+IF(A124="",99,A124)*100+IF(C124="",99,CODE(LEFT(C124,1))))</f>
        <v>499990083</v>
      </c>
    </row>
    <row r="125" spans="1:45" s="36" customFormat="1" ht="25.15" hidden="1" customHeight="1" x14ac:dyDescent="0.25">
      <c r="A125" s="36">
        <v>0</v>
      </c>
      <c r="B125" s="38" t="s">
        <v>49</v>
      </c>
      <c r="C125" s="70" t="str">
        <f>INDEX([1]Produtos!$G:$G,MATCH($D125,[1]Produtos!$B:$B,0))</f>
        <v>SAFIRA</v>
      </c>
      <c r="D125" s="24" t="s">
        <v>55</v>
      </c>
      <c r="E125" s="70" t="str">
        <f>INDEX([1]Produtos!$C:$C,MATCH($D125,[1]Produtos!$B:$B,0))&amp;IF($F125&lt;&gt;"-"," - "&amp;LEFT($F125,1),"")&amp;" &gt; "&amp;$B125</f>
        <v>SABONETE DEMAQUILANTE PITAYA &gt; SAFIRA 674</v>
      </c>
      <c r="F125" s="51" t="s">
        <v>38</v>
      </c>
      <c r="G125" s="38">
        <v>45953</v>
      </c>
      <c r="H125" s="39">
        <v>4142</v>
      </c>
      <c r="I125" s="24" t="s">
        <v>42</v>
      </c>
      <c r="J125" s="68" t="str" cm="1">
        <f t="array" ref="J125">IFERROR(INDEX('[2]Previsão Envase'!$D$5:$D$4867, MATCH(1,('[2]Previsão Envase'!$F$5:$F$4867=$E125)+('[2]Previsão Envase'!$G$5:$G$4867=$E125)+('[2]Previsão Envase'!$H$5:$H$4867=$E125),0)),"")</f>
        <v/>
      </c>
      <c r="K125" s="68" t="str">
        <f>IF(COUNTIF('[2]Previsão Envase'!$F:$F,E125)&gt;0,"Linha 1",
IF(COUNTIF('[2]Previsão Envase'!$G:$G,E125)&gt;0,"Linha 2",
IF(COUNTIF('[2]Previsão Envase'!$H:$H,E125)&gt;0,"Linha 3","")))</f>
        <v/>
      </c>
      <c r="L125" s="96">
        <f>COUNTIF('[2]Previsão Envase'!$F:$H,E125)-COUNTIF('[2]Previsão Envase'!$F$1:$H$4,E125)</f>
        <v>0</v>
      </c>
      <c r="M125" s="35">
        <f t="shared" si="25"/>
        <v>0</v>
      </c>
      <c r="N125" s="68" t="str">
        <f>IFERROR(MAX(_xlfn.MAXIFS('[2]Controle de Produção'!$C:$C,'[2]Controle de Produção'!$L:$L,$D125,'[2]Controle de Produção'!$P:$P,$C125,'[2]Controle de Produção'!$G:$G,$B125),_xlfn.MAXIFS([3]EXPEDIÇÃO!$N:$N,[3]EXPEDIÇÃO!$E:$E,$D125,[3]EXPEDIÇÃO!$D:$D,$C125,[3]EXPEDIÇÃO!$N:$N,"&gt;="&amp;$G125)),"")</f>
        <v/>
      </c>
      <c r="O125" s="70">
        <f>INDEX([1]Produtos!$E:$E,MATCH($D125,[1]Produtos!$B:$B,0))</f>
        <v>100</v>
      </c>
      <c r="P125" s="70" t="str">
        <f>INDEX([1]Produtos!$F:$F,MATCH($D125,[1]Produtos!$B:$B,0))</f>
        <v>ml</v>
      </c>
      <c r="Q125" s="105">
        <f>INDEX([1]Produtos!$Y:$Y,MATCH($D125,[1]Produtos!$B:$B,0))</f>
        <v>0</v>
      </c>
      <c r="R125" s="35">
        <f t="shared" si="26"/>
        <v>6588.4449153457572</v>
      </c>
      <c r="S125" s="27">
        <f>IFERROR(INDEX([1]Produtos!$L:$L,MATCH(D125,[1]Produtos!$B:$B,0)), "")</f>
        <v>732.04943503841741</v>
      </c>
      <c r="T125" s="28">
        <f t="shared" si="27"/>
        <v>5.6999999999999993</v>
      </c>
      <c r="U125" s="28" t="str">
        <f t="shared" si="28"/>
        <v>0D e 6h</v>
      </c>
      <c r="V125" s="27">
        <f>IFERROR(SUMIFS('[2]Controle de Produção'!$K:$K,'[2]Controle de Produção'!$L:$L,D125,'[2]Controle de Produção'!$P:$P,C125,'[2]Controle de Produção'!$B:$B,"&gt;=" &amp; G125,'[2]Controle de Produção'!$C:$C,"&lt;=" &amp; N125, '[2]Controle de Produção'!$G:$G,B125), "")</f>
        <v>0</v>
      </c>
      <c r="W125" s="27" t="str">
        <f>IFERROR(SUMIFS([3]EXPEDIÇÃO!$K:$K,[3]EXPEDIÇÃO!$E:$E,D125,[3]EXPEDIÇÃO!$D:$D,C125,[3]EXPEDIÇÃO!$N:$N,"&gt;=" &amp; G125,[3]EXPEDIÇÃO!$N:$N,"&lt;="&amp;N125), "")</f>
        <v/>
      </c>
      <c r="X125" s="27">
        <f>COUNTIFS('[2]Controle de Produção'!$P:$P,C125,'[2]Controle de Produção'!$L:$L,D125,'[2]Controle de Produção'!$B:$B,"&gt;=" &amp; G125)</f>
        <v>2</v>
      </c>
      <c r="Y125" s="27">
        <f t="shared" si="29"/>
        <v>0</v>
      </c>
      <c r="Z125" s="27">
        <f>IFERROR(COUNTIFS('[2]Controle de Produção'!$L:$L,D125,'[2]Controle de Produção'!$P:$P,C125,'[2]Controle de Produção'!$B:$B,"&gt;=" &amp; G125,'[2]Controle de Produção'!$C:$C,"&lt;=" &amp; N125, '[2]Controle de Produção'!$G:$G,B125), "")</f>
        <v>0</v>
      </c>
      <c r="AA125" s="108" t="str">
        <f t="shared" si="30"/>
        <v/>
      </c>
      <c r="AB125" s="41" t="str" cm="1">
        <f t="array" ref="AB125">_xlfn.IFS((H125*0.95)&lt;=V125,"Concluído",AND(V125 =0, J125&lt;&gt;""),"Programado",AND(V125=0,D125=""),"Desenvolv.",V125=0,"Não Iniciado",AND(V125&gt;0,V125&lt;H125,AO125=TRUE),"Em Produção",AND(V125&gt;0,V125&lt;H125,AO125=FALSE),"Produção Parcial")</f>
        <v>Não Iniciado</v>
      </c>
      <c r="AC125" s="42" t="b">
        <v>1</v>
      </c>
      <c r="AD125" s="42" t="b">
        <v>1</v>
      </c>
      <c r="AE125" s="42" t="s">
        <v>38</v>
      </c>
      <c r="AF125" s="42" t="b">
        <v>1</v>
      </c>
      <c r="AG125" s="42" t="b">
        <v>1</v>
      </c>
      <c r="AH125" s="42" t="s">
        <v>38</v>
      </c>
      <c r="AI125" s="42" t="s">
        <v>38</v>
      </c>
      <c r="AJ125" s="42" t="s">
        <v>38</v>
      </c>
      <c r="AK125" s="42" t="b">
        <v>0</v>
      </c>
      <c r="AL125" s="42" t="b">
        <v>1</v>
      </c>
      <c r="AM125" s="42" t="b">
        <v>1</v>
      </c>
      <c r="AN125" s="42" t="b">
        <v>0</v>
      </c>
      <c r="AO125" s="45" t="b" cm="1">
        <f t="array" ref="AO125">AND(COUNTIF(AC125:AN125,FALSE)=0,SUMPRODUCT(ISNUMBER(AC125:AN125)*1)=0)</f>
        <v>0</v>
      </c>
      <c r="AP125" s="59"/>
      <c r="AQ125" s="111">
        <f>IF(AB125="",99999999999,IFERROR(MATCH(AB125,{"Produção Parcial","Em Produção","Programado","Não Iniciado","Desenvolv.","Concluído"},0),7)*100000000+IF(ISNUMBER(J125),J125-46000,9999)*10000+IF(A125="",99,A125)*100+IF(C125="",99,CODE(LEFT(C125,1))))</f>
        <v>499990083</v>
      </c>
    </row>
    <row r="126" spans="1:45" s="36" customFormat="1" ht="25.15" hidden="1" customHeight="1" x14ac:dyDescent="0.25">
      <c r="A126" s="36">
        <v>0</v>
      </c>
      <c r="B126" s="38" t="s">
        <v>49</v>
      </c>
      <c r="C126" s="70" t="str">
        <f>INDEX([1]Produtos!$G:$G,MATCH($D126,[1]Produtos!$B:$B,0))</f>
        <v>SAFIRA</v>
      </c>
      <c r="D126" s="24" t="s">
        <v>54</v>
      </c>
      <c r="E126" s="70" t="str">
        <f>INDEX([1]Produtos!$C:$C,MATCH($D126,[1]Produtos!$B:$B,0))&amp;IF($F126&lt;&gt;"-"," - "&amp;LEFT($F126,1),"")&amp;" &gt; "&amp;$B126</f>
        <v>SABONETE DEMAQUILANTE VITAMINA C &gt; SAFIRA 674</v>
      </c>
      <c r="F126" s="51" t="s">
        <v>38</v>
      </c>
      <c r="G126" s="38">
        <v>45953</v>
      </c>
      <c r="H126" s="39">
        <v>3289</v>
      </c>
      <c r="I126" s="24" t="s">
        <v>42</v>
      </c>
      <c r="J126" s="68" t="str" cm="1">
        <f t="array" ref="J126">IFERROR(INDEX('[2]Previsão Envase'!$D$5:$D$4867, MATCH(1,('[2]Previsão Envase'!$F$5:$F$4867=$E126)+('[2]Previsão Envase'!$G$5:$G$4867=$E126)+('[2]Previsão Envase'!$H$5:$H$4867=$E126),0)),"")</f>
        <v/>
      </c>
      <c r="K126" s="68" t="str">
        <f>IF(COUNTIF('[2]Previsão Envase'!$F:$F,E126)&gt;0,"Linha 1",
IF(COUNTIF('[2]Previsão Envase'!$G:$G,E126)&gt;0,"Linha 2",
IF(COUNTIF('[2]Previsão Envase'!$H:$H,E126)&gt;0,"Linha 3","")))</f>
        <v/>
      </c>
      <c r="L126" s="96">
        <f>COUNTIF('[2]Previsão Envase'!$F:$H,E126)-COUNTIF('[2]Previsão Envase'!$F$1:$H$4,E126)</f>
        <v>0</v>
      </c>
      <c r="M126" s="35">
        <f t="shared" si="25"/>
        <v>0</v>
      </c>
      <c r="N126" s="68" t="str">
        <f>IFERROR(MAX(_xlfn.MAXIFS('[2]Controle de Produção'!$C:$C,'[2]Controle de Produção'!$L:$L,$D126,'[2]Controle de Produção'!$P:$P,$C126,'[2]Controle de Produção'!$G:$G,$B126),_xlfn.MAXIFS([3]EXPEDIÇÃO!$N:$N,[3]EXPEDIÇÃO!$E:$E,$D126,[3]EXPEDIÇÃO!$D:$D,$C126,[3]EXPEDIÇÃO!$N:$N,"&gt;="&amp;$G126)),"")</f>
        <v/>
      </c>
      <c r="O126" s="70">
        <f>INDEX([1]Produtos!$E:$E,MATCH($D126,[1]Produtos!$B:$B,0))</f>
        <v>100</v>
      </c>
      <c r="P126" s="70" t="str">
        <f>INDEX([1]Produtos!$F:$F,MATCH($D126,[1]Produtos!$B:$B,0))</f>
        <v>ml</v>
      </c>
      <c r="Q126" s="105">
        <f>INDEX([1]Produtos!$Y:$Y,MATCH($D126,[1]Produtos!$B:$B,0))</f>
        <v>0</v>
      </c>
      <c r="R126" s="35">
        <f t="shared" si="26"/>
        <v>6588.4449153457572</v>
      </c>
      <c r="S126" s="27">
        <f>IFERROR(INDEX([1]Produtos!$L:$L,MATCH(D126,[1]Produtos!$B:$B,0)), "")</f>
        <v>732.04943503841741</v>
      </c>
      <c r="T126" s="28">
        <f t="shared" si="27"/>
        <v>4.5</v>
      </c>
      <c r="U126" s="28" t="str">
        <f t="shared" si="28"/>
        <v>0D e 5h</v>
      </c>
      <c r="V126" s="27">
        <f>IFERROR(SUMIFS('[2]Controle de Produção'!$K:$K,'[2]Controle de Produção'!$L:$L,D126,'[2]Controle de Produção'!$P:$P,C126,'[2]Controle de Produção'!$B:$B,"&gt;=" &amp; G126,'[2]Controle de Produção'!$C:$C,"&lt;=" &amp; N126, '[2]Controle de Produção'!$G:$G,B126), "")</f>
        <v>0</v>
      </c>
      <c r="W126" s="27" t="str">
        <f>IFERROR(SUMIFS([3]EXPEDIÇÃO!$K:$K,[3]EXPEDIÇÃO!$E:$E,D126,[3]EXPEDIÇÃO!$D:$D,C126,[3]EXPEDIÇÃO!$N:$N,"&gt;=" &amp; G126,[3]EXPEDIÇÃO!$N:$N,"&lt;="&amp;N126), "")</f>
        <v/>
      </c>
      <c r="X126" s="27">
        <f>COUNTIFS('[2]Controle de Produção'!$P:$P,C126,'[2]Controle de Produção'!$L:$L,D126,'[2]Controle de Produção'!$B:$B,"&gt;=" &amp; G126)</f>
        <v>2</v>
      </c>
      <c r="Y126" s="27">
        <f t="shared" si="29"/>
        <v>0</v>
      </c>
      <c r="Z126" s="27">
        <f>IFERROR(COUNTIFS('[2]Controle de Produção'!$L:$L,D126,'[2]Controle de Produção'!$P:$P,C126,'[2]Controle de Produção'!$B:$B,"&gt;=" &amp; G126,'[2]Controle de Produção'!$C:$C,"&lt;=" &amp; N126, '[2]Controle de Produção'!$G:$G,B126), "")</f>
        <v>0</v>
      </c>
      <c r="AA126" s="108" t="str">
        <f t="shared" si="30"/>
        <v/>
      </c>
      <c r="AB126" s="41" t="str" cm="1">
        <f t="array" ref="AB126">_xlfn.IFS((H126*0.95)&lt;=V126,"Concluído",AND(V126 =0, J126&lt;&gt;""),"Programado",AND(V126=0,D126=""),"Desenvolv.",V126=0,"Não Iniciado",AND(V126&gt;0,V126&lt;H126,AO126=TRUE),"Em Produção",AND(V126&gt;0,V126&lt;H126,AO126=FALSE),"Produção Parcial")</f>
        <v>Não Iniciado</v>
      </c>
      <c r="AC126" s="42" t="b">
        <v>1</v>
      </c>
      <c r="AD126" s="42" t="b">
        <v>1</v>
      </c>
      <c r="AE126" s="42" t="s">
        <v>38</v>
      </c>
      <c r="AF126" s="42" t="b">
        <v>1</v>
      </c>
      <c r="AG126" s="42" t="b">
        <v>0</v>
      </c>
      <c r="AH126" s="42" t="s">
        <v>38</v>
      </c>
      <c r="AI126" s="42" t="s">
        <v>38</v>
      </c>
      <c r="AJ126" s="42" t="s">
        <v>38</v>
      </c>
      <c r="AK126" s="42" t="b">
        <v>0</v>
      </c>
      <c r="AL126" s="42" t="b">
        <v>1</v>
      </c>
      <c r="AM126" s="42" t="b">
        <v>1</v>
      </c>
      <c r="AN126" s="42" t="b">
        <v>0</v>
      </c>
      <c r="AO126" s="45" t="b" cm="1">
        <f t="array" ref="AO126">AND(COUNTIF(AC126:AN126,FALSE)=0,SUMPRODUCT(ISNUMBER(AC126:AN126)*1)=0)</f>
        <v>0</v>
      </c>
      <c r="AP126" s="59"/>
      <c r="AQ126" s="111">
        <f>IF(AB126="",99999999999,IFERROR(MATCH(AB126,{"Produção Parcial","Em Produção","Programado","Não Iniciado","Desenvolv.","Concluído"},0),7)*100000000+IF(ISNUMBER(J126),J126-46000,9999)*10000+IF(A126="",99,A126)*100+IF(C126="",99,CODE(LEFT(C126,1))))</f>
        <v>499990083</v>
      </c>
    </row>
    <row r="127" spans="1:45" s="36" customFormat="1" ht="25.15" hidden="1" customHeight="1" x14ac:dyDescent="0.25">
      <c r="A127" s="36">
        <v>0</v>
      </c>
      <c r="B127" s="38" t="s">
        <v>49</v>
      </c>
      <c r="C127" s="70" t="str">
        <f>INDEX([1]Produtos!$G:$G,MATCH($D127,[1]Produtos!$B:$B,0))</f>
        <v>SAFIRA</v>
      </c>
      <c r="D127" s="24" t="s">
        <v>51</v>
      </c>
      <c r="E127" s="70" t="str">
        <f>INDEX([1]Produtos!$C:$C,MATCH($D127,[1]Produtos!$B:$B,0))&amp;IF($F127&lt;&gt;"-"," - "&amp;LEFT($F127,1),"")&amp;" &gt; "&amp;$B127</f>
        <v>GEL FACIAL ANTI OLEOSIDADE PITAYA &gt; SAFIRA 674</v>
      </c>
      <c r="F127" s="51" t="s">
        <v>38</v>
      </c>
      <c r="G127" s="38">
        <v>45953</v>
      </c>
      <c r="H127" s="39">
        <v>3314</v>
      </c>
      <c r="I127" s="24" t="s">
        <v>42</v>
      </c>
      <c r="J127" s="68" t="str" cm="1">
        <f t="array" ref="J127">IFERROR(INDEX('[2]Previsão Envase'!$D$5:$D$4867, MATCH(1,('[2]Previsão Envase'!$F$5:$F$4867=$E127)+('[2]Previsão Envase'!$G$5:$G$4867=$E127)+('[2]Previsão Envase'!$H$5:$H$4867=$E127),0)),"")</f>
        <v/>
      </c>
      <c r="K127" s="68" t="str">
        <f>IF(COUNTIF('[2]Previsão Envase'!$F:$F,E127)&gt;0,"Linha 1",
IF(COUNTIF('[2]Previsão Envase'!$G:$G,E127)&gt;0,"Linha 2",
IF(COUNTIF('[2]Previsão Envase'!$H:$H,E127)&gt;0,"Linha 3","")))</f>
        <v/>
      </c>
      <c r="L127" s="96">
        <f>COUNTIF('[2]Previsão Envase'!$F:$H,E127)-COUNTIF('[2]Previsão Envase'!$F$1:$H$4,E127)</f>
        <v>0</v>
      </c>
      <c r="M127" s="35">
        <f t="shared" si="25"/>
        <v>0</v>
      </c>
      <c r="N127" s="68" t="str">
        <f>IFERROR(MAX(_xlfn.MAXIFS('[2]Controle de Produção'!$C:$C,'[2]Controle de Produção'!$L:$L,$D127,'[2]Controle de Produção'!$P:$P,$C127,'[2]Controle de Produção'!$G:$G,$B127),_xlfn.MAXIFS([3]EXPEDIÇÃO!$N:$N,[3]EXPEDIÇÃO!$E:$E,$D127,[3]EXPEDIÇÃO!$D:$D,$C127,[3]EXPEDIÇÃO!$N:$N,"&gt;="&amp;$G127)),"")</f>
        <v/>
      </c>
      <c r="O127" s="70">
        <f>INDEX([1]Produtos!$E:$E,MATCH($D127,[1]Produtos!$B:$B,0))</f>
        <v>100</v>
      </c>
      <c r="P127" s="70" t="str">
        <f>INDEX([1]Produtos!$F:$F,MATCH($D127,[1]Produtos!$B:$B,0))</f>
        <v>ml</v>
      </c>
      <c r="Q127" s="105">
        <f>INDEX([1]Produtos!$Y:$Y,MATCH($D127,[1]Produtos!$B:$B,0))</f>
        <v>0</v>
      </c>
      <c r="R127" s="35">
        <f t="shared" si="26"/>
        <v>4672.1934435811372</v>
      </c>
      <c r="S127" s="27">
        <f>IFERROR(INDEX([1]Produtos!$L:$L,MATCH(D127,[1]Produtos!$B:$B,0)), "")</f>
        <v>519.13260484234854</v>
      </c>
      <c r="T127" s="28">
        <f t="shared" si="27"/>
        <v>6.3999999999999995</v>
      </c>
      <c r="U127" s="28" t="str">
        <f t="shared" si="28"/>
        <v>0D e 7h</v>
      </c>
      <c r="V127" s="27">
        <f>IFERROR(SUMIFS('[2]Controle de Produção'!$K:$K,'[2]Controle de Produção'!$L:$L,D127,'[2]Controle de Produção'!$P:$P,C127,'[2]Controle de Produção'!$B:$B,"&gt;=" &amp; G127,'[2]Controle de Produção'!$C:$C,"&lt;=" &amp; N127, '[2]Controle de Produção'!$G:$G,B127), "")</f>
        <v>0</v>
      </c>
      <c r="W127" s="27" t="str">
        <f>IFERROR(SUMIFS([3]EXPEDIÇÃO!$K:$K,[3]EXPEDIÇÃO!$E:$E,D127,[3]EXPEDIÇÃO!$D:$D,C127,[3]EXPEDIÇÃO!$N:$N,"&gt;=" &amp; G127,[3]EXPEDIÇÃO!$N:$N,"&lt;="&amp;N127), "")</f>
        <v/>
      </c>
      <c r="X127" s="27">
        <f>COUNTIFS('[2]Controle de Produção'!$P:$P,C127,'[2]Controle de Produção'!$L:$L,D127,'[2]Controle de Produção'!$B:$B,"&gt;=" &amp; G127)</f>
        <v>1</v>
      </c>
      <c r="Y127" s="27">
        <f t="shared" si="29"/>
        <v>0</v>
      </c>
      <c r="Z127" s="27">
        <f>IFERROR(COUNTIFS('[2]Controle de Produção'!$L:$L,D127,'[2]Controle de Produção'!$P:$P,C127,'[2]Controle de Produção'!$B:$B,"&gt;=" &amp; G127,'[2]Controle de Produção'!$C:$C,"&lt;=" &amp; N127, '[2]Controle de Produção'!$G:$G,B127), "")</f>
        <v>0</v>
      </c>
      <c r="AA127" s="108" t="str">
        <f t="shared" si="30"/>
        <v/>
      </c>
      <c r="AB127" s="41" t="str" cm="1">
        <f t="array" ref="AB127">_xlfn.IFS((H127*0.95)&lt;=V127,"Concluído",AND(V127 =0, J127&lt;&gt;""),"Programado",AND(V127=0,D127=""),"Desenvolv.",V127=0,"Não Iniciado",AND(V127&gt;0,V127&lt;H127,AO127=TRUE),"Em Produção",AND(V127&gt;0,V127&lt;H127,AO127=FALSE),"Produção Parcial")</f>
        <v>Não Iniciado</v>
      </c>
      <c r="AC127" s="42" t="b">
        <v>1</v>
      </c>
      <c r="AD127" s="42" t="b">
        <v>1</v>
      </c>
      <c r="AE127" s="42" t="s">
        <v>38</v>
      </c>
      <c r="AF127" s="42" t="b">
        <v>1</v>
      </c>
      <c r="AG127" s="42" t="b">
        <v>1</v>
      </c>
      <c r="AH127" s="42" t="s">
        <v>38</v>
      </c>
      <c r="AI127" s="42" t="s">
        <v>38</v>
      </c>
      <c r="AJ127" s="42" t="s">
        <v>38</v>
      </c>
      <c r="AK127" s="42" t="b">
        <v>0</v>
      </c>
      <c r="AL127" s="42" t="b">
        <v>1</v>
      </c>
      <c r="AM127" s="42" t="b">
        <v>1</v>
      </c>
      <c r="AN127" s="42" t="b">
        <v>0</v>
      </c>
      <c r="AO127" s="45" t="b" cm="1">
        <f t="array" ref="AO127">AND(COUNTIF(AC127:AN127,FALSE)=0,SUMPRODUCT(ISNUMBER(AC127:AN127)*1)=0)</f>
        <v>0</v>
      </c>
      <c r="AP127" s="59"/>
      <c r="AQ127" s="111">
        <f>IF(AB127="",99999999999,IFERROR(MATCH(AB127,{"Produção Parcial","Em Produção","Programado","Não Iniciado","Desenvolv.","Concluído"},0),7)*100000000+IF(ISNUMBER(J127),J127-46000,9999)*10000+IF(A127="",99,A127)*100+IF(C127="",99,CODE(LEFT(C127,1))))</f>
        <v>499990083</v>
      </c>
    </row>
    <row r="128" spans="1:45" s="36" customFormat="1" ht="25.15" hidden="1" customHeight="1" x14ac:dyDescent="0.25">
      <c r="A128" s="36">
        <v>0</v>
      </c>
      <c r="B128" s="38" t="s">
        <v>49</v>
      </c>
      <c r="C128" s="70" t="str">
        <f>INDEX([1]Produtos!$G:$G,MATCH($D128,[1]Produtos!$B:$B,0))</f>
        <v>SAFIRA</v>
      </c>
      <c r="D128" s="24" t="s">
        <v>50</v>
      </c>
      <c r="E128" s="70" t="str">
        <f>INDEX([1]Produtos!$C:$C,MATCH($D128,[1]Produtos!$B:$B,0))&amp;IF($F128&lt;&gt;"-"," - "&amp;LEFT($F128,1),"")&amp;" &gt; "&amp;$B128</f>
        <v>GEL FACIAL ANTI OLEOSIDADE VITAMINA C &gt; SAFIRA 674</v>
      </c>
      <c r="F128" s="51" t="s">
        <v>38</v>
      </c>
      <c r="G128" s="38">
        <v>45953</v>
      </c>
      <c r="H128" s="39">
        <v>3000</v>
      </c>
      <c r="I128" s="24" t="s">
        <v>42</v>
      </c>
      <c r="J128" s="68" t="str" cm="1">
        <f t="array" ref="J128">IFERROR(INDEX('[2]Previsão Envase'!$D$5:$D$4867, MATCH(1,('[2]Previsão Envase'!$F$5:$F$4867=$E128)+('[2]Previsão Envase'!$G$5:$G$4867=$E128)+('[2]Previsão Envase'!$H$5:$H$4867=$E128),0)),"")</f>
        <v/>
      </c>
      <c r="K128" s="68" t="str">
        <f>IF(COUNTIF('[2]Previsão Envase'!$F:$F,E128)&gt;0,"Linha 1",
IF(COUNTIF('[2]Previsão Envase'!$G:$G,E128)&gt;0,"Linha 2",
IF(COUNTIF('[2]Previsão Envase'!$H:$H,E128)&gt;0,"Linha 3","")))</f>
        <v/>
      </c>
      <c r="L128" s="96">
        <f>COUNTIF('[2]Previsão Envase'!$F:$H,E128)-COUNTIF('[2]Previsão Envase'!$F$1:$H$4,E128)</f>
        <v>0</v>
      </c>
      <c r="M128" s="35">
        <f t="shared" si="25"/>
        <v>0</v>
      </c>
      <c r="N128" s="68" t="str">
        <f>IFERROR(MAX(_xlfn.MAXIFS('[2]Controle de Produção'!$C:$C,'[2]Controle de Produção'!$L:$L,$D128,'[2]Controle de Produção'!$P:$P,$C128,'[2]Controle de Produção'!$G:$G,$B128),_xlfn.MAXIFS([3]EXPEDIÇÃO!$N:$N,[3]EXPEDIÇÃO!$E:$E,$D128,[3]EXPEDIÇÃO!$D:$D,$C128,[3]EXPEDIÇÃO!$N:$N,"&gt;="&amp;$G128)),"")</f>
        <v/>
      </c>
      <c r="O128" s="70">
        <f>INDEX([1]Produtos!$E:$E,MATCH($D128,[1]Produtos!$B:$B,0))</f>
        <v>100</v>
      </c>
      <c r="P128" s="70" t="str">
        <f>INDEX([1]Produtos!$F:$F,MATCH($D128,[1]Produtos!$B:$B,0))</f>
        <v>ml</v>
      </c>
      <c r="Q128" s="105">
        <f>INDEX([1]Produtos!$Y:$Y,MATCH($D128,[1]Produtos!$B:$B,0))</f>
        <v>0</v>
      </c>
      <c r="R128" s="35">
        <f t="shared" si="26"/>
        <v>4672.1934435811372</v>
      </c>
      <c r="S128" s="27">
        <f>IFERROR(INDEX([1]Produtos!$L:$L,MATCH(D128,[1]Produtos!$B:$B,0)), "")</f>
        <v>519.13260484234854</v>
      </c>
      <c r="T128" s="28">
        <f t="shared" si="27"/>
        <v>5.8</v>
      </c>
      <c r="U128" s="28" t="str">
        <f t="shared" si="28"/>
        <v>0D e 6h</v>
      </c>
      <c r="V128" s="27">
        <f>IFERROR(SUMIFS('[2]Controle de Produção'!$K:$K,'[2]Controle de Produção'!$L:$L,D128,'[2]Controle de Produção'!$P:$P,C128,'[2]Controle de Produção'!$B:$B,"&gt;=" &amp; G128,'[2]Controle de Produção'!$C:$C,"&lt;=" &amp; N128, '[2]Controle de Produção'!$G:$G,B128), "")</f>
        <v>0</v>
      </c>
      <c r="W128" s="27" t="str">
        <f>IFERROR(SUMIFS([3]EXPEDIÇÃO!$K:$K,[3]EXPEDIÇÃO!$E:$E,D128,[3]EXPEDIÇÃO!$D:$D,C128,[3]EXPEDIÇÃO!$N:$N,"&gt;=" &amp; G128,[3]EXPEDIÇÃO!$N:$N,"&lt;="&amp;N128), "")</f>
        <v/>
      </c>
      <c r="X128" s="27">
        <f>COUNTIFS('[2]Controle de Produção'!$P:$P,C128,'[2]Controle de Produção'!$L:$L,D128,'[2]Controle de Produção'!$B:$B,"&gt;=" &amp; G128)</f>
        <v>1</v>
      </c>
      <c r="Y128" s="27">
        <f t="shared" si="29"/>
        <v>0</v>
      </c>
      <c r="Z128" s="27">
        <f>IFERROR(COUNTIFS('[2]Controle de Produção'!$L:$L,D128,'[2]Controle de Produção'!$P:$P,C128,'[2]Controle de Produção'!$B:$B,"&gt;=" &amp; G128,'[2]Controle de Produção'!$C:$C,"&lt;=" &amp; N128, '[2]Controle de Produção'!$G:$G,B128), "")</f>
        <v>0</v>
      </c>
      <c r="AA128" s="108" t="str">
        <f t="shared" si="30"/>
        <v/>
      </c>
      <c r="AB128" s="41" t="str" cm="1">
        <f t="array" ref="AB128">_xlfn.IFS((H128*0.95)&lt;=V128,"Concluído",AND(V128 =0, J128&lt;&gt;""),"Programado",AND(V128=0,D128=""),"Desenvolv.",V128=0,"Não Iniciado",AND(V128&gt;0,V128&lt;H128,AO128=TRUE),"Em Produção",AND(V128&gt;0,V128&lt;H128,AO128=FALSE),"Produção Parcial")</f>
        <v>Não Iniciado</v>
      </c>
      <c r="AC128" s="42" t="b">
        <v>1</v>
      </c>
      <c r="AD128" s="42" t="b">
        <v>1</v>
      </c>
      <c r="AE128" s="42" t="s">
        <v>38</v>
      </c>
      <c r="AF128" s="42" t="b">
        <v>1</v>
      </c>
      <c r="AG128" s="42" t="b">
        <v>1</v>
      </c>
      <c r="AH128" s="42" t="s">
        <v>38</v>
      </c>
      <c r="AI128" s="42" t="s">
        <v>38</v>
      </c>
      <c r="AJ128" s="42" t="s">
        <v>38</v>
      </c>
      <c r="AK128" s="42" t="b">
        <v>0</v>
      </c>
      <c r="AL128" s="42" t="b">
        <v>1</v>
      </c>
      <c r="AM128" s="42" t="b">
        <v>1</v>
      </c>
      <c r="AN128" s="42" t="b">
        <v>0</v>
      </c>
      <c r="AO128" s="45" t="b" cm="1">
        <f t="array" ref="AO128">AND(COUNTIF(AC128:AN128,FALSE)=0,SUMPRODUCT(ISNUMBER(AC128:AN128)*1)=0)</f>
        <v>0</v>
      </c>
      <c r="AP128" s="59"/>
      <c r="AQ128" s="111">
        <f>IF(AB128="",99999999999,IFERROR(MATCH(AB128,{"Produção Parcial","Em Produção","Programado","Não Iniciado","Desenvolv.","Concluído"},0),7)*100000000+IF(ISNUMBER(J128),J128-46000,9999)*10000+IF(A128="",99,A128)*100+IF(C128="",99,CODE(LEFT(C128,1))))</f>
        <v>499990083</v>
      </c>
    </row>
    <row r="129" spans="1:45" s="36" customFormat="1" ht="25.15" hidden="1" customHeight="1" x14ac:dyDescent="0.25">
      <c r="A129" s="36">
        <v>1</v>
      </c>
      <c r="B129" s="38" t="s">
        <v>43</v>
      </c>
      <c r="C129" s="70" t="str">
        <f>INDEX([1]Produtos!$G:$G,MATCH($D129,[1]Produtos!$B:$B,0))</f>
        <v>BRIA BEAUTY</v>
      </c>
      <c r="D129" s="24" t="s">
        <v>262</v>
      </c>
      <c r="E129" s="70" t="str">
        <f>INDEX([1]Produtos!$C:$C,MATCH($D129,[1]Produtos!$B:$B,0))&amp;IF($F129&lt;&gt;"-"," - "&amp;LEFT($F129,1),"")&amp;" &gt; "&amp;$B129</f>
        <v>PERFUME CAPILAR LUNAR &gt; BRIA 01</v>
      </c>
      <c r="F129" s="51" t="s">
        <v>38</v>
      </c>
      <c r="G129" s="38">
        <v>45931</v>
      </c>
      <c r="H129" s="39">
        <v>15000</v>
      </c>
      <c r="I129" s="24" t="s">
        <v>39</v>
      </c>
      <c r="J129" s="68" t="str" cm="1">
        <f t="array" ref="J129">IFERROR(INDEX('[2]Previsão Envase'!$D$5:$D$4867, MATCH(1,('[2]Previsão Envase'!$F$5:$F$4867=$E129)+('[2]Previsão Envase'!$G$5:$G$4867=$E129)+('[2]Previsão Envase'!$H$5:$H$4867=$E129),0)),"")</f>
        <v/>
      </c>
      <c r="K129" s="68" t="str">
        <f>IF(COUNTIF('[2]Previsão Envase'!$F:$F,E129)&gt;0,"Linha 1",
IF(COUNTIF('[2]Previsão Envase'!$G:$G,E129)&gt;0,"Linha 2",
IF(COUNTIF('[2]Previsão Envase'!$H:$H,E129)&gt;0,"Linha 3","")))</f>
        <v/>
      </c>
      <c r="L129" s="96">
        <f>COUNTIF('[2]Previsão Envase'!$F:$H,E129)-COUNTIF('[2]Previsão Envase'!$F$1:$H$4,E129)</f>
        <v>0</v>
      </c>
      <c r="M129" s="35">
        <f t="shared" si="25"/>
        <v>0</v>
      </c>
      <c r="N129" s="68" t="str">
        <f>IFERROR(MAX(_xlfn.MAXIFS('[2]Controle de Produção'!$C:$C,'[2]Controle de Produção'!$L:$L,$D129,'[2]Controle de Produção'!$P:$P,$C129,'[2]Controle de Produção'!$G:$G,$B129),_xlfn.MAXIFS([3]EXPEDIÇÃO!$N:$N,[3]EXPEDIÇÃO!$E:$E,$D129,[3]EXPEDIÇÃO!$D:$D,$C129,[3]EXPEDIÇÃO!$N:$N,"&gt;="&amp;$G129)),"")</f>
        <v/>
      </c>
      <c r="O129" s="70">
        <f>INDEX([1]Produtos!$E:$E,MATCH($D129,[1]Produtos!$B:$B,0))</f>
        <v>60</v>
      </c>
      <c r="P129" s="70" t="str">
        <f>INDEX([1]Produtos!$F:$F,MATCH($D129,[1]Produtos!$B:$B,0))</f>
        <v>ml</v>
      </c>
      <c r="Q129" s="105">
        <f>INDEX([1]Produtos!$Y:$Y,MATCH($D129,[1]Produtos!$B:$B,0))</f>
        <v>1.5699999999999998</v>
      </c>
      <c r="R129" s="35">
        <f t="shared" si="26"/>
        <v>6072.2675460400496</v>
      </c>
      <c r="S129" s="27">
        <f>IFERROR(INDEX([1]Produtos!$L:$L,MATCH(D129,[1]Produtos!$B:$B,0)), "")</f>
        <v>674.69639400444999</v>
      </c>
      <c r="T129" s="28">
        <f t="shared" si="27"/>
        <v>22.3</v>
      </c>
      <c r="U129" s="28" t="str">
        <f t="shared" si="28"/>
        <v>2D e 5h</v>
      </c>
      <c r="V129" s="27">
        <f>IFERROR(SUMIFS('[2]Controle de Produção'!$K:$K,'[2]Controle de Produção'!$L:$L,D129,'[2]Controle de Produção'!$P:$P,C129,'[2]Controle de Produção'!$B:$B,"&gt;=" &amp; G129,'[2]Controle de Produção'!$C:$C,"&lt;=" &amp; N129, '[2]Controle de Produção'!$G:$G,B129), "")</f>
        <v>0</v>
      </c>
      <c r="W129" s="27" t="str">
        <f>IFERROR(SUMIFS([3]EXPEDIÇÃO!$K:$K,[3]EXPEDIÇÃO!$E:$E,D129,[3]EXPEDIÇÃO!$D:$D,C129,[3]EXPEDIÇÃO!$N:$N,"&gt;=" &amp; G129,[3]EXPEDIÇÃO!$N:$N,"&lt;="&amp;N129), "")</f>
        <v/>
      </c>
      <c r="X129" s="27">
        <f>COUNTIFS('[2]Controle de Produção'!$P:$P,C129,'[2]Controle de Produção'!$L:$L,D129,'[2]Controle de Produção'!$B:$B,"&gt;=" &amp; G129)</f>
        <v>2</v>
      </c>
      <c r="Y129" s="27">
        <f t="shared" si="29"/>
        <v>0</v>
      </c>
      <c r="Z129" s="27">
        <f>IFERROR(COUNTIFS('[2]Controle de Produção'!$L:$L,D129,'[2]Controle de Produção'!$P:$P,C129,'[2]Controle de Produção'!$B:$B,"&gt;=" &amp; G129,'[2]Controle de Produção'!$C:$C,"&lt;=" &amp; N129, '[2]Controle de Produção'!$G:$G,B129), "")</f>
        <v>0</v>
      </c>
      <c r="AA129" s="108" t="str">
        <f t="shared" si="30"/>
        <v/>
      </c>
      <c r="AB129" s="41" t="str" cm="1">
        <f t="array" ref="AB129">_xlfn.IFS((H129*0.95)&lt;=V129,"Concluído",AND(V129 =0, J129&lt;&gt;""),"Programado",AND(V129=0,D129=""),"Desenvolv.",V129=0,"Não Iniciado",AND(V129&gt;0,V129&lt;H129,AO129=TRUE),"Em Produção",AND(V129&gt;0,V129&lt;H129,AO129=FALSE),"Produção Parcial")</f>
        <v>Não Iniciado</v>
      </c>
      <c r="AC129" s="42" t="b">
        <v>1</v>
      </c>
      <c r="AD129" s="42" t="b">
        <v>1</v>
      </c>
      <c r="AE129" s="42" t="s">
        <v>38</v>
      </c>
      <c r="AF129" s="42" t="b">
        <v>1</v>
      </c>
      <c r="AG129" s="42" t="b">
        <v>0</v>
      </c>
      <c r="AH129" s="42" t="s">
        <v>38</v>
      </c>
      <c r="AI129" s="42" t="b">
        <v>1</v>
      </c>
      <c r="AJ129" s="42" t="s">
        <v>38</v>
      </c>
      <c r="AK129" s="42" t="b">
        <v>0</v>
      </c>
      <c r="AL129" s="42" t="b">
        <v>1</v>
      </c>
      <c r="AM129" s="42" t="b">
        <v>1</v>
      </c>
      <c r="AN129" s="42" t="b">
        <v>1</v>
      </c>
      <c r="AO129" s="45" t="b" cm="1">
        <f t="array" ref="AO129">AND(COUNTIF(AC129:AN129,FALSE)=0,SUMPRODUCT(ISNUMBER(AC129:AN129)*1)=0)</f>
        <v>0</v>
      </c>
      <c r="AP129" s="59"/>
      <c r="AQ129" s="111">
        <f>IF(AB129="",99999999999,IFERROR(MATCH(AB129,{"Produção Parcial","Em Produção","Programado","Não Iniciado","Desenvolv.","Concluído"},0),7)*100000000+IF(ISNUMBER(J129),J129-46000,9999)*10000+IF(A129="",99,A129)*100+IF(C129="",99,CODE(LEFT(C129,1))))</f>
        <v>499990166</v>
      </c>
    </row>
    <row r="130" spans="1:45" s="36" customFormat="1" ht="25.15" hidden="1" customHeight="1" x14ac:dyDescent="0.25">
      <c r="A130" s="36">
        <v>1</v>
      </c>
      <c r="B130" s="38" t="s">
        <v>43</v>
      </c>
      <c r="C130" s="70" t="str">
        <f>INDEX([1]Produtos!$G:$G,MATCH($D130,[1]Produtos!$B:$B,0))</f>
        <v>BRIA BEAUTY</v>
      </c>
      <c r="D130" s="24" t="s">
        <v>263</v>
      </c>
      <c r="E130" s="70" t="str">
        <f>INDEX([1]Produtos!$C:$C,MATCH($D130,[1]Produtos!$B:$B,0))&amp;IF($F130&lt;&gt;"-"," - "&amp;LEFT($F130,1),"")&amp;" &gt; "&amp;$B130</f>
        <v>PERFUME CAPILAR SOL TROPICAL 86 &gt; BRIA 01</v>
      </c>
      <c r="F130" s="51" t="s">
        <v>38</v>
      </c>
      <c r="G130" s="38">
        <v>45934</v>
      </c>
      <c r="H130" s="39">
        <v>15000</v>
      </c>
      <c r="I130" s="24" t="s">
        <v>39</v>
      </c>
      <c r="J130" s="68" t="str" cm="1">
        <f t="array" ref="J130">IFERROR(INDEX('[2]Previsão Envase'!$D$5:$D$4867, MATCH(1,('[2]Previsão Envase'!$F$5:$F$4867=$E130)+('[2]Previsão Envase'!$G$5:$G$4867=$E130)+('[2]Previsão Envase'!$H$5:$H$4867=$E130),0)),"")</f>
        <v/>
      </c>
      <c r="K130" s="68" t="str">
        <f>IF(COUNTIF('[2]Previsão Envase'!$F:$F,E130)&gt;0,"Linha 1",
IF(COUNTIF('[2]Previsão Envase'!$G:$G,E130)&gt;0,"Linha 2",
IF(COUNTIF('[2]Previsão Envase'!$H:$H,E130)&gt;0,"Linha 3","")))</f>
        <v/>
      </c>
      <c r="L130" s="96">
        <f>COUNTIF('[2]Previsão Envase'!$F:$H,E130)-COUNTIF('[2]Previsão Envase'!$F$1:$H$4,E130)</f>
        <v>0</v>
      </c>
      <c r="M130" s="35">
        <f t="shared" si="25"/>
        <v>0</v>
      </c>
      <c r="N130" s="68" t="str">
        <f>IFERROR(MAX(_xlfn.MAXIFS('[2]Controle de Produção'!$C:$C,'[2]Controle de Produção'!$L:$L,$D130,'[2]Controle de Produção'!$P:$P,$C130,'[2]Controle de Produção'!$G:$G,$B130),_xlfn.MAXIFS([3]EXPEDIÇÃO!$N:$N,[3]EXPEDIÇÃO!$E:$E,$D130,[3]EXPEDIÇÃO!$D:$D,$C130,[3]EXPEDIÇÃO!$N:$N,"&gt;="&amp;$G130)),"")</f>
        <v/>
      </c>
      <c r="O130" s="70">
        <f>INDEX([1]Produtos!$E:$E,MATCH($D130,[1]Produtos!$B:$B,0))</f>
        <v>60</v>
      </c>
      <c r="P130" s="70" t="str">
        <f>INDEX([1]Produtos!$F:$F,MATCH($D130,[1]Produtos!$B:$B,0))</f>
        <v>ml</v>
      </c>
      <c r="Q130" s="105">
        <f>INDEX([1]Produtos!$Y:$Y,MATCH($D130,[1]Produtos!$B:$B,0))</f>
        <v>1.5699999999999998</v>
      </c>
      <c r="R130" s="35">
        <f t="shared" si="26"/>
        <v>6072.2675460400496</v>
      </c>
      <c r="S130" s="27">
        <f>IFERROR(INDEX([1]Produtos!$L:$L,MATCH(D130,[1]Produtos!$B:$B,0)), "")</f>
        <v>674.69639400444999</v>
      </c>
      <c r="T130" s="28">
        <f t="shared" si="27"/>
        <v>22.3</v>
      </c>
      <c r="U130" s="28" t="str">
        <f t="shared" si="28"/>
        <v>2D e 5h</v>
      </c>
      <c r="V130" s="27">
        <f>IFERROR(SUMIFS('[2]Controle de Produção'!$K:$K,'[2]Controle de Produção'!$L:$L,D130,'[2]Controle de Produção'!$P:$P,C130,'[2]Controle de Produção'!$B:$B,"&gt;=" &amp; G130,'[2]Controle de Produção'!$C:$C,"&lt;=" &amp; N130, '[2]Controle de Produção'!$G:$G,B130), "")</f>
        <v>0</v>
      </c>
      <c r="W130" s="27" t="str">
        <f>IFERROR(SUMIFS([3]EXPEDIÇÃO!$K:$K,[3]EXPEDIÇÃO!$E:$E,D130,[3]EXPEDIÇÃO!$D:$D,C130,[3]EXPEDIÇÃO!$N:$N,"&gt;=" &amp; G130,[3]EXPEDIÇÃO!$N:$N,"&lt;="&amp;N130), "")</f>
        <v/>
      </c>
      <c r="X130" s="27">
        <f>COUNTIFS('[2]Controle de Produção'!$P:$P,C130,'[2]Controle de Produção'!$L:$L,D130,'[2]Controle de Produção'!$B:$B,"&gt;=" &amp; G130)</f>
        <v>2</v>
      </c>
      <c r="Y130" s="27">
        <f t="shared" si="29"/>
        <v>0</v>
      </c>
      <c r="Z130" s="27">
        <f>IFERROR(COUNTIFS('[2]Controle de Produção'!$L:$L,D130,'[2]Controle de Produção'!$P:$P,C130,'[2]Controle de Produção'!$B:$B,"&gt;=" &amp; G130,'[2]Controle de Produção'!$C:$C,"&lt;=" &amp; N130, '[2]Controle de Produção'!$G:$G,B130), "")</f>
        <v>0</v>
      </c>
      <c r="AA130" s="108" t="str">
        <f t="shared" si="30"/>
        <v/>
      </c>
      <c r="AB130" s="41" t="str" cm="1">
        <f t="array" ref="AB130">_xlfn.IFS((H130*0.95)&lt;=V130,"Concluído",AND(V130 =0, J130&lt;&gt;""),"Programado",AND(V130=0,D130=""),"Desenvolv.",V130=0,"Não Iniciado",AND(V130&gt;0,V130&lt;H130,AO130=TRUE),"Em Produção",AND(V130&gt;0,V130&lt;H130,AO130=FALSE),"Produção Parcial")</f>
        <v>Não Iniciado</v>
      </c>
      <c r="AC130" s="42" t="b">
        <v>1</v>
      </c>
      <c r="AD130" s="42" t="b">
        <v>1</v>
      </c>
      <c r="AE130" s="42" t="b">
        <v>1</v>
      </c>
      <c r="AF130" s="42" t="b">
        <v>1</v>
      </c>
      <c r="AG130" s="42" t="s">
        <v>38</v>
      </c>
      <c r="AH130" s="42" t="s">
        <v>38</v>
      </c>
      <c r="AI130" s="42" t="b">
        <v>1</v>
      </c>
      <c r="AJ130" s="42" t="s">
        <v>38</v>
      </c>
      <c r="AK130" s="42" t="b">
        <v>0</v>
      </c>
      <c r="AL130" s="42" t="b">
        <v>1</v>
      </c>
      <c r="AM130" s="42" t="b">
        <v>1</v>
      </c>
      <c r="AN130" s="42" t="b">
        <v>1</v>
      </c>
      <c r="AO130" s="45" t="b" cm="1">
        <f t="array" ref="AO130">AND(COUNTIF(AC130:AN130,FALSE)=0,SUMPRODUCT(ISNUMBER(AC130:AN130)*1)=0)</f>
        <v>0</v>
      </c>
      <c r="AP130" s="59"/>
      <c r="AQ130" s="111">
        <f>IF(AB130="",99999999999,IFERROR(MATCH(AB130,{"Produção Parcial","Em Produção","Programado","Não Iniciado","Desenvolv.","Concluído"},0),7)*100000000+IF(ISNUMBER(J130),J130-46000,9999)*10000+IF(A130="",99,A130)*100+IF(C130="",99,CODE(LEFT(C130,1))))</f>
        <v>499990166</v>
      </c>
    </row>
    <row r="131" spans="1:45" s="36" customFormat="1" ht="25.15" hidden="1" customHeight="1" x14ac:dyDescent="0.25">
      <c r="A131" s="36">
        <v>1</v>
      </c>
      <c r="B131" s="38" t="s">
        <v>43</v>
      </c>
      <c r="C131" s="70" t="str">
        <f>INDEX([1]Produtos!$G:$G,MATCH($D131,[1]Produtos!$B:$B,0))</f>
        <v>BRIA BEAUTY</v>
      </c>
      <c r="D131" s="24" t="s">
        <v>150</v>
      </c>
      <c r="E131" s="70" t="str">
        <f>INDEX([1]Produtos!$C:$C,MATCH($D131,[1]Produtos!$B:$B,0))&amp;IF($F131&lt;&gt;"-"," - "&amp;LEFT($F131,1),"")&amp;" &gt; "&amp;$B131</f>
        <v>BODY SPLASH LUNAR 120ml &gt; BRIA 01</v>
      </c>
      <c r="F131" s="51" t="s">
        <v>38</v>
      </c>
      <c r="G131" s="38">
        <v>45934</v>
      </c>
      <c r="H131" s="39">
        <v>20000</v>
      </c>
      <c r="I131" s="24" t="s">
        <v>39</v>
      </c>
      <c r="J131" s="68" t="str" cm="1">
        <f t="array" ref="J131">IFERROR(INDEX('[2]Previsão Envase'!$D$5:$D$4867, MATCH(1,('[2]Previsão Envase'!$F$5:$F$4867=$E131)+('[2]Previsão Envase'!$G$5:$G$4867=$E131)+('[2]Previsão Envase'!$H$5:$H$4867=$E131),0)),"")</f>
        <v/>
      </c>
      <c r="K131" s="68" t="str">
        <f>IF(COUNTIF('[2]Previsão Envase'!$F:$F,E131)&gt;0,"Linha 1",
IF(COUNTIF('[2]Previsão Envase'!$G:$G,E131)&gt;0,"Linha 2",
IF(COUNTIF('[2]Previsão Envase'!$H:$H,E131)&gt;0,"Linha 3","")))</f>
        <v/>
      </c>
      <c r="L131" s="96">
        <f>COUNTIF('[2]Previsão Envase'!$F:$H,E131)-COUNTIF('[2]Previsão Envase'!$F$1:$H$4,E131)</f>
        <v>0</v>
      </c>
      <c r="M131" s="35">
        <f t="shared" si="25"/>
        <v>0</v>
      </c>
      <c r="N131" s="68" t="str">
        <f>IFERROR(MAX(_xlfn.MAXIFS('[2]Controle de Produção'!$C:$C,'[2]Controle de Produção'!$L:$L,$D131,'[2]Controle de Produção'!$P:$P,$C131,'[2]Controle de Produção'!$G:$G,$B131),_xlfn.MAXIFS([3]EXPEDIÇÃO!$N:$N,[3]EXPEDIÇÃO!$E:$E,$D131,[3]EXPEDIÇÃO!$D:$D,$C131,[3]EXPEDIÇÃO!$N:$N,"&gt;="&amp;$G131)),"")</f>
        <v/>
      </c>
      <c r="O131" s="70">
        <f>INDEX([1]Produtos!$E:$E,MATCH($D131,[1]Produtos!$B:$B,0))</f>
        <v>120</v>
      </c>
      <c r="P131" s="70" t="str">
        <f>INDEX([1]Produtos!$F:$F,MATCH($D131,[1]Produtos!$B:$B,0))</f>
        <v>ml</v>
      </c>
      <c r="Q131" s="105">
        <f>INDEX([1]Produtos!$Y:$Y,MATCH($D131,[1]Produtos!$B:$B,0))</f>
        <v>1.08</v>
      </c>
      <c r="R131" s="35">
        <f t="shared" si="26"/>
        <v>7592.2902086267013</v>
      </c>
      <c r="S131" s="27">
        <f>IFERROR(INDEX([1]Produtos!$L:$L,MATCH(D131,[1]Produtos!$B:$B,0)), "")</f>
        <v>843.58780095852239</v>
      </c>
      <c r="T131" s="28">
        <f t="shared" si="27"/>
        <v>23.8</v>
      </c>
      <c r="U131" s="28" t="str">
        <f t="shared" si="28"/>
        <v>2D e 7h</v>
      </c>
      <c r="V131" s="27">
        <f>IFERROR(SUMIFS('[2]Controle de Produção'!$K:$K,'[2]Controle de Produção'!$L:$L,D131,'[2]Controle de Produção'!$P:$P,C131,'[2]Controle de Produção'!$B:$B,"&gt;=" &amp; G131,'[2]Controle de Produção'!$C:$C,"&lt;=" &amp; N131, '[2]Controle de Produção'!$G:$G,B131), "")</f>
        <v>0</v>
      </c>
      <c r="W131" s="27" t="str">
        <f>IFERROR(SUMIFS([3]EXPEDIÇÃO!$K:$K,[3]EXPEDIÇÃO!$E:$E,D131,[3]EXPEDIÇÃO!$D:$D,C131,[3]EXPEDIÇÃO!$N:$N,"&gt;=" &amp; G131,[3]EXPEDIÇÃO!$N:$N,"&lt;="&amp;N131), "")</f>
        <v/>
      </c>
      <c r="X131" s="27">
        <f>COUNTIFS('[2]Controle de Produção'!$P:$P,C131,'[2]Controle de Produção'!$L:$L,D131,'[2]Controle de Produção'!$B:$B,"&gt;=" &amp; G131)</f>
        <v>9</v>
      </c>
      <c r="Y131" s="27">
        <f t="shared" si="29"/>
        <v>0</v>
      </c>
      <c r="Z131" s="27">
        <f>IFERROR(COUNTIFS('[2]Controle de Produção'!$L:$L,D131,'[2]Controle de Produção'!$P:$P,C131,'[2]Controle de Produção'!$B:$B,"&gt;=" &amp; G131,'[2]Controle de Produção'!$C:$C,"&lt;=" &amp; N131, '[2]Controle de Produção'!$G:$G,B131), "")</f>
        <v>0</v>
      </c>
      <c r="AA131" s="108" t="str">
        <f t="shared" si="30"/>
        <v/>
      </c>
      <c r="AB131" s="41" t="str" cm="1">
        <f t="array" ref="AB131">_xlfn.IFS((H131*0.95)&lt;=V131,"Concluído",AND(V131 =0, J131&lt;&gt;""),"Programado",AND(V131=0,D131=""),"Desenvolv.",V131=0,"Não Iniciado",AND(V131&gt;0,V131&lt;H131,AO131=TRUE),"Em Produção",AND(V131&gt;0,V131&lt;H131,AO131=FALSE),"Produção Parcial")</f>
        <v>Não Iniciado</v>
      </c>
      <c r="AC131" s="42" t="b">
        <v>1</v>
      </c>
      <c r="AD131" s="42" t="b">
        <v>1</v>
      </c>
      <c r="AE131" s="42" t="b">
        <v>1</v>
      </c>
      <c r="AF131" s="42" t="b">
        <v>1</v>
      </c>
      <c r="AG131" s="42" t="s">
        <v>38</v>
      </c>
      <c r="AH131" s="42" t="s">
        <v>38</v>
      </c>
      <c r="AI131" s="42" t="b">
        <v>1</v>
      </c>
      <c r="AJ131" s="42" t="s">
        <v>38</v>
      </c>
      <c r="AK131" s="42" t="b">
        <v>0</v>
      </c>
      <c r="AL131" s="42" t="b">
        <v>1</v>
      </c>
      <c r="AM131" s="42" t="b">
        <v>1</v>
      </c>
      <c r="AN131" s="42" t="b">
        <v>1</v>
      </c>
      <c r="AO131" s="45" t="b" cm="1">
        <f t="array" ref="AO131">AND(COUNTIF(AC131:AN131,FALSE)=0,SUMPRODUCT(ISNUMBER(AC131:AN131)*1)=0)</f>
        <v>0</v>
      </c>
      <c r="AP131" s="59"/>
      <c r="AQ131" s="111">
        <f>IF(AB131="",99999999999,IFERROR(MATCH(AB131,{"Produção Parcial","Em Produção","Programado","Não Iniciado","Desenvolv.","Concluído"},0),7)*100000000+IF(ISNUMBER(J131),J131-46000,9999)*10000+IF(A131="",99,A131)*100+IF(C131="",99,CODE(LEFT(C131,1))))</f>
        <v>499990166</v>
      </c>
    </row>
    <row r="132" spans="1:45" s="36" customFormat="1" ht="25.15" hidden="1" customHeight="1" x14ac:dyDescent="0.25">
      <c r="A132" s="36">
        <v>1</v>
      </c>
      <c r="B132" s="38" t="s">
        <v>43</v>
      </c>
      <c r="C132" s="70" t="str">
        <f>INDEX([1]Produtos!$G:$G,MATCH($D132,[1]Produtos!$B:$B,0))</f>
        <v>BRIA BEAUTY</v>
      </c>
      <c r="D132" s="24" t="s">
        <v>46</v>
      </c>
      <c r="E132" s="70" t="str">
        <f>INDEX([1]Produtos!$C:$C,MATCH($D132,[1]Produtos!$B:$B,0))&amp;IF($F132&lt;&gt;"-"," - "&amp;LEFT($F132,1),"")&amp;" &gt; "&amp;$B132</f>
        <v>BODY SPLASH LUNAR 200ml &gt; BRIA 01</v>
      </c>
      <c r="F132" s="51" t="s">
        <v>38</v>
      </c>
      <c r="G132" s="38">
        <v>45934</v>
      </c>
      <c r="H132" s="39">
        <v>10000</v>
      </c>
      <c r="I132" s="24" t="s">
        <v>39</v>
      </c>
      <c r="J132" s="68" t="str" cm="1">
        <f t="array" ref="J132">IFERROR(INDEX('[2]Previsão Envase'!$D$5:$D$4867, MATCH(1,('[2]Previsão Envase'!$F$5:$F$4867=$E132)+('[2]Previsão Envase'!$G$5:$G$4867=$E132)+('[2]Previsão Envase'!$H$5:$H$4867=$E132),0)),"")</f>
        <v/>
      </c>
      <c r="K132" s="68" t="str">
        <f>IF(COUNTIF('[2]Previsão Envase'!$F:$F,E132)&gt;0,"Linha 1",
IF(COUNTIF('[2]Previsão Envase'!$G:$G,E132)&gt;0,"Linha 2",
IF(COUNTIF('[2]Previsão Envase'!$H:$H,E132)&gt;0,"Linha 3","")))</f>
        <v/>
      </c>
      <c r="L132" s="96">
        <f>COUNTIF('[2]Previsão Envase'!$F:$H,E132)-COUNTIF('[2]Previsão Envase'!$F$1:$H$4,E132)</f>
        <v>0</v>
      </c>
      <c r="M132" s="35">
        <f t="shared" si="25"/>
        <v>0</v>
      </c>
      <c r="N132" s="68" t="str">
        <f>IFERROR(MAX(_xlfn.MAXIFS('[2]Controle de Produção'!$C:$C,'[2]Controle de Produção'!$L:$L,$D132,'[2]Controle de Produção'!$P:$P,$C132,'[2]Controle de Produção'!$G:$G,$B132),_xlfn.MAXIFS([3]EXPEDIÇÃO!$N:$N,[3]EXPEDIÇÃO!$E:$E,$D132,[3]EXPEDIÇÃO!$D:$D,$C132,[3]EXPEDIÇÃO!$N:$N,"&gt;="&amp;$G132)),"")</f>
        <v/>
      </c>
      <c r="O132" s="70">
        <f>INDEX([1]Produtos!$E:$E,MATCH($D132,[1]Produtos!$B:$B,0))</f>
        <v>200</v>
      </c>
      <c r="P132" s="70" t="str">
        <f>INDEX([1]Produtos!$F:$F,MATCH($D132,[1]Produtos!$B:$B,0))</f>
        <v>ml</v>
      </c>
      <c r="Q132" s="105">
        <f>INDEX([1]Produtos!$Y:$Y,MATCH($D132,[1]Produtos!$B:$B,0))</f>
        <v>1.4699999999999998</v>
      </c>
      <c r="R132" s="35">
        <f t="shared" si="26"/>
        <v>7592.2902086267013</v>
      </c>
      <c r="S132" s="27">
        <f>IFERROR(INDEX([1]Produtos!$L:$L,MATCH(D132,[1]Produtos!$B:$B,0)), "")</f>
        <v>843.58780095852239</v>
      </c>
      <c r="T132" s="28">
        <f t="shared" si="27"/>
        <v>11.9</v>
      </c>
      <c r="U132" s="28" t="str">
        <f t="shared" si="28"/>
        <v>1D e 4h</v>
      </c>
      <c r="V132" s="27">
        <f>IFERROR(SUMIFS('[2]Controle de Produção'!$K:$K,'[2]Controle de Produção'!$L:$L,D132,'[2]Controle de Produção'!$P:$P,C132,'[2]Controle de Produção'!$B:$B,"&gt;=" &amp; G132,'[2]Controle de Produção'!$C:$C,"&lt;=" &amp; N132, '[2]Controle de Produção'!$G:$G,B132), "")</f>
        <v>0</v>
      </c>
      <c r="W132" s="27" t="str">
        <f>IFERROR(SUMIFS([3]EXPEDIÇÃO!$K:$K,[3]EXPEDIÇÃO!$E:$E,D132,[3]EXPEDIÇÃO!$D:$D,C132,[3]EXPEDIÇÃO!$N:$N,"&gt;=" &amp; G132,[3]EXPEDIÇÃO!$N:$N,"&lt;="&amp;N132), "")</f>
        <v/>
      </c>
      <c r="X132" s="27">
        <f>COUNTIFS('[2]Controle de Produção'!$P:$P,C132,'[2]Controle de Produção'!$L:$L,D132,'[2]Controle de Produção'!$B:$B,"&gt;=" &amp; G132)</f>
        <v>3</v>
      </c>
      <c r="Y132" s="27">
        <f t="shared" si="29"/>
        <v>0</v>
      </c>
      <c r="Z132" s="27">
        <f>IFERROR(COUNTIFS('[2]Controle de Produção'!$L:$L,D132,'[2]Controle de Produção'!$P:$P,C132,'[2]Controle de Produção'!$B:$B,"&gt;=" &amp; G132,'[2]Controle de Produção'!$C:$C,"&lt;=" &amp; N132, '[2]Controle de Produção'!$G:$G,B132), "")</f>
        <v>0</v>
      </c>
      <c r="AA132" s="108" t="str">
        <f t="shared" si="30"/>
        <v/>
      </c>
      <c r="AB132" s="41" t="str" cm="1">
        <f t="array" ref="AB132">_xlfn.IFS((H132*0.95)&lt;=V132,"Concluído",AND(V132 =0, J132&lt;&gt;""),"Programado",AND(V132=0,D132=""),"Desenvolv.",V132=0,"Não Iniciado",AND(V132&gt;0,V132&lt;H132,AO132=TRUE),"Em Produção",AND(V132&gt;0,V132&lt;H132,AO132=FALSE),"Produção Parcial")</f>
        <v>Não Iniciado</v>
      </c>
      <c r="AC132" s="42" t="b">
        <v>1</v>
      </c>
      <c r="AD132" s="42" t="b">
        <v>1</v>
      </c>
      <c r="AE132" s="42" t="b">
        <v>1</v>
      </c>
      <c r="AF132" s="42" t="b">
        <v>1</v>
      </c>
      <c r="AG132" s="42" t="b">
        <v>1</v>
      </c>
      <c r="AH132" s="42" t="s">
        <v>38</v>
      </c>
      <c r="AI132" s="42" t="b">
        <v>1</v>
      </c>
      <c r="AJ132" s="42" t="s">
        <v>38</v>
      </c>
      <c r="AK132" s="42" t="s">
        <v>38</v>
      </c>
      <c r="AL132" s="42" t="b">
        <v>1</v>
      </c>
      <c r="AM132" s="42" t="b">
        <v>1</v>
      </c>
      <c r="AN132" s="42" t="b">
        <v>0</v>
      </c>
      <c r="AO132" s="45" t="b" cm="1">
        <f t="array" ref="AO132">AND(COUNTIF(AC132:AN132,FALSE)=0,SUMPRODUCT(ISNUMBER(AC132:AN132)*1)=0)</f>
        <v>0</v>
      </c>
      <c r="AP132" s="59"/>
      <c r="AQ132" s="111">
        <f>IF(AB132="",99999999999,IFERROR(MATCH(AB132,{"Produção Parcial","Em Produção","Programado","Não Iniciado","Desenvolv.","Concluído"},0),7)*100000000+IF(ISNUMBER(J132),J132-46000,9999)*10000+IF(A132="",99,A132)*100+IF(C132="",99,CODE(LEFT(C132,1))))</f>
        <v>499990166</v>
      </c>
    </row>
    <row r="133" spans="1:45" s="36" customFormat="1" ht="25.15" hidden="1" customHeight="1" x14ac:dyDescent="0.25">
      <c r="A133" s="36">
        <v>1</v>
      </c>
      <c r="B133" s="38" t="s">
        <v>43</v>
      </c>
      <c r="C133" s="70" t="str">
        <f>INDEX([1]Produtos!$G:$G,MATCH($D133,[1]Produtos!$B:$B,0))</f>
        <v>BRIA BEAUTY</v>
      </c>
      <c r="D133" s="24" t="s">
        <v>45</v>
      </c>
      <c r="E133" s="70" t="str">
        <f>INDEX([1]Produtos!$C:$C,MATCH($D133,[1]Produtos!$B:$B,0))&amp;IF($F133&lt;&gt;"-"," - "&amp;LEFT($F133,1),"")&amp;" &gt; "&amp;$B133</f>
        <v>BODY SPLASH SOL TROPICAL 86 200ml &gt; BRIA 01</v>
      </c>
      <c r="F133" s="51" t="s">
        <v>38</v>
      </c>
      <c r="G133" s="38">
        <v>45934</v>
      </c>
      <c r="H133" s="39">
        <v>10000</v>
      </c>
      <c r="I133" s="24" t="s">
        <v>39</v>
      </c>
      <c r="J133" s="68" t="str" cm="1">
        <f t="array" ref="J133">IFERROR(INDEX('[2]Previsão Envase'!$D$5:$D$4867, MATCH(1,('[2]Previsão Envase'!$F$5:$F$4867=$E133)+('[2]Previsão Envase'!$G$5:$G$4867=$E133)+('[2]Previsão Envase'!$H$5:$H$4867=$E133),0)),"")</f>
        <v/>
      </c>
      <c r="K133" s="68" t="str">
        <f>IF(COUNTIF('[2]Previsão Envase'!$F:$F,E133)&gt;0,"Linha 1",
IF(COUNTIF('[2]Previsão Envase'!$G:$G,E133)&gt;0,"Linha 2",
IF(COUNTIF('[2]Previsão Envase'!$H:$H,E133)&gt;0,"Linha 3","")))</f>
        <v/>
      </c>
      <c r="L133" s="96">
        <f>COUNTIF('[2]Previsão Envase'!$F:$H,E133)-COUNTIF('[2]Previsão Envase'!$F$1:$H$4,E133)</f>
        <v>0</v>
      </c>
      <c r="M133" s="35">
        <f t="shared" ref="M133:M196" si="31">IFERROR(L133*S133,"-")</f>
        <v>0</v>
      </c>
      <c r="N133" s="68" t="str">
        <f>IFERROR(MAX(_xlfn.MAXIFS('[2]Controle de Produção'!$C:$C,'[2]Controle de Produção'!$L:$L,$D133,'[2]Controle de Produção'!$P:$P,$C133,'[2]Controle de Produção'!$G:$G,$B133),_xlfn.MAXIFS([3]EXPEDIÇÃO!$N:$N,[3]EXPEDIÇÃO!$E:$E,$D133,[3]EXPEDIÇÃO!$D:$D,$C133,[3]EXPEDIÇÃO!$N:$N,"&gt;="&amp;$G133)),"")</f>
        <v/>
      </c>
      <c r="O133" s="70">
        <f>INDEX([1]Produtos!$E:$E,MATCH($D133,[1]Produtos!$B:$B,0))</f>
        <v>200</v>
      </c>
      <c r="P133" s="70" t="str">
        <f>INDEX([1]Produtos!$F:$F,MATCH($D133,[1]Produtos!$B:$B,0))</f>
        <v>ml</v>
      </c>
      <c r="Q133" s="105">
        <f>INDEX([1]Produtos!$Y:$Y,MATCH($D133,[1]Produtos!$B:$B,0))</f>
        <v>1.4699999999999998</v>
      </c>
      <c r="R133" s="35">
        <f t="shared" ref="R133:R196" si="32">IFERROR(S133*9, "-")</f>
        <v>7592.2902086267013</v>
      </c>
      <c r="S133" s="27">
        <f>IFERROR(INDEX([1]Produtos!$L:$L,MATCH(D133,[1]Produtos!$B:$B,0)), "")</f>
        <v>843.58780095852239</v>
      </c>
      <c r="T133" s="28">
        <f t="shared" ref="T133:T196" si="33">IFERROR(ROUNDUP(H133/S133,1),"-")</f>
        <v>11.9</v>
      </c>
      <c r="U133" s="28" t="str">
        <f t="shared" ref="U133:U196" si="34">IFERROR(ROUNDDOWN(T133/8.8,0)&amp;"D e "&amp;ROUNDUP(MOD(T133,8.8),0)&amp;"h","-")</f>
        <v>1D e 4h</v>
      </c>
      <c r="V133" s="27">
        <f>IFERROR(SUMIFS('[2]Controle de Produção'!$K:$K,'[2]Controle de Produção'!$L:$L,D133,'[2]Controle de Produção'!$P:$P,C133,'[2]Controle de Produção'!$B:$B,"&gt;=" &amp; G133,'[2]Controle de Produção'!$C:$C,"&lt;=" &amp; N133, '[2]Controle de Produção'!$G:$G,B133), "")</f>
        <v>0</v>
      </c>
      <c r="W133" s="27" t="str">
        <f>IFERROR(SUMIFS([3]EXPEDIÇÃO!$K:$K,[3]EXPEDIÇÃO!$E:$E,D133,[3]EXPEDIÇÃO!$D:$D,C133,[3]EXPEDIÇÃO!$N:$N,"&gt;=" &amp; G133,[3]EXPEDIÇÃO!$N:$N,"&lt;="&amp;N133), "")</f>
        <v/>
      </c>
      <c r="X133" s="27">
        <f>COUNTIFS('[2]Controle de Produção'!$P:$P,C133,'[2]Controle de Produção'!$L:$L,D133,'[2]Controle de Produção'!$B:$B,"&gt;=" &amp; G133)</f>
        <v>3</v>
      </c>
      <c r="Y133" s="27">
        <f t="shared" ref="Y133:Y196" si="35">IFERROR(AVERAGE(V133/X133),"-")</f>
        <v>0</v>
      </c>
      <c r="Z133" s="27">
        <f>IFERROR(COUNTIFS('[2]Controle de Produção'!$L:$L,D133,'[2]Controle de Produção'!$P:$P,C133,'[2]Controle de Produção'!$B:$B,"&gt;=" &amp; G133,'[2]Controle de Produção'!$C:$C,"&lt;=" &amp; N133, '[2]Controle de Produção'!$G:$G,B133), "")</f>
        <v>0</v>
      </c>
      <c r="AA133" s="108" t="str">
        <f t="shared" ref="AA133:AA196" si="36">IF(OR(V133=0,H133=0),"",IF(V133="","",(V133-H133)/H133))</f>
        <v/>
      </c>
      <c r="AB133" s="41" t="str" cm="1">
        <f t="array" ref="AB133">_xlfn.IFS((H133*0.95)&lt;=V133,"Concluído",AND(V133 =0, J133&lt;&gt;""),"Programado",AND(V133=0,D133=""),"Desenvolv.",V133=0,"Não Iniciado",AND(V133&gt;0,V133&lt;H133,AO133=TRUE),"Em Produção",AND(V133&gt;0,V133&lt;H133,AO133=FALSE),"Produção Parcial")</f>
        <v>Não Iniciado</v>
      </c>
      <c r="AC133" s="42" t="b">
        <v>1</v>
      </c>
      <c r="AD133" s="42" t="b">
        <v>1</v>
      </c>
      <c r="AE133" s="42" t="b">
        <v>1</v>
      </c>
      <c r="AF133" s="42" t="b">
        <v>1</v>
      </c>
      <c r="AG133" s="42" t="b">
        <v>1</v>
      </c>
      <c r="AH133" s="42" t="s">
        <v>38</v>
      </c>
      <c r="AI133" s="42" t="b">
        <v>1</v>
      </c>
      <c r="AJ133" s="42" t="s">
        <v>38</v>
      </c>
      <c r="AK133" s="42" t="s">
        <v>38</v>
      </c>
      <c r="AL133" s="42" t="b">
        <v>1</v>
      </c>
      <c r="AM133" s="42" t="b">
        <v>1</v>
      </c>
      <c r="AN133" s="42" t="b">
        <v>0</v>
      </c>
      <c r="AO133" s="45" t="b" cm="1">
        <f t="array" ref="AO133">AND(COUNTIF(AC133:AN133,FALSE)=0,SUMPRODUCT(ISNUMBER(AC133:AN133)*1)=0)</f>
        <v>0</v>
      </c>
      <c r="AP133" s="59"/>
      <c r="AQ133" s="111">
        <f>IF(AB133="",99999999999,IFERROR(MATCH(AB133,{"Produção Parcial","Em Produção","Programado","Não Iniciado","Desenvolv.","Concluído"},0),7)*100000000+IF(ISNUMBER(J133),J133-46000,9999)*10000+IF(A133="",99,A133)*100+IF(C133="",99,CODE(LEFT(C133,1))))</f>
        <v>499990166</v>
      </c>
    </row>
    <row r="134" spans="1:45" s="36" customFormat="1" ht="25.15" hidden="1" customHeight="1" x14ac:dyDescent="0.25">
      <c r="A134" s="36">
        <v>1</v>
      </c>
      <c r="B134" s="38" t="s">
        <v>149</v>
      </c>
      <c r="C134" s="70" t="str">
        <f>INDEX([1]Produtos!$G:$G,MATCH($D134,[1]Produtos!$B:$B,0))</f>
        <v>BRIA BEAUTY</v>
      </c>
      <c r="D134" s="24" t="s">
        <v>417</v>
      </c>
      <c r="E134" s="113" t="str">
        <f>INDEX([1]Produtos!$C:$C,MATCH($D134,[1]Produtos!$B:$B,0))&amp;IF($F134&lt;&gt;"-"," - "&amp;LEFT($F134,1),"")&amp;" &gt; "&amp;$B134</f>
        <v>PERFUME CAPILAR ZAHRA &gt; REPOSICAO BRIA 01</v>
      </c>
      <c r="F134" s="51" t="s">
        <v>38</v>
      </c>
      <c r="G134" s="38">
        <v>45989</v>
      </c>
      <c r="H134" s="39">
        <v>15000</v>
      </c>
      <c r="I134" s="24" t="s">
        <v>39</v>
      </c>
      <c r="J134" s="68" t="str" cm="1">
        <f t="array" ref="J134">IFERROR(INDEX('[2]Previsão Envase'!$D$5:$D$4867, MATCH(1,('[2]Previsão Envase'!$F$5:$F$4867=$E134)+('[2]Previsão Envase'!$G$5:$G$4867=$E134)+('[2]Previsão Envase'!$H$5:$H$4867=$E134),0)),"")</f>
        <v/>
      </c>
      <c r="K134" s="68" t="str">
        <f>IF(COUNTIF('[2]Previsão Envase'!$F:$F,E134)&gt;0,"Linha 1",
IF(COUNTIF('[2]Previsão Envase'!$G:$G,E134)&gt;0,"Linha 2",
IF(COUNTIF('[2]Previsão Envase'!$H:$H,E134)&gt;0,"Linha 3","")))</f>
        <v/>
      </c>
      <c r="L134" s="96">
        <f>COUNTIF('[2]Previsão Envase'!$F:$H,E134)-COUNTIF('[2]Previsão Envase'!$F$1:$H$4,E134)</f>
        <v>0</v>
      </c>
      <c r="M134" s="35">
        <f t="shared" si="31"/>
        <v>0</v>
      </c>
      <c r="N134" s="68" t="str">
        <f>IFERROR(MAX(_xlfn.MAXIFS('[2]Controle de Produção'!$C:$C,'[2]Controle de Produção'!$L:$L,$D134,'[2]Controle de Produção'!$P:$P,$C134,'[2]Controle de Produção'!$G:$G,$B134),_xlfn.MAXIFS([3]EXPEDIÇÃO!$N:$N,[3]EXPEDIÇÃO!$E:$E,$D134,[3]EXPEDIÇÃO!$D:$D,$C134,[3]EXPEDIÇÃO!$N:$N,"&gt;="&amp;$G134)),"")</f>
        <v/>
      </c>
      <c r="O134" s="70">
        <f>INDEX([1]Produtos!$E:$E,MATCH($D134,[1]Produtos!$B:$B,0))</f>
        <v>60</v>
      </c>
      <c r="P134" s="70" t="str">
        <f>INDEX([1]Produtos!$F:$F,MATCH($D134,[1]Produtos!$B:$B,0))</f>
        <v>ml</v>
      </c>
      <c r="Q134" s="105">
        <f>INDEX([1]Produtos!$Y:$Y,MATCH($D134,[1]Produtos!$B:$B,0))</f>
        <v>1.5699999999999998</v>
      </c>
      <c r="R134" s="35">
        <f t="shared" si="32"/>
        <v>6072.2675460400496</v>
      </c>
      <c r="S134" s="27">
        <f>IFERROR(INDEX([1]Produtos!$L:$L,MATCH(D134,[1]Produtos!$B:$B,0)), "")</f>
        <v>674.69639400444999</v>
      </c>
      <c r="T134" s="28">
        <f t="shared" si="33"/>
        <v>22.3</v>
      </c>
      <c r="U134" s="28" t="str">
        <f t="shared" si="34"/>
        <v>2D e 5h</v>
      </c>
      <c r="V134" s="27">
        <f>IFERROR(SUMIFS('[2]Controle de Produção'!$K:$K,'[2]Controle de Produção'!$L:$L,D134,'[2]Controle de Produção'!$P:$P,C134,'[2]Controle de Produção'!$B:$B,"&gt;=" &amp; G134,'[2]Controle de Produção'!$C:$C,"&lt;=" &amp; N134, '[2]Controle de Produção'!$G:$G,B134), "")</f>
        <v>0</v>
      </c>
      <c r="W134" s="27" t="str">
        <f>IFERROR(SUMIFS([3]EXPEDIÇÃO!$K:$K,[3]EXPEDIÇÃO!$E:$E,D134,[3]EXPEDIÇÃO!$D:$D,C134,[3]EXPEDIÇÃO!$N:$N,"&gt;=" &amp; G134,[3]EXPEDIÇÃO!$N:$N,"&lt;="&amp;N134), "")</f>
        <v/>
      </c>
      <c r="X134" s="27">
        <f>COUNTIFS('[2]Controle de Produção'!$P:$P,C134,'[2]Controle de Produção'!$L:$L,D134,'[2]Controle de Produção'!$B:$B,"&gt;=" &amp; G134)</f>
        <v>4</v>
      </c>
      <c r="Y134" s="27">
        <f t="shared" si="35"/>
        <v>0</v>
      </c>
      <c r="Z134" s="27">
        <f>IFERROR(COUNTIFS('[2]Controle de Produção'!$L:$L,D134,'[2]Controle de Produção'!$P:$P,C134,'[2]Controle de Produção'!$B:$B,"&gt;=" &amp; G134,'[2]Controle de Produção'!$C:$C,"&lt;=" &amp; N134, '[2]Controle de Produção'!$G:$G,B134), "")</f>
        <v>0</v>
      </c>
      <c r="AA134" s="108" t="str">
        <f t="shared" si="36"/>
        <v/>
      </c>
      <c r="AB134" s="41" t="str" cm="1">
        <f t="array" ref="AB134">_xlfn.IFS((H134*0.95)&lt;=V134,"Concluído",AND(V134 =0, J134&lt;&gt;""),"Programado",AND(V134=0,D134=""),"Desenvolv.",V134=0,"Não Iniciado",AND(V134&gt;0,V134&lt;H134,AO134=TRUE),"Em Produção",AND(V134&gt;0,V134&lt;H134,AO134=FALSE),"Produção Parcial")</f>
        <v>Não Iniciado</v>
      </c>
      <c r="AC134" s="42" t="b">
        <v>1</v>
      </c>
      <c r="AD134" s="42" t="b">
        <v>1</v>
      </c>
      <c r="AE134" s="42" t="b">
        <v>1</v>
      </c>
      <c r="AF134" s="42" t="b">
        <v>1</v>
      </c>
      <c r="AG134" s="42" t="s">
        <v>38</v>
      </c>
      <c r="AH134" s="42" t="s">
        <v>38</v>
      </c>
      <c r="AI134" s="42" t="b">
        <v>1</v>
      </c>
      <c r="AJ134" s="42" t="s">
        <v>38</v>
      </c>
      <c r="AK134" s="42" t="s">
        <v>38</v>
      </c>
      <c r="AL134" s="42" t="b">
        <v>1</v>
      </c>
      <c r="AM134" s="42" t="b">
        <v>1</v>
      </c>
      <c r="AN134" s="42" t="b">
        <v>1</v>
      </c>
      <c r="AO134" s="45" t="b" cm="1">
        <f t="array" ref="AO134">AND(COUNTIF(AC134:AN134,FALSE)=0,SUMPRODUCT(ISNUMBER(AC134:AN134)*1)=0)</f>
        <v>1</v>
      </c>
      <c r="AP134" s="59"/>
      <c r="AQ134" s="111">
        <f>IF(AB134="",99999999999,IFERROR(MATCH(AB134,{"Produção Parcial","Em Produção","Programado","Não Iniciado","Desenvolv.","Concluído"},0),7)*100000000+IF(ISNUMBER(J134),J134-46000,9999)*10000+IF(A134="",99,A134)*100+IF(C134="",99,CODE(LEFT(C134,1))))</f>
        <v>499990166</v>
      </c>
    </row>
    <row r="135" spans="1:45" s="36" customFormat="1" ht="25.15" hidden="1" customHeight="1" x14ac:dyDescent="0.25">
      <c r="A135" s="36">
        <v>1</v>
      </c>
      <c r="B135" s="38" t="s">
        <v>425</v>
      </c>
      <c r="C135" s="70" t="str">
        <f>INDEX([1]Produtos!$G:$G,MATCH($D135,[1]Produtos!$B:$B,0))</f>
        <v>CAMIE BEAUTY</v>
      </c>
      <c r="D135" s="24" t="s">
        <v>426</v>
      </c>
      <c r="E135" s="70" t="str">
        <f>INDEX([1]Produtos!$C:$C,MATCH($D135,[1]Produtos!$B:$B,0))&amp;IF($F135&lt;&gt;"-"," - "&amp;LEFT($F135,1),"")&amp;" &gt; "&amp;$B135</f>
        <v>BODY SPLASH CAMIE BEAUTY 120mL &gt; CAMIE 04/03</v>
      </c>
      <c r="F135" s="51" t="s">
        <v>38</v>
      </c>
      <c r="G135" s="38">
        <v>46085</v>
      </c>
      <c r="H135" s="39">
        <v>3000</v>
      </c>
      <c r="I135" s="24" t="s">
        <v>39</v>
      </c>
      <c r="J135" s="68" t="str" cm="1">
        <f t="array" ref="J135">IFERROR(INDEX('[2]Previsão Envase'!$D$5:$D$4867, MATCH(1,('[2]Previsão Envase'!$F$5:$F$4867=$E135)+('[2]Previsão Envase'!$G$5:$G$4867=$E135)+('[2]Previsão Envase'!$H$5:$H$4867=$E135),0)),"")</f>
        <v/>
      </c>
      <c r="K135" s="68" t="str">
        <f>IF(COUNTIF('[2]Previsão Envase'!$F:$F,E135)&gt;0,"Linha 1",
IF(COUNTIF('[2]Previsão Envase'!$G:$G,E135)&gt;0,"Linha 2",
IF(COUNTIF('[2]Previsão Envase'!$H:$H,E135)&gt;0,"Linha 3","")))</f>
        <v/>
      </c>
      <c r="L135" s="96">
        <f>COUNTIF('[2]Previsão Envase'!$F:$H,E135)-COUNTIF('[2]Previsão Envase'!$F$1:$H$4,E135)</f>
        <v>0</v>
      </c>
      <c r="M135" s="35">
        <f t="shared" si="31"/>
        <v>0</v>
      </c>
      <c r="N135" s="68" t="str">
        <f>IFERROR(MAX(_xlfn.MAXIFS('[2]Controle de Produção'!$C:$C,'[2]Controle de Produção'!$L:$L,$D135,'[2]Controle de Produção'!$P:$P,$C135,'[2]Controle de Produção'!$G:$G,$B135),_xlfn.MAXIFS([3]EXPEDIÇÃO!$N:$N,[3]EXPEDIÇÃO!$E:$E,$D135,[3]EXPEDIÇÃO!$D:$D,$C135,[3]EXPEDIÇÃO!$N:$N,"&gt;="&amp;$G135)),"")</f>
        <v/>
      </c>
      <c r="O135" s="70">
        <f>INDEX([1]Produtos!$E:$E,MATCH($D135,[1]Produtos!$B:$B,0))</f>
        <v>120</v>
      </c>
      <c r="P135" s="70" t="str">
        <f>INDEX([1]Produtos!$F:$F,MATCH($D135,[1]Produtos!$B:$B,0))</f>
        <v>ml</v>
      </c>
      <c r="Q135" s="105">
        <f>INDEX([1]Produtos!$Y:$Y,MATCH($D135,[1]Produtos!$B:$B,0))</f>
        <v>0</v>
      </c>
      <c r="R135" s="35">
        <f t="shared" si="32"/>
        <v>7592.2902086267013</v>
      </c>
      <c r="S135" s="27">
        <f>IFERROR(INDEX([1]Produtos!$L:$L,MATCH(D135,[1]Produtos!$B:$B,0)), "")</f>
        <v>843.58780095852239</v>
      </c>
      <c r="T135" s="28">
        <f t="shared" si="33"/>
        <v>3.6</v>
      </c>
      <c r="U135" s="28" t="str">
        <f t="shared" si="34"/>
        <v>0D e 4h</v>
      </c>
      <c r="V135" s="27">
        <f>IFERROR(SUMIFS('[2]Controle de Produção'!$K:$K,'[2]Controle de Produção'!$L:$L,D135,'[2]Controle de Produção'!$P:$P,C135,'[2]Controle de Produção'!$B:$B,"&gt;=" &amp; G135,'[2]Controle de Produção'!$C:$C,"&lt;=" &amp; N135, '[2]Controle de Produção'!$G:$G,B135), "")</f>
        <v>0</v>
      </c>
      <c r="W135" s="27" t="str">
        <f>IFERROR(SUMIFS([3]EXPEDIÇÃO!$K:$K,[3]EXPEDIÇÃO!$E:$E,D135,[3]EXPEDIÇÃO!$D:$D,C135,[3]EXPEDIÇÃO!$N:$N,"&gt;=" &amp; G135,[3]EXPEDIÇÃO!$N:$N,"&lt;="&amp;N135), "")</f>
        <v/>
      </c>
      <c r="X135" s="27">
        <f>COUNTIFS('[2]Controle de Produção'!$P:$P,C135,'[2]Controle de Produção'!$L:$L,D135,'[2]Controle de Produção'!$B:$B,"&gt;=" &amp; G135)</f>
        <v>1</v>
      </c>
      <c r="Y135" s="27">
        <f t="shared" si="35"/>
        <v>0</v>
      </c>
      <c r="Z135" s="27">
        <f>IFERROR(COUNTIFS('[2]Controle de Produção'!$L:$L,D135,'[2]Controle de Produção'!$P:$P,C135,'[2]Controle de Produção'!$B:$B,"&gt;=" &amp; G135,'[2]Controle de Produção'!$C:$C,"&lt;=" &amp; N135, '[2]Controle de Produção'!$G:$G,B135), "")</f>
        <v>0</v>
      </c>
      <c r="AA135" s="108" t="str">
        <f t="shared" si="36"/>
        <v/>
      </c>
      <c r="AB135" s="41" t="str" cm="1">
        <f t="array" ref="AB135">_xlfn.IFS((H135*0.95)&lt;=V135,"Concluído",AND(V135 =0, J135&lt;&gt;""),"Programado",AND(V135=0,D135=""),"Desenvolv.",V135=0,"Não Iniciado",AND(V135&gt;0,V135&lt;H135,AO135=TRUE),"Em Produção",AND(V135&gt;0,V135&lt;H135,AO135=FALSE),"Produção Parcial")</f>
        <v>Não Iniciado</v>
      </c>
      <c r="AC135" s="42" t="b">
        <v>1</v>
      </c>
      <c r="AD135" s="42" t="b">
        <v>1</v>
      </c>
      <c r="AE135" s="42" t="b">
        <v>1</v>
      </c>
      <c r="AF135" s="42" t="b">
        <v>1</v>
      </c>
      <c r="AG135" s="42" t="s">
        <v>38</v>
      </c>
      <c r="AH135" s="42" t="s">
        <v>38</v>
      </c>
      <c r="AI135" s="42" t="b">
        <v>1</v>
      </c>
      <c r="AJ135" s="42" t="s">
        <v>38</v>
      </c>
      <c r="AK135" s="42" t="s">
        <v>38</v>
      </c>
      <c r="AL135" s="42" t="b">
        <v>0</v>
      </c>
      <c r="AM135" s="42" t="b">
        <v>1</v>
      </c>
      <c r="AN135" s="42" t="b">
        <v>1</v>
      </c>
      <c r="AO135" s="45" t="b" cm="1">
        <f t="array" ref="AO135">AND(COUNTIF(AC135:AN135,FALSE)=0,SUMPRODUCT(ISNUMBER(AC135:AN135)*1)=0)</f>
        <v>0</v>
      </c>
      <c r="AP135" s="59"/>
      <c r="AQ135" s="111">
        <f>IF(AB135="",99999999999,IFERROR(MATCH(AB135,{"Produção Parcial","Em Produção","Programado","Não Iniciado","Desenvolv.","Concluído"},0),7)*100000000+IF(ISNUMBER(J135),J135-46000,9999)*10000+IF(A135="",99,A135)*100+IF(C135="",99,CODE(LEFT(C135,1))))</f>
        <v>499990167</v>
      </c>
    </row>
    <row r="136" spans="1:45" s="36" customFormat="1" ht="25.15" hidden="1" customHeight="1" x14ac:dyDescent="0.25">
      <c r="A136" s="36">
        <v>1</v>
      </c>
      <c r="B136" s="38" t="s">
        <v>425</v>
      </c>
      <c r="C136" s="70" t="str">
        <f>INDEX([1]Produtos!$G:$G,MATCH($D136,[1]Produtos!$B:$B,0))</f>
        <v>CAMIE BEAUTY</v>
      </c>
      <c r="D136" s="24" t="s">
        <v>428</v>
      </c>
      <c r="E136" s="70" t="str">
        <f>INDEX([1]Produtos!$C:$C,MATCH($D136,[1]Produtos!$B:$B,0))&amp;IF($F136&lt;&gt;"-"," - "&amp;LEFT($F136,1),"")&amp;" &gt; "&amp;$B136</f>
        <v>GLOSS LABIAL CAMIE BEAUTY 4mL &gt; CAMIE 04/03</v>
      </c>
      <c r="F136" s="51" t="s">
        <v>38</v>
      </c>
      <c r="G136" s="38">
        <v>46085</v>
      </c>
      <c r="H136" s="39">
        <v>3000</v>
      </c>
      <c r="I136" s="24" t="s">
        <v>39</v>
      </c>
      <c r="J136" s="68" t="str" cm="1">
        <f t="array" ref="J136">IFERROR(INDEX('[2]Previsão Envase'!$D$5:$D$4867, MATCH(1,('[2]Previsão Envase'!$F$5:$F$4867=$E136)+('[2]Previsão Envase'!$G$5:$G$4867=$E136)+('[2]Previsão Envase'!$H$5:$H$4867=$E136),0)),"")</f>
        <v/>
      </c>
      <c r="K136" s="68" t="str">
        <f>IF(COUNTIF('[2]Previsão Envase'!$F:$F,E136)&gt;0,"Linha 1",
IF(COUNTIF('[2]Previsão Envase'!$G:$G,E136)&gt;0,"Linha 2",
IF(COUNTIF('[2]Previsão Envase'!$H:$H,E136)&gt;0,"Linha 3","")))</f>
        <v/>
      </c>
      <c r="L136" s="96">
        <f>COUNTIF('[2]Previsão Envase'!$F:$H,E136)-COUNTIF('[2]Previsão Envase'!$F$1:$H$4,E136)</f>
        <v>0</v>
      </c>
      <c r="M136" s="35">
        <f t="shared" si="31"/>
        <v>0</v>
      </c>
      <c r="N136" s="68" t="str">
        <f>IFERROR(MAX(_xlfn.MAXIFS('[2]Controle de Produção'!$C:$C,'[2]Controle de Produção'!$L:$L,$D136,'[2]Controle de Produção'!$P:$P,$C136,'[2]Controle de Produção'!$G:$G,$B136),_xlfn.MAXIFS([3]EXPEDIÇÃO!$N:$N,[3]EXPEDIÇÃO!$E:$E,$D136,[3]EXPEDIÇÃO!$D:$D,$C136,[3]EXPEDIÇÃO!$N:$N,"&gt;="&amp;$G136)),"")</f>
        <v/>
      </c>
      <c r="O136" s="70">
        <f>INDEX([1]Produtos!$E:$E,MATCH($D136,[1]Produtos!$B:$B,0))</f>
        <v>4</v>
      </c>
      <c r="P136" s="70" t="str">
        <f>INDEX([1]Produtos!$F:$F,MATCH($D136,[1]Produtos!$B:$B,0))</f>
        <v>ml</v>
      </c>
      <c r="Q136" s="105">
        <f>INDEX([1]Produtos!$Y:$Y,MATCH($D136,[1]Produtos!$B:$B,0))</f>
        <v>0</v>
      </c>
      <c r="R136" s="35">
        <f t="shared" si="32"/>
        <v>1043.880794681867</v>
      </c>
      <c r="S136" s="27">
        <f>IFERROR(INDEX([1]Produtos!$L:$L,MATCH(D136,[1]Produtos!$B:$B,0)), "")</f>
        <v>115.98675496465188</v>
      </c>
      <c r="T136" s="28">
        <f t="shared" si="33"/>
        <v>25.900000000000002</v>
      </c>
      <c r="U136" s="28" t="str">
        <f t="shared" si="34"/>
        <v>2D e 9h</v>
      </c>
      <c r="V136" s="27">
        <f>IFERROR(SUMIFS('[2]Controle de Produção'!$K:$K,'[2]Controle de Produção'!$L:$L,D136,'[2]Controle de Produção'!$P:$P,C136,'[2]Controle de Produção'!$B:$B,"&gt;=" &amp; G136,'[2]Controle de Produção'!$C:$C,"&lt;=" &amp; N136, '[2]Controle de Produção'!$G:$G,B136), "")</f>
        <v>0</v>
      </c>
      <c r="W136" s="27" t="str">
        <f>IFERROR(SUMIFS([3]EXPEDIÇÃO!$K:$K,[3]EXPEDIÇÃO!$E:$E,D136,[3]EXPEDIÇÃO!$D:$D,C136,[3]EXPEDIÇÃO!$N:$N,"&gt;=" &amp; G136,[3]EXPEDIÇÃO!$N:$N,"&lt;="&amp;N136), "")</f>
        <v/>
      </c>
      <c r="X136" s="27">
        <f>COUNTIFS('[2]Controle de Produção'!$P:$P,C136,'[2]Controle de Produção'!$L:$L,D136,'[2]Controle de Produção'!$B:$B,"&gt;=" &amp; G136)</f>
        <v>1</v>
      </c>
      <c r="Y136" s="27">
        <f t="shared" si="35"/>
        <v>0</v>
      </c>
      <c r="Z136" s="27">
        <f>IFERROR(COUNTIFS('[2]Controle de Produção'!$L:$L,D136,'[2]Controle de Produção'!$P:$P,C136,'[2]Controle de Produção'!$B:$B,"&gt;=" &amp; G136,'[2]Controle de Produção'!$C:$C,"&lt;=" &amp; N136, '[2]Controle de Produção'!$G:$G,B136), "")</f>
        <v>0</v>
      </c>
      <c r="AA136" s="108" t="str">
        <f t="shared" si="36"/>
        <v/>
      </c>
      <c r="AB136" s="41" t="str" cm="1">
        <f t="array" ref="AB136">_xlfn.IFS((H136*0.95)&lt;=V136,"Concluído",AND(V136 =0, J136&lt;&gt;""),"Programado",AND(V136=0,D136=""),"Desenvolv.",V136=0,"Não Iniciado",AND(V136&gt;0,V136&lt;H136,AO136=TRUE),"Em Produção",AND(V136&gt;0,V136&lt;H136,AO136=FALSE),"Produção Parcial")</f>
        <v>Não Iniciado</v>
      </c>
      <c r="AC136" s="42" t="b">
        <v>1</v>
      </c>
      <c r="AD136" s="42" t="b">
        <v>1</v>
      </c>
      <c r="AE136" s="42" t="b">
        <v>1</v>
      </c>
      <c r="AF136" s="42" t="b">
        <v>1</v>
      </c>
      <c r="AG136" s="42" t="s">
        <v>38</v>
      </c>
      <c r="AH136" s="42" t="s">
        <v>38</v>
      </c>
      <c r="AI136" s="67">
        <v>46104</v>
      </c>
      <c r="AJ136" s="42" t="s">
        <v>38</v>
      </c>
      <c r="AK136" s="42" t="s">
        <v>38</v>
      </c>
      <c r="AL136" s="42" t="b">
        <v>0</v>
      </c>
      <c r="AM136" s="42" t="b">
        <v>1</v>
      </c>
      <c r="AN136" s="42" t="b">
        <v>1</v>
      </c>
      <c r="AO136" s="45" t="b" cm="1">
        <f t="array" ref="AO136">AND(COUNTIF(AC136:AN136,FALSE)=0,SUMPRODUCT(ISNUMBER(AC136:AN136)*1)=0)</f>
        <v>0</v>
      </c>
      <c r="AP136" s="59"/>
      <c r="AQ136" s="111">
        <f>IF(AB136="",99999999999,IFERROR(MATCH(AB136,{"Produção Parcial","Em Produção","Programado","Não Iniciado","Desenvolv.","Concluído"},0),7)*100000000+IF(ISNUMBER(J136),J136-46000,9999)*10000+IF(A136="",99,A136)*100+IF(C136="",99,CODE(LEFT(C136,1))))</f>
        <v>499990167</v>
      </c>
    </row>
    <row r="137" spans="1:45" s="36" customFormat="1" ht="25.15" hidden="1" customHeight="1" x14ac:dyDescent="0.25">
      <c r="A137" s="36">
        <v>1</v>
      </c>
      <c r="B137" s="38" t="s">
        <v>238</v>
      </c>
      <c r="C137" s="70" t="str">
        <f>INDEX([1]Produtos!$G:$G,MATCH($D137,[1]Produtos!$B:$B,0))</f>
        <v>DAPOP</v>
      </c>
      <c r="D137" s="24" t="s">
        <v>239</v>
      </c>
      <c r="E137" s="70" t="str">
        <f>INDEX([1]Produtos!$C:$C,MATCH($D137,[1]Produtos!$B:$B,0))&amp;IF($F137&lt;&gt;"-"," - "&amp;LEFT($F137,1),"")&amp;" &gt; "&amp;$B137</f>
        <v>PERFUME CAPILAR HONEY &gt; 02_07</v>
      </c>
      <c r="F137" s="51" t="s">
        <v>38</v>
      </c>
      <c r="G137" s="38">
        <v>45854</v>
      </c>
      <c r="H137" s="39">
        <v>40000</v>
      </c>
      <c r="I137" s="24" t="s">
        <v>39</v>
      </c>
      <c r="J137" s="68" t="str" cm="1">
        <f t="array" ref="J137">IFERROR(INDEX('[2]Previsão Envase'!$D$5:$D$4867, MATCH(1,('[2]Previsão Envase'!$F$5:$F$4867=$E137)+('[2]Previsão Envase'!$G$5:$G$4867=$E137)+('[2]Previsão Envase'!$H$5:$H$4867=$E137),0)),"")</f>
        <v/>
      </c>
      <c r="K137" s="68" t="str">
        <f>IF(COUNTIF('[2]Previsão Envase'!$F:$F,E137)&gt;0,"Linha 1",
IF(COUNTIF('[2]Previsão Envase'!$G:$G,E137)&gt;0,"Linha 2",
IF(COUNTIF('[2]Previsão Envase'!$H:$H,E137)&gt;0,"Linha 3","")))</f>
        <v/>
      </c>
      <c r="L137" s="96">
        <f>COUNTIF('[2]Previsão Envase'!$F:$H,E137)-COUNTIF('[2]Previsão Envase'!$F$1:$H$4,E137)</f>
        <v>0</v>
      </c>
      <c r="M137" s="35">
        <f t="shared" si="31"/>
        <v>0</v>
      </c>
      <c r="N137" s="68" t="str">
        <f>IFERROR(MAX(_xlfn.MAXIFS('[2]Controle de Produção'!$C:$C,'[2]Controle de Produção'!$L:$L,$D137,'[2]Controle de Produção'!$P:$P,$C137,'[2]Controle de Produção'!$G:$G,$B137),_xlfn.MAXIFS([3]EXPEDIÇÃO!$N:$N,[3]EXPEDIÇÃO!$E:$E,$D137,[3]EXPEDIÇÃO!$D:$D,$C137,[3]EXPEDIÇÃO!$N:$N,"&gt;="&amp;$G137)),"")</f>
        <v/>
      </c>
      <c r="O137" s="70">
        <f>INDEX([1]Produtos!$E:$E,MATCH($D137,[1]Produtos!$B:$B,0))</f>
        <v>60</v>
      </c>
      <c r="P137" s="70" t="str">
        <f>INDEX([1]Produtos!$F:$F,MATCH($D137,[1]Produtos!$B:$B,0))</f>
        <v>ml</v>
      </c>
      <c r="Q137" s="105">
        <f>INDEX([1]Produtos!$Y:$Y,MATCH($D137,[1]Produtos!$B:$B,0))</f>
        <v>0</v>
      </c>
      <c r="R137" s="35">
        <f t="shared" si="32"/>
        <v>6072.2675460400496</v>
      </c>
      <c r="S137" s="27">
        <f>IFERROR(INDEX([1]Produtos!$L:$L,MATCH(D137,[1]Produtos!$B:$B,0)), "")</f>
        <v>674.69639400444999</v>
      </c>
      <c r="T137" s="28">
        <f t="shared" si="33"/>
        <v>59.300000000000004</v>
      </c>
      <c r="U137" s="28" t="str">
        <f t="shared" si="34"/>
        <v>6D e 7h</v>
      </c>
      <c r="V137" s="27">
        <f>IFERROR(SUMIFS('[2]Controle de Produção'!$K:$K,'[2]Controle de Produção'!$L:$L,D137,'[2]Controle de Produção'!$P:$P,C137,'[2]Controle de Produção'!$B:$B,"&gt;=" &amp; G137,'[2]Controle de Produção'!$C:$C,"&lt;=" &amp; N137, '[2]Controle de Produção'!$G:$G,B137), "")</f>
        <v>0</v>
      </c>
      <c r="W137" s="27" t="str">
        <f>IFERROR(SUMIFS([3]EXPEDIÇÃO!$K:$K,[3]EXPEDIÇÃO!$E:$E,D137,[3]EXPEDIÇÃO!$D:$D,C137,[3]EXPEDIÇÃO!$N:$N,"&gt;=" &amp; G137,[3]EXPEDIÇÃO!$N:$N,"&lt;="&amp;N137), "")</f>
        <v/>
      </c>
      <c r="X137" s="27">
        <f>COUNTIFS('[2]Controle de Produção'!$P:$P,C137,'[2]Controle de Produção'!$L:$L,D137,'[2]Controle de Produção'!$B:$B,"&gt;=" &amp; G137)</f>
        <v>5</v>
      </c>
      <c r="Y137" s="27">
        <f t="shared" si="35"/>
        <v>0</v>
      </c>
      <c r="Z137" s="27">
        <f>IFERROR(COUNTIFS('[2]Controle de Produção'!$L:$L,D137,'[2]Controle de Produção'!$P:$P,C137,'[2]Controle de Produção'!$B:$B,"&gt;=" &amp; G137,'[2]Controle de Produção'!$C:$C,"&lt;=" &amp; N137, '[2]Controle de Produção'!$G:$G,B137), "")</f>
        <v>0</v>
      </c>
      <c r="AA137" s="108" t="str">
        <f t="shared" si="36"/>
        <v/>
      </c>
      <c r="AB137" s="41" t="str" cm="1">
        <f t="array" ref="AB137">_xlfn.IFS((H137*0.95)&lt;=V137,"Concluído",AND(V137 =0, J137&lt;&gt;""),"Programado",AND(V137=0,D137=""),"Desenvolv.",V137=0,"Não Iniciado",AND(V137&gt;0,V137&lt;H137,AO137=TRUE),"Em Produção",AND(V137&gt;0,V137&lt;H137,AO137=FALSE),"Produção Parcial")</f>
        <v>Não Iniciado</v>
      </c>
      <c r="AC137" s="42" t="b">
        <v>1</v>
      </c>
      <c r="AD137" s="42" t="b">
        <v>1</v>
      </c>
      <c r="AE137" s="42" t="b">
        <v>1</v>
      </c>
      <c r="AF137" s="42" t="b">
        <v>1</v>
      </c>
      <c r="AG137" s="42" t="s">
        <v>38</v>
      </c>
      <c r="AH137" s="42" t="s">
        <v>38</v>
      </c>
      <c r="AI137" s="42" t="b">
        <v>1</v>
      </c>
      <c r="AJ137" s="42" t="b">
        <v>1</v>
      </c>
      <c r="AK137" s="42" t="b">
        <v>0</v>
      </c>
      <c r="AL137" s="42" t="b">
        <v>1</v>
      </c>
      <c r="AM137" s="42" t="b">
        <v>1</v>
      </c>
      <c r="AN137" s="91">
        <f>6/6</f>
        <v>1</v>
      </c>
      <c r="AO137" s="45" t="b" cm="1">
        <f t="array" ref="AO137">AND(COUNTIF(AC137:AN137,FALSE)=0,SUMPRODUCT(ISNUMBER(AC137:AN137)*1)=0)</f>
        <v>0</v>
      </c>
      <c r="AP137" s="59"/>
      <c r="AQ137" s="111">
        <f>IF(AB137="",99999999999,IFERROR(MATCH(AB137,{"Produção Parcial","Em Produção","Programado","Não Iniciado","Desenvolv.","Concluído"},0),7)*100000000+IF(ISNUMBER(J137),J137-46000,9999)*10000+IF(A137="",99,A137)*100+IF(C137="",99,CODE(LEFT(C137,1))))</f>
        <v>499990168</v>
      </c>
      <c r="AR137"/>
      <c r="AS137"/>
    </row>
    <row r="138" spans="1:45" s="36" customFormat="1" ht="25.15" hidden="1" customHeight="1" x14ac:dyDescent="0.25">
      <c r="A138" s="36">
        <v>1</v>
      </c>
      <c r="B138" s="38" t="s">
        <v>227</v>
      </c>
      <c r="C138" s="24" t="s">
        <v>228</v>
      </c>
      <c r="D138" s="24" t="s">
        <v>248</v>
      </c>
      <c r="E138" s="70" t="str">
        <f>INDEX([1]Produtos!$C:$C,MATCH($D138,[1]Produtos!$B:$B,0))&amp;IF($F138&lt;&gt;"-"," - "&amp;LEFT($F138,1),"")&amp;" &gt; "&amp;$B138</f>
        <v>BODY SPLASH GLOW TAÇA DE CHAMPAGNE &gt; DAPOP - Pedido 360 mil</v>
      </c>
      <c r="F138" s="38" t="s">
        <v>38</v>
      </c>
      <c r="G138" s="38">
        <v>45828</v>
      </c>
      <c r="H138" s="39">
        <v>20000</v>
      </c>
      <c r="I138" s="24" t="s">
        <v>39</v>
      </c>
      <c r="J138" s="68" t="str" cm="1">
        <f t="array" ref="J138">IFERROR(INDEX('[2]Previsão Envase'!$D$5:$D$4867, MATCH(1,('[2]Previsão Envase'!$F$5:$F$4867=$E138)+('[2]Previsão Envase'!$G$5:$G$4867=$E138)+('[2]Previsão Envase'!$H$5:$H$4867=$E138),0)),"")</f>
        <v/>
      </c>
      <c r="K138" s="68" t="str">
        <f>IF(COUNTIF('[2]Previsão Envase'!$F:$F,E138)&gt;0,"Linha 1",
IF(COUNTIF('[2]Previsão Envase'!$G:$G,E138)&gt;0,"Linha 2",
IF(COUNTIF('[2]Previsão Envase'!$H:$H,E138)&gt;0,"Linha 3","")))</f>
        <v/>
      </c>
      <c r="L138" s="96">
        <f>COUNTIF('[2]Previsão Envase'!$F:$H,E138)-COUNTIF('[2]Previsão Envase'!$F$1:$H$4,E138)</f>
        <v>0</v>
      </c>
      <c r="M138" s="35">
        <f t="shared" si="31"/>
        <v>0</v>
      </c>
      <c r="N138" s="68" t="str">
        <f>IFERROR(MAX(_xlfn.MAXIFS('[2]Controle de Produção'!$C:$C,'[2]Controle de Produção'!$L:$L,$D138,'[2]Controle de Produção'!$P:$P,$C138,'[2]Controle de Produção'!$G:$G,$B138),_xlfn.MAXIFS([3]EXPEDIÇÃO!$N:$N,[3]EXPEDIÇÃO!$E:$E,$D138,[3]EXPEDIÇÃO!$D:$D,$C138,[3]EXPEDIÇÃO!$N:$N,"&gt;="&amp;$G138)),"")</f>
        <v/>
      </c>
      <c r="O138" s="70">
        <f>INDEX([1]Produtos!$E:$E,MATCH($D138,[1]Produtos!$B:$B,0))</f>
        <v>120</v>
      </c>
      <c r="P138" s="70" t="str">
        <f>INDEX([1]Produtos!$F:$F,MATCH($D138,[1]Produtos!$B:$B,0))</f>
        <v>ml</v>
      </c>
      <c r="Q138" s="105">
        <f>INDEX([1]Produtos!$Y:$Y,MATCH($D138,[1]Produtos!$B:$B,0))</f>
        <v>0</v>
      </c>
      <c r="R138" s="35">
        <f t="shared" si="32"/>
        <v>7999.1637743312976</v>
      </c>
      <c r="S138" s="27">
        <f>IFERROR(INDEX([1]Produtos!$L:$L,MATCH(D138,[1]Produtos!$B:$B,0)), "")</f>
        <v>888.79597492569974</v>
      </c>
      <c r="T138" s="28">
        <f t="shared" si="33"/>
        <v>22.6</v>
      </c>
      <c r="U138" s="28" t="str">
        <f t="shared" si="34"/>
        <v>2D e 5h</v>
      </c>
      <c r="V138" s="27">
        <f>IFERROR(SUMIFS('[2]Controle de Produção'!$K:$K,'[2]Controle de Produção'!$L:$L,D138,'[2]Controle de Produção'!$P:$P,C138,'[2]Controle de Produção'!$B:$B,"&gt;=" &amp; G138,'[2]Controle de Produção'!$C:$C,"&lt;=" &amp; N138, '[2]Controle de Produção'!$G:$G,B138), "")</f>
        <v>0</v>
      </c>
      <c r="W138" s="27" t="str">
        <f>IFERROR(SUMIFS([3]EXPEDIÇÃO!$K:$K,[3]EXPEDIÇÃO!$E:$E,D138,[3]EXPEDIÇÃO!$D:$D,C138,[3]EXPEDIÇÃO!$N:$N,"&gt;=" &amp; G138,[3]EXPEDIÇÃO!$N:$N,"&lt;="&amp;N138), "")</f>
        <v/>
      </c>
      <c r="X138" s="27">
        <f>COUNTIFS('[2]Controle de Produção'!$P:$P,C138,'[2]Controle de Produção'!$L:$L,D138,'[2]Controle de Produção'!$B:$B,"&gt;=" &amp; G138)</f>
        <v>6</v>
      </c>
      <c r="Y138" s="27">
        <f t="shared" si="35"/>
        <v>0</v>
      </c>
      <c r="Z138" s="27">
        <f>IFERROR(COUNTIFS('[2]Controle de Produção'!$L:$L,D138,'[2]Controle de Produção'!$P:$P,C138,'[2]Controle de Produção'!$B:$B,"&gt;=" &amp; G138,'[2]Controle de Produção'!$C:$C,"&lt;=" &amp; N138, '[2]Controle de Produção'!$G:$G,B138), "")</f>
        <v>0</v>
      </c>
      <c r="AA138" s="108" t="str">
        <f t="shared" si="36"/>
        <v/>
      </c>
      <c r="AB138" s="41" t="str" cm="1">
        <f t="array" ref="AB138">_xlfn.IFS((H138*0.95)&lt;=V138,"Concluído",AND(V138 =0, J138&lt;&gt;""),"Programado",AND(V138=0,D138=""),"Desenvolv.",V138=0,"Não Iniciado",AND(V138&gt;0,V138&lt;H138,AO138=TRUE),"Em Produção",AND(V138&gt;0,V138&lt;H138,AO138=FALSE),"Produção Parcial")</f>
        <v>Não Iniciado</v>
      </c>
      <c r="AC138" s="42" t="b">
        <v>1</v>
      </c>
      <c r="AD138" s="42" t="b">
        <v>1</v>
      </c>
      <c r="AE138" s="42" t="b">
        <v>1</v>
      </c>
      <c r="AF138" s="42" t="b">
        <v>1</v>
      </c>
      <c r="AG138" s="42" t="s">
        <v>38</v>
      </c>
      <c r="AH138" s="42" t="s">
        <v>38</v>
      </c>
      <c r="AI138" s="42" t="b">
        <v>1</v>
      </c>
      <c r="AJ138" s="42" t="b">
        <v>1</v>
      </c>
      <c r="AK138" s="42" t="b">
        <v>0</v>
      </c>
      <c r="AL138" s="42" t="b">
        <v>1</v>
      </c>
      <c r="AM138" s="42" t="b">
        <v>1</v>
      </c>
      <c r="AN138" s="42" t="b">
        <v>1</v>
      </c>
      <c r="AO138" s="45" t="b" cm="1">
        <f t="array" ref="AO138">AND(COUNTIF(AC138:AN138,FALSE)=0,SUMPRODUCT(ISNUMBER(AC138:AN138)*1)=0)</f>
        <v>0</v>
      </c>
      <c r="AP138" s="59"/>
      <c r="AQ138" s="111">
        <f>IF(AB138="",99999999999,IFERROR(MATCH(AB138,{"Produção Parcial","Em Produção","Programado","Não Iniciado","Desenvolv.","Concluído"},0),7)*100000000+IF(ISNUMBER(J138),J138-46000,9999)*10000+IF(A138="",99,A138)*100+IF(C138="",99,CODE(LEFT(C138,1))))</f>
        <v>499990168</v>
      </c>
      <c r="AR138"/>
      <c r="AS138"/>
    </row>
    <row r="139" spans="1:45" s="36" customFormat="1" ht="25.15" hidden="1" customHeight="1" x14ac:dyDescent="0.25">
      <c r="A139" s="36">
        <v>1</v>
      </c>
      <c r="B139" s="38" t="s">
        <v>227</v>
      </c>
      <c r="C139" s="24" t="s">
        <v>228</v>
      </c>
      <c r="D139" s="24" t="s">
        <v>237</v>
      </c>
      <c r="E139" s="70" t="str">
        <f>INDEX([1]Produtos!$C:$C,MATCH($D139,[1]Produtos!$B:$B,0))&amp;IF($F139&lt;&gt;"-"," - "&amp;LEFT($F139,1),"")&amp;" &gt; "&amp;$B139</f>
        <v>BODY SPLASH MATTE DOCE SEDUÇÃO &gt; DAPOP - Pedido 360 mil</v>
      </c>
      <c r="F139" s="38" t="s">
        <v>38</v>
      </c>
      <c r="G139" s="38">
        <v>45828</v>
      </c>
      <c r="H139" s="39">
        <v>20000</v>
      </c>
      <c r="I139" s="24" t="s">
        <v>39</v>
      </c>
      <c r="J139" s="68" t="str" cm="1">
        <f t="array" ref="J139">IFERROR(INDEX('[2]Previsão Envase'!$D$5:$D$4867, MATCH(1,('[2]Previsão Envase'!$F$5:$F$4867=$E139)+('[2]Previsão Envase'!$G$5:$G$4867=$E139)+('[2]Previsão Envase'!$H$5:$H$4867=$E139),0)),"")</f>
        <v/>
      </c>
      <c r="K139" s="68" t="str">
        <f>IF(COUNTIF('[2]Previsão Envase'!$F:$F,E139)&gt;0,"Linha 1",
IF(COUNTIF('[2]Previsão Envase'!$G:$G,E139)&gt;0,"Linha 2",
IF(COUNTIF('[2]Previsão Envase'!$H:$H,E139)&gt;0,"Linha 3","")))</f>
        <v/>
      </c>
      <c r="L139" s="96">
        <f>COUNTIF('[2]Previsão Envase'!$F:$H,E139)-COUNTIF('[2]Previsão Envase'!$F$1:$H$4,E139)</f>
        <v>0</v>
      </c>
      <c r="M139" s="35">
        <f t="shared" si="31"/>
        <v>0</v>
      </c>
      <c r="N139" s="68" t="str">
        <f>IFERROR(MAX(_xlfn.MAXIFS('[2]Controle de Produção'!$C:$C,'[2]Controle de Produção'!$L:$L,$D139,'[2]Controle de Produção'!$P:$P,$C139,'[2]Controle de Produção'!$G:$G,$B139),_xlfn.MAXIFS([3]EXPEDIÇÃO!$N:$N,[3]EXPEDIÇÃO!$E:$E,$D139,[3]EXPEDIÇÃO!$D:$D,$C139,[3]EXPEDIÇÃO!$N:$N,"&gt;="&amp;$G139)),"")</f>
        <v/>
      </c>
      <c r="O139" s="70">
        <f>INDEX([1]Produtos!$E:$E,MATCH($D139,[1]Produtos!$B:$B,0))</f>
        <v>120</v>
      </c>
      <c r="P139" s="70" t="str">
        <f>INDEX([1]Produtos!$F:$F,MATCH($D139,[1]Produtos!$B:$B,0))</f>
        <v>ml</v>
      </c>
      <c r="Q139" s="105">
        <f>INDEX([1]Produtos!$Y:$Y,MATCH($D139,[1]Produtos!$B:$B,0))</f>
        <v>0</v>
      </c>
      <c r="R139" s="35">
        <f t="shared" si="32"/>
        <v>7592.2902086267013</v>
      </c>
      <c r="S139" s="27">
        <f>IFERROR(INDEX([1]Produtos!$L:$L,MATCH(D139,[1]Produtos!$B:$B,0)), "")</f>
        <v>843.58780095852239</v>
      </c>
      <c r="T139" s="28">
        <f t="shared" si="33"/>
        <v>23.8</v>
      </c>
      <c r="U139" s="28" t="str">
        <f t="shared" si="34"/>
        <v>2D e 7h</v>
      </c>
      <c r="V139" s="27">
        <f>IFERROR(SUMIFS('[2]Controle de Produção'!$K:$K,'[2]Controle de Produção'!$L:$L,D139,'[2]Controle de Produção'!$P:$P,C139,'[2]Controle de Produção'!$B:$B,"&gt;=" &amp; G139,'[2]Controle de Produção'!$C:$C,"&lt;=" &amp; N139, '[2]Controle de Produção'!$G:$G,B139), "")</f>
        <v>0</v>
      </c>
      <c r="W139" s="27" t="str">
        <f>IFERROR(SUMIFS([3]EXPEDIÇÃO!$K:$K,[3]EXPEDIÇÃO!$E:$E,D139,[3]EXPEDIÇÃO!$D:$D,C139,[3]EXPEDIÇÃO!$N:$N,"&gt;=" &amp; G139,[3]EXPEDIÇÃO!$N:$N,"&lt;="&amp;N139), "")</f>
        <v/>
      </c>
      <c r="X139" s="27">
        <f>COUNTIFS('[2]Controle de Produção'!$P:$P,C139,'[2]Controle de Produção'!$L:$L,D139,'[2]Controle de Produção'!$B:$B,"&gt;=" &amp; G139)</f>
        <v>8</v>
      </c>
      <c r="Y139" s="27">
        <f t="shared" si="35"/>
        <v>0</v>
      </c>
      <c r="Z139" s="27">
        <f>IFERROR(COUNTIFS('[2]Controle de Produção'!$L:$L,D139,'[2]Controle de Produção'!$P:$P,C139,'[2]Controle de Produção'!$B:$B,"&gt;=" &amp; G139,'[2]Controle de Produção'!$C:$C,"&lt;=" &amp; N139, '[2]Controle de Produção'!$G:$G,B139), "")</f>
        <v>0</v>
      </c>
      <c r="AA139" s="108" t="str">
        <f t="shared" si="36"/>
        <v/>
      </c>
      <c r="AB139" s="41" t="str" cm="1">
        <f t="array" ref="AB139">_xlfn.IFS((H139*0.95)&lt;=V139,"Concluído",AND(V139 =0, J139&lt;&gt;""),"Programado",AND(V139=0,D139=""),"Desenvolv.",V139=0,"Não Iniciado",AND(V139&gt;0,V139&lt;H139,AO139=TRUE),"Em Produção",AND(V139&gt;0,V139&lt;H139,AO139=FALSE),"Produção Parcial")</f>
        <v>Não Iniciado</v>
      </c>
      <c r="AC139" s="42" t="b">
        <v>1</v>
      </c>
      <c r="AD139" s="42" t="b">
        <v>1</v>
      </c>
      <c r="AE139" s="42" t="b">
        <v>1</v>
      </c>
      <c r="AF139" s="42" t="b">
        <v>1</v>
      </c>
      <c r="AG139" s="42" t="s">
        <v>38</v>
      </c>
      <c r="AH139" s="42" t="s">
        <v>38</v>
      </c>
      <c r="AI139" s="124">
        <v>45852</v>
      </c>
      <c r="AJ139" s="42" t="b">
        <v>1</v>
      </c>
      <c r="AK139" s="42" t="b">
        <v>0</v>
      </c>
      <c r="AL139" s="42" t="b">
        <v>1</v>
      </c>
      <c r="AM139" s="42" t="b">
        <v>1</v>
      </c>
      <c r="AN139" s="42" t="b">
        <v>0</v>
      </c>
      <c r="AO139" s="45" t="b" cm="1">
        <f t="array" ref="AO139">AND(COUNTIF(AC139:AN139,FALSE)=0,SUMPRODUCT(ISNUMBER(AC139:AN139)*1)=0)</f>
        <v>0</v>
      </c>
      <c r="AP139" s="59"/>
      <c r="AQ139" s="111">
        <f>IF(AB139="",99999999999,IFERROR(MATCH(AB139,{"Produção Parcial","Em Produção","Programado","Não Iniciado","Desenvolv.","Concluído"},0),7)*100000000+IF(ISNUMBER(J139),J139-46000,9999)*10000+IF(A139="",99,A139)*100+IF(C139="",99,CODE(LEFT(C139,1))))</f>
        <v>499990168</v>
      </c>
      <c r="AR139"/>
      <c r="AS139"/>
    </row>
    <row r="140" spans="1:45" s="36" customFormat="1" ht="25.15" hidden="1" customHeight="1" x14ac:dyDescent="0.25">
      <c r="A140" s="36">
        <v>1</v>
      </c>
      <c r="B140" s="38" t="s">
        <v>227</v>
      </c>
      <c r="C140" s="24" t="s">
        <v>228</v>
      </c>
      <c r="D140" s="24" t="s">
        <v>235</v>
      </c>
      <c r="E140" s="70" t="str">
        <f>INDEX([1]Produtos!$C:$C,MATCH($D140,[1]Produtos!$B:$B,0))&amp;IF($F140&lt;&gt;"-"," - "&amp;LEFT($F140,1),"")&amp;" &gt; "&amp;$B140</f>
        <v>BODY SPLASH MATTE OITAVA MARAVILHA &gt; DAPOP - Pedido 360 mil</v>
      </c>
      <c r="F140" s="38" t="s">
        <v>38</v>
      </c>
      <c r="G140" s="38">
        <v>45828</v>
      </c>
      <c r="H140" s="39">
        <v>20000</v>
      </c>
      <c r="I140" s="24" t="s">
        <v>39</v>
      </c>
      <c r="J140" s="68" t="str" cm="1">
        <f t="array" ref="J140">IFERROR(INDEX('[2]Previsão Envase'!$D$5:$D$4867, MATCH(1,('[2]Previsão Envase'!$F$5:$F$4867=$E140)+('[2]Previsão Envase'!$G$5:$G$4867=$E140)+('[2]Previsão Envase'!$H$5:$H$4867=$E140),0)),"")</f>
        <v/>
      </c>
      <c r="K140" s="68" t="str">
        <f>IF(COUNTIF('[2]Previsão Envase'!$F:$F,E140)&gt;0,"Linha 1",
IF(COUNTIF('[2]Previsão Envase'!$G:$G,E140)&gt;0,"Linha 2",
IF(COUNTIF('[2]Previsão Envase'!$H:$H,E140)&gt;0,"Linha 3","")))</f>
        <v/>
      </c>
      <c r="L140" s="96">
        <f>COUNTIF('[2]Previsão Envase'!$F:$H,E140)-COUNTIF('[2]Previsão Envase'!$F$1:$H$4,E140)</f>
        <v>0</v>
      </c>
      <c r="M140" s="35">
        <f t="shared" si="31"/>
        <v>0</v>
      </c>
      <c r="N140" s="68" t="str">
        <f>IFERROR(MAX(_xlfn.MAXIFS('[2]Controle de Produção'!$C:$C,'[2]Controle de Produção'!$L:$L,$D140,'[2]Controle de Produção'!$P:$P,$C140,'[2]Controle de Produção'!$G:$G,$B140),_xlfn.MAXIFS([3]EXPEDIÇÃO!$N:$N,[3]EXPEDIÇÃO!$E:$E,$D140,[3]EXPEDIÇÃO!$D:$D,$C140,[3]EXPEDIÇÃO!$N:$N,"&gt;="&amp;$G140)),"")</f>
        <v/>
      </c>
      <c r="O140" s="70">
        <f>INDEX([1]Produtos!$E:$E,MATCH($D140,[1]Produtos!$B:$B,0))</f>
        <v>120</v>
      </c>
      <c r="P140" s="70" t="str">
        <f>INDEX([1]Produtos!$F:$F,MATCH($D140,[1]Produtos!$B:$B,0))</f>
        <v>ml</v>
      </c>
      <c r="Q140" s="105">
        <f>INDEX([1]Produtos!$Y:$Y,MATCH($D140,[1]Produtos!$B:$B,0))</f>
        <v>0</v>
      </c>
      <c r="R140" s="35">
        <f t="shared" si="32"/>
        <v>7592.2902086267013</v>
      </c>
      <c r="S140" s="27">
        <f>IFERROR(INDEX([1]Produtos!$L:$L,MATCH(D140,[1]Produtos!$B:$B,0)), "")</f>
        <v>843.58780095852239</v>
      </c>
      <c r="T140" s="28">
        <f t="shared" si="33"/>
        <v>23.8</v>
      </c>
      <c r="U140" s="28" t="str">
        <f t="shared" si="34"/>
        <v>2D e 7h</v>
      </c>
      <c r="V140" s="27">
        <f>IFERROR(SUMIFS('[2]Controle de Produção'!$K:$K,'[2]Controle de Produção'!$L:$L,D140,'[2]Controle de Produção'!$P:$P,C140,'[2]Controle de Produção'!$B:$B,"&gt;=" &amp; G140,'[2]Controle de Produção'!$C:$C,"&lt;=" &amp; N140, '[2]Controle de Produção'!$G:$G,B140), "")</f>
        <v>0</v>
      </c>
      <c r="W140" s="27" t="str">
        <f>IFERROR(SUMIFS([3]EXPEDIÇÃO!$K:$K,[3]EXPEDIÇÃO!$E:$E,D140,[3]EXPEDIÇÃO!$D:$D,C140,[3]EXPEDIÇÃO!$N:$N,"&gt;=" &amp; G140,[3]EXPEDIÇÃO!$N:$N,"&lt;="&amp;N140), "")</f>
        <v/>
      </c>
      <c r="X140" s="27">
        <f>COUNTIFS('[2]Controle de Produção'!$P:$P,C140,'[2]Controle de Produção'!$L:$L,D140,'[2]Controle de Produção'!$B:$B,"&gt;=" &amp; G140)</f>
        <v>6</v>
      </c>
      <c r="Y140" s="27">
        <f t="shared" si="35"/>
        <v>0</v>
      </c>
      <c r="Z140" s="27">
        <f>IFERROR(COUNTIFS('[2]Controle de Produção'!$L:$L,D140,'[2]Controle de Produção'!$P:$P,C140,'[2]Controle de Produção'!$B:$B,"&gt;=" &amp; G140,'[2]Controle de Produção'!$C:$C,"&lt;=" &amp; N140, '[2]Controle de Produção'!$G:$G,B140), "")</f>
        <v>0</v>
      </c>
      <c r="AA140" s="108" t="str">
        <f t="shared" si="36"/>
        <v/>
      </c>
      <c r="AB140" s="41" t="str" cm="1">
        <f t="array" ref="AB140">_xlfn.IFS((H140*0.95)&lt;=V140,"Concluído",AND(V140 =0, J140&lt;&gt;""),"Programado",AND(V140=0,D140=""),"Desenvolv.",V140=0,"Não Iniciado",AND(V140&gt;0,V140&lt;H140,AO140=TRUE),"Em Produção",AND(V140&gt;0,V140&lt;H140,AO140=FALSE),"Produção Parcial")</f>
        <v>Não Iniciado</v>
      </c>
      <c r="AC140" s="42" t="b">
        <v>1</v>
      </c>
      <c r="AD140" s="42" t="b">
        <v>1</v>
      </c>
      <c r="AE140" s="42" t="b">
        <v>1</v>
      </c>
      <c r="AF140" s="42" t="b">
        <v>1</v>
      </c>
      <c r="AG140" s="42" t="s">
        <v>38</v>
      </c>
      <c r="AH140" s="42" t="s">
        <v>38</v>
      </c>
      <c r="AI140" s="42" t="b">
        <v>1</v>
      </c>
      <c r="AJ140" s="42" t="s">
        <v>38</v>
      </c>
      <c r="AK140" s="42" t="b">
        <v>0</v>
      </c>
      <c r="AL140" s="42" t="b">
        <v>1</v>
      </c>
      <c r="AM140" s="42" t="b">
        <v>1</v>
      </c>
      <c r="AN140" s="42" t="b">
        <v>1</v>
      </c>
      <c r="AO140" s="45" t="b" cm="1">
        <f t="array" ref="AO140">AND(COUNTIF(AC140:AN140,FALSE)=0,SUMPRODUCT(ISNUMBER(AC140:AN140)*1)=0)</f>
        <v>0</v>
      </c>
      <c r="AP140" s="61"/>
      <c r="AQ140" s="111">
        <f>IF(AB140="",99999999999,IFERROR(MATCH(AB140,{"Produção Parcial","Em Produção","Programado","Não Iniciado","Desenvolv.","Concluído"},0),7)*100000000+IF(ISNUMBER(J140),J140-46000,9999)*10000+IF(A140="",99,A140)*100+IF(C140="",99,CODE(LEFT(C140,1))))</f>
        <v>499990168</v>
      </c>
      <c r="AR140"/>
      <c r="AS140"/>
    </row>
    <row r="141" spans="1:45" s="36" customFormat="1" ht="25.15" hidden="1" customHeight="1" x14ac:dyDescent="0.25">
      <c r="A141" s="36">
        <v>1</v>
      </c>
      <c r="B141" s="38" t="s">
        <v>227</v>
      </c>
      <c r="C141" s="24" t="s">
        <v>228</v>
      </c>
      <c r="D141" s="24" t="s">
        <v>249</v>
      </c>
      <c r="E141" s="70" t="str">
        <f>INDEX([1]Produtos!$C:$C,MATCH($D141,[1]Produtos!$B:$B,0))&amp;IF($F141&lt;&gt;"-"," - "&amp;LEFT($F141,1),"")&amp;" &gt; "&amp;$B141</f>
        <v>BODY SPLASH GLOW PAIXÃO IRRESISTÍVEL &gt; DAPOP - Pedido 360 mil</v>
      </c>
      <c r="F141" s="38" t="s">
        <v>38</v>
      </c>
      <c r="G141" s="38">
        <v>45828</v>
      </c>
      <c r="H141" s="39">
        <v>20000</v>
      </c>
      <c r="I141" s="24" t="s">
        <v>39</v>
      </c>
      <c r="J141" s="68" t="str" cm="1">
        <f t="array" ref="J141">IFERROR(INDEX('[2]Previsão Envase'!$D$5:$D$4867, MATCH(1,('[2]Previsão Envase'!$F$5:$F$4867=$E141)+('[2]Previsão Envase'!$G$5:$G$4867=$E141)+('[2]Previsão Envase'!$H$5:$H$4867=$E141),0)),"")</f>
        <v/>
      </c>
      <c r="K141" s="68" t="str">
        <f>IF(COUNTIF('[2]Previsão Envase'!$F:$F,E141)&gt;0,"Linha 1",
IF(COUNTIF('[2]Previsão Envase'!$G:$G,E141)&gt;0,"Linha 2",
IF(COUNTIF('[2]Previsão Envase'!$H:$H,E141)&gt;0,"Linha 3","")))</f>
        <v/>
      </c>
      <c r="L141" s="96">
        <f>COUNTIF('[2]Previsão Envase'!$F:$H,E141)-COUNTIF('[2]Previsão Envase'!$F$1:$H$4,E141)</f>
        <v>0</v>
      </c>
      <c r="M141" s="35">
        <f t="shared" si="31"/>
        <v>0</v>
      </c>
      <c r="N141" s="68" t="str">
        <f>IFERROR(MAX(_xlfn.MAXIFS('[2]Controle de Produção'!$C:$C,'[2]Controle de Produção'!$L:$L,$D141,'[2]Controle de Produção'!$P:$P,$C141,'[2]Controle de Produção'!$G:$G,$B141),_xlfn.MAXIFS([3]EXPEDIÇÃO!$N:$N,[3]EXPEDIÇÃO!$E:$E,$D141,[3]EXPEDIÇÃO!$D:$D,$C141,[3]EXPEDIÇÃO!$N:$N,"&gt;="&amp;$G141)),"")</f>
        <v/>
      </c>
      <c r="O141" s="70">
        <f>INDEX([1]Produtos!$E:$E,MATCH($D141,[1]Produtos!$B:$B,0))</f>
        <v>120</v>
      </c>
      <c r="P141" s="70" t="str">
        <f>INDEX([1]Produtos!$F:$F,MATCH($D141,[1]Produtos!$B:$B,0))</f>
        <v>ml</v>
      </c>
      <c r="Q141" s="105">
        <f>INDEX([1]Produtos!$Y:$Y,MATCH($D141,[1]Produtos!$B:$B,0))</f>
        <v>0</v>
      </c>
      <c r="R141" s="35">
        <f t="shared" si="32"/>
        <v>7999.1637743312976</v>
      </c>
      <c r="S141" s="27">
        <f>IFERROR(INDEX([1]Produtos!$L:$L,MATCH(D141,[1]Produtos!$B:$B,0)), "")</f>
        <v>888.79597492569974</v>
      </c>
      <c r="T141" s="28">
        <f t="shared" si="33"/>
        <v>22.6</v>
      </c>
      <c r="U141" s="28" t="str">
        <f t="shared" si="34"/>
        <v>2D e 5h</v>
      </c>
      <c r="V141" s="27">
        <f>IFERROR(SUMIFS('[2]Controle de Produção'!$K:$K,'[2]Controle de Produção'!$L:$L,D141,'[2]Controle de Produção'!$P:$P,C141,'[2]Controle de Produção'!$B:$B,"&gt;=" &amp; G141,'[2]Controle de Produção'!$C:$C,"&lt;=" &amp; N141, '[2]Controle de Produção'!$G:$G,B141), "")</f>
        <v>0</v>
      </c>
      <c r="W141" s="27" t="str">
        <f>IFERROR(SUMIFS([3]EXPEDIÇÃO!$K:$K,[3]EXPEDIÇÃO!$E:$E,D141,[3]EXPEDIÇÃO!$D:$D,C141,[3]EXPEDIÇÃO!$N:$N,"&gt;=" &amp; G141,[3]EXPEDIÇÃO!$N:$N,"&lt;="&amp;N141), "")</f>
        <v/>
      </c>
      <c r="X141" s="27">
        <f>COUNTIFS('[2]Controle de Produção'!$P:$P,C141,'[2]Controle de Produção'!$L:$L,D141,'[2]Controle de Produção'!$B:$B,"&gt;=" &amp; G141)</f>
        <v>7</v>
      </c>
      <c r="Y141" s="27">
        <f t="shared" si="35"/>
        <v>0</v>
      </c>
      <c r="Z141" s="27">
        <f>IFERROR(COUNTIFS('[2]Controle de Produção'!$L:$L,D141,'[2]Controle de Produção'!$P:$P,C141,'[2]Controle de Produção'!$B:$B,"&gt;=" &amp; G141,'[2]Controle de Produção'!$C:$C,"&lt;=" &amp; N141, '[2]Controle de Produção'!$G:$G,B141), "")</f>
        <v>0</v>
      </c>
      <c r="AA141" s="108" t="str">
        <f t="shared" si="36"/>
        <v/>
      </c>
      <c r="AB141" s="41" t="str" cm="1">
        <f t="array" ref="AB141">_xlfn.IFS((H141*0.95)&lt;=V141,"Concluído",AND(V141 =0, J141&lt;&gt;""),"Programado",AND(V141=0,D141=""),"Desenvolv.",V141=0,"Não Iniciado",AND(V141&gt;0,V141&lt;H141,AO141=TRUE),"Em Produção",AND(V141&gt;0,V141&lt;H141,AO141=FALSE),"Produção Parcial")</f>
        <v>Não Iniciado</v>
      </c>
      <c r="AC141" s="42" t="b">
        <v>1</v>
      </c>
      <c r="AD141" s="42" t="b">
        <v>1</v>
      </c>
      <c r="AE141" s="42" t="b">
        <v>1</v>
      </c>
      <c r="AF141" s="42" t="b">
        <v>1</v>
      </c>
      <c r="AG141" s="42" t="s">
        <v>38</v>
      </c>
      <c r="AH141" s="42" t="s">
        <v>38</v>
      </c>
      <c r="AI141" s="42" t="b">
        <v>1</v>
      </c>
      <c r="AJ141" s="42" t="b">
        <v>1</v>
      </c>
      <c r="AK141" s="42" t="b">
        <v>0</v>
      </c>
      <c r="AL141" s="42" t="b">
        <v>1</v>
      </c>
      <c r="AM141" s="42" t="b">
        <v>1</v>
      </c>
      <c r="AN141" s="42" t="b">
        <v>1</v>
      </c>
      <c r="AO141" s="45" t="b" cm="1">
        <f t="array" ref="AO141">AND(COUNTIF(AC141:AN141,FALSE)=0,SUMPRODUCT(ISNUMBER(AC141:AN141)*1)=0)</f>
        <v>0</v>
      </c>
      <c r="AP141" s="59"/>
      <c r="AQ141" s="111">
        <f>IF(AB141="",99999999999,IFERROR(MATCH(AB141,{"Produção Parcial","Em Produção","Programado","Não Iniciado","Desenvolv.","Concluído"},0),7)*100000000+IF(ISNUMBER(J141),J141-46000,9999)*10000+IF(A141="",99,A141)*100+IF(C141="",99,CODE(LEFT(C141,1))))</f>
        <v>499990168</v>
      </c>
      <c r="AR141"/>
      <c r="AS141"/>
    </row>
    <row r="142" spans="1:45" s="36" customFormat="1" ht="25.15" hidden="1" customHeight="1" x14ac:dyDescent="0.25">
      <c r="A142" s="36">
        <v>1</v>
      </c>
      <c r="B142" s="38" t="s">
        <v>227</v>
      </c>
      <c r="C142" s="70" t="str">
        <f>INDEX([1]Produtos!$G:$G,MATCH($D142,[1]Produtos!$B:$B,0))</f>
        <v>DAPOP</v>
      </c>
      <c r="D142" s="24" t="s">
        <v>233</v>
      </c>
      <c r="E142" s="70" t="str">
        <f>INDEX([1]Produtos!$C:$C,MATCH($D142,[1]Produtos!$B:$B,0))&amp;IF($F142&lt;&gt;"-"," - "&amp;LEFT($F142,1),"")&amp;" &gt; "&amp;$B142</f>
        <v>ESFOLIANTE MATTE SORVETE DE  BAUNILHA - 1 &gt; DAPOP - Pedido 360 mil</v>
      </c>
      <c r="F142" s="51">
        <v>1</v>
      </c>
      <c r="G142" s="38">
        <v>45828</v>
      </c>
      <c r="H142" s="39">
        <v>7000</v>
      </c>
      <c r="I142" s="24" t="s">
        <v>39</v>
      </c>
      <c r="J142" s="68" t="str" cm="1">
        <f t="array" ref="J142">IFERROR(INDEX('[2]Previsão Envase'!$D$5:$D$4867, MATCH(1,('[2]Previsão Envase'!$F$5:$F$4867=$E142)+('[2]Previsão Envase'!$G$5:$G$4867=$E142)+('[2]Previsão Envase'!$H$5:$H$4867=$E142),0)),"")</f>
        <v/>
      </c>
      <c r="K142" s="68" t="str">
        <f>IF(COUNTIF('[2]Previsão Envase'!$F:$F,E142)&gt;0,"Linha 1",
IF(COUNTIF('[2]Previsão Envase'!$G:$G,E142)&gt;0,"Linha 2",
IF(COUNTIF('[2]Previsão Envase'!$H:$H,E142)&gt;0,"Linha 3","")))</f>
        <v/>
      </c>
      <c r="L142" s="96">
        <f>COUNTIF('[2]Previsão Envase'!$F:$H,E142)-COUNTIF('[2]Previsão Envase'!$F$1:$H$4,E142)</f>
        <v>0</v>
      </c>
      <c r="M142" s="35">
        <f t="shared" si="31"/>
        <v>0</v>
      </c>
      <c r="N142" s="68" t="str">
        <f>IFERROR(MAX(_xlfn.MAXIFS('[2]Controle de Produção'!$C:$C,'[2]Controle de Produção'!$L:$L,$D142,'[2]Controle de Produção'!$P:$P,$C142,'[2]Controle de Produção'!$G:$G,$B142),_xlfn.MAXIFS([3]EXPEDIÇÃO!$N:$N,[3]EXPEDIÇÃO!$E:$E,$D142,[3]EXPEDIÇÃO!$D:$D,$C142,[3]EXPEDIÇÃO!$N:$N,"&gt;="&amp;$G142)),"")</f>
        <v/>
      </c>
      <c r="O142" s="70">
        <f>INDEX([1]Produtos!$E:$E,MATCH($D142,[1]Produtos!$B:$B,0))</f>
        <v>150</v>
      </c>
      <c r="P142" s="70" t="str">
        <f>INDEX([1]Produtos!$F:$F,MATCH($D142,[1]Produtos!$B:$B,0))</f>
        <v>g</v>
      </c>
      <c r="Q142" s="105">
        <f>INDEX([1]Produtos!$Y:$Y,MATCH($D142,[1]Produtos!$B:$B,0))</f>
        <v>0</v>
      </c>
      <c r="R142" s="35">
        <f t="shared" si="32"/>
        <v>6490.0564190605701</v>
      </c>
      <c r="S142" s="27">
        <f>IFERROR(INDEX([1]Produtos!$L:$L,MATCH(D142,[1]Produtos!$B:$B,0)), "")</f>
        <v>721.11737989561891</v>
      </c>
      <c r="T142" s="28">
        <f t="shared" si="33"/>
        <v>9.7999999999999989</v>
      </c>
      <c r="U142" s="28" t="str">
        <f t="shared" si="34"/>
        <v>1D e 1h</v>
      </c>
      <c r="V142" s="27">
        <f>IFERROR(SUMIFS('[2]Controle de Produção'!$K:$K,'[2]Controle de Produção'!$L:$L,D142,'[2]Controle de Produção'!$P:$P,C142,'[2]Controle de Produção'!$B:$B,"&gt;=" &amp; G142,'[2]Controle de Produção'!$C:$C,"&lt;=" &amp; N142, '[2]Controle de Produção'!$G:$G,B142), "")</f>
        <v>0</v>
      </c>
      <c r="W142" s="27" t="str">
        <f>IFERROR(SUMIFS([3]EXPEDIÇÃO!$K:$K,[3]EXPEDIÇÃO!$E:$E,D142,[3]EXPEDIÇÃO!$D:$D,C142,[3]EXPEDIÇÃO!$N:$N,"&gt;=" &amp; G142,[3]EXPEDIÇÃO!$N:$N,"&lt;="&amp;N142), "")</f>
        <v/>
      </c>
      <c r="X142" s="27">
        <f>COUNTIFS('[2]Controle de Produção'!$P:$P,C142,'[2]Controle de Produção'!$L:$L,D142,'[2]Controle de Produção'!$B:$B,"&gt;=" &amp; G142)</f>
        <v>2</v>
      </c>
      <c r="Y142" s="27">
        <f t="shared" si="35"/>
        <v>0</v>
      </c>
      <c r="Z142" s="27">
        <f>IFERROR(COUNTIFS('[2]Controle de Produção'!$L:$L,D142,'[2]Controle de Produção'!$P:$P,C142,'[2]Controle de Produção'!$B:$B,"&gt;=" &amp; G142,'[2]Controle de Produção'!$C:$C,"&lt;=" &amp; N142, '[2]Controle de Produção'!$G:$G,B142), "")</f>
        <v>0</v>
      </c>
      <c r="AA142" s="108" t="str">
        <f t="shared" si="36"/>
        <v/>
      </c>
      <c r="AB142" s="41" t="str" cm="1">
        <f t="array" ref="AB142">_xlfn.IFS((H142*0.95)&lt;=V142,"Concluído",AND(V142 =0, J142&lt;&gt;""),"Programado",AND(V142=0,D142=""),"Desenvolv.",V142=0,"Não Iniciado",AND(V142&gt;0,V142&lt;H142,AO142=TRUE),"Em Produção",AND(V142&gt;0,V142&lt;H142,AO142=FALSE),"Produção Parcial")</f>
        <v>Não Iniciado</v>
      </c>
      <c r="AC142" s="42" t="b">
        <v>1</v>
      </c>
      <c r="AD142" s="42" t="b">
        <v>1</v>
      </c>
      <c r="AE142" s="42" t="b">
        <v>1</v>
      </c>
      <c r="AF142" s="42" t="b">
        <v>1</v>
      </c>
      <c r="AG142" s="42" t="b">
        <v>1</v>
      </c>
      <c r="AH142" s="42" t="s">
        <v>38</v>
      </c>
      <c r="AI142" s="42" t="s">
        <v>38</v>
      </c>
      <c r="AJ142" s="42" t="b">
        <v>1</v>
      </c>
      <c r="AK142" s="42" t="b">
        <v>0</v>
      </c>
      <c r="AL142" s="42" t="b">
        <v>1</v>
      </c>
      <c r="AM142" s="42" t="b">
        <v>1</v>
      </c>
      <c r="AN142" s="42" t="b">
        <v>1</v>
      </c>
      <c r="AO142" s="45" t="b" cm="1">
        <f t="array" ref="AO142">AND(COUNTIF(AC142:AN142,FALSE)=0,SUMPRODUCT(ISNUMBER(AC142:AN142)*1)=0)</f>
        <v>0</v>
      </c>
      <c r="AP142" s="59"/>
      <c r="AQ142" s="111">
        <f>IF(AB142="",99999999999,IFERROR(MATCH(AB142,{"Produção Parcial","Em Produção","Programado","Não Iniciado","Desenvolv.","Concluído"},0),7)*100000000+IF(ISNUMBER(J142),J142-46000,9999)*10000+IF(A142="",99,A142)*100+IF(C142="",99,CODE(LEFT(C142,1))))</f>
        <v>499990168</v>
      </c>
    </row>
    <row r="143" spans="1:45" s="36" customFormat="1" ht="25.15" hidden="1" customHeight="1" x14ac:dyDescent="0.25">
      <c r="A143" s="36">
        <v>1</v>
      </c>
      <c r="B143" s="38" t="s">
        <v>56</v>
      </c>
      <c r="C143" s="70" t="str">
        <f>INDEX([1]Produtos!$G:$G,MATCH($D143,[1]Produtos!$B:$B,0))</f>
        <v>DAPOP</v>
      </c>
      <c r="D143" s="24" t="s">
        <v>57</v>
      </c>
      <c r="E143" s="70" t="str">
        <f>INDEX([1]Produtos!$C:$C,MATCH($D143,[1]Produtos!$B:$B,0))&amp;IF($F143&lt;&gt;"-"," - "&amp;LEFT($F143,1),"")&amp;" &gt; "&amp;$B143</f>
        <v>RE.BODY SPLASH DAPOP HONEY GLOW &gt; RETRABALHO</v>
      </c>
      <c r="F143" s="51" t="s">
        <v>38</v>
      </c>
      <c r="G143" s="38">
        <v>45845</v>
      </c>
      <c r="H143" s="39">
        <v>28700</v>
      </c>
      <c r="I143" s="24" t="s">
        <v>58</v>
      </c>
      <c r="J143" s="68" t="str" cm="1">
        <f t="array" ref="J143">IFERROR(INDEX('[2]Previsão Envase'!$D$5:$D$4867, MATCH(1,('[2]Previsão Envase'!$F$5:$F$4867=$E143)+('[2]Previsão Envase'!$G$5:$G$4867=$E143)+('[2]Previsão Envase'!$H$5:$H$4867=$E143),0)),"")</f>
        <v/>
      </c>
      <c r="K143" s="68" t="str">
        <f>IF(COUNTIF('[2]Previsão Envase'!$F:$F,E143)&gt;0,"Linha 1",
IF(COUNTIF('[2]Previsão Envase'!$G:$G,E143)&gt;0,"Linha 2",
IF(COUNTIF('[2]Previsão Envase'!$H:$H,E143)&gt;0,"Linha 3","")))</f>
        <v/>
      </c>
      <c r="L143" s="96">
        <f>COUNTIF('[2]Previsão Envase'!$F:$H,E143)-COUNTIF('[2]Previsão Envase'!$F$1:$H$4,E143)</f>
        <v>0</v>
      </c>
      <c r="M143" s="35">
        <f t="shared" si="31"/>
        <v>0</v>
      </c>
      <c r="N143" s="68" t="str">
        <f>IFERROR(MAX(_xlfn.MAXIFS('[2]Controle de Produção'!$C:$C,'[2]Controle de Produção'!$L:$L,$D143,'[2]Controle de Produção'!$P:$P,$C143,'[2]Controle de Produção'!$G:$G,$B143),_xlfn.MAXIFS([3]EXPEDIÇÃO!$N:$N,[3]EXPEDIÇÃO!$E:$E,$D143,[3]EXPEDIÇÃO!$D:$D,$C143,[3]EXPEDIÇÃO!$N:$N,"&gt;="&amp;$G143)),"")</f>
        <v/>
      </c>
      <c r="O143" s="70">
        <f>INDEX([1]Produtos!$E:$E,MATCH($D143,[1]Produtos!$B:$B,0))</f>
        <v>120</v>
      </c>
      <c r="P143" s="70" t="str">
        <f>INDEX([1]Produtos!$F:$F,MATCH($D143,[1]Produtos!$B:$B,0))</f>
        <v>ml</v>
      </c>
      <c r="Q143" s="105">
        <f>INDEX([1]Produtos!$Y:$Y,MATCH($D143,[1]Produtos!$B:$B,0))</f>
        <v>0</v>
      </c>
      <c r="R143" s="35">
        <f t="shared" si="32"/>
        <v>7999.1637743312976</v>
      </c>
      <c r="S143" s="27">
        <f>IFERROR(INDEX([1]Produtos!$L:$L,MATCH(D143,[1]Produtos!$B:$B,0)), "")</f>
        <v>888.79597492569974</v>
      </c>
      <c r="T143" s="28">
        <f t="shared" si="33"/>
        <v>32.300000000000004</v>
      </c>
      <c r="U143" s="28" t="str">
        <f t="shared" si="34"/>
        <v>3D e 6h</v>
      </c>
      <c r="V143" s="27">
        <f>IFERROR(SUMIFS('[2]Controle de Produção'!$K:$K,'[2]Controle de Produção'!$L:$L,D143,'[2]Controle de Produção'!$P:$P,C143,'[2]Controle de Produção'!$B:$B,"&gt;=" &amp; G143,'[2]Controle de Produção'!$C:$C,"&lt;=" &amp; N143, '[2]Controle de Produção'!$G:$G,B143), "")</f>
        <v>0</v>
      </c>
      <c r="W143" s="27" t="str">
        <f>IFERROR(SUMIFS([3]EXPEDIÇÃO!$K:$K,[3]EXPEDIÇÃO!$E:$E,D143,[3]EXPEDIÇÃO!$D:$D,C143,[3]EXPEDIÇÃO!$N:$N,"&gt;=" &amp; G143,[3]EXPEDIÇÃO!$N:$N,"&lt;="&amp;N143), "")</f>
        <v/>
      </c>
      <c r="X143" s="27">
        <f>COUNTIFS('[2]Controle de Produção'!$P:$P,C143,'[2]Controle de Produção'!$L:$L,D143,'[2]Controle de Produção'!$B:$B,"&gt;=" &amp; G143)</f>
        <v>1</v>
      </c>
      <c r="Y143" s="27">
        <f t="shared" si="35"/>
        <v>0</v>
      </c>
      <c r="Z143" s="27">
        <f>IFERROR(COUNTIFS('[2]Controle de Produção'!$L:$L,D143,'[2]Controle de Produção'!$P:$P,C143,'[2]Controle de Produção'!$B:$B,"&gt;=" &amp; G143,'[2]Controle de Produção'!$C:$C,"&lt;=" &amp; N143, '[2]Controle de Produção'!$G:$G,B143), "")</f>
        <v>0</v>
      </c>
      <c r="AA143" s="108" t="str">
        <f t="shared" si="36"/>
        <v/>
      </c>
      <c r="AB143" s="41" t="str" cm="1">
        <f t="array" ref="AB143">_xlfn.IFS((H143*0.95)&lt;=V143,"Concluído",AND(V143 =0, J143&lt;&gt;""),"Programado",AND(V143=0,D143=""),"Desenvolv.",V143=0,"Não Iniciado",AND(V143&gt;0,V143&lt;H143,AO143=TRUE),"Em Produção",AND(V143&gt;0,V143&lt;H143,AO143=FALSE),"Produção Parcial")</f>
        <v>Não Iniciado</v>
      </c>
      <c r="AC143" s="42" t="b">
        <v>0</v>
      </c>
      <c r="AD143" s="42" t="b">
        <v>0</v>
      </c>
      <c r="AE143" s="42" t="b">
        <v>0</v>
      </c>
      <c r="AF143" s="42" t="b">
        <v>0</v>
      </c>
      <c r="AG143" s="42" t="b">
        <v>0</v>
      </c>
      <c r="AH143" s="42" t="b">
        <v>0</v>
      </c>
      <c r="AI143" s="42" t="b">
        <v>0</v>
      </c>
      <c r="AJ143" s="42" t="b">
        <v>0</v>
      </c>
      <c r="AK143" s="42" t="b">
        <v>0</v>
      </c>
      <c r="AL143" s="42" t="b">
        <v>0</v>
      </c>
      <c r="AM143" s="42" t="b">
        <v>0</v>
      </c>
      <c r="AN143" s="91" t="b">
        <v>0</v>
      </c>
      <c r="AO143" s="45" t="b" cm="1">
        <f t="array" ref="AO143">AND(COUNTIF(AC143:AN143,FALSE)=0,SUMPRODUCT(ISNUMBER(AC143:AN143)*1)=0)</f>
        <v>0</v>
      </c>
      <c r="AP143" s="59"/>
      <c r="AQ143" s="111">
        <f>IF(AB143="",99999999999,IFERROR(MATCH(AB143,{"Produção Parcial","Em Produção","Programado","Não Iniciado","Desenvolv.","Concluído"},0),7)*100000000+IF(ISNUMBER(J143),J143-46000,9999)*10000+IF(A143="",99,A143)*100+IF(C143="",99,CODE(LEFT(C143,1))))</f>
        <v>499990168</v>
      </c>
    </row>
    <row r="144" spans="1:45" s="36" customFormat="1" ht="25.15" hidden="1" customHeight="1" x14ac:dyDescent="0.25">
      <c r="A144" s="36">
        <v>1</v>
      </c>
      <c r="B144" s="38" t="s">
        <v>151</v>
      </c>
      <c r="C144" s="70" t="str">
        <f>INDEX([1]Produtos!$G:$G,MATCH($D144,[1]Produtos!$B:$B,0))</f>
        <v>DYNASTY</v>
      </c>
      <c r="D144" s="24" t="s">
        <v>152</v>
      </c>
      <c r="E144" s="70" t="str">
        <f>INDEX([1]Produtos!$C:$C,MATCH($D144,[1]Produtos!$B:$B,0))&amp;IF($F144&lt;&gt;"-"," - "&amp;LEFT($F144,1),"")&amp;" &gt; "&amp;$B144</f>
        <v>PERFUME IRON - 1 &gt; SMAYKEL 01</v>
      </c>
      <c r="F144" s="51">
        <v>1</v>
      </c>
      <c r="G144" s="38">
        <v>45931</v>
      </c>
      <c r="H144" s="39">
        <v>500</v>
      </c>
      <c r="I144" s="24" t="s">
        <v>39</v>
      </c>
      <c r="J144" s="68" t="str" cm="1">
        <f t="array" ref="J144">IFERROR(INDEX('[2]Previsão Envase'!$D$5:$D$4867, MATCH(1,('[2]Previsão Envase'!$F$5:$F$4867=$E144)+('[2]Previsão Envase'!$G$5:$G$4867=$E144)+('[2]Previsão Envase'!$H$5:$H$4867=$E144),0)),"")</f>
        <v/>
      </c>
      <c r="K144" s="68" t="str">
        <f>IF(COUNTIF('[2]Previsão Envase'!$F:$F,E144)&gt;0,"Linha 1",
IF(COUNTIF('[2]Previsão Envase'!$G:$G,E144)&gt;0,"Linha 2",
IF(COUNTIF('[2]Previsão Envase'!$H:$H,E144)&gt;0,"Linha 3","")))</f>
        <v/>
      </c>
      <c r="L144" s="96">
        <f>COUNTIF('[2]Previsão Envase'!$F:$H,E144)-COUNTIF('[2]Previsão Envase'!$F$1:$H$4,E144)</f>
        <v>0</v>
      </c>
      <c r="M144" s="35">
        <f t="shared" si="31"/>
        <v>0</v>
      </c>
      <c r="N144" s="68" t="str">
        <f>IFERROR(MAX(_xlfn.MAXIFS('[2]Controle de Produção'!$C:$C,'[2]Controle de Produção'!$L:$L,$D144,'[2]Controle de Produção'!$P:$P,$C144,'[2]Controle de Produção'!$G:$G,$B144),_xlfn.MAXIFS([3]EXPEDIÇÃO!$N:$N,[3]EXPEDIÇÃO!$E:$E,$D144,[3]EXPEDIÇÃO!$D:$D,$C144,[3]EXPEDIÇÃO!$N:$N,"&gt;="&amp;$G144)),"")</f>
        <v/>
      </c>
      <c r="O144" s="70">
        <f>INDEX([1]Produtos!$E:$E,MATCH($D144,[1]Produtos!$B:$B,0))</f>
        <v>50</v>
      </c>
      <c r="P144" s="70" t="str">
        <f>INDEX([1]Produtos!$F:$F,MATCH($D144,[1]Produtos!$B:$B,0))</f>
        <v>ml</v>
      </c>
      <c r="Q144" s="105">
        <f>INDEX([1]Produtos!$Y:$Y,MATCH($D144,[1]Produtos!$B:$B,0))</f>
        <v>0</v>
      </c>
      <c r="R144" s="35">
        <f t="shared" si="32"/>
        <v>1577.3766463727152</v>
      </c>
      <c r="S144" s="27">
        <f>IFERROR(INDEX([1]Produtos!$L:$L,MATCH(D144,[1]Produtos!$B:$B,0)), "")</f>
        <v>175.26407181919058</v>
      </c>
      <c r="T144" s="28">
        <f t="shared" si="33"/>
        <v>2.9</v>
      </c>
      <c r="U144" s="28" t="str">
        <f t="shared" si="34"/>
        <v>0D e 3h</v>
      </c>
      <c r="V144" s="27">
        <f>IFERROR(SUMIFS('[2]Controle de Produção'!$K:$K,'[2]Controle de Produção'!$L:$L,D144,'[2]Controle de Produção'!$P:$P,C144,'[2]Controle de Produção'!$B:$B,"&gt;=" &amp; G144,'[2]Controle de Produção'!$C:$C,"&lt;=" &amp; N144, '[2]Controle de Produção'!$G:$G,B144), "")</f>
        <v>0</v>
      </c>
      <c r="W144" s="27" t="str">
        <f>IFERROR(SUMIFS([3]EXPEDIÇÃO!$K:$K,[3]EXPEDIÇÃO!$E:$E,D144,[3]EXPEDIÇÃO!$D:$D,C144,[3]EXPEDIÇÃO!$N:$N,"&gt;=" &amp; G144,[3]EXPEDIÇÃO!$N:$N,"&lt;="&amp;N144), "")</f>
        <v/>
      </c>
      <c r="X144" s="27">
        <f>COUNTIFS('[2]Controle de Produção'!$P:$P,C144,'[2]Controle de Produção'!$L:$L,D144,'[2]Controle de Produção'!$B:$B,"&gt;=" &amp; G144)</f>
        <v>1</v>
      </c>
      <c r="Y144" s="27">
        <f t="shared" si="35"/>
        <v>0</v>
      </c>
      <c r="Z144" s="27">
        <f>IFERROR(COUNTIFS('[2]Controle de Produção'!$L:$L,D144,'[2]Controle de Produção'!$P:$P,C144,'[2]Controle de Produção'!$B:$B,"&gt;=" &amp; G144,'[2]Controle de Produção'!$C:$C,"&lt;=" &amp; N144, '[2]Controle de Produção'!$G:$G,B144), "")</f>
        <v>0</v>
      </c>
      <c r="AA144" s="108" t="str">
        <f t="shared" si="36"/>
        <v/>
      </c>
      <c r="AB144" s="41" t="str" cm="1">
        <f t="array" ref="AB144">_xlfn.IFS((H144*0.95)&lt;=V144,"Concluído",AND(V144 =0, J144&lt;&gt;""),"Programado",AND(V144=0,D144=""),"Desenvolv.",V144=0,"Não Iniciado",AND(V144&gt;0,V144&lt;H144,AO144=TRUE),"Em Produção",AND(V144&gt;0,V144&lt;H144,AO144=FALSE),"Produção Parcial")</f>
        <v>Não Iniciado</v>
      </c>
      <c r="AC144" s="42" t="b">
        <v>1</v>
      </c>
      <c r="AD144" s="42" t="b">
        <v>1</v>
      </c>
      <c r="AE144" s="42" t="b">
        <v>1</v>
      </c>
      <c r="AF144" s="42" t="b">
        <v>1</v>
      </c>
      <c r="AG144" s="42" t="b">
        <v>1</v>
      </c>
      <c r="AH144" s="42" t="b">
        <v>1</v>
      </c>
      <c r="AI144" s="42" t="b">
        <v>1</v>
      </c>
      <c r="AJ144" s="42" t="b">
        <v>1</v>
      </c>
      <c r="AK144" s="42" t="b">
        <v>0</v>
      </c>
      <c r="AL144" s="42" t="b">
        <v>1</v>
      </c>
      <c r="AM144" s="42" t="b">
        <v>1</v>
      </c>
      <c r="AN144" s="42" t="b">
        <v>1</v>
      </c>
      <c r="AO144" s="45" t="b" cm="1">
        <f t="array" ref="AO144">AND(COUNTIF(AC144:AN144,FALSE)=0,SUMPRODUCT(ISNUMBER(AC144:AN144)*1)=0)</f>
        <v>0</v>
      </c>
      <c r="AP144" s="59"/>
      <c r="AQ144" s="111">
        <f>IF(AB144="",99999999999,IFERROR(MATCH(AB144,{"Produção Parcial","Em Produção","Programado","Não Iniciado","Desenvolv.","Concluído"},0),7)*100000000+IF(ISNUMBER(J144),J144-46000,9999)*10000+IF(A144="",99,A144)*100+IF(C144="",99,CODE(LEFT(C144,1))))</f>
        <v>499990168</v>
      </c>
    </row>
    <row r="145" spans="1:45" s="36" customFormat="1" ht="25.15" hidden="1" customHeight="1" x14ac:dyDescent="0.25">
      <c r="A145" s="36">
        <v>1</v>
      </c>
      <c r="B145" s="38" t="s">
        <v>151</v>
      </c>
      <c r="C145" s="70" t="str">
        <f>INDEX([1]Produtos!$G:$G,MATCH($D145,[1]Produtos!$B:$B,0))</f>
        <v>DYNASTY</v>
      </c>
      <c r="D145" s="24" t="s">
        <v>225</v>
      </c>
      <c r="E145" s="70" t="str">
        <f>INDEX([1]Produtos!$C:$C,MATCH($D145,[1]Produtos!$B:$B,0))&amp;IF($F145&lt;&gt;"-"," - "&amp;LEFT($F145,1),"")&amp;" &gt; "&amp;$B145</f>
        <v>PERFUME SELVER INTENSE &gt; SMAYKEL 01</v>
      </c>
      <c r="F145" s="51" t="s">
        <v>38</v>
      </c>
      <c r="G145" s="38">
        <v>45931</v>
      </c>
      <c r="H145" s="39">
        <v>1500</v>
      </c>
      <c r="I145" s="24" t="s">
        <v>39</v>
      </c>
      <c r="J145" s="68" t="str" cm="1">
        <f t="array" ref="J145">IFERROR(INDEX('[2]Previsão Envase'!$D$5:$D$4867, MATCH(1,('[2]Previsão Envase'!$F$5:$F$4867=$E145)+('[2]Previsão Envase'!$G$5:$G$4867=$E145)+('[2]Previsão Envase'!$H$5:$H$4867=$E145),0)),"")</f>
        <v/>
      </c>
      <c r="K145" s="68" t="str">
        <f>IF(COUNTIF('[2]Previsão Envase'!$F:$F,E145)&gt;0,"Linha 1",
IF(COUNTIF('[2]Previsão Envase'!$G:$G,E145)&gt;0,"Linha 2",
IF(COUNTIF('[2]Previsão Envase'!$H:$H,E145)&gt;0,"Linha 3","")))</f>
        <v/>
      </c>
      <c r="L145" s="96">
        <f>COUNTIF('[2]Previsão Envase'!$F:$H,E145)-COUNTIF('[2]Previsão Envase'!$F$1:$H$4,E145)</f>
        <v>0</v>
      </c>
      <c r="M145" s="35">
        <f t="shared" si="31"/>
        <v>0</v>
      </c>
      <c r="N145" s="68" t="str">
        <f>IFERROR(MAX(_xlfn.MAXIFS('[2]Controle de Produção'!$C:$C,'[2]Controle de Produção'!$L:$L,$D145,'[2]Controle de Produção'!$P:$P,$C145,'[2]Controle de Produção'!$G:$G,$B145),_xlfn.MAXIFS([3]EXPEDIÇÃO!$N:$N,[3]EXPEDIÇÃO!$E:$E,$D145,[3]EXPEDIÇÃO!$D:$D,$C145,[3]EXPEDIÇÃO!$N:$N,"&gt;="&amp;$G145)),"")</f>
        <v/>
      </c>
      <c r="O145" s="70">
        <f>INDEX([1]Produtos!$E:$E,MATCH($D145,[1]Produtos!$B:$B,0))</f>
        <v>57</v>
      </c>
      <c r="P145" s="70" t="str">
        <f>INDEX([1]Produtos!$F:$F,MATCH($D145,[1]Produtos!$B:$B,0))</f>
        <v>ml</v>
      </c>
      <c r="Q145" s="105">
        <f>INDEX([1]Produtos!$Y:$Y,MATCH($D145,[1]Produtos!$B:$B,0))</f>
        <v>0</v>
      </c>
      <c r="R145" s="35">
        <f t="shared" si="32"/>
        <v>1577.3766463727152</v>
      </c>
      <c r="S145" s="27">
        <f>IFERROR(INDEX([1]Produtos!$L:$L,MATCH(D145,[1]Produtos!$B:$B,0)), "")</f>
        <v>175.26407181919058</v>
      </c>
      <c r="T145" s="28">
        <f t="shared" si="33"/>
        <v>8.6</v>
      </c>
      <c r="U145" s="28" t="str">
        <f t="shared" si="34"/>
        <v>0D e 9h</v>
      </c>
      <c r="V145" s="27">
        <f>IFERROR(SUMIFS('[2]Controle de Produção'!$K:$K,'[2]Controle de Produção'!$L:$L,D145,'[2]Controle de Produção'!$P:$P,C145,'[2]Controle de Produção'!$B:$B,"&gt;=" &amp; G145,'[2]Controle de Produção'!$C:$C,"&lt;=" &amp; N145, '[2]Controle de Produção'!$G:$G,B145), "")</f>
        <v>0</v>
      </c>
      <c r="W145" s="27" t="str">
        <f>IFERROR(SUMIFS([3]EXPEDIÇÃO!$K:$K,[3]EXPEDIÇÃO!$E:$E,D145,[3]EXPEDIÇÃO!$D:$D,C145,[3]EXPEDIÇÃO!$N:$N,"&gt;=" &amp; G145,[3]EXPEDIÇÃO!$N:$N,"&lt;="&amp;N145), "")</f>
        <v/>
      </c>
      <c r="X145" s="27">
        <f>COUNTIFS('[2]Controle de Produção'!$P:$P,C145,'[2]Controle de Produção'!$L:$L,D145,'[2]Controle de Produção'!$B:$B,"&gt;=" &amp; G145)</f>
        <v>1</v>
      </c>
      <c r="Y145" s="27">
        <f t="shared" si="35"/>
        <v>0</v>
      </c>
      <c r="Z145" s="27">
        <f>IFERROR(COUNTIFS('[2]Controle de Produção'!$L:$L,D145,'[2]Controle de Produção'!$P:$P,C145,'[2]Controle de Produção'!$B:$B,"&gt;=" &amp; G145,'[2]Controle de Produção'!$C:$C,"&lt;=" &amp; N145, '[2]Controle de Produção'!$G:$G,B145), "")</f>
        <v>0</v>
      </c>
      <c r="AA145" s="108" t="str">
        <f t="shared" si="36"/>
        <v/>
      </c>
      <c r="AB145" s="41" t="str" cm="1">
        <f t="array" ref="AB145">_xlfn.IFS((H145*0.95)&lt;=V145,"Concluído",AND(V145 =0, J145&lt;&gt;""),"Programado",AND(V145=0,D145=""),"Desenvolv.",V145=0,"Não Iniciado",AND(V145&gt;0,V145&lt;H145,AO145=TRUE),"Em Produção",AND(V145&gt;0,V145&lt;H145,AO145=FALSE),"Produção Parcial")</f>
        <v>Não Iniciado</v>
      </c>
      <c r="AC145" s="42" t="b">
        <v>1</v>
      </c>
      <c r="AD145" s="42" t="b">
        <v>1</v>
      </c>
      <c r="AE145" s="42" t="b">
        <v>1</v>
      </c>
      <c r="AF145" s="42" t="b">
        <v>1</v>
      </c>
      <c r="AG145" s="42" t="b">
        <v>1</v>
      </c>
      <c r="AH145" s="42" t="b">
        <v>1</v>
      </c>
      <c r="AI145" s="42" t="b">
        <v>1</v>
      </c>
      <c r="AJ145" s="42" t="b">
        <v>1</v>
      </c>
      <c r="AK145" s="42" t="b">
        <v>0</v>
      </c>
      <c r="AL145" s="42" t="b">
        <v>1</v>
      </c>
      <c r="AM145" s="42" t="b">
        <v>1</v>
      </c>
      <c r="AN145" s="42" t="b">
        <v>1</v>
      </c>
      <c r="AO145" s="45" t="b" cm="1">
        <f t="array" ref="AO145">AND(COUNTIF(AC145:AN145,FALSE)=0,SUMPRODUCT(ISNUMBER(AC145:AN145)*1)=0)</f>
        <v>0</v>
      </c>
      <c r="AP145" s="59"/>
      <c r="AQ145" s="111">
        <f>IF(AB145="",99999999999,IFERROR(MATCH(AB145,{"Produção Parcial","Em Produção","Programado","Não Iniciado","Desenvolv.","Concluído"},0),7)*100000000+IF(ISNUMBER(J145),J145-46000,9999)*10000+IF(A145="",99,A145)*100+IF(C145="",99,CODE(LEFT(C145,1))))</f>
        <v>499990168</v>
      </c>
    </row>
    <row r="146" spans="1:45" s="36" customFormat="1" ht="25.15" hidden="1" customHeight="1" x14ac:dyDescent="0.25">
      <c r="A146" s="36">
        <v>1</v>
      </c>
      <c r="B146" s="38" t="s">
        <v>121</v>
      </c>
      <c r="C146" s="70" t="str">
        <f>INDEX([1]Produtos!$G:$G,MATCH($D146,[1]Produtos!$B:$B,0))</f>
        <v>HABIBI PERFUMES</v>
      </c>
      <c r="D146" s="24" t="s">
        <v>128</v>
      </c>
      <c r="E146" s="70" t="str">
        <f>INDEX([1]Produtos!$C:$C,MATCH($D146,[1]Produtos!$B:$B,0))&amp;IF($F146&lt;&gt;"-"," - "&amp;LEFT($F146,1),"")&amp;" &gt; "&amp;$B146</f>
        <v>HIDRATANTE BISNAGA IMPERIUM 200g - 2 &gt; HABIBI 01</v>
      </c>
      <c r="F146" s="51" t="s">
        <v>84</v>
      </c>
      <c r="G146" s="38">
        <v>46127</v>
      </c>
      <c r="H146" s="39">
        <v>4000</v>
      </c>
      <c r="I146" s="24" t="s">
        <v>39</v>
      </c>
      <c r="J146" s="68" t="str" cm="1">
        <f t="array" ref="J146">IFERROR(INDEX('[2]Previsão Envase'!$D$5:$D$4867, MATCH(1,('[2]Previsão Envase'!$F$5:$F$4867=$E146)+('[2]Previsão Envase'!$G$5:$G$4867=$E146)+('[2]Previsão Envase'!$H$5:$H$4867=$E146),0)),"")</f>
        <v/>
      </c>
      <c r="K146" s="68" t="str">
        <f>IF(COUNTIF('[2]Previsão Envase'!$F:$F,E146)&gt;0,"Linha 1",
IF(COUNTIF('[2]Previsão Envase'!$G:$G,E146)&gt;0,"Linha 2",
IF(COUNTIF('[2]Previsão Envase'!$H:$H,E146)&gt;0,"Linha 3","")))</f>
        <v/>
      </c>
      <c r="L146" s="96">
        <f>COUNTIF('[2]Previsão Envase'!$F:$H,E146)-COUNTIF('[2]Previsão Envase'!$F$1:$H$4,E146)</f>
        <v>0</v>
      </c>
      <c r="M146" s="35">
        <f t="shared" si="31"/>
        <v>0</v>
      </c>
      <c r="N146" s="68" t="str">
        <f>IFERROR(MAX(_xlfn.MAXIFS('[2]Controle de Produção'!$C:$C,'[2]Controle de Produção'!$L:$L,$D146,'[2]Controle de Produção'!$P:$P,$C146,'[2]Controle de Produção'!$G:$G,$B146),_xlfn.MAXIFS([3]EXPEDIÇÃO!$N:$N,[3]EXPEDIÇÃO!$E:$E,$D146,[3]EXPEDIÇÃO!$D:$D,$C146,[3]EXPEDIÇÃO!$N:$N,"&gt;="&amp;$G146)),"")</f>
        <v/>
      </c>
      <c r="O146" s="70">
        <f>INDEX([1]Produtos!$E:$E,MATCH($D146,[1]Produtos!$B:$B,0))</f>
        <v>200</v>
      </c>
      <c r="P146" s="70" t="str">
        <f>INDEX([1]Produtos!$F:$F,MATCH($D146,[1]Produtos!$B:$B,0))</f>
        <v>g</v>
      </c>
      <c r="Q146" s="105">
        <f>INDEX([1]Produtos!$Y:$Y,MATCH($D146,[1]Produtos!$B:$B,0))</f>
        <v>2</v>
      </c>
      <c r="R146" s="35">
        <f t="shared" si="32"/>
        <v>5520.5897431648482</v>
      </c>
      <c r="S146" s="27">
        <f>IFERROR(INDEX([1]Produtos!$L:$L,MATCH(D146,[1]Produtos!$B:$B,0)), "")</f>
        <v>613.39886035164977</v>
      </c>
      <c r="T146" s="28">
        <f t="shared" si="33"/>
        <v>6.6</v>
      </c>
      <c r="U146" s="28" t="str">
        <f t="shared" si="34"/>
        <v>0D e 7h</v>
      </c>
      <c r="V146" s="27">
        <f>IFERROR(SUMIFS('[2]Controle de Produção'!$K:$K,'[2]Controle de Produção'!$L:$L,D146,'[2]Controle de Produção'!$P:$P,C146,'[2]Controle de Produção'!$B:$B,"&gt;=" &amp; G146,'[2]Controle de Produção'!$C:$C,"&lt;=" &amp; N146, '[2]Controle de Produção'!$G:$G,B146), "")</f>
        <v>0</v>
      </c>
      <c r="W146" s="27" t="str">
        <f>IFERROR(SUMIFS([3]EXPEDIÇÃO!$K:$K,[3]EXPEDIÇÃO!$E:$E,D146,[3]EXPEDIÇÃO!$D:$D,C146,[3]EXPEDIÇÃO!$N:$N,"&gt;=" &amp; G146,[3]EXPEDIÇÃO!$N:$N,"&lt;="&amp;N146), "")</f>
        <v/>
      </c>
      <c r="X146" s="27">
        <f>COUNTIFS('[2]Controle de Produção'!$P:$P,C146,'[2]Controle de Produção'!$L:$L,D146,'[2]Controle de Produção'!$B:$B,"&gt;=" &amp; G146)</f>
        <v>6</v>
      </c>
      <c r="Y146" s="27">
        <f t="shared" si="35"/>
        <v>0</v>
      </c>
      <c r="Z146" s="27">
        <f>IFERROR(COUNTIFS('[2]Controle de Produção'!$L:$L,D146,'[2]Controle de Produção'!$P:$P,C146,'[2]Controle de Produção'!$B:$B,"&gt;=" &amp; G146,'[2]Controle de Produção'!$C:$C,"&lt;=" &amp; N146, '[2]Controle de Produção'!$G:$G,B146), "")</f>
        <v>0</v>
      </c>
      <c r="AA146" s="108" t="str">
        <f t="shared" si="36"/>
        <v/>
      </c>
      <c r="AB146" s="41" t="str" cm="1">
        <f t="array" ref="AB146">_xlfn.IFS((H146*0.95)&lt;=V146,"Concluído",AND(V146 =0, J146&lt;&gt;""),"Programado",AND(V146=0,D146=""),"Desenvolv.",V146=0,"Não Iniciado",AND(V146&gt;0,V146&lt;H146,AO146=TRUE),"Em Produção",AND(V146&gt;0,V146&lt;H146,AO146=FALSE),"Produção Parcial")</f>
        <v>Não Iniciado</v>
      </c>
      <c r="AC146" s="42" t="b">
        <v>1</v>
      </c>
      <c r="AD146" s="42" t="b">
        <v>1</v>
      </c>
      <c r="AE146" s="42" t="s">
        <v>38</v>
      </c>
      <c r="AF146" s="42" t="b">
        <v>1</v>
      </c>
      <c r="AG146" s="42" t="b">
        <v>1</v>
      </c>
      <c r="AH146" s="42" t="b">
        <v>1</v>
      </c>
      <c r="AI146" s="42" t="s">
        <v>38</v>
      </c>
      <c r="AJ146" s="42" t="b">
        <v>1</v>
      </c>
      <c r="AK146" s="42" t="s">
        <v>38</v>
      </c>
      <c r="AL146" s="42" t="b">
        <v>1</v>
      </c>
      <c r="AM146" s="42" t="b">
        <v>1</v>
      </c>
      <c r="AN146" s="42" t="b">
        <v>1</v>
      </c>
      <c r="AO146" s="45" t="b" cm="1">
        <f t="array" ref="AO146">AND(COUNTIF(AC146:AN146,FALSE)=0,SUMPRODUCT(ISNUMBER(AC146:AN146)*1)=0)</f>
        <v>1</v>
      </c>
      <c r="AP146" s="59"/>
      <c r="AQ146" s="111">
        <f>IF(AB146="",99999999999,IFERROR(MATCH(AB146,{"Produção Parcial","Em Produção","Programado","Não Iniciado","Desenvolv.","Concluído"},0),7)*100000000+IF(ISNUMBER(J146),J146-46000,9999)*10000+IF(A146="",99,A146)*100+IF(C146="",99,CODE(LEFT(C146,1))))</f>
        <v>499990172</v>
      </c>
    </row>
    <row r="147" spans="1:45" s="36" customFormat="1" ht="25.15" hidden="1" customHeight="1" x14ac:dyDescent="0.25">
      <c r="A147" s="36">
        <v>1</v>
      </c>
      <c r="B147" s="38" t="s">
        <v>177</v>
      </c>
      <c r="C147" s="70" t="str">
        <f>INDEX([1]Produtos!$G:$G,MATCH($D147,[1]Produtos!$B:$B,0))</f>
        <v>ISA BEAUTY</v>
      </c>
      <c r="D147" s="24" t="s">
        <v>185</v>
      </c>
      <c r="E147" s="70" t="str">
        <f>INDEX([1]Produtos!$C:$C,MATCH($D147,[1]Produtos!$B:$B,0))&amp;IF($F147&lt;&gt;"-"," - "&amp;LEFT($F147,1),"")&amp;" &gt; "&amp;$B147</f>
        <v>ESCOVA DE CHUVEIRO CHEIRINHO DE MELÂNCIA - 2 &gt; 03_07</v>
      </c>
      <c r="F147" s="51" t="s">
        <v>141</v>
      </c>
      <c r="G147" s="38">
        <v>45933</v>
      </c>
      <c r="H147" s="39">
        <v>2800</v>
      </c>
      <c r="I147" s="24" t="s">
        <v>42</v>
      </c>
      <c r="J147" s="68" t="str" cm="1">
        <f t="array" ref="J147">IFERROR(INDEX('[2]Previsão Envase'!$D$5:$D$4867, MATCH(1,('[2]Previsão Envase'!$F$5:$F$4867=$E147)+('[2]Previsão Envase'!$G$5:$G$4867=$E147)+('[2]Previsão Envase'!$H$5:$H$4867=$E147),0)),"")</f>
        <v/>
      </c>
      <c r="K147" s="68" t="str">
        <f>IF(COUNTIF('[2]Previsão Envase'!$F:$F,E147)&gt;0,"Linha 1",
IF(COUNTIF('[2]Previsão Envase'!$G:$G,E147)&gt;0,"Linha 2",
IF(COUNTIF('[2]Previsão Envase'!$H:$H,E147)&gt;0,"Linha 3","")))</f>
        <v/>
      </c>
      <c r="L147" s="96">
        <f>COUNTIF('[2]Previsão Envase'!$F:$H,E147)-COUNTIF('[2]Previsão Envase'!$F$1:$H$4,E147)</f>
        <v>0</v>
      </c>
      <c r="M147" s="35">
        <f t="shared" si="31"/>
        <v>0</v>
      </c>
      <c r="N147" s="68" t="str">
        <f>IFERROR(MAX(_xlfn.MAXIFS('[2]Controle de Produção'!$C:$C,'[2]Controle de Produção'!$L:$L,$D147,'[2]Controle de Produção'!$P:$P,$C147,'[2]Controle de Produção'!$G:$G,$B147),_xlfn.MAXIFS([3]EXPEDIÇÃO!$N:$N,[3]EXPEDIÇÃO!$E:$E,$D147,[3]EXPEDIÇÃO!$D:$D,$C147,[3]EXPEDIÇÃO!$N:$N,"&gt;="&amp;$G147)),"")</f>
        <v/>
      </c>
      <c r="O147" s="70">
        <f>INDEX([1]Produtos!$E:$E,MATCH($D147,[1]Produtos!$B:$B,0))</f>
        <v>100</v>
      </c>
      <c r="P147" s="70" t="str">
        <f>INDEX([1]Produtos!$F:$F,MATCH($D147,[1]Produtos!$B:$B,0))</f>
        <v>ml</v>
      </c>
      <c r="Q147" s="105">
        <f>INDEX([1]Produtos!$Y:$Y,MATCH($D147,[1]Produtos!$B:$B,0))</f>
        <v>0</v>
      </c>
      <c r="R147" s="35">
        <f t="shared" si="32"/>
        <v>9126.2526765061884</v>
      </c>
      <c r="S147" s="27">
        <f>IFERROR(INDEX([1]Produtos!$L:$L,MATCH(D147,[1]Produtos!$B:$B,0)), "")</f>
        <v>1014.0280751673542</v>
      </c>
      <c r="T147" s="28">
        <f t="shared" si="33"/>
        <v>2.8000000000000003</v>
      </c>
      <c r="U147" s="28" t="str">
        <f t="shared" si="34"/>
        <v>0D e 3h</v>
      </c>
      <c r="V147" s="27">
        <f>IFERROR(SUMIFS('[2]Controle de Produção'!$K:$K,'[2]Controle de Produção'!$L:$L,D147,'[2]Controle de Produção'!$P:$P,C147,'[2]Controle de Produção'!$B:$B,"&gt;=" &amp; G147,'[2]Controle de Produção'!$C:$C,"&lt;=" &amp; N147, '[2]Controle de Produção'!$G:$G,B147), "")</f>
        <v>0</v>
      </c>
      <c r="W147" s="27" t="str">
        <f>IFERROR(SUMIFS([3]EXPEDIÇÃO!$K:$K,[3]EXPEDIÇÃO!$E:$E,D147,[3]EXPEDIÇÃO!$D:$D,C147,[3]EXPEDIÇÃO!$N:$N,"&gt;=" &amp; G147,[3]EXPEDIÇÃO!$N:$N,"&lt;="&amp;N147), "")</f>
        <v/>
      </c>
      <c r="X147" s="27">
        <f>COUNTIFS('[2]Controle de Produção'!$P:$P,C147,'[2]Controle de Produção'!$L:$L,D147,'[2]Controle de Produção'!$B:$B,"&gt;=" &amp; G147)</f>
        <v>1</v>
      </c>
      <c r="Y147" s="27">
        <f t="shared" si="35"/>
        <v>0</v>
      </c>
      <c r="Z147" s="27">
        <f>IFERROR(COUNTIFS('[2]Controle de Produção'!$L:$L,D147,'[2]Controle de Produção'!$P:$P,C147,'[2]Controle de Produção'!$B:$B,"&gt;=" &amp; G147,'[2]Controle de Produção'!$C:$C,"&lt;=" &amp; N147, '[2]Controle de Produção'!$G:$G,B147), "")</f>
        <v>0</v>
      </c>
      <c r="AA147" s="108" t="str">
        <f t="shared" si="36"/>
        <v/>
      </c>
      <c r="AB147" s="41" t="str" cm="1">
        <f t="array" ref="AB147">_xlfn.IFS((H147*0.95)&lt;=V147,"Concluído",AND(V147 =0, J147&lt;&gt;""),"Programado",AND(V147=0,D147=""),"Desenvolv.",V147=0,"Não Iniciado",AND(V147&gt;0,V147&lt;H147,AO147=TRUE),"Em Produção",AND(V147&gt;0,V147&lt;H147,AO147=FALSE),"Produção Parcial")</f>
        <v>Não Iniciado</v>
      </c>
      <c r="AC147" s="42" t="b">
        <v>1</v>
      </c>
      <c r="AD147" s="42" t="b">
        <v>1</v>
      </c>
      <c r="AE147" s="42" t="s">
        <v>38</v>
      </c>
      <c r="AF147" s="42" t="b">
        <v>1</v>
      </c>
      <c r="AG147" s="42" t="b">
        <v>1</v>
      </c>
      <c r="AH147" s="42" t="s">
        <v>38</v>
      </c>
      <c r="AI147" s="42" t="s">
        <v>38</v>
      </c>
      <c r="AJ147" s="42" t="s">
        <v>38</v>
      </c>
      <c r="AK147" s="42" t="b">
        <v>0</v>
      </c>
      <c r="AL147" s="42" t="b">
        <v>1</v>
      </c>
      <c r="AM147" s="42" t="b">
        <v>1</v>
      </c>
      <c r="AN147" s="87" t="b">
        <v>1</v>
      </c>
      <c r="AO147" s="45" t="b" cm="1">
        <f t="array" ref="AO147">AND(COUNTIF(AC147:AN147,FALSE)=0,SUMPRODUCT(ISNUMBER(AC147:AN147)*1)=0)</f>
        <v>0</v>
      </c>
      <c r="AP147" s="59"/>
      <c r="AQ147" s="111">
        <f>IF(AB147="",99999999999,IFERROR(MATCH(AB147,{"Produção Parcial","Em Produção","Programado","Não Iniciado","Desenvolv.","Concluído"},0),7)*100000000+IF(ISNUMBER(J147),J147-46000,9999)*10000+IF(A147="",99,A147)*100+IF(C147="",99,CODE(LEFT(C147,1))))</f>
        <v>499990173</v>
      </c>
    </row>
    <row r="148" spans="1:45" s="36" customFormat="1" ht="25.15" hidden="1" customHeight="1" x14ac:dyDescent="0.25">
      <c r="A148" s="36">
        <v>1</v>
      </c>
      <c r="B148" s="38" t="s">
        <v>177</v>
      </c>
      <c r="C148" s="24" t="str">
        <f>INDEX([1]Produtos!$G:$G,MATCH($D148,[1]Produtos!$B:$B,0))</f>
        <v>ISA BEAUTY</v>
      </c>
      <c r="D148" s="24" t="s">
        <v>184</v>
      </c>
      <c r="E148" s="70" t="str">
        <f>INDEX([1]Produtos!$C:$C,MATCH($D148,[1]Produtos!$B:$B,0))&amp;IF($F148&lt;&gt;"-"," - "&amp;LEFT($F148,1),"")&amp;" &gt; "&amp;$B148</f>
        <v>ESCOVA DE CHUVEIRO CHEIRINHO DE MORANGO &gt; 03_07</v>
      </c>
      <c r="F148" s="51" t="s">
        <v>38</v>
      </c>
      <c r="G148" s="38">
        <v>45862</v>
      </c>
      <c r="H148" s="39">
        <v>10000</v>
      </c>
      <c r="I148" s="24" t="s">
        <v>39</v>
      </c>
      <c r="J148" s="68" t="str" cm="1">
        <f t="array" ref="J148">IFERROR(INDEX('[2]Previsão Envase'!$D$5:$D$4867, MATCH(1,('[2]Previsão Envase'!$F$5:$F$4867=$E148)+('[2]Previsão Envase'!$G$5:$G$4867=$E148)+('[2]Previsão Envase'!$H$5:$H$4867=$E148),0)),"")</f>
        <v/>
      </c>
      <c r="K148" s="68" t="str">
        <f>IF(COUNTIF('[2]Previsão Envase'!$F:$F,E148)&gt;0,"Linha 1",
IF(COUNTIF('[2]Previsão Envase'!$G:$G,E148)&gt;0,"Linha 2",
IF(COUNTIF('[2]Previsão Envase'!$H:$H,E148)&gt;0,"Linha 3","")))</f>
        <v/>
      </c>
      <c r="L148" s="96">
        <f>COUNTIF('[2]Previsão Envase'!$F:$H,E148)-COUNTIF('[2]Previsão Envase'!$F$1:$H$4,E148)</f>
        <v>0</v>
      </c>
      <c r="M148" s="35">
        <f t="shared" si="31"/>
        <v>0</v>
      </c>
      <c r="N148" s="68" t="str">
        <f>IFERROR(MAX(_xlfn.MAXIFS('[2]Controle de Produção'!$C:$C,'[2]Controle de Produção'!$L:$L,$D148,'[2]Controle de Produção'!$P:$P,$C148,'[2]Controle de Produção'!$G:$G,$B148),_xlfn.MAXIFS([3]EXPEDIÇÃO!$N:$N,[3]EXPEDIÇÃO!$E:$E,$D148,[3]EXPEDIÇÃO!$D:$D,$C148,[3]EXPEDIÇÃO!$N:$N,"&gt;="&amp;$G148)),"")</f>
        <v/>
      </c>
      <c r="O148" s="70">
        <f>INDEX([1]Produtos!$E:$E,MATCH($D148,[1]Produtos!$B:$B,0))</f>
        <v>100</v>
      </c>
      <c r="P148" s="70" t="str">
        <f>INDEX([1]Produtos!$F:$F,MATCH($D148,[1]Produtos!$B:$B,0))</f>
        <v>ml</v>
      </c>
      <c r="Q148" s="105">
        <f>INDEX([1]Produtos!$Y:$Y,MATCH($D148,[1]Produtos!$B:$B,0))</f>
        <v>0</v>
      </c>
      <c r="R148" s="35">
        <f t="shared" si="32"/>
        <v>9126.2526765061884</v>
      </c>
      <c r="S148" s="27">
        <f>IFERROR(INDEX([1]Produtos!$L:$L,MATCH(D148,[1]Produtos!$B:$B,0)), "")</f>
        <v>1014.0280751673542</v>
      </c>
      <c r="T148" s="28">
        <f t="shared" si="33"/>
        <v>9.9</v>
      </c>
      <c r="U148" s="28" t="str">
        <f t="shared" si="34"/>
        <v>1D e 2h</v>
      </c>
      <c r="V148" s="27">
        <f>IFERROR(SUMIFS('[2]Controle de Produção'!$K:$K,'[2]Controle de Produção'!$L:$L,D148,'[2]Controle de Produção'!$P:$P,C148,'[2]Controle de Produção'!$B:$B,"&gt;=" &amp; G148,'[2]Controle de Produção'!$C:$C,"&lt;=" &amp; N148, '[2]Controle de Produção'!$G:$G,B148), "")</f>
        <v>0</v>
      </c>
      <c r="W148" s="27" t="str">
        <f>IFERROR(SUMIFS([3]EXPEDIÇÃO!$K:$K,[3]EXPEDIÇÃO!$E:$E,D148,[3]EXPEDIÇÃO!$D:$D,C148,[3]EXPEDIÇÃO!$N:$N,"&gt;=" &amp; G148,[3]EXPEDIÇÃO!$N:$N,"&lt;="&amp;N148), "")</f>
        <v/>
      </c>
      <c r="X148" s="27">
        <f>COUNTIFS('[2]Controle de Produção'!$P:$P,C148,'[2]Controle de Produção'!$L:$L,D148,'[2]Controle de Produção'!$B:$B,"&gt;=" &amp; G148)</f>
        <v>3</v>
      </c>
      <c r="Y148" s="27">
        <f t="shared" si="35"/>
        <v>0</v>
      </c>
      <c r="Z148" s="27">
        <f>IFERROR(COUNTIFS('[2]Controle de Produção'!$L:$L,D148,'[2]Controle de Produção'!$P:$P,C148,'[2]Controle de Produção'!$B:$B,"&gt;=" &amp; G148,'[2]Controle de Produção'!$C:$C,"&lt;=" &amp; N148, '[2]Controle de Produção'!$G:$G,B148), "")</f>
        <v>0</v>
      </c>
      <c r="AA148" s="108" t="str">
        <f t="shared" si="36"/>
        <v/>
      </c>
      <c r="AB148" s="41" t="str" cm="1">
        <f t="array" ref="AB148">_xlfn.IFS((H148*0.95)&lt;=V148,"Concluído",AND(V148 =0, J148&lt;&gt;""),"Programado",AND(V148=0,D148=""),"Desenvolv.",V148=0,"Não Iniciado",AND(V148&gt;0,V148&lt;H148,AO148=TRUE),"Em Produção",AND(V148&gt;0,V148&lt;H148,AO148=FALSE),"Produção Parcial")</f>
        <v>Não Iniciado</v>
      </c>
      <c r="AC148" s="42" t="b">
        <v>1</v>
      </c>
      <c r="AD148" s="42" t="b">
        <v>1</v>
      </c>
      <c r="AE148" s="42" t="s">
        <v>38</v>
      </c>
      <c r="AF148" s="42" t="b">
        <v>1</v>
      </c>
      <c r="AG148" s="42" t="b">
        <v>1</v>
      </c>
      <c r="AH148" s="42" t="s">
        <v>38</v>
      </c>
      <c r="AI148" s="42" t="s">
        <v>38</v>
      </c>
      <c r="AJ148" s="42" t="s">
        <v>38</v>
      </c>
      <c r="AK148" s="42" t="b">
        <v>0</v>
      </c>
      <c r="AL148" s="42" t="b">
        <v>1</v>
      </c>
      <c r="AM148" s="42" t="b">
        <v>1</v>
      </c>
      <c r="AN148" s="42">
        <v>1</v>
      </c>
      <c r="AO148" s="45" t="b" cm="1">
        <f t="array" ref="AO148">AND(COUNTIF(AC148:AN148,FALSE)=0,SUMPRODUCT(ISNUMBER(AC148:AN148)*1)=0)</f>
        <v>0</v>
      </c>
      <c r="AP148" s="59"/>
      <c r="AQ148" s="111">
        <f>IF(AB148="",99999999999,IFERROR(MATCH(AB148,{"Produção Parcial","Em Produção","Programado","Não Iniciado","Desenvolv.","Concluído"},0),7)*100000000+IF(ISNUMBER(J148),J148-46000,9999)*10000+IF(A148="",99,A148)*100+IF(C148="",99,CODE(LEFT(C148,1))))</f>
        <v>499990173</v>
      </c>
    </row>
    <row r="149" spans="1:45" s="36" customFormat="1" ht="25.15" hidden="1" customHeight="1" x14ac:dyDescent="0.25">
      <c r="A149" s="36">
        <v>1</v>
      </c>
      <c r="B149" s="38" t="s">
        <v>177</v>
      </c>
      <c r="C149" s="70" t="str">
        <f>INDEX([1]Produtos!$G:$G,MATCH($D149,[1]Produtos!$B:$B,0))</f>
        <v>ISA BEAUTY</v>
      </c>
      <c r="D149" s="24" t="s">
        <v>184</v>
      </c>
      <c r="E149" s="70" t="str">
        <f>INDEX([1]Produtos!$C:$C,MATCH($D149,[1]Produtos!$B:$B,0))&amp;IF($F149&lt;&gt;"-"," - "&amp;LEFT($F149,1),"")&amp;" &gt; "&amp;$B149</f>
        <v>ESCOVA DE CHUVEIRO CHEIRINHO DE MORANGO - 2 &gt; 03_07</v>
      </c>
      <c r="F149" s="51" t="s">
        <v>141</v>
      </c>
      <c r="G149" s="38">
        <v>45933</v>
      </c>
      <c r="H149" s="39">
        <v>2800</v>
      </c>
      <c r="I149" s="24" t="s">
        <v>42</v>
      </c>
      <c r="J149" s="68" t="str" cm="1">
        <f t="array" ref="J149">IFERROR(INDEX('[2]Previsão Envase'!$D$5:$D$4867, MATCH(1,('[2]Previsão Envase'!$F$5:$F$4867=$E149)+('[2]Previsão Envase'!$G$5:$G$4867=$E149)+('[2]Previsão Envase'!$H$5:$H$4867=$E149),0)),"")</f>
        <v/>
      </c>
      <c r="K149" s="68" t="str">
        <f>IF(COUNTIF('[2]Previsão Envase'!$F:$F,E149)&gt;0,"Linha 1",
IF(COUNTIF('[2]Previsão Envase'!$G:$G,E149)&gt;0,"Linha 2",
IF(COUNTIF('[2]Previsão Envase'!$H:$H,E149)&gt;0,"Linha 3","")))</f>
        <v/>
      </c>
      <c r="L149" s="96">
        <f>COUNTIF('[2]Previsão Envase'!$F:$H,E149)-COUNTIF('[2]Previsão Envase'!$F$1:$H$4,E149)</f>
        <v>0</v>
      </c>
      <c r="M149" s="35">
        <f t="shared" si="31"/>
        <v>0</v>
      </c>
      <c r="N149" s="68" t="str">
        <f>IFERROR(MAX(_xlfn.MAXIFS('[2]Controle de Produção'!$C:$C,'[2]Controle de Produção'!$L:$L,$D149,'[2]Controle de Produção'!$P:$P,$C149,'[2]Controle de Produção'!$G:$G,$B149),_xlfn.MAXIFS([3]EXPEDIÇÃO!$N:$N,[3]EXPEDIÇÃO!$E:$E,$D149,[3]EXPEDIÇÃO!$D:$D,$C149,[3]EXPEDIÇÃO!$N:$N,"&gt;="&amp;$G149)),"")</f>
        <v/>
      </c>
      <c r="O149" s="70">
        <f>INDEX([1]Produtos!$E:$E,MATCH($D149,[1]Produtos!$B:$B,0))</f>
        <v>100</v>
      </c>
      <c r="P149" s="70" t="str">
        <f>INDEX([1]Produtos!$F:$F,MATCH($D149,[1]Produtos!$B:$B,0))</f>
        <v>ml</v>
      </c>
      <c r="Q149" s="105">
        <f>INDEX([1]Produtos!$Y:$Y,MATCH($D149,[1]Produtos!$B:$B,0))</f>
        <v>0</v>
      </c>
      <c r="R149" s="35">
        <f t="shared" si="32"/>
        <v>9126.2526765061884</v>
      </c>
      <c r="S149" s="27">
        <f>IFERROR(INDEX([1]Produtos!$L:$L,MATCH(D149,[1]Produtos!$B:$B,0)), "")</f>
        <v>1014.0280751673542</v>
      </c>
      <c r="T149" s="28">
        <f t="shared" si="33"/>
        <v>2.8000000000000003</v>
      </c>
      <c r="U149" s="28" t="str">
        <f t="shared" si="34"/>
        <v>0D e 3h</v>
      </c>
      <c r="V149" s="27">
        <f>IFERROR(SUMIFS('[2]Controle de Produção'!$K:$K,'[2]Controle de Produção'!$L:$L,D149,'[2]Controle de Produção'!$P:$P,C149,'[2]Controle de Produção'!$B:$B,"&gt;=" &amp; G149,'[2]Controle de Produção'!$C:$C,"&lt;=" &amp; N149, '[2]Controle de Produção'!$G:$G,B149), "")</f>
        <v>0</v>
      </c>
      <c r="W149" s="27" t="str">
        <f>IFERROR(SUMIFS([3]EXPEDIÇÃO!$K:$K,[3]EXPEDIÇÃO!$E:$E,D149,[3]EXPEDIÇÃO!$D:$D,C149,[3]EXPEDIÇÃO!$N:$N,"&gt;=" &amp; G149,[3]EXPEDIÇÃO!$N:$N,"&lt;="&amp;N149), "")</f>
        <v/>
      </c>
      <c r="X149" s="27">
        <f>COUNTIFS('[2]Controle de Produção'!$P:$P,C149,'[2]Controle de Produção'!$L:$L,D149,'[2]Controle de Produção'!$B:$B,"&gt;=" &amp; G149)</f>
        <v>1</v>
      </c>
      <c r="Y149" s="27">
        <f t="shared" si="35"/>
        <v>0</v>
      </c>
      <c r="Z149" s="27">
        <f>IFERROR(COUNTIFS('[2]Controle de Produção'!$L:$L,D149,'[2]Controle de Produção'!$P:$P,C149,'[2]Controle de Produção'!$B:$B,"&gt;=" &amp; G149,'[2]Controle de Produção'!$C:$C,"&lt;=" &amp; N149, '[2]Controle de Produção'!$G:$G,B149), "")</f>
        <v>0</v>
      </c>
      <c r="AA149" s="108" t="str">
        <f t="shared" si="36"/>
        <v/>
      </c>
      <c r="AB149" s="41" t="str" cm="1">
        <f t="array" ref="AB149">_xlfn.IFS((H149*0.9)&lt;=V149,"Concluído",AND(V149 =0, J149&lt;&gt;""),"Programado",AND(V149=0,D149=""),"Desenvolv.",V149=0,"Não Iniciado",AND(V149&gt;0,V149&lt;H149,AO149=TRUE),"Em Produção",AND(V149&gt;0,V149&lt;H149,AO149=FALSE),"Produção Parcial")</f>
        <v>Não Iniciado</v>
      </c>
      <c r="AC149" s="42" t="b">
        <v>1</v>
      </c>
      <c r="AD149" s="42" t="b">
        <v>1</v>
      </c>
      <c r="AE149" s="42" t="s">
        <v>38</v>
      </c>
      <c r="AF149" s="42" t="b">
        <v>1</v>
      </c>
      <c r="AG149" s="42" t="b">
        <v>1</v>
      </c>
      <c r="AH149" s="42" t="s">
        <v>38</v>
      </c>
      <c r="AI149" s="42" t="s">
        <v>38</v>
      </c>
      <c r="AJ149" s="42" t="s">
        <v>38</v>
      </c>
      <c r="AK149" s="42" t="b">
        <v>0</v>
      </c>
      <c r="AL149" s="42" t="b">
        <v>1</v>
      </c>
      <c r="AM149" s="42" t="b">
        <v>1</v>
      </c>
      <c r="AN149" s="87" t="b">
        <v>1</v>
      </c>
      <c r="AO149" s="45" t="b" cm="1">
        <f t="array" ref="AO149">AND(COUNTIF(AC149:AN149,FALSE)=0,SUMPRODUCT(ISNUMBER(AC149:AN149)*1)=0)</f>
        <v>0</v>
      </c>
      <c r="AP149" s="59"/>
      <c r="AQ149" s="111">
        <f>IF(AB149="",99999999999,IFERROR(MATCH(AB149,{"Produção Parcial","Em Produção","Programado","Não Iniciado","Desenvolv.","Concluído"},0),7)*100000000+IF(ISNUMBER(J149),J149-46000,9999)*10000+IF(A149="",99,A149)*100+IF(C149="",99,CODE(LEFT(C149,1))))</f>
        <v>499990173</v>
      </c>
    </row>
    <row r="150" spans="1:45" s="36" customFormat="1" ht="25.15" hidden="1" customHeight="1" x14ac:dyDescent="0.25">
      <c r="A150" s="36">
        <v>1</v>
      </c>
      <c r="B150" s="38" t="s">
        <v>177</v>
      </c>
      <c r="C150" s="24" t="str">
        <f>INDEX([1]Produtos!$G:$G,MATCH($D150,[1]Produtos!$B:$B,0))</f>
        <v>ISA BEAUTY</v>
      </c>
      <c r="D150" s="24" t="s">
        <v>181</v>
      </c>
      <c r="E150" s="70" t="str">
        <f>INDEX([1]Produtos!$C:$C,MATCH($D150,[1]Produtos!$B:$B,0))&amp;IF($F150&lt;&gt;"-"," - "&amp;LEFT($F150,1),"")&amp;" &gt; "&amp;$B150</f>
        <v>GELATINA CAPILAR CHEIRINHO DE MELÂNCIA &gt; 03_07</v>
      </c>
      <c r="F150" s="51" t="s">
        <v>38</v>
      </c>
      <c r="G150" s="38">
        <v>45862</v>
      </c>
      <c r="H150" s="39">
        <v>10000</v>
      </c>
      <c r="I150" s="24" t="s">
        <v>39</v>
      </c>
      <c r="J150" s="68" t="str" cm="1">
        <f t="array" ref="J150">IFERROR(INDEX('[2]Previsão Envase'!$D$5:$D$4867, MATCH(1,('[2]Previsão Envase'!$F$5:$F$4867=$E150)+('[2]Previsão Envase'!$G$5:$G$4867=$E150)+('[2]Previsão Envase'!$H$5:$H$4867=$E150),0)),"")</f>
        <v/>
      </c>
      <c r="K150" s="68" t="str">
        <f>IF(COUNTIF('[2]Previsão Envase'!$F:$F,E150)&gt;0,"Linha 1",
IF(COUNTIF('[2]Previsão Envase'!$G:$G,E150)&gt;0,"Linha 2",
IF(COUNTIF('[2]Previsão Envase'!$H:$H,E150)&gt;0,"Linha 3","")))</f>
        <v/>
      </c>
      <c r="L150" s="96">
        <f>COUNTIF('[2]Previsão Envase'!$F:$H,E150)-COUNTIF('[2]Previsão Envase'!$F$1:$H$4,E150)</f>
        <v>0</v>
      </c>
      <c r="M150" s="35">
        <f t="shared" si="31"/>
        <v>0</v>
      </c>
      <c r="N150" s="68" t="str">
        <f>IFERROR(MAX(_xlfn.MAXIFS('[2]Controle de Produção'!$C:$C,'[2]Controle de Produção'!$L:$L,$D150,'[2]Controle de Produção'!$P:$P,$C150,'[2]Controle de Produção'!$G:$G,$B150),_xlfn.MAXIFS([3]EXPEDIÇÃO!$N:$N,[3]EXPEDIÇÃO!$E:$E,$D150,[3]EXPEDIÇÃO!$D:$D,$C150,[3]EXPEDIÇÃO!$N:$N,"&gt;="&amp;$G150)),"")</f>
        <v/>
      </c>
      <c r="O150" s="70">
        <f>INDEX([1]Produtos!$E:$E,MATCH($D150,[1]Produtos!$B:$B,0))</f>
        <v>500</v>
      </c>
      <c r="P150" s="70" t="str">
        <f>INDEX([1]Produtos!$F:$F,MATCH($D150,[1]Produtos!$B:$B,0))</f>
        <v>ml</v>
      </c>
      <c r="Q150" s="105">
        <f>INDEX([1]Produtos!$Y:$Y,MATCH($D150,[1]Produtos!$B:$B,0))</f>
        <v>0</v>
      </c>
      <c r="R150" s="35">
        <f t="shared" si="32"/>
        <v>4672.1934435811372</v>
      </c>
      <c r="S150" s="27">
        <f>IFERROR(INDEX([1]Produtos!$L:$L,MATCH(D150,[1]Produtos!$B:$B,0)), "")</f>
        <v>519.13260484234854</v>
      </c>
      <c r="T150" s="28">
        <f t="shared" si="33"/>
        <v>19.3</v>
      </c>
      <c r="U150" s="28" t="str">
        <f t="shared" si="34"/>
        <v>2D e 2h</v>
      </c>
      <c r="V150" s="27">
        <f>IFERROR(SUMIFS('[2]Controle de Produção'!$K:$K,'[2]Controle de Produção'!$L:$L,D150,'[2]Controle de Produção'!$P:$P,C150,'[2]Controle de Produção'!$B:$B,"&gt;=" &amp; G150,'[2]Controle de Produção'!$C:$C,"&lt;=" &amp; N150, '[2]Controle de Produção'!$G:$G,B150), "")</f>
        <v>0</v>
      </c>
      <c r="W150" s="27" t="str">
        <f>IFERROR(SUMIFS([3]EXPEDIÇÃO!$K:$K,[3]EXPEDIÇÃO!$E:$E,D150,[3]EXPEDIÇÃO!$D:$D,C150,[3]EXPEDIÇÃO!$N:$N,"&gt;=" &amp; G150,[3]EXPEDIÇÃO!$N:$N,"&lt;="&amp;N150), "")</f>
        <v/>
      </c>
      <c r="X150" s="27">
        <f>COUNTIFS('[2]Controle de Produção'!$P:$P,C150,'[2]Controle de Produção'!$L:$L,D150,'[2]Controle de Produção'!$B:$B,"&gt;=" &amp; G150)</f>
        <v>10</v>
      </c>
      <c r="Y150" s="27">
        <f t="shared" si="35"/>
        <v>0</v>
      </c>
      <c r="Z150" s="27">
        <f>IFERROR(COUNTIFS('[2]Controle de Produção'!$L:$L,D150,'[2]Controle de Produção'!$P:$P,C150,'[2]Controle de Produção'!$B:$B,"&gt;=" &amp; G150,'[2]Controle de Produção'!$C:$C,"&lt;=" &amp; N150, '[2]Controle de Produção'!$G:$G,B150), "")</f>
        <v>0</v>
      </c>
      <c r="AA150" s="108" t="str">
        <f t="shared" si="36"/>
        <v/>
      </c>
      <c r="AB150" s="41" t="str" cm="1">
        <f t="array" ref="AB150">_xlfn.IFS((H150*0.95)&lt;=V150,"Concluído",AND(V150 =0, J150&lt;&gt;""),"Programado",AND(V150=0,D150=""),"Desenvolv.",V150=0,"Não Iniciado",AND(V150&gt;0,V150&lt;H150,AO150=TRUE),"Em Produção",AND(V150&gt;0,V150&lt;H150,AO150=FALSE),"Produção Parcial")</f>
        <v>Não Iniciado</v>
      </c>
      <c r="AC150" s="42" t="b">
        <v>1</v>
      </c>
      <c r="AD150" s="42" t="b">
        <v>1</v>
      </c>
      <c r="AE150" s="42" t="b">
        <v>1</v>
      </c>
      <c r="AF150" s="42" t="b">
        <v>1</v>
      </c>
      <c r="AG150" s="42" t="b">
        <v>1</v>
      </c>
      <c r="AH150" s="42" t="s">
        <v>38</v>
      </c>
      <c r="AI150" s="42" t="s">
        <v>38</v>
      </c>
      <c r="AJ150" s="42" t="s">
        <v>38</v>
      </c>
      <c r="AK150" s="42" t="b">
        <v>0</v>
      </c>
      <c r="AL150" s="42" t="b">
        <v>1</v>
      </c>
      <c r="AM150" s="42" t="b">
        <v>1</v>
      </c>
      <c r="AN150" s="87">
        <f>7/7</f>
        <v>1</v>
      </c>
      <c r="AO150" s="45" t="b" cm="1">
        <f t="array" ref="AO150">AND(COUNTIF(AC150:AN150,FALSE)=0,SUMPRODUCT(ISNUMBER(AC150:AN150)*1)=0)</f>
        <v>0</v>
      </c>
      <c r="AP150" s="59"/>
      <c r="AQ150" s="111">
        <f>IF(AB150="",99999999999,IFERROR(MATCH(AB150,{"Produção Parcial","Em Produção","Programado","Não Iniciado","Desenvolv.","Concluído"},0),7)*100000000+IF(ISNUMBER(J150),J150-46000,9999)*10000+IF(A150="",99,A150)*100+IF(C150="",99,CODE(LEFT(C150,1))))</f>
        <v>499990173</v>
      </c>
    </row>
    <row r="151" spans="1:45" s="36" customFormat="1" ht="25.15" hidden="1" customHeight="1" x14ac:dyDescent="0.25">
      <c r="A151" s="36">
        <v>1</v>
      </c>
      <c r="B151" s="38" t="s">
        <v>177</v>
      </c>
      <c r="C151" s="70" t="str">
        <f>INDEX([1]Produtos!$G:$G,MATCH($D151,[1]Produtos!$B:$B,0))</f>
        <v>ISA BEAUTY</v>
      </c>
      <c r="D151" s="24" t="s">
        <v>193</v>
      </c>
      <c r="E151" s="70" t="str">
        <f>INDEX([1]Produtos!$C:$C,MATCH($D151,[1]Produtos!$B:$B,0))&amp;IF($F151&lt;&gt;"-"," - "&amp;LEFT($F151,1),"")&amp;" &gt; "&amp;$B151</f>
        <v>GELEIA DE BANHO HABIB &gt; 03_07</v>
      </c>
      <c r="F151" s="51" t="s">
        <v>38</v>
      </c>
      <c r="G151" s="38">
        <v>45862</v>
      </c>
      <c r="H151" s="39">
        <v>5000</v>
      </c>
      <c r="I151" s="24" t="s">
        <v>39</v>
      </c>
      <c r="J151" s="68" t="str" cm="1">
        <f t="array" ref="J151">IFERROR(INDEX('[2]Previsão Envase'!$D$5:$D$4867, MATCH(1,('[2]Previsão Envase'!$F$5:$F$4867=$E151)+('[2]Previsão Envase'!$G$5:$G$4867=$E151)+('[2]Previsão Envase'!$H$5:$H$4867=$E151),0)),"")</f>
        <v/>
      </c>
      <c r="K151" s="68" t="str">
        <f>IF(COUNTIF('[2]Previsão Envase'!$F:$F,E151)&gt;0,"Linha 1",
IF(COUNTIF('[2]Previsão Envase'!$G:$G,E151)&gt;0,"Linha 2",
IF(COUNTIF('[2]Previsão Envase'!$H:$H,E151)&gt;0,"Linha 3","")))</f>
        <v/>
      </c>
      <c r="L151" s="96">
        <f>COUNTIF('[2]Previsão Envase'!$F:$H,E151)-COUNTIF('[2]Previsão Envase'!$F$1:$H$4,E151)</f>
        <v>0</v>
      </c>
      <c r="M151" s="35">
        <f t="shared" si="31"/>
        <v>0</v>
      </c>
      <c r="N151" s="68" t="str">
        <f>IFERROR(MAX(_xlfn.MAXIFS('[2]Controle de Produção'!$C:$C,'[2]Controle de Produção'!$L:$L,$D151,'[2]Controle de Produção'!$P:$P,$C151,'[2]Controle de Produção'!$G:$G,$B151),_xlfn.MAXIFS([3]EXPEDIÇÃO!$N:$N,[3]EXPEDIÇÃO!$E:$E,$D151,[3]EXPEDIÇÃO!$D:$D,$C151,[3]EXPEDIÇÃO!$N:$N,"&gt;="&amp;$G151)),"")</f>
        <v/>
      </c>
      <c r="O151" s="70">
        <f>INDEX([1]Produtos!$E:$E,MATCH($D151,[1]Produtos!$B:$B,0))</f>
        <v>190</v>
      </c>
      <c r="P151" s="70" t="str">
        <f>INDEX([1]Produtos!$F:$F,MATCH($D151,[1]Produtos!$B:$B,0))</f>
        <v>ml</v>
      </c>
      <c r="Q151" s="105">
        <f>INDEX([1]Produtos!$Y:$Y,MATCH($D151,[1]Produtos!$B:$B,0))</f>
        <v>0</v>
      </c>
      <c r="R151" s="35">
        <f t="shared" si="32"/>
        <v>6588.4449153457572</v>
      </c>
      <c r="S151" s="27">
        <f>IFERROR(INDEX([1]Produtos!$L:$L,MATCH(D151,[1]Produtos!$B:$B,0)), "")</f>
        <v>732.04943503841741</v>
      </c>
      <c r="T151" s="28">
        <f t="shared" si="33"/>
        <v>6.8999999999999995</v>
      </c>
      <c r="U151" s="28" t="str">
        <f t="shared" si="34"/>
        <v>0D e 7h</v>
      </c>
      <c r="V151" s="27">
        <f>IFERROR(SUMIFS('[2]Controle de Produção'!$K:$K,'[2]Controle de Produção'!$L:$L,D151,'[2]Controle de Produção'!$P:$P,C151,'[2]Controle de Produção'!$B:$B,"&gt;=" &amp; G151,'[2]Controle de Produção'!$C:$C,"&lt;=" &amp; N151, '[2]Controle de Produção'!$G:$G,B151), "")</f>
        <v>0</v>
      </c>
      <c r="W151" s="27" t="str">
        <f>IFERROR(SUMIFS([3]EXPEDIÇÃO!$K:$K,[3]EXPEDIÇÃO!$E:$E,D151,[3]EXPEDIÇÃO!$D:$D,C151,[3]EXPEDIÇÃO!$N:$N,"&gt;=" &amp; G151,[3]EXPEDIÇÃO!$N:$N,"&lt;="&amp;N151), "")</f>
        <v/>
      </c>
      <c r="X151" s="27">
        <f>COUNTIFS('[2]Controle de Produção'!$P:$P,C151,'[2]Controle de Produção'!$L:$L,D151,'[2]Controle de Produção'!$B:$B,"&gt;=" &amp; G151)</f>
        <v>2</v>
      </c>
      <c r="Y151" s="27">
        <f t="shared" si="35"/>
        <v>0</v>
      </c>
      <c r="Z151" s="27">
        <f>IFERROR(COUNTIFS('[2]Controle de Produção'!$L:$L,D151,'[2]Controle de Produção'!$P:$P,C151,'[2]Controle de Produção'!$B:$B,"&gt;=" &amp; G151,'[2]Controle de Produção'!$C:$C,"&lt;=" &amp; N151, '[2]Controle de Produção'!$G:$G,B151), "")</f>
        <v>0</v>
      </c>
      <c r="AA151" s="108" t="str">
        <f t="shared" si="36"/>
        <v/>
      </c>
      <c r="AB151" s="41" t="str" cm="1">
        <f t="array" ref="AB151">_xlfn.IFS((H151*0.95)&lt;=V151,"Concluído",AND(V151 =0, J151&lt;&gt;""),"Programado",AND(V151=0,D151=""),"Desenvolv.",V151=0,"Não Iniciado",AND(V151&gt;0,V151&lt;H151,AO151=TRUE),"Em Produção",AND(V151&gt;0,V151&lt;H151,AO151=FALSE),"Produção Parcial")</f>
        <v>Não Iniciado</v>
      </c>
      <c r="AC151" s="42" t="b">
        <v>1</v>
      </c>
      <c r="AD151" s="42" t="b">
        <v>1</v>
      </c>
      <c r="AE151" s="42" t="b">
        <v>1</v>
      </c>
      <c r="AF151" s="42" t="b">
        <v>0</v>
      </c>
      <c r="AG151" s="42" t="b">
        <v>1</v>
      </c>
      <c r="AH151" s="42" t="s">
        <v>38</v>
      </c>
      <c r="AI151" s="42" t="s">
        <v>38</v>
      </c>
      <c r="AJ151" s="42" t="s">
        <v>38</v>
      </c>
      <c r="AK151" s="42" t="b">
        <v>0</v>
      </c>
      <c r="AL151" s="42" t="b">
        <v>0</v>
      </c>
      <c r="AM151" s="42" t="b">
        <v>0</v>
      </c>
      <c r="AN151" s="42" t="b">
        <v>0</v>
      </c>
      <c r="AO151" s="45" t="b" cm="1">
        <f t="array" ref="AO151">AND(COUNTIF(AC151:AN151,FALSE)=0,SUMPRODUCT(ISNUMBER(AC151:AN151)*1)=0)</f>
        <v>0</v>
      </c>
      <c r="AP151" s="59"/>
      <c r="AQ151" s="111">
        <f>IF(AB151="",99999999999,IFERROR(MATCH(AB151,{"Produção Parcial","Em Produção","Programado","Não Iniciado","Desenvolv.","Concluído"},0),7)*100000000+IF(ISNUMBER(J151),J151-46000,9999)*10000+IF(A151="",99,A151)*100+IF(C151="",99,CODE(LEFT(C151,1))))</f>
        <v>499990173</v>
      </c>
    </row>
    <row r="152" spans="1:45" s="36" customFormat="1" ht="25.15" hidden="1" customHeight="1" x14ac:dyDescent="0.25">
      <c r="A152" s="36">
        <v>1</v>
      </c>
      <c r="B152" s="38" t="s">
        <v>177</v>
      </c>
      <c r="C152" s="70" t="str">
        <f>INDEX([1]Produtos!$G:$G,MATCH($D152,[1]Produtos!$B:$B,0))</f>
        <v>ISA BEAUTY</v>
      </c>
      <c r="D152" s="24" t="s">
        <v>195</v>
      </c>
      <c r="E152" s="70" t="str">
        <f>INDEX([1]Produtos!$C:$C,MATCH($D152,[1]Produtos!$B:$B,0))&amp;IF($F152&lt;&gt;"-"," - "&amp;LEFT($F152,1),"")&amp;" &gt; "&amp;$B152</f>
        <v>GELEIA DE BANHO JADE &gt; 03_07</v>
      </c>
      <c r="F152" s="51" t="s">
        <v>38</v>
      </c>
      <c r="G152" s="38">
        <v>45862</v>
      </c>
      <c r="H152" s="39">
        <v>5000</v>
      </c>
      <c r="I152" s="24" t="s">
        <v>39</v>
      </c>
      <c r="J152" s="68" t="str" cm="1">
        <f t="array" ref="J152">IFERROR(INDEX('[2]Previsão Envase'!$D$5:$D$4867, MATCH(1,('[2]Previsão Envase'!$F$5:$F$4867=$E152)+('[2]Previsão Envase'!$G$5:$G$4867=$E152)+('[2]Previsão Envase'!$H$5:$H$4867=$E152),0)),"")</f>
        <v/>
      </c>
      <c r="K152" s="68" t="str">
        <f>IF(COUNTIF('[2]Previsão Envase'!$F:$F,E152)&gt;0,"Linha 1",
IF(COUNTIF('[2]Previsão Envase'!$G:$G,E152)&gt;0,"Linha 2",
IF(COUNTIF('[2]Previsão Envase'!$H:$H,E152)&gt;0,"Linha 3","")))</f>
        <v/>
      </c>
      <c r="L152" s="96">
        <f>COUNTIF('[2]Previsão Envase'!$F:$H,E152)-COUNTIF('[2]Previsão Envase'!$F$1:$H$4,E152)</f>
        <v>0</v>
      </c>
      <c r="M152" s="35">
        <f t="shared" si="31"/>
        <v>0</v>
      </c>
      <c r="N152" s="68" t="str">
        <f>IFERROR(MAX(_xlfn.MAXIFS('[2]Controle de Produção'!$C:$C,'[2]Controle de Produção'!$L:$L,$D152,'[2]Controle de Produção'!$P:$P,$C152,'[2]Controle de Produção'!$G:$G,$B152),_xlfn.MAXIFS([3]EXPEDIÇÃO!$N:$N,[3]EXPEDIÇÃO!$E:$E,$D152,[3]EXPEDIÇÃO!$D:$D,$C152,[3]EXPEDIÇÃO!$N:$N,"&gt;="&amp;$G152)),"")</f>
        <v/>
      </c>
      <c r="O152" s="70">
        <f>INDEX([1]Produtos!$E:$E,MATCH($D152,[1]Produtos!$B:$B,0))</f>
        <v>190</v>
      </c>
      <c r="P152" s="70" t="str">
        <f>INDEX([1]Produtos!$F:$F,MATCH($D152,[1]Produtos!$B:$B,0))</f>
        <v>ml</v>
      </c>
      <c r="Q152" s="105">
        <f>INDEX([1]Produtos!$Y:$Y,MATCH($D152,[1]Produtos!$B:$B,0))</f>
        <v>0</v>
      </c>
      <c r="R152" s="35">
        <f t="shared" si="32"/>
        <v>6588.4449153457572</v>
      </c>
      <c r="S152" s="27">
        <f>IFERROR(INDEX([1]Produtos!$L:$L,MATCH(D152,[1]Produtos!$B:$B,0)), "")</f>
        <v>732.04943503841741</v>
      </c>
      <c r="T152" s="28">
        <f t="shared" si="33"/>
        <v>6.8999999999999995</v>
      </c>
      <c r="U152" s="28" t="str">
        <f t="shared" si="34"/>
        <v>0D e 7h</v>
      </c>
      <c r="V152" s="27">
        <f>IFERROR(SUMIFS('[2]Controle de Produção'!$K:$K,'[2]Controle de Produção'!$L:$L,D152,'[2]Controle de Produção'!$P:$P,C152,'[2]Controle de Produção'!$B:$B,"&gt;=" &amp; G152,'[2]Controle de Produção'!$C:$C,"&lt;=" &amp; N152, '[2]Controle de Produção'!$G:$G,B152), "")</f>
        <v>0</v>
      </c>
      <c r="W152" s="27" t="str">
        <f>IFERROR(SUMIFS([3]EXPEDIÇÃO!$K:$K,[3]EXPEDIÇÃO!$E:$E,D152,[3]EXPEDIÇÃO!$D:$D,C152,[3]EXPEDIÇÃO!$N:$N,"&gt;=" &amp; G152,[3]EXPEDIÇÃO!$N:$N,"&lt;="&amp;N152), "")</f>
        <v/>
      </c>
      <c r="X152" s="27">
        <f>COUNTIFS('[2]Controle de Produção'!$P:$P,C152,'[2]Controle de Produção'!$L:$L,D152,'[2]Controle de Produção'!$B:$B,"&gt;=" &amp; G152)</f>
        <v>2</v>
      </c>
      <c r="Y152" s="27">
        <f t="shared" si="35"/>
        <v>0</v>
      </c>
      <c r="Z152" s="27">
        <f>IFERROR(COUNTIFS('[2]Controle de Produção'!$L:$L,D152,'[2]Controle de Produção'!$P:$P,C152,'[2]Controle de Produção'!$B:$B,"&gt;=" &amp; G152,'[2]Controle de Produção'!$C:$C,"&lt;=" &amp; N152, '[2]Controle de Produção'!$G:$G,B152), "")</f>
        <v>0</v>
      </c>
      <c r="AA152" s="108" t="str">
        <f t="shared" si="36"/>
        <v/>
      </c>
      <c r="AB152" s="41" t="str" cm="1">
        <f t="array" ref="AB152">_xlfn.IFS((H152*0.95)&lt;=V152,"Concluído",AND(V152 =0, J152&lt;&gt;""),"Programado",AND(V152=0,D152=""),"Desenvolv.",V152=0,"Não Iniciado",AND(V152&gt;0,V152&lt;H152,AO152=TRUE),"Em Produção",AND(V152&gt;0,V152&lt;H152,AO152=FALSE),"Produção Parcial")</f>
        <v>Não Iniciado</v>
      </c>
      <c r="AC152" s="42" t="b">
        <v>1</v>
      </c>
      <c r="AD152" s="42" t="b">
        <v>1</v>
      </c>
      <c r="AE152" s="42" t="b">
        <v>1</v>
      </c>
      <c r="AF152" s="42" t="b">
        <v>0</v>
      </c>
      <c r="AG152" s="42" t="b">
        <v>1</v>
      </c>
      <c r="AH152" s="42" t="s">
        <v>38</v>
      </c>
      <c r="AI152" s="42" t="s">
        <v>38</v>
      </c>
      <c r="AJ152" s="42" t="s">
        <v>38</v>
      </c>
      <c r="AK152" s="42" t="b">
        <v>0</v>
      </c>
      <c r="AL152" s="42" t="b">
        <v>0</v>
      </c>
      <c r="AM152" s="42" t="b">
        <v>0</v>
      </c>
      <c r="AN152" s="42" t="b">
        <v>0</v>
      </c>
      <c r="AO152" s="45" t="b" cm="1">
        <f t="array" ref="AO152">AND(COUNTIF(AC152:AN152,FALSE)=0,SUMPRODUCT(ISNUMBER(AC152:AN152)*1)=0)</f>
        <v>0</v>
      </c>
      <c r="AP152" s="59"/>
      <c r="AQ152" s="111">
        <f>IF(AB152="",99999999999,IFERROR(MATCH(AB152,{"Produção Parcial","Em Produção","Programado","Não Iniciado","Desenvolv.","Concluído"},0),7)*100000000+IF(ISNUMBER(J152),J152-46000,9999)*10000+IF(A152="",99,A152)*100+IF(C152="",99,CODE(LEFT(C152,1))))</f>
        <v>499990173</v>
      </c>
    </row>
    <row r="153" spans="1:45" s="36" customFormat="1" ht="25.15" hidden="1" customHeight="1" x14ac:dyDescent="0.25">
      <c r="A153" s="36">
        <v>1</v>
      </c>
      <c r="B153" s="38" t="s">
        <v>177</v>
      </c>
      <c r="C153" s="70" t="str">
        <f>INDEX([1]Produtos!$G:$G,MATCH($D153,[1]Produtos!$B:$B,0))</f>
        <v>ISA BEAUTY</v>
      </c>
      <c r="D153" s="24" t="s">
        <v>197</v>
      </c>
      <c r="E153" s="70" t="str">
        <f>INDEX([1]Produtos!$C:$C,MATCH($D153,[1]Produtos!$B:$B,0))&amp;IF($F153&lt;&gt;"-"," - "&amp;LEFT($F153,1),"")&amp;" &gt; "&amp;$B153</f>
        <v>GELEIA DE BANHO SAIND &gt; 03_07</v>
      </c>
      <c r="F153" s="51" t="s">
        <v>38</v>
      </c>
      <c r="G153" s="38">
        <v>45862</v>
      </c>
      <c r="H153" s="39">
        <v>5000</v>
      </c>
      <c r="I153" s="24" t="s">
        <v>39</v>
      </c>
      <c r="J153" s="68" t="str" cm="1">
        <f t="array" ref="J153">IFERROR(INDEX('[2]Previsão Envase'!$D$5:$D$4867, MATCH(1,('[2]Previsão Envase'!$F$5:$F$4867=$E153)+('[2]Previsão Envase'!$G$5:$G$4867=$E153)+('[2]Previsão Envase'!$H$5:$H$4867=$E153),0)),"")</f>
        <v/>
      </c>
      <c r="K153" s="68" t="str">
        <f>IF(COUNTIF('[2]Previsão Envase'!$F:$F,E153)&gt;0,"Linha 1",
IF(COUNTIF('[2]Previsão Envase'!$G:$G,E153)&gt;0,"Linha 2",
IF(COUNTIF('[2]Previsão Envase'!$H:$H,E153)&gt;0,"Linha 3","")))</f>
        <v/>
      </c>
      <c r="L153" s="96">
        <f>COUNTIF('[2]Previsão Envase'!$F:$H,E153)-COUNTIF('[2]Previsão Envase'!$F$1:$H$4,E153)</f>
        <v>0</v>
      </c>
      <c r="M153" s="35">
        <f t="shared" si="31"/>
        <v>0</v>
      </c>
      <c r="N153" s="68" t="str">
        <f>IFERROR(MAX(_xlfn.MAXIFS('[2]Controle de Produção'!$C:$C,'[2]Controle de Produção'!$L:$L,$D153,'[2]Controle de Produção'!$P:$P,$C153,'[2]Controle de Produção'!$G:$G,$B153),_xlfn.MAXIFS([3]EXPEDIÇÃO!$N:$N,[3]EXPEDIÇÃO!$E:$E,$D153,[3]EXPEDIÇÃO!$D:$D,$C153,[3]EXPEDIÇÃO!$N:$N,"&gt;="&amp;$G153)),"")</f>
        <v/>
      </c>
      <c r="O153" s="70">
        <f>INDEX([1]Produtos!$E:$E,MATCH($D153,[1]Produtos!$B:$B,0))</f>
        <v>190</v>
      </c>
      <c r="P153" s="70" t="str">
        <f>INDEX([1]Produtos!$F:$F,MATCH($D153,[1]Produtos!$B:$B,0))</f>
        <v>ml</v>
      </c>
      <c r="Q153" s="105">
        <f>INDEX([1]Produtos!$Y:$Y,MATCH($D153,[1]Produtos!$B:$B,0))</f>
        <v>0</v>
      </c>
      <c r="R153" s="35">
        <f t="shared" si="32"/>
        <v>6588.4449153457572</v>
      </c>
      <c r="S153" s="27">
        <f>IFERROR(INDEX([1]Produtos!$L:$L,MATCH(D153,[1]Produtos!$B:$B,0)), "")</f>
        <v>732.04943503841741</v>
      </c>
      <c r="T153" s="28">
        <f t="shared" si="33"/>
        <v>6.8999999999999995</v>
      </c>
      <c r="U153" s="28" t="str">
        <f t="shared" si="34"/>
        <v>0D e 7h</v>
      </c>
      <c r="V153" s="27">
        <f>IFERROR(SUMIFS('[2]Controle de Produção'!$K:$K,'[2]Controle de Produção'!$L:$L,D153,'[2]Controle de Produção'!$P:$P,C153,'[2]Controle de Produção'!$B:$B,"&gt;=" &amp; G153,'[2]Controle de Produção'!$C:$C,"&lt;=" &amp; N153, '[2]Controle de Produção'!$G:$G,B153), "")</f>
        <v>0</v>
      </c>
      <c r="W153" s="27" t="str">
        <f>IFERROR(SUMIFS([3]EXPEDIÇÃO!$K:$K,[3]EXPEDIÇÃO!$E:$E,D153,[3]EXPEDIÇÃO!$D:$D,C153,[3]EXPEDIÇÃO!$N:$N,"&gt;=" &amp; G153,[3]EXPEDIÇÃO!$N:$N,"&lt;="&amp;N153), "")</f>
        <v/>
      </c>
      <c r="X153" s="27">
        <f>COUNTIFS('[2]Controle de Produção'!$P:$P,C153,'[2]Controle de Produção'!$L:$L,D153,'[2]Controle de Produção'!$B:$B,"&gt;=" &amp; G153)</f>
        <v>2</v>
      </c>
      <c r="Y153" s="27">
        <f t="shared" si="35"/>
        <v>0</v>
      </c>
      <c r="Z153" s="27">
        <f>IFERROR(COUNTIFS('[2]Controle de Produção'!$L:$L,D153,'[2]Controle de Produção'!$P:$P,C153,'[2]Controle de Produção'!$B:$B,"&gt;=" &amp; G153,'[2]Controle de Produção'!$C:$C,"&lt;=" &amp; N153, '[2]Controle de Produção'!$G:$G,B153), "")</f>
        <v>0</v>
      </c>
      <c r="AA153" s="108" t="str">
        <f t="shared" si="36"/>
        <v/>
      </c>
      <c r="AB153" s="41" t="str" cm="1">
        <f t="array" ref="AB153">_xlfn.IFS((H153*0.95)&lt;=V153,"Concluído",AND(V153 =0, J153&lt;&gt;""),"Programado",AND(V153=0,D153=""),"Desenvolv.",V153=0,"Não Iniciado",AND(V153&gt;0,V153&lt;H153,AO153=TRUE),"Em Produção",AND(V153&gt;0,V153&lt;H153,AO153=FALSE),"Produção Parcial")</f>
        <v>Não Iniciado</v>
      </c>
      <c r="AC153" s="42" t="b">
        <v>1</v>
      </c>
      <c r="AD153" s="42" t="b">
        <v>1</v>
      </c>
      <c r="AE153" s="42" t="b">
        <v>1</v>
      </c>
      <c r="AF153" s="42" t="b">
        <v>1</v>
      </c>
      <c r="AG153" s="42" t="b">
        <v>1</v>
      </c>
      <c r="AH153" s="42" t="s">
        <v>38</v>
      </c>
      <c r="AI153" s="42" t="s">
        <v>38</v>
      </c>
      <c r="AJ153" s="42" t="s">
        <v>38</v>
      </c>
      <c r="AK153" s="42" t="b">
        <v>0</v>
      </c>
      <c r="AL153" s="42" t="b">
        <v>1</v>
      </c>
      <c r="AM153" s="42" t="b">
        <v>0</v>
      </c>
      <c r="AN153" s="42" t="b">
        <v>0</v>
      </c>
      <c r="AO153" s="45" t="b" cm="1">
        <f t="array" ref="AO153">AND(COUNTIF(AC153:AN153,FALSE)=0,SUMPRODUCT(ISNUMBER(AC153:AN153)*1)=0)</f>
        <v>0</v>
      </c>
      <c r="AP153" s="59"/>
      <c r="AQ153" s="111">
        <f>IF(AB153="",99999999999,IFERROR(MATCH(AB153,{"Produção Parcial","Em Produção","Programado","Não Iniciado","Desenvolv.","Concluído"},0),7)*100000000+IF(ISNUMBER(J153),J153-46000,9999)*10000+IF(A153="",99,A153)*100+IF(C153="",99,CODE(LEFT(C153,1))))</f>
        <v>499990173</v>
      </c>
    </row>
    <row r="154" spans="1:45" s="36" customFormat="1" ht="25.15" hidden="1" customHeight="1" x14ac:dyDescent="0.25">
      <c r="A154" s="36">
        <v>1</v>
      </c>
      <c r="B154" s="38" t="s">
        <v>177</v>
      </c>
      <c r="C154" s="24" t="str">
        <f>INDEX([1]Produtos!$G:$G,MATCH($D154,[1]Produtos!$B:$B,0))</f>
        <v>ISA BEAUTY</v>
      </c>
      <c r="D154" s="24" t="s">
        <v>189</v>
      </c>
      <c r="E154" s="70" t="str">
        <f>INDEX([1]Produtos!$C:$C,MATCH($D154,[1]Produtos!$B:$B,0))&amp;IF($F154&lt;&gt;"-"," - "&amp;LEFT($F154,1),"")&amp;" &gt; "&amp;$B154</f>
        <v>LOÇÃO HIDRATANTE JADE &gt; 03_07</v>
      </c>
      <c r="F154" s="51" t="s">
        <v>38</v>
      </c>
      <c r="G154" s="38">
        <v>45862</v>
      </c>
      <c r="H154" s="39">
        <v>5000</v>
      </c>
      <c r="I154" s="24" t="s">
        <v>39</v>
      </c>
      <c r="J154" s="68" t="str" cm="1">
        <f t="array" ref="J154">IFERROR(INDEX('[2]Previsão Envase'!$D$5:$D$4867, MATCH(1,('[2]Previsão Envase'!$F$5:$F$4867=$E154)+('[2]Previsão Envase'!$G$5:$G$4867=$E154)+('[2]Previsão Envase'!$H$5:$H$4867=$E154),0)),"")</f>
        <v/>
      </c>
      <c r="K154" s="68" t="str">
        <f>IF(COUNTIF('[2]Previsão Envase'!$F:$F,E154)&gt;0,"Linha 1",
IF(COUNTIF('[2]Previsão Envase'!$G:$G,E154)&gt;0,"Linha 2",
IF(COUNTIF('[2]Previsão Envase'!$H:$H,E154)&gt;0,"Linha 3","")))</f>
        <v/>
      </c>
      <c r="L154" s="96">
        <f>COUNTIF('[2]Previsão Envase'!$F:$H,E154)-COUNTIF('[2]Previsão Envase'!$F$1:$H$4,E154)</f>
        <v>0</v>
      </c>
      <c r="M154" s="35">
        <f t="shared" si="31"/>
        <v>0</v>
      </c>
      <c r="N154" s="68" t="str">
        <f>IFERROR(MAX(_xlfn.MAXIFS('[2]Controle de Produção'!$C:$C,'[2]Controle de Produção'!$L:$L,$D154,'[2]Controle de Produção'!$P:$P,$C154,'[2]Controle de Produção'!$G:$G,$B154),_xlfn.MAXIFS([3]EXPEDIÇÃO!$N:$N,[3]EXPEDIÇÃO!$E:$E,$D154,[3]EXPEDIÇÃO!$D:$D,$C154,[3]EXPEDIÇÃO!$N:$N,"&gt;="&amp;$G154)),"")</f>
        <v/>
      </c>
      <c r="O154" s="70">
        <f>INDEX([1]Produtos!$E:$E,MATCH($D154,[1]Produtos!$B:$B,0))</f>
        <v>180</v>
      </c>
      <c r="P154" s="70" t="str">
        <f>INDEX([1]Produtos!$F:$F,MATCH($D154,[1]Produtos!$B:$B,0))</f>
        <v>ml</v>
      </c>
      <c r="Q154" s="105">
        <f>INDEX([1]Produtos!$Y:$Y,MATCH($D154,[1]Produtos!$B:$B,0))</f>
        <v>0</v>
      </c>
      <c r="R154" s="35">
        <f t="shared" si="32"/>
        <v>5520.5897431648482</v>
      </c>
      <c r="S154" s="27">
        <f>IFERROR(INDEX([1]Produtos!$L:$L,MATCH(D154,[1]Produtos!$B:$B,0)), "")</f>
        <v>613.39886035164977</v>
      </c>
      <c r="T154" s="28">
        <f t="shared" si="33"/>
        <v>8.1999999999999993</v>
      </c>
      <c r="U154" s="28" t="str">
        <f t="shared" si="34"/>
        <v>0D e 9h</v>
      </c>
      <c r="V154" s="27">
        <f>IFERROR(SUMIFS('[2]Controle de Produção'!$K:$K,'[2]Controle de Produção'!$L:$L,D154,'[2]Controle de Produção'!$P:$P,C154,'[2]Controle de Produção'!$B:$B,"&gt;=" &amp; G154,'[2]Controle de Produção'!$C:$C,"&lt;=" &amp; N154, '[2]Controle de Produção'!$G:$G,B154), "")</f>
        <v>0</v>
      </c>
      <c r="W154" s="27" t="str">
        <f>IFERROR(SUMIFS([3]EXPEDIÇÃO!$K:$K,[3]EXPEDIÇÃO!$E:$E,D154,[3]EXPEDIÇÃO!$D:$D,C154,[3]EXPEDIÇÃO!$N:$N,"&gt;=" &amp; G154,[3]EXPEDIÇÃO!$N:$N,"&lt;="&amp;N154), "")</f>
        <v/>
      </c>
      <c r="X154" s="27">
        <f>COUNTIFS('[2]Controle de Produção'!$P:$P,C154,'[2]Controle de Produção'!$L:$L,D154,'[2]Controle de Produção'!$B:$B,"&gt;=" &amp; G154)</f>
        <v>2</v>
      </c>
      <c r="Y154" s="27">
        <f t="shared" si="35"/>
        <v>0</v>
      </c>
      <c r="Z154" s="27">
        <f>IFERROR(COUNTIFS('[2]Controle de Produção'!$L:$L,D154,'[2]Controle de Produção'!$P:$P,C154,'[2]Controle de Produção'!$B:$B,"&gt;=" &amp; G154,'[2]Controle de Produção'!$C:$C,"&lt;=" &amp; N154, '[2]Controle de Produção'!$G:$G,B154), "")</f>
        <v>0</v>
      </c>
      <c r="AA154" s="108" t="str">
        <f t="shared" si="36"/>
        <v/>
      </c>
      <c r="AB154" s="41" t="str" cm="1">
        <f t="array" ref="AB154">_xlfn.IFS((H154*0.95)&lt;=V154,"Concluído",AND(V154 =0, J154&lt;&gt;""),"Programado",AND(V154=0,D154=""),"Desenvolv.",V154=0,"Não Iniciado",AND(V154&gt;0,V154&lt;H154,AO154=TRUE),"Em Produção",AND(V154&gt;0,V154&lt;H154,AO154=FALSE),"Produção Parcial")</f>
        <v>Não Iniciado</v>
      </c>
      <c r="AC154" s="42" t="b">
        <v>1</v>
      </c>
      <c r="AD154" s="42" t="b">
        <v>1</v>
      </c>
      <c r="AE154" s="42" t="b">
        <v>1</v>
      </c>
      <c r="AF154" s="42" t="b">
        <v>1</v>
      </c>
      <c r="AG154" s="42" t="s">
        <v>38</v>
      </c>
      <c r="AH154" s="42" t="s">
        <v>38</v>
      </c>
      <c r="AI154" s="42" t="b">
        <v>1</v>
      </c>
      <c r="AJ154" s="42" t="s">
        <v>38</v>
      </c>
      <c r="AK154" s="42" t="b">
        <v>0</v>
      </c>
      <c r="AL154" s="42" t="b">
        <v>1</v>
      </c>
      <c r="AM154" s="42" t="b">
        <v>1</v>
      </c>
      <c r="AN154" s="42" t="b">
        <v>0</v>
      </c>
      <c r="AO154" s="45" t="b" cm="1">
        <f t="array" ref="AO154">AND(COUNTIF(AC154:AN154,FALSE)=0,SUMPRODUCT(ISNUMBER(AC154:AN154)*1)=0)</f>
        <v>0</v>
      </c>
      <c r="AP154" s="59"/>
      <c r="AQ154" s="111">
        <f>IF(AB154="",99999999999,IFERROR(MATCH(AB154,{"Produção Parcial","Em Produção","Programado","Não Iniciado","Desenvolv.","Concluído"},0),7)*100000000+IF(ISNUMBER(J154),J154-46000,9999)*10000+IF(A154="",99,A154)*100+IF(C154="",99,CODE(LEFT(C154,1))))</f>
        <v>499990173</v>
      </c>
    </row>
    <row r="155" spans="1:45" s="36" customFormat="1" ht="25.15" hidden="1" customHeight="1" x14ac:dyDescent="0.25">
      <c r="A155" s="36">
        <v>1</v>
      </c>
      <c r="B155" s="112" t="s">
        <v>435</v>
      </c>
      <c r="C155" s="70" t="str">
        <f>INDEX([1]Produtos!$G:$G,MATCH($D155,[1]Produtos!$B:$B,0))</f>
        <v>SAFIRA</v>
      </c>
      <c r="D155" s="24" t="s">
        <v>54</v>
      </c>
      <c r="E155" s="70" t="str">
        <f>INDEX([1]Produtos!$C:$C,MATCH($D155,[1]Produtos!$B:$B,0))&amp;IF($F155&lt;&gt;"-"," - "&amp;LEFT($F155,1),"")&amp;" &gt; "&amp;$B155</f>
        <v>SABONETE DEMAQUILANTE VITAMINA C &gt; 0005</v>
      </c>
      <c r="F155" s="51" t="s">
        <v>38</v>
      </c>
      <c r="G155" s="38">
        <v>46044</v>
      </c>
      <c r="H155" s="39">
        <v>3500</v>
      </c>
      <c r="I155" s="24" t="s">
        <v>42</v>
      </c>
      <c r="J155" s="68" t="str" cm="1">
        <f t="array" ref="J155">IFERROR(INDEX('[2]Previsão Envase'!$D$5:$D$4867, MATCH(1,('[2]Previsão Envase'!$F$5:$F$4867=$E155)+('[2]Previsão Envase'!$G$5:$G$4867=$E155)+('[2]Previsão Envase'!$H$5:$H$4867=$E155),0)),"")</f>
        <v/>
      </c>
      <c r="K155" s="68" t="str">
        <f>IF(COUNTIF('[2]Previsão Envase'!$F:$F,E155)&gt;0,"Linha 1",
IF(COUNTIF('[2]Previsão Envase'!$G:$G,E155)&gt;0,"Linha 2",
IF(COUNTIF('[2]Previsão Envase'!$H:$H,E155)&gt;0,"Linha 3","")))</f>
        <v/>
      </c>
      <c r="L155" s="96">
        <f>COUNTIF('[2]Previsão Envase'!$F:$H,E155)-COUNTIF('[2]Previsão Envase'!$F$1:$H$4,E155)</f>
        <v>0</v>
      </c>
      <c r="M155" s="35">
        <f t="shared" si="31"/>
        <v>0</v>
      </c>
      <c r="N155" s="68" t="str">
        <f>IFERROR(MAX(_xlfn.MAXIFS('[2]Controle de Produção'!$C:$C,'[2]Controle de Produção'!$L:$L,$D155,'[2]Controle de Produção'!$P:$P,$C155,'[2]Controle de Produção'!$G:$G,$B155),_xlfn.MAXIFS([3]EXPEDIÇÃO!$N:$N,[3]EXPEDIÇÃO!$E:$E,$D155,[3]EXPEDIÇÃO!$D:$D,$C155,[3]EXPEDIÇÃO!$N:$N,"&gt;="&amp;$G155)),"")</f>
        <v/>
      </c>
      <c r="O155" s="70">
        <f>INDEX([1]Produtos!$E:$E,MATCH($D155,[1]Produtos!$B:$B,0))</f>
        <v>100</v>
      </c>
      <c r="P155" s="70" t="str">
        <f>INDEX([1]Produtos!$F:$F,MATCH($D155,[1]Produtos!$B:$B,0))</f>
        <v>ml</v>
      </c>
      <c r="Q155" s="105">
        <f>INDEX([1]Produtos!$Y:$Y,MATCH($D155,[1]Produtos!$B:$B,0))</f>
        <v>0</v>
      </c>
      <c r="R155" s="35">
        <f t="shared" si="32"/>
        <v>6588.4449153457572</v>
      </c>
      <c r="S155" s="27">
        <f>IFERROR(INDEX([1]Produtos!$L:$L,MATCH(D155,[1]Produtos!$B:$B,0)), "")</f>
        <v>732.04943503841741</v>
      </c>
      <c r="T155" s="28">
        <f t="shared" si="33"/>
        <v>4.8</v>
      </c>
      <c r="U155" s="28" t="str">
        <f t="shared" si="34"/>
        <v>0D e 5h</v>
      </c>
      <c r="V155" s="57">
        <f>IFERROR(SUMIFS('[2]Controle de Produção'!$K:$K,'[2]Controle de Produção'!$L:$L,D155,'[2]Controle de Produção'!$P:$P,C155,'[2]Controle de Produção'!$B:$B,"&gt;=" &amp; G155,'[2]Controle de Produção'!$C:$C,"&lt;=" &amp; N155, '[2]Controle de Produção'!$G:$G,B155), "")</f>
        <v>0</v>
      </c>
      <c r="W155" s="27" t="str">
        <f>IFERROR(SUMIFS([3]EXPEDIÇÃO!$K:$K,[3]EXPEDIÇÃO!$E:$E,D155,[3]EXPEDIÇÃO!$D:$D,C155,[3]EXPEDIÇÃO!$N:$N,"&gt;=" &amp; G155,[3]EXPEDIÇÃO!$N:$N,"&lt;="&amp;N155), "")</f>
        <v/>
      </c>
      <c r="X155" s="27">
        <f>COUNTIFS('[2]Controle de Produção'!$P:$P,C155,'[2]Controle de Produção'!$L:$L,D155,'[2]Controle de Produção'!$B:$B,"&gt;=" &amp; G155)</f>
        <v>1</v>
      </c>
      <c r="Y155" s="27">
        <f t="shared" si="35"/>
        <v>0</v>
      </c>
      <c r="Z155" s="27">
        <f>IFERROR(COUNTIFS('[2]Controle de Produção'!$L:$L,D155,'[2]Controle de Produção'!$P:$P,C155,'[2]Controle de Produção'!$B:$B,"&gt;=" &amp; G155,'[2]Controle de Produção'!$C:$C,"&lt;=" &amp; N155, '[2]Controle de Produção'!$G:$G,B155), "")</f>
        <v>0</v>
      </c>
      <c r="AA155" s="108" t="str">
        <f t="shared" si="36"/>
        <v/>
      </c>
      <c r="AB155" s="41" t="str" cm="1">
        <f t="array" ref="AB155">_xlfn.IFS((H155*0.95)&lt;=V155,"Concluído",AND(V155 =0, J155&lt;&gt;""),"Programado",AND(V155=0,D155=""),"Desenvolv.",V155=0,"Não Iniciado",AND(V155&gt;0,V155&lt;H155,AO155=TRUE),"Em Produção",AND(V155&gt;0,V155&lt;H155,AO155=FALSE),"Produção Parcial")</f>
        <v>Não Iniciado</v>
      </c>
      <c r="AC155" s="42" t="b">
        <v>1</v>
      </c>
      <c r="AD155" s="42" t="b">
        <v>1</v>
      </c>
      <c r="AE155" s="42" t="s">
        <v>38</v>
      </c>
      <c r="AF155" s="42" t="b">
        <v>1</v>
      </c>
      <c r="AG155" s="42" t="b">
        <v>1</v>
      </c>
      <c r="AH155" s="42" t="s">
        <v>38</v>
      </c>
      <c r="AI155" s="42" t="s">
        <v>38</v>
      </c>
      <c r="AJ155" s="42" t="s">
        <v>38</v>
      </c>
      <c r="AK155" s="42" t="s">
        <v>38</v>
      </c>
      <c r="AL155" s="42" t="b">
        <v>1</v>
      </c>
      <c r="AM155" s="42" t="b">
        <v>1</v>
      </c>
      <c r="AN155" s="42" t="b">
        <v>1</v>
      </c>
      <c r="AO155" s="45" t="b" cm="1">
        <f t="array" ref="AO155">AND(COUNTIF(AC155:AN155,FALSE)=0,SUMPRODUCT(ISNUMBER(AC155:AN155)*1)=0)</f>
        <v>1</v>
      </c>
      <c r="AP155" s="59"/>
      <c r="AQ155" s="111">
        <f>IF(AB155="",99999999999,IFERROR(MATCH(AB155,{"Produção Parcial","Em Produção","Programado","Não Iniciado","Desenvolv.","Concluído"},0),7)*100000000+IF(ISNUMBER(J155),J155-46000,9999)*10000+IF(A155="",99,A155)*100+IF(C155="",99,CODE(LEFT(C155,1))))</f>
        <v>499990183</v>
      </c>
    </row>
    <row r="156" spans="1:45" s="36" customFormat="1" ht="25.15" hidden="1" customHeight="1" x14ac:dyDescent="0.25">
      <c r="A156" s="36">
        <v>1</v>
      </c>
      <c r="B156" s="38" t="s">
        <v>413</v>
      </c>
      <c r="C156" s="70" t="str">
        <f>INDEX([1]Produtos!$G:$G,MATCH($D156,[1]Produtos!$B:$B,0))</f>
        <v>WIKE MAKE</v>
      </c>
      <c r="D156" s="24" t="s">
        <v>414</v>
      </c>
      <c r="E156" s="70" t="str">
        <f>INDEX([1]Produtos!$C:$C,MATCH($D156,[1]Produtos!$B:$B,0))&amp;IF($F156&lt;&gt;"-"," - "&amp;LEFT($F156,1),"")&amp;" &gt; "&amp;$B156</f>
        <v>BRUMA MATTE #ENTREGOUTUDOO 120ml &gt; FABIANO 06/02/26</v>
      </c>
      <c r="F156" s="51" t="s">
        <v>38</v>
      </c>
      <c r="G156" s="38">
        <v>46059</v>
      </c>
      <c r="H156" s="39">
        <v>24000</v>
      </c>
      <c r="I156" s="24" t="s">
        <v>39</v>
      </c>
      <c r="J156" s="68" t="str" cm="1">
        <f t="array" ref="J156">IFERROR(INDEX('[2]Previsão Envase'!$D$5:$D$4867, MATCH(1,('[2]Previsão Envase'!$F$5:$F$4867=$E156)+('[2]Previsão Envase'!$G$5:$G$4867=$E156)+('[2]Previsão Envase'!$H$5:$H$4867=$E156),0)),"")</f>
        <v/>
      </c>
      <c r="K156" s="68" t="str">
        <f>IF(COUNTIF('[2]Previsão Envase'!$F:$F,E156)&gt;0,"Linha 1",
IF(COUNTIF('[2]Previsão Envase'!$G:$G,E156)&gt;0,"Linha 2",
IF(COUNTIF('[2]Previsão Envase'!$H:$H,E156)&gt;0,"Linha 3","")))</f>
        <v/>
      </c>
      <c r="L156" s="96">
        <f>COUNTIF('[2]Previsão Envase'!$F:$H,E156)-COUNTIF('[2]Previsão Envase'!$F$1:$H$4,E156)</f>
        <v>0</v>
      </c>
      <c r="M156" s="35">
        <f t="shared" si="31"/>
        <v>0</v>
      </c>
      <c r="N156" s="68" t="str">
        <f>IFERROR(MAX(_xlfn.MAXIFS('[2]Controle de Produção'!$C:$C,'[2]Controle de Produção'!$L:$L,$D156,'[2]Controle de Produção'!$P:$P,$C156,'[2]Controle de Produção'!$G:$G,$B156),_xlfn.MAXIFS([3]EXPEDIÇÃO!$N:$N,[3]EXPEDIÇÃO!$E:$E,$D156,[3]EXPEDIÇÃO!$D:$D,$C156,[3]EXPEDIÇÃO!$N:$N,"&gt;="&amp;$G156)),"")</f>
        <v/>
      </c>
      <c r="O156" s="70">
        <f>INDEX([1]Produtos!$E:$E,MATCH($D156,[1]Produtos!$B:$B,0))</f>
        <v>120</v>
      </c>
      <c r="P156" s="70" t="str">
        <f>INDEX([1]Produtos!$F:$F,MATCH($D156,[1]Produtos!$B:$B,0))</f>
        <v>ml</v>
      </c>
      <c r="Q156" s="105">
        <f>INDEX([1]Produtos!$Y:$Y,MATCH($D156,[1]Produtos!$B:$B,0))</f>
        <v>0.55000000000000004</v>
      </c>
      <c r="R156" s="35">
        <f t="shared" si="32"/>
        <v>6293.633066336899</v>
      </c>
      <c r="S156" s="27">
        <f>IFERROR(INDEX([1]Produtos!$L:$L,MATCH(D156,[1]Produtos!$B:$B,0)), "")</f>
        <v>699.29256292632215</v>
      </c>
      <c r="T156" s="28">
        <f t="shared" si="33"/>
        <v>34.4</v>
      </c>
      <c r="U156" s="28" t="str">
        <f t="shared" si="34"/>
        <v>3D e 8h</v>
      </c>
      <c r="V156" s="57">
        <f>IFERROR(SUMIFS('[2]Controle de Produção'!$K:$K,'[2]Controle de Produção'!$L:$L,D156,'[2]Controle de Produção'!$P:$P,C156,'[2]Controle de Produção'!$B:$B,"&gt;=" &amp; G156,'[2]Controle de Produção'!$C:$C,"&lt;=" &amp; N156, '[2]Controle de Produção'!$G:$G,B156), "")</f>
        <v>0</v>
      </c>
      <c r="W156" s="27" t="str">
        <f>IFERROR(SUMIFS([3]EXPEDIÇÃO!$K:$K,[3]EXPEDIÇÃO!$E:$E,D156,[3]EXPEDIÇÃO!$D:$D,C156,[3]EXPEDIÇÃO!$N:$N,"&gt;=" &amp; G156,[3]EXPEDIÇÃO!$N:$N,"&lt;="&amp;N156), "")</f>
        <v/>
      </c>
      <c r="X156" s="27">
        <f>COUNTIFS('[2]Controle de Produção'!$P:$P,C156,'[2]Controle de Produção'!$L:$L,D156,'[2]Controle de Produção'!$B:$B,"&gt;=" &amp; G156)</f>
        <v>7</v>
      </c>
      <c r="Y156" s="27">
        <f t="shared" si="35"/>
        <v>0</v>
      </c>
      <c r="Z156" s="27">
        <f>IFERROR(COUNTIFS('[2]Controle de Produção'!$L:$L,D156,'[2]Controle de Produção'!$P:$P,C156,'[2]Controle de Produção'!$B:$B,"&gt;=" &amp; G156,'[2]Controle de Produção'!$C:$C,"&lt;=" &amp; N156, '[2]Controle de Produção'!$G:$G,B156), "")</f>
        <v>0</v>
      </c>
      <c r="AA156" s="108" t="str">
        <f t="shared" si="36"/>
        <v/>
      </c>
      <c r="AB156" s="41" t="str" cm="1">
        <f t="array" ref="AB156">_xlfn.IFS((H156*0.95)&lt;=V156,"Concluído",AND(V156 =0, J156&lt;&gt;""),"Programado",AND(V156=0,D156=""),"Desenvolv.",V156=0,"Não Iniciado",AND(V156&gt;0,V156&lt;H156,AO156=TRUE),"Em Produção",AND(V156&gt;0,V156&lt;H156,AO156=FALSE),"Produção Parcial")</f>
        <v>Não Iniciado</v>
      </c>
      <c r="AC156" s="42" t="b">
        <v>1</v>
      </c>
      <c r="AD156" s="42" t="b">
        <v>1</v>
      </c>
      <c r="AE156" s="42" t="b">
        <v>1</v>
      </c>
      <c r="AF156" s="42" t="b">
        <v>1</v>
      </c>
      <c r="AG156" s="42" t="s">
        <v>38</v>
      </c>
      <c r="AH156" s="42" t="s">
        <v>38</v>
      </c>
      <c r="AI156" s="42" t="b">
        <v>1</v>
      </c>
      <c r="AJ156" s="42" t="s">
        <v>38</v>
      </c>
      <c r="AK156" s="42" t="s">
        <v>38</v>
      </c>
      <c r="AL156" s="42" t="b">
        <v>1</v>
      </c>
      <c r="AM156" s="42" t="b">
        <v>1</v>
      </c>
      <c r="AN156" s="42" t="b">
        <v>1</v>
      </c>
      <c r="AO156" s="45" t="b" cm="1">
        <f t="array" ref="AO156">AND(COUNTIF(AC156:AN156,FALSE)=0,SUMPRODUCT(ISNUMBER(AC156:AN156)*1)=0)</f>
        <v>1</v>
      </c>
      <c r="AP156" s="59"/>
      <c r="AQ156" s="111">
        <f>IF(AB156="",99999999999,IFERROR(MATCH(AB156,{"Produção Parcial","Em Produção","Programado","Não Iniciado","Desenvolv.","Concluído"},0),7)*100000000+IF(ISNUMBER(J156),J156-46000,9999)*10000+IF(A156="",99,A156)*100+IF(C156="",99,CODE(LEFT(C156,1))))</f>
        <v>499990187</v>
      </c>
    </row>
    <row r="157" spans="1:45" s="36" customFormat="1" ht="25.15" hidden="1" customHeight="1" x14ac:dyDescent="0.25">
      <c r="A157" s="36">
        <v>2</v>
      </c>
      <c r="B157" s="38" t="s">
        <v>177</v>
      </c>
      <c r="C157" s="24" t="str">
        <f>INDEX([1]Produtos!$G:$G,MATCH($D157,[1]Produtos!$B:$B,0))</f>
        <v>ISA BEAUTY</v>
      </c>
      <c r="D157" s="24" t="s">
        <v>186</v>
      </c>
      <c r="E157" s="70" t="str">
        <f>INDEX([1]Produtos!$C:$C,MATCH($D157,[1]Produtos!$B:$B,0))&amp;IF($F157&lt;&gt;"-"," - "&amp;LEFT($F157,1),"")&amp;" &gt; "&amp;$B157</f>
        <v>LOÇÃO HIDRATANTE ABDALLAH &gt; 03_07</v>
      </c>
      <c r="F157" s="51" t="s">
        <v>38</v>
      </c>
      <c r="G157" s="38">
        <v>45862</v>
      </c>
      <c r="H157" s="39">
        <v>5000</v>
      </c>
      <c r="I157" s="24" t="s">
        <v>39</v>
      </c>
      <c r="J157" s="68" t="str" cm="1">
        <f t="array" ref="J157">IFERROR(INDEX('[2]Previsão Envase'!$D$5:$D$4867, MATCH(1,('[2]Previsão Envase'!$F$5:$F$4867=$E157)+('[2]Previsão Envase'!$G$5:$G$4867=$E157)+('[2]Previsão Envase'!$H$5:$H$4867=$E157),0)),"")</f>
        <v/>
      </c>
      <c r="K157" s="68" t="str">
        <f>IF(COUNTIF('[2]Previsão Envase'!$F:$F,E157)&gt;0,"Linha 1",
IF(COUNTIF('[2]Previsão Envase'!$G:$G,E157)&gt;0,"Linha 2",
IF(COUNTIF('[2]Previsão Envase'!$H:$H,E157)&gt;0,"Linha 3","")))</f>
        <v/>
      </c>
      <c r="L157" s="96">
        <f>COUNTIF('[2]Previsão Envase'!$F:$H,E157)-COUNTIF('[2]Previsão Envase'!$F$1:$H$4,E157)</f>
        <v>0</v>
      </c>
      <c r="M157" s="35">
        <f t="shared" si="31"/>
        <v>0</v>
      </c>
      <c r="N157" s="68" t="str">
        <f>IFERROR(MAX(_xlfn.MAXIFS('[2]Controle de Produção'!$C:$C,'[2]Controle de Produção'!$L:$L,$D157,'[2]Controle de Produção'!$P:$P,$C157,'[2]Controle de Produção'!$G:$G,$B157),_xlfn.MAXIFS([3]EXPEDIÇÃO!$N:$N,[3]EXPEDIÇÃO!$E:$E,$D157,[3]EXPEDIÇÃO!$D:$D,$C157,[3]EXPEDIÇÃO!$N:$N,"&gt;="&amp;$G157)),"")</f>
        <v/>
      </c>
      <c r="O157" s="70">
        <f>INDEX([1]Produtos!$E:$E,MATCH($D157,[1]Produtos!$B:$B,0))</f>
        <v>180</v>
      </c>
      <c r="P157" s="70" t="str">
        <f>INDEX([1]Produtos!$F:$F,MATCH($D157,[1]Produtos!$B:$B,0))</f>
        <v>ml</v>
      </c>
      <c r="Q157" s="105">
        <f>INDEX([1]Produtos!$Y:$Y,MATCH($D157,[1]Produtos!$B:$B,0))</f>
        <v>0</v>
      </c>
      <c r="R157" s="35">
        <f t="shared" si="32"/>
        <v>5520.5897431648482</v>
      </c>
      <c r="S157" s="27">
        <f>IFERROR(INDEX([1]Produtos!$L:$L,MATCH(D157,[1]Produtos!$B:$B,0)), "")</f>
        <v>613.39886035164977</v>
      </c>
      <c r="T157" s="28">
        <f t="shared" si="33"/>
        <v>8.1999999999999993</v>
      </c>
      <c r="U157" s="28" t="str">
        <f t="shared" si="34"/>
        <v>0D e 9h</v>
      </c>
      <c r="V157" s="27">
        <f>IFERROR(SUMIFS('[2]Controle de Produção'!$K:$K,'[2]Controle de Produção'!$L:$L,D157,'[2]Controle de Produção'!$P:$P,C157,'[2]Controle de Produção'!$B:$B,"&gt;=" &amp; G157,'[2]Controle de Produção'!$C:$C,"&lt;=" &amp; N157, '[2]Controle de Produção'!$G:$G,B157), "")</f>
        <v>0</v>
      </c>
      <c r="W157" s="27" t="str">
        <f>IFERROR(SUMIFS([3]EXPEDIÇÃO!$K:$K,[3]EXPEDIÇÃO!$E:$E,D157,[3]EXPEDIÇÃO!$D:$D,C157,[3]EXPEDIÇÃO!$N:$N,"&gt;=" &amp; G157,[3]EXPEDIÇÃO!$N:$N,"&lt;="&amp;N157), "")</f>
        <v/>
      </c>
      <c r="X157" s="27">
        <f>COUNTIFS('[2]Controle de Produção'!$P:$P,C157,'[2]Controle de Produção'!$L:$L,D157,'[2]Controle de Produção'!$B:$B,"&gt;=" &amp; G157)</f>
        <v>2</v>
      </c>
      <c r="Y157" s="27">
        <f t="shared" si="35"/>
        <v>0</v>
      </c>
      <c r="Z157" s="27">
        <f>IFERROR(COUNTIFS('[2]Controle de Produção'!$L:$L,D157,'[2]Controle de Produção'!$P:$P,C157,'[2]Controle de Produção'!$B:$B,"&gt;=" &amp; G157,'[2]Controle de Produção'!$C:$C,"&lt;=" &amp; N157, '[2]Controle de Produção'!$G:$G,B157), "")</f>
        <v>0</v>
      </c>
      <c r="AA157" s="108" t="str">
        <f t="shared" si="36"/>
        <v/>
      </c>
      <c r="AB157" s="41" t="str" cm="1">
        <f t="array" ref="AB157">_xlfn.IFS((H157*0.95)&lt;=V157,"Concluído",AND(V157 =0, J157&lt;&gt;""),"Programado",AND(V157=0,D157=""),"Desenvolv.",V157=0,"Não Iniciado",AND(V157&gt;0,V157&lt;H157,AO157=TRUE),"Em Produção",AND(V157&gt;0,V157&lt;H157,AO157=FALSE),"Produção Parcial")</f>
        <v>Não Iniciado</v>
      </c>
      <c r="AC157" s="42" t="b">
        <v>1</v>
      </c>
      <c r="AD157" s="42" t="b">
        <v>1</v>
      </c>
      <c r="AE157" s="42" t="b">
        <v>0</v>
      </c>
      <c r="AF157" s="42" t="b">
        <v>0</v>
      </c>
      <c r="AG157" s="42" t="s">
        <v>38</v>
      </c>
      <c r="AH157" s="42" t="s">
        <v>38</v>
      </c>
      <c r="AI157" s="42" t="b">
        <v>0</v>
      </c>
      <c r="AJ157" s="42" t="s">
        <v>38</v>
      </c>
      <c r="AK157" s="42" t="b">
        <v>0</v>
      </c>
      <c r="AL157" s="42" t="b">
        <v>0</v>
      </c>
      <c r="AM157" s="42" t="b">
        <v>1</v>
      </c>
      <c r="AN157" s="42" t="b">
        <v>0</v>
      </c>
      <c r="AO157" s="45" t="b" cm="1">
        <f t="array" ref="AO157">AND(COUNTIF(AC157:AN157,FALSE)=0,SUMPRODUCT(ISNUMBER(AC157:AN157)*1)=0)</f>
        <v>0</v>
      </c>
      <c r="AP157" s="59"/>
      <c r="AQ157" s="111">
        <f>IF(AB157="",99999999999,IFERROR(MATCH(AB157,{"Produção Parcial","Em Produção","Programado","Não Iniciado","Desenvolv.","Concluído"},0),7)*100000000+IF(ISNUMBER(J157),J157-46000,9999)*10000+IF(A157="",99,A157)*100+IF(C157="",99,CODE(LEFT(C157,1))))</f>
        <v>499990273</v>
      </c>
    </row>
    <row r="158" spans="1:45" s="36" customFormat="1" ht="25.15" hidden="1" customHeight="1" x14ac:dyDescent="0.25">
      <c r="A158" s="36">
        <v>2</v>
      </c>
      <c r="B158" s="38" t="s">
        <v>177</v>
      </c>
      <c r="C158" s="24" t="str">
        <f>INDEX([1]Produtos!$G:$G,MATCH($D158,[1]Produtos!$B:$B,0))</f>
        <v>ISA BEAUTY</v>
      </c>
      <c r="D158" s="24" t="s">
        <v>190</v>
      </c>
      <c r="E158" s="70" t="str">
        <f>INDEX([1]Produtos!$C:$C,MATCH($D158,[1]Produtos!$B:$B,0))&amp;IF($F158&lt;&gt;"-"," - "&amp;LEFT($F158,1),"")&amp;" &gt; "&amp;$B158</f>
        <v>LOÇÃO HIDRATANTE ALLAN &gt; 03_07</v>
      </c>
      <c r="F158" s="51" t="s">
        <v>38</v>
      </c>
      <c r="G158" s="38">
        <v>45862</v>
      </c>
      <c r="H158" s="39">
        <v>5000</v>
      </c>
      <c r="I158" s="24" t="s">
        <v>39</v>
      </c>
      <c r="J158" s="68" t="str" cm="1">
        <f t="array" ref="J158">IFERROR(INDEX('[2]Previsão Envase'!$D$5:$D$4867, MATCH(1,('[2]Previsão Envase'!$F$5:$F$4867=$E158)+('[2]Previsão Envase'!$G$5:$G$4867=$E158)+('[2]Previsão Envase'!$H$5:$H$4867=$E158),0)),"")</f>
        <v/>
      </c>
      <c r="K158" s="68" t="str">
        <f>IF(COUNTIF('[2]Previsão Envase'!$F:$F,E158)&gt;0,"Linha 1",
IF(COUNTIF('[2]Previsão Envase'!$G:$G,E158)&gt;0,"Linha 2",
IF(COUNTIF('[2]Previsão Envase'!$H:$H,E158)&gt;0,"Linha 3","")))</f>
        <v/>
      </c>
      <c r="L158" s="96">
        <f>COUNTIF('[2]Previsão Envase'!$F:$H,E158)-COUNTIF('[2]Previsão Envase'!$F$1:$H$4,E158)</f>
        <v>0</v>
      </c>
      <c r="M158" s="35">
        <f t="shared" si="31"/>
        <v>0</v>
      </c>
      <c r="N158" s="68" t="str">
        <f>IFERROR(MAX(_xlfn.MAXIFS('[2]Controle de Produção'!$C:$C,'[2]Controle de Produção'!$L:$L,$D158,'[2]Controle de Produção'!$P:$P,$C158,'[2]Controle de Produção'!$G:$G,$B158),_xlfn.MAXIFS([3]EXPEDIÇÃO!$N:$N,[3]EXPEDIÇÃO!$E:$E,$D158,[3]EXPEDIÇÃO!$D:$D,$C158,[3]EXPEDIÇÃO!$N:$N,"&gt;="&amp;$G158)),"")</f>
        <v/>
      </c>
      <c r="O158" s="70">
        <f>INDEX([1]Produtos!$E:$E,MATCH($D158,[1]Produtos!$B:$B,0))</f>
        <v>180</v>
      </c>
      <c r="P158" s="70" t="str">
        <f>INDEX([1]Produtos!$F:$F,MATCH($D158,[1]Produtos!$B:$B,0))</f>
        <v>ml</v>
      </c>
      <c r="Q158" s="105">
        <f>INDEX([1]Produtos!$Y:$Y,MATCH($D158,[1]Produtos!$B:$B,0))</f>
        <v>0</v>
      </c>
      <c r="R158" s="35">
        <f t="shared" si="32"/>
        <v>5520.5897431648482</v>
      </c>
      <c r="S158" s="27">
        <f>IFERROR(INDEX([1]Produtos!$L:$L,MATCH(D158,[1]Produtos!$B:$B,0)), "")</f>
        <v>613.39886035164977</v>
      </c>
      <c r="T158" s="28">
        <f t="shared" si="33"/>
        <v>8.1999999999999993</v>
      </c>
      <c r="U158" s="28" t="str">
        <f t="shared" si="34"/>
        <v>0D e 9h</v>
      </c>
      <c r="V158" s="27">
        <f>IFERROR(SUMIFS('[2]Controle de Produção'!$K:$K,'[2]Controle de Produção'!$L:$L,D158,'[2]Controle de Produção'!$P:$P,C158,'[2]Controle de Produção'!$B:$B,"&gt;=" &amp; G158,'[2]Controle de Produção'!$C:$C,"&lt;=" &amp; N158, '[2]Controle de Produção'!$G:$G,B158), "")</f>
        <v>0</v>
      </c>
      <c r="W158" s="27" t="str">
        <f>IFERROR(SUMIFS([3]EXPEDIÇÃO!$K:$K,[3]EXPEDIÇÃO!$E:$E,D158,[3]EXPEDIÇÃO!$D:$D,C158,[3]EXPEDIÇÃO!$N:$N,"&gt;=" &amp; G158,[3]EXPEDIÇÃO!$N:$N,"&lt;="&amp;N158), "")</f>
        <v/>
      </c>
      <c r="X158" s="27">
        <f>COUNTIFS('[2]Controle de Produção'!$P:$P,C158,'[2]Controle de Produção'!$L:$L,D158,'[2]Controle de Produção'!$B:$B,"&gt;=" &amp; G158)</f>
        <v>2</v>
      </c>
      <c r="Y158" s="27">
        <f t="shared" si="35"/>
        <v>0</v>
      </c>
      <c r="Z158" s="27">
        <f>IFERROR(COUNTIFS('[2]Controle de Produção'!$L:$L,D158,'[2]Controle de Produção'!$P:$P,C158,'[2]Controle de Produção'!$B:$B,"&gt;=" &amp; G158,'[2]Controle de Produção'!$C:$C,"&lt;=" &amp; N158, '[2]Controle de Produção'!$G:$G,B158), "")</f>
        <v>0</v>
      </c>
      <c r="AA158" s="108" t="str">
        <f t="shared" si="36"/>
        <v/>
      </c>
      <c r="AB158" s="41" t="str" cm="1">
        <f t="array" ref="AB158">_xlfn.IFS((H158*0.95)&lt;=V158,"Concluído",AND(V158 =0, J158&lt;&gt;""),"Programado",AND(V158=0,D158=""),"Desenvolv.",V158=0,"Não Iniciado",AND(V158&gt;0,V158&lt;H158,AO158=TRUE),"Em Produção",AND(V158&gt;0,V158&lt;H158,AO158=FALSE),"Produção Parcial")</f>
        <v>Não Iniciado</v>
      </c>
      <c r="AC158" s="42" t="b">
        <v>1</v>
      </c>
      <c r="AD158" s="42" t="b">
        <v>1</v>
      </c>
      <c r="AE158" s="42" t="b">
        <v>0</v>
      </c>
      <c r="AF158" s="42" t="b">
        <v>1</v>
      </c>
      <c r="AG158" s="42" t="s">
        <v>38</v>
      </c>
      <c r="AH158" s="42" t="s">
        <v>38</v>
      </c>
      <c r="AI158" s="42" t="b">
        <v>1</v>
      </c>
      <c r="AJ158" s="42" t="s">
        <v>38</v>
      </c>
      <c r="AK158" s="42" t="b">
        <v>0</v>
      </c>
      <c r="AL158" s="42" t="b">
        <v>1</v>
      </c>
      <c r="AM158" s="42" t="b">
        <v>1</v>
      </c>
      <c r="AN158" s="42" t="b">
        <v>0</v>
      </c>
      <c r="AO158" s="45" t="b" cm="1">
        <f t="array" ref="AO158">AND(COUNTIF(AC158:AN158,FALSE)=0,SUMPRODUCT(ISNUMBER(AC158:AN158)*1)=0)</f>
        <v>0</v>
      </c>
      <c r="AP158" s="59"/>
      <c r="AQ158" s="111">
        <f>IF(AB158="",99999999999,IFERROR(MATCH(AB158,{"Produção Parcial","Em Produção","Programado","Não Iniciado","Desenvolv.","Concluído"},0),7)*100000000+IF(ISNUMBER(J158),J158-46000,9999)*10000+IF(A158="",99,A158)*100+IF(C158="",99,CODE(LEFT(C158,1))))</f>
        <v>499990273</v>
      </c>
    </row>
    <row r="159" spans="1:45" s="36" customFormat="1" ht="25.15" hidden="1" customHeight="1" x14ac:dyDescent="0.25">
      <c r="A159" s="36">
        <v>2</v>
      </c>
      <c r="B159" s="38" t="s">
        <v>177</v>
      </c>
      <c r="C159" s="24" t="str">
        <f>INDEX([1]Produtos!$G:$G,MATCH($D159,[1]Produtos!$B:$B,0))</f>
        <v>ISA BEAUTY</v>
      </c>
      <c r="D159" s="24" t="s">
        <v>188</v>
      </c>
      <c r="E159" s="70" t="str">
        <f>INDEX([1]Produtos!$C:$C,MATCH($D159,[1]Produtos!$B:$B,0))&amp;IF($F159&lt;&gt;"-"," - "&amp;LEFT($F159,1),"")&amp;" &gt; "&amp;$B159</f>
        <v>LOÇÃO HIDRATANTE ÁRABE &gt; 03_07</v>
      </c>
      <c r="F159" s="51" t="s">
        <v>38</v>
      </c>
      <c r="G159" s="38">
        <v>45862</v>
      </c>
      <c r="H159" s="39">
        <v>5000</v>
      </c>
      <c r="I159" s="24" t="s">
        <v>39</v>
      </c>
      <c r="J159" s="68" t="str" cm="1">
        <f t="array" ref="J159">IFERROR(INDEX('[2]Previsão Envase'!$D$5:$D$4867, MATCH(1,('[2]Previsão Envase'!$F$5:$F$4867=$E159)+('[2]Previsão Envase'!$G$5:$G$4867=$E159)+('[2]Previsão Envase'!$H$5:$H$4867=$E159),0)),"")</f>
        <v/>
      </c>
      <c r="K159" s="68" t="str">
        <f>IF(COUNTIF('[2]Previsão Envase'!$F:$F,E159)&gt;0,"Linha 1",
IF(COUNTIF('[2]Previsão Envase'!$G:$G,E159)&gt;0,"Linha 2",
IF(COUNTIF('[2]Previsão Envase'!$H:$H,E159)&gt;0,"Linha 3","")))</f>
        <v/>
      </c>
      <c r="L159" s="96">
        <f>COUNTIF('[2]Previsão Envase'!$F:$H,E159)-COUNTIF('[2]Previsão Envase'!$F$1:$H$4,E159)</f>
        <v>0</v>
      </c>
      <c r="M159" s="35">
        <f t="shared" si="31"/>
        <v>0</v>
      </c>
      <c r="N159" s="68" t="str">
        <f>IFERROR(MAX(_xlfn.MAXIFS('[2]Controle de Produção'!$C:$C,'[2]Controle de Produção'!$L:$L,$D159,'[2]Controle de Produção'!$P:$P,$C159,'[2]Controle de Produção'!$G:$G,$B159),_xlfn.MAXIFS([3]EXPEDIÇÃO!$N:$N,[3]EXPEDIÇÃO!$E:$E,$D159,[3]EXPEDIÇÃO!$D:$D,$C159,[3]EXPEDIÇÃO!$N:$N,"&gt;="&amp;$G159)),"")</f>
        <v/>
      </c>
      <c r="O159" s="70">
        <f>INDEX([1]Produtos!$E:$E,MATCH($D159,[1]Produtos!$B:$B,0))</f>
        <v>180</v>
      </c>
      <c r="P159" s="70" t="str">
        <f>INDEX([1]Produtos!$F:$F,MATCH($D159,[1]Produtos!$B:$B,0))</f>
        <v>ml</v>
      </c>
      <c r="Q159" s="105">
        <f>INDEX([1]Produtos!$Y:$Y,MATCH($D159,[1]Produtos!$B:$B,0))</f>
        <v>0</v>
      </c>
      <c r="R159" s="35">
        <f t="shared" si="32"/>
        <v>5520.5897431648482</v>
      </c>
      <c r="S159" s="27">
        <f>IFERROR(INDEX([1]Produtos!$L:$L,MATCH(D159,[1]Produtos!$B:$B,0)), "")</f>
        <v>613.39886035164977</v>
      </c>
      <c r="T159" s="28">
        <f t="shared" si="33"/>
        <v>8.1999999999999993</v>
      </c>
      <c r="U159" s="28" t="str">
        <f t="shared" si="34"/>
        <v>0D e 9h</v>
      </c>
      <c r="V159" s="27">
        <f>IFERROR(SUMIFS('[2]Controle de Produção'!$K:$K,'[2]Controle de Produção'!$L:$L,D159,'[2]Controle de Produção'!$P:$P,C159,'[2]Controle de Produção'!$B:$B,"&gt;=" &amp; G159,'[2]Controle de Produção'!$C:$C,"&lt;=" &amp; N159, '[2]Controle de Produção'!$G:$G,B159), "")</f>
        <v>0</v>
      </c>
      <c r="W159" s="27" t="str">
        <f>IFERROR(SUMIFS([3]EXPEDIÇÃO!$K:$K,[3]EXPEDIÇÃO!$E:$E,D159,[3]EXPEDIÇÃO!$D:$D,C159,[3]EXPEDIÇÃO!$N:$N,"&gt;=" &amp; G159,[3]EXPEDIÇÃO!$N:$N,"&lt;="&amp;N159), "")</f>
        <v/>
      </c>
      <c r="X159" s="27">
        <f>COUNTIFS('[2]Controle de Produção'!$P:$P,C159,'[2]Controle de Produção'!$L:$L,D159,'[2]Controle de Produção'!$B:$B,"&gt;=" &amp; G159)</f>
        <v>2</v>
      </c>
      <c r="Y159" s="27">
        <f t="shared" si="35"/>
        <v>0</v>
      </c>
      <c r="Z159" s="27">
        <f>IFERROR(COUNTIFS('[2]Controle de Produção'!$L:$L,D159,'[2]Controle de Produção'!$P:$P,C159,'[2]Controle de Produção'!$B:$B,"&gt;=" &amp; G159,'[2]Controle de Produção'!$C:$C,"&lt;=" &amp; N159, '[2]Controle de Produção'!$G:$G,B159), "")</f>
        <v>0</v>
      </c>
      <c r="AA159" s="108" t="str">
        <f t="shared" si="36"/>
        <v/>
      </c>
      <c r="AB159" s="41" t="str" cm="1">
        <f t="array" ref="AB159">_xlfn.IFS((H159*0.95)&lt;=V159,"Concluído",AND(V159 =0, J159&lt;&gt;""),"Programado",AND(V159=0,D159=""),"Desenvolv.",V159=0,"Não Iniciado",AND(V159&gt;0,V159&lt;H159,AO159=TRUE),"Em Produção",AND(V159&gt;0,V159&lt;H159,AO159=FALSE),"Produção Parcial")</f>
        <v>Não Iniciado</v>
      </c>
      <c r="AC159" s="42" t="b">
        <v>1</v>
      </c>
      <c r="AD159" s="42" t="b">
        <v>1</v>
      </c>
      <c r="AE159" s="42" t="b">
        <v>1</v>
      </c>
      <c r="AF159" s="42" t="b">
        <v>1</v>
      </c>
      <c r="AG159" s="42" t="s">
        <v>38</v>
      </c>
      <c r="AH159" s="42" t="s">
        <v>38</v>
      </c>
      <c r="AI159" s="42" t="b">
        <v>1</v>
      </c>
      <c r="AJ159" s="42" t="s">
        <v>38</v>
      </c>
      <c r="AK159" s="42" t="b">
        <v>0</v>
      </c>
      <c r="AL159" s="42" t="b">
        <v>1</v>
      </c>
      <c r="AM159" s="42" t="b">
        <v>1</v>
      </c>
      <c r="AN159" s="42" t="b">
        <v>0</v>
      </c>
      <c r="AO159" s="45" t="b" cm="1">
        <f t="array" ref="AO159">AND(COUNTIF(AC159:AN159,FALSE)=0,SUMPRODUCT(ISNUMBER(AC159:AN159)*1)=0)</f>
        <v>0</v>
      </c>
      <c r="AP159" s="59"/>
      <c r="AQ159" s="111">
        <f>IF(AB159="",99999999999,IFERROR(MATCH(AB159,{"Produção Parcial","Em Produção","Programado","Não Iniciado","Desenvolv.","Concluído"},0),7)*100000000+IF(ISNUMBER(J159),J159-46000,9999)*10000+IF(A159="",99,A159)*100+IF(C159="",99,CODE(LEFT(C159,1))))</f>
        <v>499990273</v>
      </c>
    </row>
    <row r="160" spans="1:45" s="36" customFormat="1" ht="25.15" hidden="1" customHeight="1" x14ac:dyDescent="0.25">
      <c r="A160" s="36">
        <v>2</v>
      </c>
      <c r="B160" s="38" t="s">
        <v>177</v>
      </c>
      <c r="C160" s="24" t="str">
        <f>INDEX([1]Produtos!$G:$G,MATCH($D160,[1]Produtos!$B:$B,0))</f>
        <v>ISA BEAUTY</v>
      </c>
      <c r="D160" s="24" t="s">
        <v>191</v>
      </c>
      <c r="E160" s="70" t="str">
        <f>INDEX([1]Produtos!$C:$C,MATCH($D160,[1]Produtos!$B:$B,0))&amp;IF($F160&lt;&gt;"-"," - "&amp;LEFT($F160,1),"")&amp;" &gt; "&amp;$B160</f>
        <v>LOÇÃO HIDRATANTE SAIND &gt; 03_07</v>
      </c>
      <c r="F160" s="51" t="s">
        <v>38</v>
      </c>
      <c r="G160" s="38">
        <v>45862</v>
      </c>
      <c r="H160" s="39">
        <v>5000</v>
      </c>
      <c r="I160" s="24" t="s">
        <v>39</v>
      </c>
      <c r="J160" s="68" t="str" cm="1">
        <f t="array" ref="J160">IFERROR(INDEX('[2]Previsão Envase'!$D$5:$D$4867, MATCH(1,('[2]Previsão Envase'!$F$5:$F$4867=$E160)+('[2]Previsão Envase'!$G$5:$G$4867=$E160)+('[2]Previsão Envase'!$H$5:$H$4867=$E160),0)),"")</f>
        <v/>
      </c>
      <c r="K160" s="68" t="str">
        <f>IF(COUNTIF('[2]Previsão Envase'!$F:$F,E160)&gt;0,"Linha 1",
IF(COUNTIF('[2]Previsão Envase'!$G:$G,E160)&gt;0,"Linha 2",
IF(COUNTIF('[2]Previsão Envase'!$H:$H,E160)&gt;0,"Linha 3","")))</f>
        <v/>
      </c>
      <c r="L160" s="96">
        <f>COUNTIF('[2]Previsão Envase'!$F:$H,E160)-COUNTIF('[2]Previsão Envase'!$F$1:$H$4,E160)</f>
        <v>0</v>
      </c>
      <c r="M160" s="35">
        <f t="shared" si="31"/>
        <v>0</v>
      </c>
      <c r="N160" s="68" t="str">
        <f>IFERROR(MAX(_xlfn.MAXIFS('[2]Controle de Produção'!$C:$C,'[2]Controle de Produção'!$L:$L,$D160,'[2]Controle de Produção'!$P:$P,$C160,'[2]Controle de Produção'!$G:$G,$B160),_xlfn.MAXIFS([3]EXPEDIÇÃO!$N:$N,[3]EXPEDIÇÃO!$E:$E,$D160,[3]EXPEDIÇÃO!$D:$D,$C160,[3]EXPEDIÇÃO!$N:$N,"&gt;="&amp;$G160)),"")</f>
        <v/>
      </c>
      <c r="O160" s="70">
        <f>INDEX([1]Produtos!$E:$E,MATCH($D160,[1]Produtos!$B:$B,0))</f>
        <v>180</v>
      </c>
      <c r="P160" s="70" t="str">
        <f>INDEX([1]Produtos!$F:$F,MATCH($D160,[1]Produtos!$B:$B,0))</f>
        <v>ml</v>
      </c>
      <c r="Q160" s="105">
        <f>INDEX([1]Produtos!$Y:$Y,MATCH($D160,[1]Produtos!$B:$B,0))</f>
        <v>0</v>
      </c>
      <c r="R160" s="35">
        <f t="shared" si="32"/>
        <v>5520.5897431648482</v>
      </c>
      <c r="S160" s="27">
        <f>IFERROR(INDEX([1]Produtos!$L:$L,MATCH(D160,[1]Produtos!$B:$B,0)), "")</f>
        <v>613.39886035164977</v>
      </c>
      <c r="T160" s="28">
        <f t="shared" si="33"/>
        <v>8.1999999999999993</v>
      </c>
      <c r="U160" s="28" t="str">
        <f t="shared" si="34"/>
        <v>0D e 9h</v>
      </c>
      <c r="V160" s="27">
        <f>IFERROR(SUMIFS('[2]Controle de Produção'!$K:$K,'[2]Controle de Produção'!$L:$L,D160,'[2]Controle de Produção'!$P:$P,C160,'[2]Controle de Produção'!$B:$B,"&gt;=" &amp; G160,'[2]Controle de Produção'!$C:$C,"&lt;=" &amp; N160, '[2]Controle de Produção'!$G:$G,B160), "")</f>
        <v>0</v>
      </c>
      <c r="W160" s="27" t="str">
        <f>IFERROR(SUMIFS([3]EXPEDIÇÃO!$K:$K,[3]EXPEDIÇÃO!$E:$E,D160,[3]EXPEDIÇÃO!$D:$D,C160,[3]EXPEDIÇÃO!$N:$N,"&gt;=" &amp; G160,[3]EXPEDIÇÃO!$N:$N,"&lt;="&amp;N160), "")</f>
        <v/>
      </c>
      <c r="X160" s="27">
        <f>COUNTIFS('[2]Controle de Produção'!$P:$P,C160,'[2]Controle de Produção'!$L:$L,D160,'[2]Controle de Produção'!$B:$B,"&gt;=" &amp; G160)</f>
        <v>2</v>
      </c>
      <c r="Y160" s="27">
        <f t="shared" si="35"/>
        <v>0</v>
      </c>
      <c r="Z160" s="27">
        <f>IFERROR(COUNTIFS('[2]Controle de Produção'!$L:$L,D160,'[2]Controle de Produção'!$P:$P,C160,'[2]Controle de Produção'!$B:$B,"&gt;=" &amp; G160,'[2]Controle de Produção'!$C:$C,"&lt;=" &amp; N160, '[2]Controle de Produção'!$G:$G,B160), "")</f>
        <v>0</v>
      </c>
      <c r="AA160" s="108" t="str">
        <f t="shared" si="36"/>
        <v/>
      </c>
      <c r="AB160" s="41" t="str" cm="1">
        <f t="array" ref="AB160">_xlfn.IFS((H160*0.95)&lt;=V160,"Concluído",AND(V160 =0, J160&lt;&gt;""),"Programado",AND(V160=0,D160=""),"Desenvolv.",V160=0,"Não Iniciado",AND(V160&gt;0,V160&lt;H160,AO160=TRUE),"Em Produção",AND(V160&gt;0,V160&lt;H160,AO160=FALSE),"Produção Parcial")</f>
        <v>Não Iniciado</v>
      </c>
      <c r="AC160" s="42" t="b">
        <v>1</v>
      </c>
      <c r="AD160" s="42" t="b">
        <v>1</v>
      </c>
      <c r="AE160" s="42" t="b">
        <v>0</v>
      </c>
      <c r="AF160" s="42" t="b">
        <v>1</v>
      </c>
      <c r="AG160" s="42" t="s">
        <v>38</v>
      </c>
      <c r="AH160" s="42" t="s">
        <v>38</v>
      </c>
      <c r="AI160" s="42" t="b">
        <v>1</v>
      </c>
      <c r="AJ160" s="42" t="s">
        <v>38</v>
      </c>
      <c r="AK160" s="42" t="b">
        <v>0</v>
      </c>
      <c r="AL160" s="42" t="b">
        <v>1</v>
      </c>
      <c r="AM160" s="42" t="b">
        <v>1</v>
      </c>
      <c r="AN160" s="42" t="b">
        <v>0</v>
      </c>
      <c r="AO160" s="45" t="b" cm="1">
        <f t="array" ref="AO160">AND(COUNTIF(AC160:AN160,FALSE)=0,SUMPRODUCT(ISNUMBER(AC160:AN160)*1)=0)</f>
        <v>0</v>
      </c>
      <c r="AP160" s="59"/>
      <c r="AQ160" s="111">
        <f>IF(AB160="",99999999999,IFERROR(MATCH(AB160,{"Produção Parcial","Em Produção","Programado","Não Iniciado","Desenvolv.","Concluído"},0),7)*100000000+IF(ISNUMBER(J160),J160-46000,9999)*10000+IF(A160="",99,A160)*100+IF(C160="",99,CODE(LEFT(C160,1))))</f>
        <v>499990273</v>
      </c>
      <c r="AR160"/>
      <c r="AS160"/>
    </row>
    <row r="161" spans="1:45" s="36" customFormat="1" ht="25.15" hidden="1" customHeight="1" x14ac:dyDescent="0.25">
      <c r="A161" s="36">
        <v>2</v>
      </c>
      <c r="B161" s="38" t="s">
        <v>177</v>
      </c>
      <c r="C161" s="70" t="str">
        <f>INDEX([1]Produtos!$G:$G,MATCH($D161,[1]Produtos!$B:$B,0))</f>
        <v>ISA BEAUTY</v>
      </c>
      <c r="D161" s="24" t="s">
        <v>187</v>
      </c>
      <c r="E161" s="70" t="str">
        <f>INDEX([1]Produtos!$C:$C,MATCH($D161,[1]Produtos!$B:$B,0))&amp;IF($F161&lt;&gt;"-"," - "&amp;LEFT($F161,1),"")&amp;" &gt; "&amp;$B161</f>
        <v>LOÇÃO HIDRATANTE HABIB &gt; 03_07</v>
      </c>
      <c r="F161" s="51" t="s">
        <v>38</v>
      </c>
      <c r="G161" s="38">
        <v>45862</v>
      </c>
      <c r="H161" s="39">
        <v>5000</v>
      </c>
      <c r="I161" s="24" t="s">
        <v>39</v>
      </c>
      <c r="J161" s="68" t="str" cm="1">
        <f t="array" ref="J161">IFERROR(INDEX('[2]Previsão Envase'!$D$5:$D$4867, MATCH(1,('[2]Previsão Envase'!$F$5:$F$4867=$E161)+('[2]Previsão Envase'!$G$5:$G$4867=$E161)+('[2]Previsão Envase'!$H$5:$H$4867=$E161),0)),"")</f>
        <v/>
      </c>
      <c r="K161" s="68" t="str">
        <f>IF(COUNTIF('[2]Previsão Envase'!$F:$F,E161)&gt;0,"Linha 1",
IF(COUNTIF('[2]Previsão Envase'!$G:$G,E161)&gt;0,"Linha 2",
IF(COUNTIF('[2]Previsão Envase'!$H:$H,E161)&gt;0,"Linha 3","")))</f>
        <v/>
      </c>
      <c r="L161" s="96">
        <f>COUNTIF('[2]Previsão Envase'!$F:$H,E161)-COUNTIF('[2]Previsão Envase'!$F$1:$H$4,E161)</f>
        <v>0</v>
      </c>
      <c r="M161" s="35">
        <f t="shared" si="31"/>
        <v>0</v>
      </c>
      <c r="N161" s="68" t="str">
        <f>IFERROR(MAX(_xlfn.MAXIFS('[2]Controle de Produção'!$C:$C,'[2]Controle de Produção'!$L:$L,$D161,'[2]Controle de Produção'!$P:$P,$C161,'[2]Controle de Produção'!$G:$G,$B161),_xlfn.MAXIFS([3]EXPEDIÇÃO!$N:$N,[3]EXPEDIÇÃO!$E:$E,$D161,[3]EXPEDIÇÃO!$D:$D,$C161,[3]EXPEDIÇÃO!$N:$N,"&gt;="&amp;$G161)),"")</f>
        <v/>
      </c>
      <c r="O161" s="70">
        <f>INDEX([1]Produtos!$E:$E,MATCH($D161,[1]Produtos!$B:$B,0))</f>
        <v>180</v>
      </c>
      <c r="P161" s="70" t="str">
        <f>INDEX([1]Produtos!$F:$F,MATCH($D161,[1]Produtos!$B:$B,0))</f>
        <v>ml</v>
      </c>
      <c r="Q161" s="105">
        <f>INDEX([1]Produtos!$Y:$Y,MATCH($D161,[1]Produtos!$B:$B,0))</f>
        <v>0</v>
      </c>
      <c r="R161" s="35">
        <f t="shared" si="32"/>
        <v>5520.5897431648482</v>
      </c>
      <c r="S161" s="27">
        <f>IFERROR(INDEX([1]Produtos!$L:$L,MATCH(D161,[1]Produtos!$B:$B,0)), "")</f>
        <v>613.39886035164977</v>
      </c>
      <c r="T161" s="28">
        <f t="shared" si="33"/>
        <v>8.1999999999999993</v>
      </c>
      <c r="U161" s="28" t="str">
        <f t="shared" si="34"/>
        <v>0D e 9h</v>
      </c>
      <c r="V161" s="27">
        <f>IFERROR(SUMIFS('[2]Controle de Produção'!$K:$K,'[2]Controle de Produção'!$L:$L,D161,'[2]Controle de Produção'!$P:$P,C161,'[2]Controle de Produção'!$B:$B,"&gt;=" &amp; G161,'[2]Controle de Produção'!$C:$C,"&lt;=" &amp; N161, '[2]Controle de Produção'!$G:$G,B161), "")</f>
        <v>0</v>
      </c>
      <c r="W161" s="27" t="str">
        <f>IFERROR(SUMIFS([3]EXPEDIÇÃO!$K:$K,[3]EXPEDIÇÃO!$E:$E,D161,[3]EXPEDIÇÃO!$D:$D,C161,[3]EXPEDIÇÃO!$N:$N,"&gt;=" &amp; G161,[3]EXPEDIÇÃO!$N:$N,"&lt;="&amp;N161), "")</f>
        <v/>
      </c>
      <c r="X161" s="27">
        <f>COUNTIFS('[2]Controle de Produção'!$P:$P,C161,'[2]Controle de Produção'!$L:$L,D161,'[2]Controle de Produção'!$B:$B,"&gt;=" &amp; G161)</f>
        <v>2</v>
      </c>
      <c r="Y161" s="27">
        <f t="shared" si="35"/>
        <v>0</v>
      </c>
      <c r="Z161" s="27">
        <f>IFERROR(COUNTIFS('[2]Controle de Produção'!$L:$L,D161,'[2]Controle de Produção'!$P:$P,C161,'[2]Controle de Produção'!$B:$B,"&gt;=" &amp; G161,'[2]Controle de Produção'!$C:$C,"&lt;=" &amp; N161, '[2]Controle de Produção'!$G:$G,B161), "")</f>
        <v>0</v>
      </c>
      <c r="AA161" s="108" t="str">
        <f t="shared" si="36"/>
        <v/>
      </c>
      <c r="AB161" s="41" t="str" cm="1">
        <f t="array" ref="AB161">_xlfn.IFS((H161*0.95)&lt;=V161,"Concluído",AND(V161 =0, J161&lt;&gt;""),"Programado",AND(V161=0,D161=""),"Desenvolv.",V161=0,"Não Iniciado",AND(V161&gt;0,V161&lt;H161,AO161=TRUE),"Em Produção",AND(V161&gt;0,V161&lt;H161,AO161=FALSE),"Produção Parcial")</f>
        <v>Não Iniciado</v>
      </c>
      <c r="AC161" s="42" t="b">
        <v>1</v>
      </c>
      <c r="AD161" s="42" t="b">
        <v>1</v>
      </c>
      <c r="AE161" s="42" t="b">
        <v>0</v>
      </c>
      <c r="AF161" s="42" t="b">
        <v>1</v>
      </c>
      <c r="AG161" s="42" t="s">
        <v>38</v>
      </c>
      <c r="AH161" s="42" t="s">
        <v>38</v>
      </c>
      <c r="AI161" s="42" t="b">
        <v>1</v>
      </c>
      <c r="AJ161" s="42" t="s">
        <v>38</v>
      </c>
      <c r="AK161" s="42" t="b">
        <v>0</v>
      </c>
      <c r="AL161" s="42" t="b">
        <v>0</v>
      </c>
      <c r="AM161" s="42" t="b">
        <v>1</v>
      </c>
      <c r="AN161" s="42" t="b">
        <v>0</v>
      </c>
      <c r="AO161" s="45" t="b" cm="1">
        <f t="array" ref="AO161">AND(COUNTIF(AC161:AN161,FALSE)=0,SUMPRODUCT(ISNUMBER(AC161:AN161)*1)=0)</f>
        <v>0</v>
      </c>
      <c r="AP161" s="59"/>
      <c r="AQ161" s="111">
        <f>IF(AB161="",99999999999,IFERROR(MATCH(AB161,{"Produção Parcial","Em Produção","Programado","Não Iniciado","Desenvolv.","Concluído"},0),7)*100000000+IF(ISNUMBER(J161),J161-46000,9999)*10000+IF(A161="",99,A161)*100+IF(C161="",99,CODE(LEFT(C161,1))))</f>
        <v>499990273</v>
      </c>
    </row>
    <row r="162" spans="1:45" s="36" customFormat="1" ht="25.15" hidden="1" customHeight="1" x14ac:dyDescent="0.25">
      <c r="A162" s="36">
        <v>2</v>
      </c>
      <c r="B162" s="38" t="s">
        <v>170</v>
      </c>
      <c r="C162" s="65" t="str">
        <f>INDEX([1]Produtos!$G:$G,MATCH($D162,[1]Produtos!$B:$B,0))</f>
        <v>KURYOS</v>
      </c>
      <c r="D162" s="65" t="s">
        <v>48</v>
      </c>
      <c r="E162" s="70" t="str">
        <f>INDEX([1]Produtos!$C:$C,MATCH($D162,[1]Produtos!$B:$B,0))&amp;IF($F162&lt;&gt;"-"," - "&amp;LEFT($F162,1),"")&amp;" &gt; "&amp;$B162</f>
        <v>BASE PARA PERFUME FINA BASE PREMIUM 1l &gt; 04_07</v>
      </c>
      <c r="F162" s="38" t="s">
        <v>38</v>
      </c>
      <c r="G162" s="38">
        <v>45866</v>
      </c>
      <c r="H162" s="39">
        <v>1092</v>
      </c>
      <c r="I162" s="65" t="s">
        <v>39</v>
      </c>
      <c r="J162" s="68" t="str" cm="1">
        <f t="array" ref="J162">IFERROR(INDEX('[2]Previsão Envase'!$D$5:$D$4867, MATCH(1,('[2]Previsão Envase'!$F$5:$F$4867=$E162)+('[2]Previsão Envase'!$G$5:$G$4867=$E162)+('[2]Previsão Envase'!$H$5:$H$4867=$E162),0)),"")</f>
        <v/>
      </c>
      <c r="K162" s="68" t="str">
        <f>IF(COUNTIF('[2]Previsão Envase'!$F:$F,E162)&gt;0,"Linha 1",
IF(COUNTIF('[2]Previsão Envase'!$G:$G,E162)&gt;0,"Linha 2",
IF(COUNTIF('[2]Previsão Envase'!$H:$H,E162)&gt;0,"Linha 3","")))</f>
        <v/>
      </c>
      <c r="L162" s="96">
        <f>COUNTIF('[2]Previsão Envase'!$F:$H,E162)-COUNTIF('[2]Previsão Envase'!$F$1:$H$4,E162)</f>
        <v>0</v>
      </c>
      <c r="M162" s="35">
        <f t="shared" si="31"/>
        <v>0</v>
      </c>
      <c r="N162" s="68" t="str">
        <f>IFERROR(MAX(_xlfn.MAXIFS('[2]Controle de Produção'!$C:$C,'[2]Controle de Produção'!$L:$L,$D162,'[2]Controle de Produção'!$P:$P,$C162,'[2]Controle de Produção'!$G:$G,$B162),_xlfn.MAXIFS([3]EXPEDIÇÃO!$N:$N,[3]EXPEDIÇÃO!$E:$E,$D162,[3]EXPEDIÇÃO!$D:$D,$C162,[3]EXPEDIÇÃO!$N:$N,"&gt;="&amp;$G162)),"")</f>
        <v/>
      </c>
      <c r="O162" s="70">
        <f>INDEX([1]Produtos!$E:$E,MATCH($D162,[1]Produtos!$B:$B,0))</f>
        <v>1000</v>
      </c>
      <c r="P162" s="70" t="str">
        <f>INDEX([1]Produtos!$F:$F,MATCH($D162,[1]Produtos!$B:$B,0))</f>
        <v>ml</v>
      </c>
      <c r="Q162" s="105">
        <f>INDEX([1]Produtos!$Y:$Y,MATCH($D162,[1]Produtos!$B:$B,0))</f>
        <v>0</v>
      </c>
      <c r="R162" s="35">
        <f t="shared" si="32"/>
        <v>2120.1944716590451</v>
      </c>
      <c r="S162" s="27">
        <f>IFERROR(INDEX([1]Produtos!$L:$L,MATCH(D162,[1]Produtos!$B:$B,0)), "")</f>
        <v>235.57716351767166</v>
      </c>
      <c r="T162" s="28">
        <f t="shared" si="33"/>
        <v>4.6999999999999993</v>
      </c>
      <c r="U162" s="28" t="str">
        <f t="shared" si="34"/>
        <v>0D e 5h</v>
      </c>
      <c r="V162" s="27">
        <f>IFERROR(SUMIFS('[2]Controle de Produção'!$K:$K,'[2]Controle de Produção'!$L:$L,D162,'[2]Controle de Produção'!$P:$P,C162,'[2]Controle de Produção'!$B:$B,"&gt;=" &amp; G162,'[2]Controle de Produção'!$C:$C,"&lt;=" &amp; N162, '[2]Controle de Produção'!$G:$G,B162), "")</f>
        <v>0</v>
      </c>
      <c r="W162" s="27" t="str">
        <f>IFERROR(SUMIFS([3]EXPEDIÇÃO!$K:$K,[3]EXPEDIÇÃO!$E:$E,D162,[3]EXPEDIÇÃO!$D:$D,C162,[3]EXPEDIÇÃO!$N:$N,"&gt;=" &amp; G162,[3]EXPEDIÇÃO!$N:$N,"&lt;="&amp;N162), "")</f>
        <v/>
      </c>
      <c r="X162" s="27">
        <f>COUNTIFS('[2]Controle de Produção'!$P:$P,C162,'[2]Controle de Produção'!$L:$L,D162,'[2]Controle de Produção'!$B:$B,"&gt;=" &amp; G162)</f>
        <v>8</v>
      </c>
      <c r="Y162" s="27">
        <f t="shared" si="35"/>
        <v>0</v>
      </c>
      <c r="Z162" s="27">
        <f>IFERROR(COUNTIFS('[2]Controle de Produção'!$L:$L,D162,'[2]Controle de Produção'!$P:$P,C162,'[2]Controle de Produção'!$B:$B,"&gt;=" &amp; G162,'[2]Controle de Produção'!$C:$C,"&lt;=" &amp; N162, '[2]Controle de Produção'!$G:$G,B162), "")</f>
        <v>0</v>
      </c>
      <c r="AA162" s="108" t="str">
        <f t="shared" si="36"/>
        <v/>
      </c>
      <c r="AB162" s="41" t="str" cm="1">
        <f t="array" ref="AB162">_xlfn.IFS((H162*0.95)&lt;=V162,"Concluído",AND(V162 =0, J162&lt;&gt;""),"Programado",AND(V162=0,D162=""),"Desenvolv.",V162=0,"Não Iniciado",AND(V162&gt;0,V162&lt;H162,AO162=TRUE),"Em Produção",AND(V162&gt;0,V162&lt;H162,AO162=FALSE),"Produção Parcial")</f>
        <v>Não Iniciado</v>
      </c>
      <c r="AC162" s="42" t="b">
        <v>1</v>
      </c>
      <c r="AD162" s="42" t="b">
        <v>1</v>
      </c>
      <c r="AE162" s="50" t="s">
        <v>38</v>
      </c>
      <c r="AF162" s="42" t="b">
        <v>1</v>
      </c>
      <c r="AG162" s="42" t="b">
        <v>1</v>
      </c>
      <c r="AH162" s="42" t="s">
        <v>38</v>
      </c>
      <c r="AI162" s="42" t="s">
        <v>38</v>
      </c>
      <c r="AJ162" s="42" t="s">
        <v>38</v>
      </c>
      <c r="AK162" s="42" t="b">
        <v>0</v>
      </c>
      <c r="AL162" s="42" t="b">
        <v>1</v>
      </c>
      <c r="AM162" s="42" t="s">
        <v>38</v>
      </c>
      <c r="AN162" s="86" t="b">
        <v>1</v>
      </c>
      <c r="AO162" s="45" t="b" cm="1">
        <f t="array" ref="AO162">AND(COUNTIF(AC162:AN162,FALSE)=0,SUMPRODUCT(ISNUMBER(AC162:AN162)*1)=0)</f>
        <v>0</v>
      </c>
      <c r="AP162" s="59"/>
      <c r="AQ162" s="111">
        <f>IF(AB162="",99999999999,IFERROR(MATCH(AB162,{"Produção Parcial","Em Produção","Programado","Não Iniciado","Desenvolv.","Concluído"},0),7)*100000000+IF(ISNUMBER(J162),J162-46000,9999)*10000+IF(A162="",99,A162)*100+IF(C162="",99,CODE(LEFT(C162,1))))</f>
        <v>499990275</v>
      </c>
    </row>
    <row r="163" spans="1:45" s="36" customFormat="1" ht="25.15" hidden="1" customHeight="1" x14ac:dyDescent="0.25">
      <c r="A163" s="36">
        <v>2</v>
      </c>
      <c r="B163" s="38" t="s">
        <v>172</v>
      </c>
      <c r="C163" s="24" t="str">
        <f>INDEX([1]Produtos!$G:$G,MATCH($D163,[1]Produtos!$B:$B,0))</f>
        <v>KURYOS</v>
      </c>
      <c r="D163" s="24" t="s">
        <v>61</v>
      </c>
      <c r="E163" s="70" t="str">
        <f>INDEX([1]Produtos!$C:$C,MATCH($D163,[1]Produtos!$B:$B,0))&amp;IF($F163&lt;&gt;"-"," - "&amp;LEFT($F163,1),"")&amp;" &gt; "&amp;$B163</f>
        <v>BASE PARA PERFUME FINA BASE 1l - 1 &gt; Bases - Multi Lojas</v>
      </c>
      <c r="F163" s="51">
        <v>1</v>
      </c>
      <c r="G163" s="38">
        <v>45901</v>
      </c>
      <c r="H163" s="39">
        <v>200</v>
      </c>
      <c r="I163" s="24" t="s">
        <v>39</v>
      </c>
      <c r="J163" s="68" t="str" cm="1">
        <f t="array" ref="J163">IFERROR(INDEX('[2]Previsão Envase'!$D$5:$D$4867, MATCH(1,('[2]Previsão Envase'!$F$5:$F$4867=$E163)+('[2]Previsão Envase'!$G$5:$G$4867=$E163)+('[2]Previsão Envase'!$H$5:$H$4867=$E163),0)),"")</f>
        <v/>
      </c>
      <c r="K163" s="68" t="str">
        <f>IF(COUNTIF('[2]Previsão Envase'!$F:$F,E163)&gt;0,"Linha 1",
IF(COUNTIF('[2]Previsão Envase'!$G:$G,E163)&gt;0,"Linha 2",
IF(COUNTIF('[2]Previsão Envase'!$H:$H,E163)&gt;0,"Linha 3","")))</f>
        <v/>
      </c>
      <c r="L163" s="96">
        <f>COUNTIF('[2]Previsão Envase'!$F:$H,E163)-COUNTIF('[2]Previsão Envase'!$F$1:$H$4,E163)</f>
        <v>0</v>
      </c>
      <c r="M163" s="35">
        <f t="shared" si="31"/>
        <v>0</v>
      </c>
      <c r="N163" s="68" t="str">
        <f>IFERROR(MAX(_xlfn.MAXIFS('[2]Controle de Produção'!$C:$C,'[2]Controle de Produção'!$L:$L,$D163,'[2]Controle de Produção'!$P:$P,$C163,'[2]Controle de Produção'!$G:$G,$B163),_xlfn.MAXIFS([3]EXPEDIÇÃO!$N:$N,[3]EXPEDIÇÃO!$E:$E,$D163,[3]EXPEDIÇÃO!$D:$D,$C163,[3]EXPEDIÇÃO!$N:$N,"&gt;="&amp;$G163)),"")</f>
        <v/>
      </c>
      <c r="O163" s="70">
        <f>INDEX([1]Produtos!$E:$E,MATCH($D163,[1]Produtos!$B:$B,0))</f>
        <v>1000</v>
      </c>
      <c r="P163" s="70" t="str">
        <f>INDEX([1]Produtos!$F:$F,MATCH($D163,[1]Produtos!$B:$B,0))</f>
        <v>ml</v>
      </c>
      <c r="Q163" s="105">
        <f>INDEX([1]Produtos!$Y:$Y,MATCH($D163,[1]Produtos!$B:$B,0))</f>
        <v>0</v>
      </c>
      <c r="R163" s="35">
        <f t="shared" si="32"/>
        <v>2120.1944716590451</v>
      </c>
      <c r="S163" s="27">
        <f>IFERROR(INDEX([1]Produtos!$L:$L,MATCH(D163,[1]Produtos!$B:$B,0)), "")</f>
        <v>235.57716351767166</v>
      </c>
      <c r="T163" s="28">
        <f t="shared" si="33"/>
        <v>0.9</v>
      </c>
      <c r="U163" s="28" t="str">
        <f t="shared" si="34"/>
        <v>0D e 1h</v>
      </c>
      <c r="V163" s="27">
        <f>IFERROR(SUMIFS('[2]Controle de Produção'!$K:$K,'[2]Controle de Produção'!$L:$L,D163,'[2]Controle de Produção'!$P:$P,C163,'[2]Controle de Produção'!$B:$B,"&gt;=" &amp; G163,'[2]Controle de Produção'!$C:$C,"&lt;=" &amp; N163, '[2]Controle de Produção'!$G:$G,B163), "")</f>
        <v>0</v>
      </c>
      <c r="W163" s="27" t="str">
        <f>IFERROR(SUMIFS([3]EXPEDIÇÃO!$K:$K,[3]EXPEDIÇÃO!$E:$E,D163,[3]EXPEDIÇÃO!$D:$D,C163,[3]EXPEDIÇÃO!$N:$N,"&gt;=" &amp; G163,[3]EXPEDIÇÃO!$N:$N,"&lt;="&amp;N163), "")</f>
        <v/>
      </c>
      <c r="X163" s="27">
        <f>COUNTIFS('[2]Controle de Produção'!$P:$P,C163,'[2]Controle de Produção'!$L:$L,D163,'[2]Controle de Produção'!$B:$B,"&gt;=" &amp; G163)</f>
        <v>6</v>
      </c>
      <c r="Y163" s="27">
        <f t="shared" si="35"/>
        <v>0</v>
      </c>
      <c r="Z163" s="27">
        <f>IFERROR(COUNTIFS('[2]Controle de Produção'!$L:$L,D163,'[2]Controle de Produção'!$P:$P,C163,'[2]Controle de Produção'!$B:$B,"&gt;=" &amp; G163,'[2]Controle de Produção'!$C:$C,"&lt;=" &amp; N163, '[2]Controle de Produção'!$G:$G,B163), "")</f>
        <v>0</v>
      </c>
      <c r="AA163" s="108" t="str">
        <f t="shared" si="36"/>
        <v/>
      </c>
      <c r="AB163" s="41" t="str" cm="1">
        <f t="array" ref="AB163">_xlfn.IFS((H163*0.95)&lt;=V163,"Concluído",AND(V163 =0, J163&lt;&gt;""),"Programado",AND(V163=0,D163=""),"Desenvolv.",V163=0,"Não Iniciado",AND(V163&gt;0,V163&lt;H163,AO163=TRUE),"Em Produção",AND(V163&gt;0,V163&lt;H163,AO163=FALSE),"Produção Parcial")</f>
        <v>Não Iniciado</v>
      </c>
      <c r="AC163" s="42" t="b">
        <v>1</v>
      </c>
      <c r="AD163" s="42" t="b">
        <v>1</v>
      </c>
      <c r="AE163" s="42" t="b">
        <v>0</v>
      </c>
      <c r="AF163" s="42" t="b">
        <v>0</v>
      </c>
      <c r="AG163" s="42" t="s">
        <v>38</v>
      </c>
      <c r="AH163" s="42" t="s">
        <v>38</v>
      </c>
      <c r="AI163" s="42" t="b">
        <v>0</v>
      </c>
      <c r="AJ163" s="42" t="s">
        <v>38</v>
      </c>
      <c r="AK163" s="42" t="b">
        <v>0</v>
      </c>
      <c r="AL163" s="42" t="b">
        <v>0</v>
      </c>
      <c r="AM163" s="42" t="b">
        <v>0</v>
      </c>
      <c r="AN163" s="42" t="b">
        <v>0</v>
      </c>
      <c r="AO163" s="45" t="b" cm="1">
        <f t="array" ref="AO163">AND(COUNTIF(AC163:AN163,FALSE)=0,SUMPRODUCT(ISNUMBER(AC163:AN163)*1)=0)</f>
        <v>0</v>
      </c>
      <c r="AP163" s="59"/>
      <c r="AQ163" s="111">
        <f>IF(AB163="",99999999999,IFERROR(MATCH(AB163,{"Produção Parcial","Em Produção","Programado","Não Iniciado","Desenvolv.","Concluído"},0),7)*100000000+IF(ISNUMBER(J163),J163-46000,9999)*10000+IF(A163="",99,A163)*100+IF(C163="",99,CODE(LEFT(C163,1))))</f>
        <v>499990275</v>
      </c>
    </row>
    <row r="164" spans="1:45" s="36" customFormat="1" ht="25.15" hidden="1" customHeight="1" x14ac:dyDescent="0.25">
      <c r="A164" s="36">
        <v>2</v>
      </c>
      <c r="B164" s="38" t="s">
        <v>172</v>
      </c>
      <c r="C164" s="24" t="str">
        <f>INDEX([1]Produtos!$G:$G,MATCH($D164,[1]Produtos!$B:$B,0))</f>
        <v>KURYOS</v>
      </c>
      <c r="D164" s="24" t="s">
        <v>48</v>
      </c>
      <c r="E164" s="70" t="str">
        <f>INDEX([1]Produtos!$C:$C,MATCH($D164,[1]Produtos!$B:$B,0))&amp;IF($F164&lt;&gt;"-"," - "&amp;LEFT($F164,1),"")&amp;" &gt; "&amp;$B164</f>
        <v>BASE PARA PERFUME FINA BASE PREMIUM 1l - 1 &gt; Bases - Multi Lojas</v>
      </c>
      <c r="F164" s="51">
        <v>1</v>
      </c>
      <c r="G164" s="38">
        <v>45901</v>
      </c>
      <c r="H164" s="39">
        <v>300</v>
      </c>
      <c r="I164" s="24" t="s">
        <v>39</v>
      </c>
      <c r="J164" s="68" t="str" cm="1">
        <f t="array" ref="J164">IFERROR(INDEX('[2]Previsão Envase'!$D$5:$D$4867, MATCH(1,('[2]Previsão Envase'!$F$5:$F$4867=$E164)+('[2]Previsão Envase'!$G$5:$G$4867=$E164)+('[2]Previsão Envase'!$H$5:$H$4867=$E164),0)),"")</f>
        <v/>
      </c>
      <c r="K164" s="68" t="str">
        <f>IF(COUNTIF('[2]Previsão Envase'!$F:$F,E164)&gt;0,"Linha 1",
IF(COUNTIF('[2]Previsão Envase'!$G:$G,E164)&gt;0,"Linha 2",
IF(COUNTIF('[2]Previsão Envase'!$H:$H,E164)&gt;0,"Linha 3","")))</f>
        <v/>
      </c>
      <c r="L164" s="96">
        <f>COUNTIF('[2]Previsão Envase'!$F:$H,E164)-COUNTIF('[2]Previsão Envase'!$F$1:$H$4,E164)</f>
        <v>0</v>
      </c>
      <c r="M164" s="35">
        <f t="shared" si="31"/>
        <v>0</v>
      </c>
      <c r="N164" s="68" t="str">
        <f>IFERROR(MAX(_xlfn.MAXIFS('[2]Controle de Produção'!$C:$C,'[2]Controle de Produção'!$L:$L,$D164,'[2]Controle de Produção'!$P:$P,$C164,'[2]Controle de Produção'!$G:$G,$B164),_xlfn.MAXIFS([3]EXPEDIÇÃO!$N:$N,[3]EXPEDIÇÃO!$E:$E,$D164,[3]EXPEDIÇÃO!$D:$D,$C164,[3]EXPEDIÇÃO!$N:$N,"&gt;="&amp;$G164)),"")</f>
        <v/>
      </c>
      <c r="O164" s="70">
        <f>INDEX([1]Produtos!$E:$E,MATCH($D164,[1]Produtos!$B:$B,0))</f>
        <v>1000</v>
      </c>
      <c r="P164" s="70" t="str">
        <f>INDEX([1]Produtos!$F:$F,MATCH($D164,[1]Produtos!$B:$B,0))</f>
        <v>ml</v>
      </c>
      <c r="Q164" s="105">
        <f>INDEX([1]Produtos!$Y:$Y,MATCH($D164,[1]Produtos!$B:$B,0))</f>
        <v>0</v>
      </c>
      <c r="R164" s="35">
        <f t="shared" si="32"/>
        <v>2120.1944716590451</v>
      </c>
      <c r="S164" s="27">
        <f>IFERROR(INDEX([1]Produtos!$L:$L,MATCH(D164,[1]Produtos!$B:$B,0)), "")</f>
        <v>235.57716351767166</v>
      </c>
      <c r="T164" s="28">
        <f t="shared" si="33"/>
        <v>1.3</v>
      </c>
      <c r="U164" s="28" t="str">
        <f t="shared" si="34"/>
        <v>0D e 2h</v>
      </c>
      <c r="V164" s="27">
        <f>IFERROR(SUMIFS('[2]Controle de Produção'!$K:$K,'[2]Controle de Produção'!$L:$L,D164,'[2]Controle de Produção'!$P:$P,C164,'[2]Controle de Produção'!$B:$B,"&gt;=" &amp; G164,'[2]Controle de Produção'!$C:$C,"&lt;=" &amp; N164, '[2]Controle de Produção'!$G:$G,B164), "")</f>
        <v>0</v>
      </c>
      <c r="W164" s="27" t="str">
        <f>IFERROR(SUMIFS([3]EXPEDIÇÃO!$K:$K,[3]EXPEDIÇÃO!$E:$E,D164,[3]EXPEDIÇÃO!$D:$D,C164,[3]EXPEDIÇÃO!$N:$N,"&gt;=" &amp; G164,[3]EXPEDIÇÃO!$N:$N,"&lt;="&amp;N164), "")</f>
        <v/>
      </c>
      <c r="X164" s="27">
        <f>COUNTIFS('[2]Controle de Produção'!$P:$P,C164,'[2]Controle de Produção'!$L:$L,D164,'[2]Controle de Produção'!$B:$B,"&gt;=" &amp; G164)</f>
        <v>6</v>
      </c>
      <c r="Y164" s="27">
        <f t="shared" si="35"/>
        <v>0</v>
      </c>
      <c r="Z164" s="27">
        <f>IFERROR(COUNTIFS('[2]Controle de Produção'!$L:$L,D164,'[2]Controle de Produção'!$P:$P,C164,'[2]Controle de Produção'!$B:$B,"&gt;=" &amp; G164,'[2]Controle de Produção'!$C:$C,"&lt;=" &amp; N164, '[2]Controle de Produção'!$G:$G,B164), "")</f>
        <v>0</v>
      </c>
      <c r="AA164" s="108" t="str">
        <f t="shared" si="36"/>
        <v/>
      </c>
      <c r="AB164" s="41" t="str" cm="1">
        <f t="array" ref="AB164">_xlfn.IFS((H164*0.95)&lt;=V164,"Concluído",AND(V164 =0, J164&lt;&gt;""),"Programado",AND(V164=0,D164=""),"Desenvolv.",V164=0,"Não Iniciado",AND(V164&gt;0,V164&lt;H164,AO164=TRUE),"Em Produção",AND(V164&gt;0,V164&lt;H164,AO164=FALSE),"Produção Parcial")</f>
        <v>Não Iniciado</v>
      </c>
      <c r="AC164" s="42" t="b">
        <v>1</v>
      </c>
      <c r="AD164" s="42" t="b">
        <v>1</v>
      </c>
      <c r="AE164" s="42" t="b">
        <v>0</v>
      </c>
      <c r="AF164" s="42" t="b">
        <v>0</v>
      </c>
      <c r="AG164" s="42" t="s">
        <v>38</v>
      </c>
      <c r="AH164" s="42" t="s">
        <v>38</v>
      </c>
      <c r="AI164" s="42" t="b">
        <v>0</v>
      </c>
      <c r="AJ164" s="42" t="s">
        <v>38</v>
      </c>
      <c r="AK164" s="42" t="b">
        <v>0</v>
      </c>
      <c r="AL164" s="42" t="b">
        <v>0</v>
      </c>
      <c r="AM164" s="42" t="b">
        <v>0</v>
      </c>
      <c r="AN164" s="42" t="b">
        <v>0</v>
      </c>
      <c r="AO164" s="45" t="b" cm="1">
        <f t="array" ref="AO164">AND(COUNTIF(AC164:AN164,FALSE)=0,SUMPRODUCT(ISNUMBER(AC164:AN164)*1)=0)</f>
        <v>0</v>
      </c>
      <c r="AP164" s="59"/>
      <c r="AQ164" s="111">
        <f>IF(AB164="",99999999999,IFERROR(MATCH(AB164,{"Produção Parcial","Em Produção","Programado","Não Iniciado","Desenvolv.","Concluído"},0),7)*100000000+IF(ISNUMBER(J164),J164-46000,9999)*10000+IF(A164="",99,A164)*100+IF(C164="",99,CODE(LEFT(C164,1))))</f>
        <v>499990275</v>
      </c>
    </row>
    <row r="165" spans="1:45" s="36" customFormat="1" ht="25.15" hidden="1" customHeight="1" x14ac:dyDescent="0.25">
      <c r="A165" s="36">
        <v>2</v>
      </c>
      <c r="B165" s="38" t="s">
        <v>173</v>
      </c>
      <c r="C165" s="70" t="str">
        <f>INDEX([1]Produtos!$G:$G,MATCH($D165,[1]Produtos!$B:$B,0))</f>
        <v>KURYOS</v>
      </c>
      <c r="D165" s="24" t="s">
        <v>61</v>
      </c>
      <c r="E165" s="70" t="str">
        <f>INDEX([1]Produtos!$C:$C,MATCH($D165,[1]Produtos!$B:$B,0))&amp;IF($F165&lt;&gt;"-"," - "&amp;LEFT($F165,1),"")&amp;" &gt; "&amp;$B165</f>
        <v>BASE PARA PERFUME FINA BASE 1l &gt; CIDA 11/11</v>
      </c>
      <c r="F165" s="51" t="s">
        <v>38</v>
      </c>
      <c r="G165" s="38">
        <v>45972</v>
      </c>
      <c r="H165" s="39">
        <v>1080</v>
      </c>
      <c r="I165" s="24" t="s">
        <v>42</v>
      </c>
      <c r="J165" s="68" t="str" cm="1">
        <f t="array" ref="J165">IFERROR(INDEX('[2]Previsão Envase'!$D$5:$D$4867, MATCH(1,('[2]Previsão Envase'!$F$5:$F$4867=$E165)+('[2]Previsão Envase'!$G$5:$G$4867=$E165)+('[2]Previsão Envase'!$H$5:$H$4867=$E165),0)),"")</f>
        <v/>
      </c>
      <c r="K165" s="68" t="str">
        <f>IF(COUNTIF('[2]Previsão Envase'!$F:$F,E165)&gt;0,"Linha 1",
IF(COUNTIF('[2]Previsão Envase'!$G:$G,E165)&gt;0,"Linha 2",
IF(COUNTIF('[2]Previsão Envase'!$H:$H,E165)&gt;0,"Linha 3","")))</f>
        <v/>
      </c>
      <c r="L165" s="96">
        <f>COUNTIF('[2]Previsão Envase'!$F:$H,E165)-COUNTIF('[2]Previsão Envase'!$F$1:$H$4,E165)</f>
        <v>0</v>
      </c>
      <c r="M165" s="35">
        <f t="shared" si="31"/>
        <v>0</v>
      </c>
      <c r="N165" s="68" t="str">
        <f>IFERROR(MAX(_xlfn.MAXIFS('[2]Controle de Produção'!$C:$C,'[2]Controle de Produção'!$L:$L,$D165,'[2]Controle de Produção'!$P:$P,$C165,'[2]Controle de Produção'!$G:$G,$B165),_xlfn.MAXIFS([3]EXPEDIÇÃO!$N:$N,[3]EXPEDIÇÃO!$E:$E,$D165,[3]EXPEDIÇÃO!$D:$D,$C165,[3]EXPEDIÇÃO!$N:$N,"&gt;="&amp;$G165)),"")</f>
        <v/>
      </c>
      <c r="O165" s="70">
        <f>INDEX([1]Produtos!$E:$E,MATCH($D165,[1]Produtos!$B:$B,0))</f>
        <v>1000</v>
      </c>
      <c r="P165" s="70" t="str">
        <f>INDEX([1]Produtos!$F:$F,MATCH($D165,[1]Produtos!$B:$B,0))</f>
        <v>ml</v>
      </c>
      <c r="Q165" s="105">
        <f>INDEX([1]Produtos!$Y:$Y,MATCH($D165,[1]Produtos!$B:$B,0))</f>
        <v>0</v>
      </c>
      <c r="R165" s="35">
        <f t="shared" si="32"/>
        <v>2120.1944716590451</v>
      </c>
      <c r="S165" s="27">
        <f>IFERROR(INDEX([1]Produtos!$L:$L,MATCH(D165,[1]Produtos!$B:$B,0)), "")</f>
        <v>235.57716351767166</v>
      </c>
      <c r="T165" s="28">
        <f t="shared" si="33"/>
        <v>4.5999999999999996</v>
      </c>
      <c r="U165" s="28" t="str">
        <f t="shared" si="34"/>
        <v>0D e 5h</v>
      </c>
      <c r="V165" s="27">
        <f>IFERROR(SUMIFS('[2]Controle de Produção'!$K:$K,'[2]Controle de Produção'!$L:$L,D165,'[2]Controle de Produção'!$P:$P,C165,'[2]Controle de Produção'!$B:$B,"&gt;=" &amp; G165,'[2]Controle de Produção'!$C:$C,"&lt;=" &amp; N165, '[2]Controle de Produção'!$G:$G,B165), "")</f>
        <v>0</v>
      </c>
      <c r="W165" s="27" t="str">
        <f>IFERROR(SUMIFS([3]EXPEDIÇÃO!$K:$K,[3]EXPEDIÇÃO!$E:$E,D165,[3]EXPEDIÇÃO!$D:$D,C165,[3]EXPEDIÇÃO!$N:$N,"&gt;=" &amp; G165,[3]EXPEDIÇÃO!$N:$N,"&lt;="&amp;N165), "")</f>
        <v/>
      </c>
      <c r="X165" s="27">
        <f>COUNTIFS('[2]Controle de Produção'!$P:$P,C165,'[2]Controle de Produção'!$L:$L,D165,'[2]Controle de Produção'!$B:$B,"&gt;=" &amp; G165)</f>
        <v>4</v>
      </c>
      <c r="Y165" s="27">
        <f t="shared" si="35"/>
        <v>0</v>
      </c>
      <c r="Z165" s="27">
        <f>IFERROR(COUNTIFS('[2]Controle de Produção'!$L:$L,D165,'[2]Controle de Produção'!$P:$P,C165,'[2]Controle de Produção'!$B:$B,"&gt;=" &amp; G165,'[2]Controle de Produção'!$C:$C,"&lt;=" &amp; N165, '[2]Controle de Produção'!$G:$G,B165), "")</f>
        <v>0</v>
      </c>
      <c r="AA165" s="108" t="str">
        <f t="shared" si="36"/>
        <v/>
      </c>
      <c r="AB165" s="41" t="str" cm="1">
        <f t="array" ref="AB165">_xlfn.IFS((H165*0.95)&lt;=V165,"Concluído",AND(V165 =0, J165&lt;&gt;""),"Programado",AND(V165=0,D165=""),"Desenvolv.",V165=0,"Não Iniciado",AND(V165&gt;0,V165&lt;H165,AO165=TRUE),"Em Produção",AND(V165&gt;0,V165&lt;H165,AO165=FALSE),"Produção Parcial")</f>
        <v>Não Iniciado</v>
      </c>
      <c r="AC165" s="42" t="b">
        <v>1</v>
      </c>
      <c r="AD165" s="42" t="b">
        <v>1</v>
      </c>
      <c r="AE165" s="42" t="b">
        <v>1</v>
      </c>
      <c r="AF165" s="42" t="b">
        <v>1</v>
      </c>
      <c r="AG165" s="42" t="b">
        <v>1</v>
      </c>
      <c r="AH165" s="42" t="s">
        <v>38</v>
      </c>
      <c r="AI165" s="42" t="s">
        <v>38</v>
      </c>
      <c r="AJ165" s="42" t="s">
        <v>38</v>
      </c>
      <c r="AK165" s="42" t="b">
        <v>0</v>
      </c>
      <c r="AL165" s="42" t="b">
        <v>1</v>
      </c>
      <c r="AM165" s="42" t="s">
        <v>38</v>
      </c>
      <c r="AN165" s="42" t="b">
        <v>1</v>
      </c>
      <c r="AO165" s="45" t="b" cm="1">
        <f t="array" ref="AO165">AND(COUNTIF(AC165:AN165,FALSE)=0,SUMPRODUCT(ISNUMBER(AC165:AN165)*1)=0)</f>
        <v>0</v>
      </c>
      <c r="AP165" s="59"/>
      <c r="AQ165" s="111">
        <f>IF(AB165="",99999999999,IFERROR(MATCH(AB165,{"Produção Parcial","Em Produção","Programado","Não Iniciado","Desenvolv.","Concluído"},0),7)*100000000+IF(ISNUMBER(J165),J165-46000,9999)*10000+IF(A165="",99,A165)*100+IF(C165="",99,CODE(LEFT(C165,1))))</f>
        <v>499990275</v>
      </c>
      <c r="AR165"/>
      <c r="AS165"/>
    </row>
    <row r="166" spans="1:45" s="36" customFormat="1" ht="25.15" hidden="1" customHeight="1" x14ac:dyDescent="0.25">
      <c r="A166" s="36">
        <v>2</v>
      </c>
      <c r="B166" s="38" t="s">
        <v>173</v>
      </c>
      <c r="C166" s="70" t="str">
        <f>INDEX([1]Produtos!$G:$G,MATCH($D166,[1]Produtos!$B:$B,0))</f>
        <v>KURYOS</v>
      </c>
      <c r="D166" s="24" t="s">
        <v>175</v>
      </c>
      <c r="E166" s="70" t="str">
        <f>INDEX([1]Produtos!$C:$C,MATCH($D166,[1]Produtos!$B:$B,0))&amp;IF($F166&lt;&gt;"-"," - "&amp;LEFT($F166,1),"")&amp;" &gt; "&amp;$B166</f>
        <v>BASE PARA PERFUME FINA BASE 500ml &gt; CIDA 11/11</v>
      </c>
      <c r="F166" s="51" t="s">
        <v>38</v>
      </c>
      <c r="G166" s="38">
        <v>45972</v>
      </c>
      <c r="H166" s="39">
        <v>1080</v>
      </c>
      <c r="I166" s="24" t="s">
        <v>42</v>
      </c>
      <c r="J166" s="68" t="str" cm="1">
        <f t="array" ref="J166">IFERROR(INDEX('[2]Previsão Envase'!$D$5:$D$4867, MATCH(1,('[2]Previsão Envase'!$F$5:$F$4867=$E166)+('[2]Previsão Envase'!$G$5:$G$4867=$E166)+('[2]Previsão Envase'!$H$5:$H$4867=$E166),0)),"")</f>
        <v/>
      </c>
      <c r="K166" s="68" t="str">
        <f>IF(COUNTIF('[2]Previsão Envase'!$F:$F,E166)&gt;0,"Linha 1",
IF(COUNTIF('[2]Previsão Envase'!$G:$G,E166)&gt;0,"Linha 2",
IF(COUNTIF('[2]Previsão Envase'!$H:$H,E166)&gt;0,"Linha 3","")))</f>
        <v/>
      </c>
      <c r="L166" s="96">
        <f>COUNTIF('[2]Previsão Envase'!$F:$H,E166)-COUNTIF('[2]Previsão Envase'!$F$1:$H$4,E166)</f>
        <v>0</v>
      </c>
      <c r="M166" s="35">
        <f t="shared" si="31"/>
        <v>0</v>
      </c>
      <c r="N166" s="68" t="str">
        <f>IFERROR(MAX(_xlfn.MAXIFS('[2]Controle de Produção'!$C:$C,'[2]Controle de Produção'!$L:$L,$D166,'[2]Controle de Produção'!$P:$P,$C166,'[2]Controle de Produção'!$G:$G,$B166),_xlfn.MAXIFS([3]EXPEDIÇÃO!$N:$N,[3]EXPEDIÇÃO!$E:$E,$D166,[3]EXPEDIÇÃO!$D:$D,$C166,[3]EXPEDIÇÃO!$N:$N,"&gt;="&amp;$G166)),"")</f>
        <v/>
      </c>
      <c r="O166" s="70">
        <f>INDEX([1]Produtos!$E:$E,MATCH($D166,[1]Produtos!$B:$B,0))</f>
        <v>500</v>
      </c>
      <c r="P166" s="70" t="str">
        <f>INDEX([1]Produtos!$F:$F,MATCH($D166,[1]Produtos!$B:$B,0))</f>
        <v>ml</v>
      </c>
      <c r="Q166" s="105">
        <f>INDEX([1]Produtos!$Y:$Y,MATCH($D166,[1]Produtos!$B:$B,0))</f>
        <v>0</v>
      </c>
      <c r="R166" s="35">
        <f t="shared" si="32"/>
        <v>2120.1944716590451</v>
      </c>
      <c r="S166" s="27">
        <f>IFERROR(INDEX([1]Produtos!$L:$L,MATCH(D166,[1]Produtos!$B:$B,0)), "")</f>
        <v>235.57716351767166</v>
      </c>
      <c r="T166" s="28">
        <f t="shared" si="33"/>
        <v>4.5999999999999996</v>
      </c>
      <c r="U166" s="28" t="str">
        <f t="shared" si="34"/>
        <v>0D e 5h</v>
      </c>
      <c r="V166" s="27">
        <f>IFERROR(SUMIFS('[2]Controle de Produção'!$K:$K,'[2]Controle de Produção'!$L:$L,D166,'[2]Controle de Produção'!$P:$P,C166,'[2]Controle de Produção'!$B:$B,"&gt;=" &amp; G166,'[2]Controle de Produção'!$C:$C,"&lt;=" &amp; N166, '[2]Controle de Produção'!$G:$G,B166), "")</f>
        <v>0</v>
      </c>
      <c r="W166" s="27" t="str">
        <f>IFERROR(SUMIFS([3]EXPEDIÇÃO!$K:$K,[3]EXPEDIÇÃO!$E:$E,D166,[3]EXPEDIÇÃO!$D:$D,C166,[3]EXPEDIÇÃO!$N:$N,"&gt;=" &amp; G166,[3]EXPEDIÇÃO!$N:$N,"&lt;="&amp;N166), "")</f>
        <v/>
      </c>
      <c r="X166" s="27">
        <f>COUNTIFS('[2]Controle de Produção'!$P:$P,C166,'[2]Controle de Produção'!$L:$L,D166,'[2]Controle de Produção'!$B:$B,"&gt;=" &amp; G166)</f>
        <v>1</v>
      </c>
      <c r="Y166" s="27">
        <f t="shared" si="35"/>
        <v>0</v>
      </c>
      <c r="Z166" s="27">
        <f>IFERROR(COUNTIFS('[2]Controle de Produção'!$L:$L,D166,'[2]Controle de Produção'!$P:$P,C166,'[2]Controle de Produção'!$B:$B,"&gt;=" &amp; G166,'[2]Controle de Produção'!$C:$C,"&lt;=" &amp; N166, '[2]Controle de Produção'!$G:$G,B166), "")</f>
        <v>0</v>
      </c>
      <c r="AA166" s="108" t="str">
        <f t="shared" si="36"/>
        <v/>
      </c>
      <c r="AB166" s="41" t="str" cm="1">
        <f t="array" ref="AB166">_xlfn.IFS((H166*0.95)&lt;=V166,"Concluído",AND(V166 =0, J166&lt;&gt;""),"Programado",AND(V166=0,D166=""),"Desenvolv.",V166=0,"Não Iniciado",AND(V166&gt;0,V166&lt;H166,AO166=TRUE),"Em Produção",AND(V166&gt;0,V166&lt;H166,AO166=FALSE),"Produção Parcial")</f>
        <v>Não Iniciado</v>
      </c>
      <c r="AC166" s="42" t="b">
        <v>1</v>
      </c>
      <c r="AD166" s="42" t="b">
        <v>1</v>
      </c>
      <c r="AE166" s="42" t="b">
        <v>1</v>
      </c>
      <c r="AF166" s="42" t="b">
        <v>1</v>
      </c>
      <c r="AG166" s="42" t="b">
        <v>1</v>
      </c>
      <c r="AH166" s="42" t="s">
        <v>38</v>
      </c>
      <c r="AI166" s="42" t="s">
        <v>38</v>
      </c>
      <c r="AJ166" s="42" t="s">
        <v>38</v>
      </c>
      <c r="AK166" s="42" t="b">
        <v>0</v>
      </c>
      <c r="AL166" s="42" t="b">
        <v>1</v>
      </c>
      <c r="AM166" s="42" t="s">
        <v>38</v>
      </c>
      <c r="AN166" s="42" t="b">
        <v>1</v>
      </c>
      <c r="AO166" s="45" t="b" cm="1">
        <f t="array" ref="AO166">AND(COUNTIF(AC166:AN166,FALSE)=0,SUMPRODUCT(ISNUMBER(AC166:AN166)*1)=0)</f>
        <v>0</v>
      </c>
      <c r="AP166" s="59"/>
      <c r="AQ166" s="111">
        <f>IF(AB166="",99999999999,IFERROR(MATCH(AB166,{"Produção Parcial","Em Produção","Programado","Não Iniciado","Desenvolv.","Concluído"},0),7)*100000000+IF(ISNUMBER(J166),J166-46000,9999)*10000+IF(A166="",99,A166)*100+IF(C166="",99,CODE(LEFT(C166,1))))</f>
        <v>499990275</v>
      </c>
      <c r="AR166"/>
      <c r="AS166"/>
    </row>
    <row r="167" spans="1:45" s="36" customFormat="1" ht="25.15" hidden="1" customHeight="1" x14ac:dyDescent="0.25">
      <c r="A167" s="36">
        <v>2</v>
      </c>
      <c r="B167" s="38" t="s">
        <v>173</v>
      </c>
      <c r="C167" s="70" t="str">
        <f>INDEX([1]Produtos!$G:$G,MATCH($D167,[1]Produtos!$B:$B,0))</f>
        <v>KURYOS</v>
      </c>
      <c r="D167" s="24" t="s">
        <v>48</v>
      </c>
      <c r="E167" s="70" t="str">
        <f>INDEX([1]Produtos!$C:$C,MATCH($D167,[1]Produtos!$B:$B,0))&amp;IF($F167&lt;&gt;"-"," - "&amp;LEFT($F167,1),"")&amp;" &gt; "&amp;$B167</f>
        <v>BASE PARA PERFUME FINA BASE PREMIUM 1l - 2 &gt; CIDA 11/11</v>
      </c>
      <c r="F167" s="51">
        <v>2</v>
      </c>
      <c r="G167" s="38">
        <v>46006</v>
      </c>
      <c r="H167" s="39">
        <v>1080</v>
      </c>
      <c r="I167" s="24" t="s">
        <v>42</v>
      </c>
      <c r="J167" s="68" t="str" cm="1">
        <f t="array" ref="J167">IFERROR(INDEX('[2]Previsão Envase'!$D$5:$D$4867, MATCH(1,('[2]Previsão Envase'!$F$5:$F$4867=$E167)+('[2]Previsão Envase'!$G$5:$G$4867=$E167)+('[2]Previsão Envase'!$H$5:$H$4867=$E167),0)),"")</f>
        <v/>
      </c>
      <c r="K167" s="68" t="str">
        <f>IF(COUNTIF('[2]Previsão Envase'!$F:$F,E167)&gt;0,"Linha 1",
IF(COUNTIF('[2]Previsão Envase'!$G:$G,E167)&gt;0,"Linha 2",
IF(COUNTIF('[2]Previsão Envase'!$H:$H,E167)&gt;0,"Linha 3","")))</f>
        <v/>
      </c>
      <c r="L167" s="96">
        <f>COUNTIF('[2]Previsão Envase'!$F:$H,E167)-COUNTIF('[2]Previsão Envase'!$F$1:$H$4,E167)</f>
        <v>0</v>
      </c>
      <c r="M167" s="35">
        <f t="shared" si="31"/>
        <v>0</v>
      </c>
      <c r="N167" s="68" t="str">
        <f>IFERROR(MAX(_xlfn.MAXIFS('[2]Controle de Produção'!$C:$C,'[2]Controle de Produção'!$L:$L,$D167,'[2]Controle de Produção'!$P:$P,$C167,'[2]Controle de Produção'!$G:$G,$B167),_xlfn.MAXIFS([3]EXPEDIÇÃO!$N:$N,[3]EXPEDIÇÃO!$E:$E,$D167,[3]EXPEDIÇÃO!$D:$D,$C167,[3]EXPEDIÇÃO!$N:$N,"&gt;="&amp;$G167)),"")</f>
        <v/>
      </c>
      <c r="O167" s="70">
        <f>INDEX([1]Produtos!$E:$E,MATCH($D167,[1]Produtos!$B:$B,0))</f>
        <v>1000</v>
      </c>
      <c r="P167" s="70" t="str">
        <f>INDEX([1]Produtos!$F:$F,MATCH($D167,[1]Produtos!$B:$B,0))</f>
        <v>ml</v>
      </c>
      <c r="Q167" s="105">
        <f>INDEX([1]Produtos!$Y:$Y,MATCH($D167,[1]Produtos!$B:$B,0))</f>
        <v>0</v>
      </c>
      <c r="R167" s="35">
        <f t="shared" si="32"/>
        <v>2120.1944716590451</v>
      </c>
      <c r="S167" s="27">
        <f>IFERROR(INDEX([1]Produtos!$L:$L,MATCH(D167,[1]Produtos!$B:$B,0)), "")</f>
        <v>235.57716351767166</v>
      </c>
      <c r="T167" s="28">
        <f t="shared" si="33"/>
        <v>4.5999999999999996</v>
      </c>
      <c r="U167" s="28" t="str">
        <f t="shared" si="34"/>
        <v>0D e 5h</v>
      </c>
      <c r="V167" s="27">
        <f>IFERROR(SUMIFS('[2]Controle de Produção'!$K:$K,'[2]Controle de Produção'!$L:$L,D167,'[2]Controle de Produção'!$P:$P,C167,'[2]Controle de Produção'!$B:$B,"&gt;=" &amp; G167,'[2]Controle de Produção'!$C:$C,"&lt;=" &amp; N167, '[2]Controle de Produção'!$G:$G,B167), "")</f>
        <v>0</v>
      </c>
      <c r="W167" s="27" t="str">
        <f>IFERROR(SUMIFS([3]EXPEDIÇÃO!$K:$K,[3]EXPEDIÇÃO!$E:$E,D167,[3]EXPEDIÇÃO!$D:$D,C167,[3]EXPEDIÇÃO!$N:$N,"&gt;=" &amp; G167,[3]EXPEDIÇÃO!$N:$N,"&lt;="&amp;N167), "")</f>
        <v/>
      </c>
      <c r="X167" s="27">
        <f>COUNTIFS('[2]Controle de Produção'!$P:$P,C167,'[2]Controle de Produção'!$L:$L,D167,'[2]Controle de Produção'!$B:$B,"&gt;=" &amp; G167)</f>
        <v>4</v>
      </c>
      <c r="Y167" s="27">
        <f t="shared" si="35"/>
        <v>0</v>
      </c>
      <c r="Z167" s="27">
        <f>IFERROR(COUNTIFS('[2]Controle de Produção'!$L:$L,D167,'[2]Controle de Produção'!$P:$P,C167,'[2]Controle de Produção'!$B:$B,"&gt;=" &amp; G167,'[2]Controle de Produção'!$C:$C,"&lt;=" &amp; N167, '[2]Controle de Produção'!$G:$G,B167), "")</f>
        <v>0</v>
      </c>
      <c r="AA167" s="108" t="str">
        <f t="shared" si="36"/>
        <v/>
      </c>
      <c r="AB167" s="41" t="str" cm="1">
        <f t="array" ref="AB167">_xlfn.IFS((H167*0.95)&lt;=V167,"Concluído",AND(V167 =0, J167&lt;&gt;""),"Programado",AND(V167=0,D167=""),"Desenvolv.",V167=0,"Não Iniciado",AND(V167&gt;0,V167&lt;H167,AO167=TRUE),"Em Produção",AND(V167&gt;0,V167&lt;H167,AO167=FALSE),"Produção Parcial")</f>
        <v>Não Iniciado</v>
      </c>
      <c r="AC167" s="42" t="b">
        <v>1</v>
      </c>
      <c r="AD167" s="42" t="b">
        <v>1</v>
      </c>
      <c r="AE167" s="42" t="b">
        <v>0</v>
      </c>
      <c r="AF167" s="42" t="b">
        <v>1</v>
      </c>
      <c r="AG167" s="42" t="b">
        <v>1</v>
      </c>
      <c r="AH167" s="42" t="s">
        <v>38</v>
      </c>
      <c r="AI167" s="42" t="s">
        <v>38</v>
      </c>
      <c r="AJ167" s="42" t="s">
        <v>38</v>
      </c>
      <c r="AK167" s="42" t="b">
        <v>0</v>
      </c>
      <c r="AL167" s="42" t="b">
        <v>1</v>
      </c>
      <c r="AM167" s="42" t="s">
        <v>38</v>
      </c>
      <c r="AN167" s="42" t="b">
        <v>1</v>
      </c>
      <c r="AO167" s="45" t="b" cm="1">
        <f t="array" ref="AO167">AND(COUNTIF(AC167:AN167,FALSE)=0,SUMPRODUCT(ISNUMBER(AC167:AN167)*1)=0)</f>
        <v>0</v>
      </c>
      <c r="AP167" s="59"/>
      <c r="AQ167" s="111">
        <f>IF(AB167="",99999999999,IFERROR(MATCH(AB167,{"Produção Parcial","Em Produção","Programado","Não Iniciado","Desenvolv.","Concluído"},0),7)*100000000+IF(ISNUMBER(J167),J167-46000,9999)*10000+IF(A167="",99,A167)*100+IF(C167="",99,CODE(LEFT(C167,1))))</f>
        <v>499990275</v>
      </c>
    </row>
    <row r="168" spans="1:45" s="36" customFormat="1" ht="25.15" hidden="1" customHeight="1" x14ac:dyDescent="0.25">
      <c r="A168" s="36">
        <v>2</v>
      </c>
      <c r="B168" s="38" t="s">
        <v>174</v>
      </c>
      <c r="C168" s="70" t="str">
        <f>INDEX([1]Produtos!$G:$G,MATCH($D168,[1]Produtos!$B:$B,0))</f>
        <v>KURYOS</v>
      </c>
      <c r="D168" s="24" t="s">
        <v>61</v>
      </c>
      <c r="E168" s="70" t="str">
        <f>INDEX([1]Produtos!$C:$C,MATCH($D168,[1]Produtos!$B:$B,0))&amp;IF($F168&lt;&gt;"-"," - "&amp;LEFT($F168,1),"")&amp;" &gt; "&amp;$B168</f>
        <v>BASE PARA PERFUME FINA BASE 1l &gt; Sassa 26/09</v>
      </c>
      <c r="F168" s="51" t="s">
        <v>38</v>
      </c>
      <c r="G168" s="38">
        <v>45926</v>
      </c>
      <c r="H168" s="39">
        <v>1000</v>
      </c>
      <c r="I168" s="24" t="s">
        <v>42</v>
      </c>
      <c r="J168" s="68" t="str" cm="1">
        <f t="array" ref="J168">IFERROR(INDEX('[2]Previsão Envase'!$D$5:$D$4867, MATCH(1,('[2]Previsão Envase'!$F$5:$F$4867=$E168)+('[2]Previsão Envase'!$G$5:$G$4867=$E168)+('[2]Previsão Envase'!$H$5:$H$4867=$E168),0)),"")</f>
        <v/>
      </c>
      <c r="K168" s="68" t="str">
        <f>IF(COUNTIF('[2]Previsão Envase'!$F:$F,E168)&gt;0,"Linha 1",
IF(COUNTIF('[2]Previsão Envase'!$G:$G,E168)&gt;0,"Linha 2",
IF(COUNTIF('[2]Previsão Envase'!$H:$H,E168)&gt;0,"Linha 3","")))</f>
        <v/>
      </c>
      <c r="L168" s="96">
        <f>COUNTIF('[2]Previsão Envase'!$F:$H,E168)-COUNTIF('[2]Previsão Envase'!$F$1:$H$4,E168)</f>
        <v>0</v>
      </c>
      <c r="M168" s="35">
        <f t="shared" si="31"/>
        <v>0</v>
      </c>
      <c r="N168" s="68" t="str">
        <f>IFERROR(MAX(_xlfn.MAXIFS('[2]Controle de Produção'!$C:$C,'[2]Controle de Produção'!$L:$L,$D168,'[2]Controle de Produção'!$P:$P,$C168,'[2]Controle de Produção'!$G:$G,$B168),_xlfn.MAXIFS([3]EXPEDIÇÃO!$N:$N,[3]EXPEDIÇÃO!$E:$E,$D168,[3]EXPEDIÇÃO!$D:$D,$C168,[3]EXPEDIÇÃO!$N:$N,"&gt;="&amp;$G168)),"")</f>
        <v/>
      </c>
      <c r="O168" s="70">
        <f>INDEX([1]Produtos!$E:$E,MATCH($D168,[1]Produtos!$B:$B,0))</f>
        <v>1000</v>
      </c>
      <c r="P168" s="70" t="str">
        <f>INDEX([1]Produtos!$F:$F,MATCH($D168,[1]Produtos!$B:$B,0))</f>
        <v>ml</v>
      </c>
      <c r="Q168" s="105">
        <f>INDEX([1]Produtos!$Y:$Y,MATCH($D168,[1]Produtos!$B:$B,0))</f>
        <v>0</v>
      </c>
      <c r="R168" s="35">
        <f t="shared" si="32"/>
        <v>2120.1944716590451</v>
      </c>
      <c r="S168" s="27">
        <f>IFERROR(INDEX([1]Produtos!$L:$L,MATCH(D168,[1]Produtos!$B:$B,0)), "")</f>
        <v>235.57716351767166</v>
      </c>
      <c r="T168" s="28">
        <f t="shared" si="33"/>
        <v>4.3</v>
      </c>
      <c r="U168" s="28" t="str">
        <f t="shared" si="34"/>
        <v>0D e 5h</v>
      </c>
      <c r="V168" s="27">
        <f>IFERROR(SUMIFS('[2]Controle de Produção'!$K:$K,'[2]Controle de Produção'!$L:$L,D168,'[2]Controle de Produção'!$P:$P,C168,'[2]Controle de Produção'!$B:$B,"&gt;=" &amp; G168,'[2]Controle de Produção'!$C:$C,"&lt;=" &amp; N168, '[2]Controle de Produção'!$G:$G,B168), "")</f>
        <v>0</v>
      </c>
      <c r="W168" s="27" t="str">
        <f>IFERROR(SUMIFS([3]EXPEDIÇÃO!$K:$K,[3]EXPEDIÇÃO!$E:$E,D168,[3]EXPEDIÇÃO!$D:$D,C168,[3]EXPEDIÇÃO!$N:$N,"&gt;=" &amp; G168,[3]EXPEDIÇÃO!$N:$N,"&lt;="&amp;N168), "")</f>
        <v/>
      </c>
      <c r="X168" s="27">
        <f>COUNTIFS('[2]Controle de Produção'!$P:$P,C168,'[2]Controle de Produção'!$L:$L,D168,'[2]Controle de Produção'!$B:$B,"&gt;=" &amp; G168)</f>
        <v>5</v>
      </c>
      <c r="Y168" s="27">
        <f t="shared" si="35"/>
        <v>0</v>
      </c>
      <c r="Z168" s="27">
        <f>IFERROR(COUNTIFS('[2]Controle de Produção'!$L:$L,D168,'[2]Controle de Produção'!$P:$P,C168,'[2]Controle de Produção'!$B:$B,"&gt;=" &amp; G168,'[2]Controle de Produção'!$C:$C,"&lt;=" &amp; N168, '[2]Controle de Produção'!$G:$G,B168), "")</f>
        <v>0</v>
      </c>
      <c r="AA168" s="108" t="str">
        <f t="shared" si="36"/>
        <v/>
      </c>
      <c r="AB168" s="41" t="str" cm="1">
        <f t="array" ref="AB168">_xlfn.IFS((H168*0.95)&lt;=V168,"Concluído",AND(V168 =0, J168&lt;&gt;""),"Programado",AND(V168=0,D168=""),"Desenvolv.",V168=0,"Não Iniciado",AND(V168&gt;0,V168&lt;H168,AO168=TRUE),"Em Produção",AND(V168&gt;0,V168&lt;H168,AO168=FALSE),"Produção Parcial")</f>
        <v>Não Iniciado</v>
      </c>
      <c r="AC168" s="42" t="b">
        <v>1</v>
      </c>
      <c r="AD168" s="42" t="b">
        <v>1</v>
      </c>
      <c r="AE168" s="42" t="b">
        <v>1</v>
      </c>
      <c r="AF168" s="42" t="b">
        <v>1</v>
      </c>
      <c r="AG168" s="42" t="b">
        <v>1</v>
      </c>
      <c r="AH168" s="42" t="s">
        <v>38</v>
      </c>
      <c r="AI168" s="42" t="s">
        <v>38</v>
      </c>
      <c r="AJ168" s="42" t="s">
        <v>38</v>
      </c>
      <c r="AK168" s="42" t="b">
        <v>0</v>
      </c>
      <c r="AL168" s="42" t="b">
        <v>1</v>
      </c>
      <c r="AM168" s="42" t="s">
        <v>38</v>
      </c>
      <c r="AN168" s="91" t="b">
        <v>1</v>
      </c>
      <c r="AO168" s="45" t="b" cm="1">
        <f t="array" ref="AO168">AND(COUNTIF(AC168:AN168,FALSE)=0,SUMPRODUCT(ISNUMBER(AC168:AN168)*1)=0)</f>
        <v>0</v>
      </c>
      <c r="AP168" s="59"/>
      <c r="AQ168" s="111">
        <f>IF(AB168="",99999999999,IFERROR(MATCH(AB168,{"Produção Parcial","Em Produção","Programado","Não Iniciado","Desenvolv.","Concluído"},0),7)*100000000+IF(ISNUMBER(J168),J168-46000,9999)*10000+IF(A168="",99,A168)*100+IF(C168="",99,CODE(LEFT(C168,1))))</f>
        <v>499990275</v>
      </c>
      <c r="AR168"/>
      <c r="AS168"/>
    </row>
    <row r="169" spans="1:45" s="36" customFormat="1" ht="25.15" hidden="1" customHeight="1" x14ac:dyDescent="0.25">
      <c r="A169" s="36">
        <v>2</v>
      </c>
      <c r="B169" s="38" t="s">
        <v>174</v>
      </c>
      <c r="C169" s="70" t="str">
        <f>INDEX([1]Produtos!$G:$G,MATCH($D169,[1]Produtos!$B:$B,0))</f>
        <v>KURYOS</v>
      </c>
      <c r="D169" s="24" t="s">
        <v>175</v>
      </c>
      <c r="E169" s="70" t="str">
        <f>INDEX([1]Produtos!$C:$C,MATCH($D169,[1]Produtos!$B:$B,0))&amp;IF($F169&lt;&gt;"-"," - "&amp;LEFT($F169,1),"")&amp;" &gt; "&amp;$B169</f>
        <v>BASE PARA PERFUME FINA BASE 500ml &gt; Sassa 26/09</v>
      </c>
      <c r="F169" s="51" t="s">
        <v>38</v>
      </c>
      <c r="G169" s="38">
        <v>45926</v>
      </c>
      <c r="H169" s="39">
        <v>1000</v>
      </c>
      <c r="I169" s="24" t="s">
        <v>42</v>
      </c>
      <c r="J169" s="68" t="str" cm="1">
        <f t="array" ref="J169">IFERROR(INDEX('[2]Previsão Envase'!$D$5:$D$4867, MATCH(1,('[2]Previsão Envase'!$F$5:$F$4867=$E169)+('[2]Previsão Envase'!$G$5:$G$4867=$E169)+('[2]Previsão Envase'!$H$5:$H$4867=$E169),0)),"")</f>
        <v/>
      </c>
      <c r="K169" s="68" t="str">
        <f>IF(COUNTIF('[2]Previsão Envase'!$F:$F,E169)&gt;0,"Linha 1",
IF(COUNTIF('[2]Previsão Envase'!$G:$G,E169)&gt;0,"Linha 2",
IF(COUNTIF('[2]Previsão Envase'!$H:$H,E169)&gt;0,"Linha 3","")))</f>
        <v/>
      </c>
      <c r="L169" s="96">
        <f>COUNTIF('[2]Previsão Envase'!$F:$H,E169)-COUNTIF('[2]Previsão Envase'!$F$1:$H$4,E169)</f>
        <v>0</v>
      </c>
      <c r="M169" s="35">
        <f t="shared" si="31"/>
        <v>0</v>
      </c>
      <c r="N169" s="68" t="str">
        <f>IFERROR(MAX(_xlfn.MAXIFS('[2]Controle de Produção'!$C:$C,'[2]Controle de Produção'!$L:$L,$D169,'[2]Controle de Produção'!$P:$P,$C169,'[2]Controle de Produção'!$G:$G,$B169),_xlfn.MAXIFS([3]EXPEDIÇÃO!$N:$N,[3]EXPEDIÇÃO!$E:$E,$D169,[3]EXPEDIÇÃO!$D:$D,$C169,[3]EXPEDIÇÃO!$N:$N,"&gt;="&amp;$G169)),"")</f>
        <v/>
      </c>
      <c r="O169" s="70">
        <f>INDEX([1]Produtos!$E:$E,MATCH($D169,[1]Produtos!$B:$B,0))</f>
        <v>500</v>
      </c>
      <c r="P169" s="70" t="str">
        <f>INDEX([1]Produtos!$F:$F,MATCH($D169,[1]Produtos!$B:$B,0))</f>
        <v>ml</v>
      </c>
      <c r="Q169" s="105">
        <f>INDEX([1]Produtos!$Y:$Y,MATCH($D169,[1]Produtos!$B:$B,0))</f>
        <v>0</v>
      </c>
      <c r="R169" s="35">
        <f t="shared" si="32"/>
        <v>2120.1944716590451</v>
      </c>
      <c r="S169" s="27">
        <f>IFERROR(INDEX([1]Produtos!$L:$L,MATCH(D169,[1]Produtos!$B:$B,0)), "")</f>
        <v>235.57716351767166</v>
      </c>
      <c r="T169" s="28">
        <f t="shared" si="33"/>
        <v>4.3</v>
      </c>
      <c r="U169" s="28" t="str">
        <f t="shared" si="34"/>
        <v>0D e 5h</v>
      </c>
      <c r="V169" s="27">
        <f>IFERROR(SUMIFS('[2]Controle de Produção'!$K:$K,'[2]Controle de Produção'!$L:$L,D169,'[2]Controle de Produção'!$P:$P,C169,'[2]Controle de Produção'!$B:$B,"&gt;=" &amp; G169,'[2]Controle de Produção'!$C:$C,"&lt;=" &amp; N169, '[2]Controle de Produção'!$G:$G,B169), "")</f>
        <v>0</v>
      </c>
      <c r="W169" s="27" t="str">
        <f>IFERROR(SUMIFS([3]EXPEDIÇÃO!$K:$K,[3]EXPEDIÇÃO!$E:$E,D169,[3]EXPEDIÇÃO!$D:$D,C169,[3]EXPEDIÇÃO!$N:$N,"&gt;=" &amp; G169,[3]EXPEDIÇÃO!$N:$N,"&lt;="&amp;N169), "")</f>
        <v/>
      </c>
      <c r="X169" s="27">
        <f>COUNTIFS('[2]Controle de Produção'!$P:$P,C169,'[2]Controle de Produção'!$L:$L,D169,'[2]Controle de Produção'!$B:$B,"&gt;=" &amp; G169)</f>
        <v>2</v>
      </c>
      <c r="Y169" s="27">
        <f t="shared" si="35"/>
        <v>0</v>
      </c>
      <c r="Z169" s="27">
        <f>IFERROR(COUNTIFS('[2]Controle de Produção'!$L:$L,D169,'[2]Controle de Produção'!$P:$P,C169,'[2]Controle de Produção'!$B:$B,"&gt;=" &amp; G169,'[2]Controle de Produção'!$C:$C,"&lt;=" &amp; N169, '[2]Controle de Produção'!$G:$G,B169), "")</f>
        <v>0</v>
      </c>
      <c r="AA169" s="108" t="str">
        <f t="shared" si="36"/>
        <v/>
      </c>
      <c r="AB169" s="41" t="str" cm="1">
        <f t="array" ref="AB169">_xlfn.IFS((H169*0.95)&lt;=V169,"Concluído",AND(V169 =0, J169&lt;&gt;""),"Programado",AND(V169=0,D169=""),"Desenvolv.",V169=0,"Não Iniciado",AND(V169&gt;0,V169&lt;H169,AO169=TRUE),"Em Produção",AND(V169&gt;0,V169&lt;H169,AO169=FALSE),"Produção Parcial")</f>
        <v>Não Iniciado</v>
      </c>
      <c r="AC169" s="42" t="b">
        <v>1</v>
      </c>
      <c r="AD169" s="42" t="b">
        <v>1</v>
      </c>
      <c r="AE169" s="42" t="b">
        <v>1</v>
      </c>
      <c r="AF169" s="42" t="b">
        <v>1</v>
      </c>
      <c r="AG169" s="42" t="b">
        <v>1</v>
      </c>
      <c r="AH169" s="42" t="s">
        <v>38</v>
      </c>
      <c r="AI169" s="42" t="s">
        <v>38</v>
      </c>
      <c r="AJ169" s="42" t="s">
        <v>38</v>
      </c>
      <c r="AK169" s="42" t="b">
        <v>0</v>
      </c>
      <c r="AL169" s="42" t="b">
        <v>1</v>
      </c>
      <c r="AM169" s="42" t="s">
        <v>38</v>
      </c>
      <c r="AN169" s="91" t="b">
        <v>1</v>
      </c>
      <c r="AO169" s="45" t="b" cm="1">
        <f t="array" ref="AO169">AND(COUNTIF(AC169:AN169,FALSE)=0,SUMPRODUCT(ISNUMBER(AC169:AN169)*1)=0)</f>
        <v>0</v>
      </c>
      <c r="AP169" s="59"/>
      <c r="AQ169" s="111">
        <f>IF(AB169="",99999999999,IFERROR(MATCH(AB169,{"Produção Parcial","Em Produção","Programado","Não Iniciado","Desenvolv.","Concluído"},0),7)*100000000+IF(ISNUMBER(J169),J169-46000,9999)*10000+IF(A169="",99,A169)*100+IF(C169="",99,CODE(LEFT(C169,1))))</f>
        <v>499990275</v>
      </c>
    </row>
    <row r="170" spans="1:45" s="36" customFormat="1" ht="25.15" hidden="1" customHeight="1" x14ac:dyDescent="0.25">
      <c r="A170" s="36">
        <v>2</v>
      </c>
      <c r="B170" s="38" t="s">
        <v>82</v>
      </c>
      <c r="C170" s="24" t="str">
        <f>INDEX([1]Produtos!$G:$G,MATCH($D170,[1]Produtos!$B:$B,0))</f>
        <v>MISS RÔSE</v>
      </c>
      <c r="D170" s="24" t="s">
        <v>80</v>
      </c>
      <c r="E170" s="70" t="str">
        <f>INDEX([1]Produtos!$C:$C,MATCH($D170,[1]Produtos!$B:$B,0))&amp;IF($F170&lt;&gt;"-"," - "&amp;LEFT($F170,1),"")&amp;" &gt; "&amp;$B170</f>
        <v>BODY SPLASH NÉCTAR DAS TAMARAS &gt; 01_07</v>
      </c>
      <c r="F170" s="51" t="s">
        <v>38</v>
      </c>
      <c r="G170" s="38">
        <v>45852</v>
      </c>
      <c r="H170" s="39">
        <v>10000</v>
      </c>
      <c r="I170" s="24" t="s">
        <v>42</v>
      </c>
      <c r="J170" s="68" t="str" cm="1">
        <f t="array" ref="J170">IFERROR(INDEX('[2]Previsão Envase'!$D$5:$D$4867, MATCH(1,('[2]Previsão Envase'!$F$5:$F$4867=$E170)+('[2]Previsão Envase'!$G$5:$G$4867=$E170)+('[2]Previsão Envase'!$H$5:$H$4867=$E170),0)),"")</f>
        <v/>
      </c>
      <c r="K170" s="68" t="str">
        <f>IF(COUNTIF('[2]Previsão Envase'!$F:$F,E170)&gt;0,"Linha 1",
IF(COUNTIF('[2]Previsão Envase'!$G:$G,E170)&gt;0,"Linha 2",
IF(COUNTIF('[2]Previsão Envase'!$H:$H,E170)&gt;0,"Linha 3","")))</f>
        <v/>
      </c>
      <c r="L170" s="96">
        <f>COUNTIF('[2]Previsão Envase'!$F:$H,E170)-COUNTIF('[2]Previsão Envase'!$F$1:$H$4,E170)</f>
        <v>0</v>
      </c>
      <c r="M170" s="35">
        <f t="shared" si="31"/>
        <v>0</v>
      </c>
      <c r="N170" s="68" t="str">
        <f>IFERROR(MAX(_xlfn.MAXIFS('[2]Controle de Produção'!$C:$C,'[2]Controle de Produção'!$L:$L,$D170,'[2]Controle de Produção'!$P:$P,$C170,'[2]Controle de Produção'!$G:$G,$B170),_xlfn.MAXIFS([3]EXPEDIÇÃO!$N:$N,[3]EXPEDIÇÃO!$E:$E,$D170,[3]EXPEDIÇÃO!$D:$D,$C170,[3]EXPEDIÇÃO!$N:$N,"&gt;="&amp;$G170)),"")</f>
        <v/>
      </c>
      <c r="O170" s="70">
        <f>INDEX([1]Produtos!$E:$E,MATCH($D170,[1]Produtos!$B:$B,0))</f>
        <v>220</v>
      </c>
      <c r="P170" s="70" t="str">
        <f>INDEX([1]Produtos!$F:$F,MATCH($D170,[1]Produtos!$B:$B,0))</f>
        <v>ml</v>
      </c>
      <c r="Q170" s="105">
        <f>INDEX([1]Produtos!$Y:$Y,MATCH($D170,[1]Produtos!$B:$B,0))</f>
        <v>0.51</v>
      </c>
      <c r="R170" s="35">
        <f t="shared" si="32"/>
        <v>7592.2902086267013</v>
      </c>
      <c r="S170" s="27">
        <f>IFERROR(INDEX([1]Produtos!$L:$L,MATCH(D170,[1]Produtos!$B:$B,0)), "")</f>
        <v>843.58780095852239</v>
      </c>
      <c r="T170" s="28">
        <f t="shared" si="33"/>
        <v>11.9</v>
      </c>
      <c r="U170" s="28" t="str">
        <f t="shared" si="34"/>
        <v>1D e 4h</v>
      </c>
      <c r="V170" s="27">
        <f>IFERROR(SUMIFS('[2]Controle de Produção'!$K:$K,'[2]Controle de Produção'!$L:$L,D170,'[2]Controle de Produção'!$P:$P,C170,'[2]Controle de Produção'!$B:$B,"&gt;=" &amp; G170,'[2]Controle de Produção'!$C:$C,"&lt;=" &amp; N170, '[2]Controle de Produção'!$G:$G,B170), "")</f>
        <v>0</v>
      </c>
      <c r="W170" s="27" t="str">
        <f>IFERROR(SUMIFS([3]EXPEDIÇÃO!$K:$K,[3]EXPEDIÇÃO!$E:$E,D170,[3]EXPEDIÇÃO!$D:$D,C170,[3]EXPEDIÇÃO!$N:$N,"&gt;=" &amp; G170,[3]EXPEDIÇÃO!$N:$N,"&lt;="&amp;N170), "")</f>
        <v/>
      </c>
      <c r="X170" s="27">
        <f>COUNTIFS('[2]Controle de Produção'!$P:$P,C170,'[2]Controle de Produção'!$L:$L,D170,'[2]Controle de Produção'!$B:$B,"&gt;=" &amp; G170)</f>
        <v>20</v>
      </c>
      <c r="Y170" s="27">
        <f t="shared" si="35"/>
        <v>0</v>
      </c>
      <c r="Z170" s="27">
        <f>IFERROR(COUNTIFS('[2]Controle de Produção'!$L:$L,D170,'[2]Controle de Produção'!$P:$P,C170,'[2]Controle de Produção'!$B:$B,"&gt;=" &amp; G170,'[2]Controle de Produção'!$C:$C,"&lt;=" &amp; N170, '[2]Controle de Produção'!$G:$G,B170), "")</f>
        <v>0</v>
      </c>
      <c r="AA170" s="108" t="str">
        <f t="shared" si="36"/>
        <v/>
      </c>
      <c r="AB170" s="41" t="str" cm="1">
        <f t="array" ref="AB170">_xlfn.IFS((H170*0.95)&lt;=V170,"Concluído",AND(V170 =0, J170&lt;&gt;""),"Programado",AND(V170=0,D170=""),"Desenvolv.",V170=0,"Não Iniciado",AND(V170&gt;0,V170&lt;H170,AO170=TRUE),"Em Produção",AND(V170&gt;0,V170&lt;H170,AO170=FALSE),"Produção Parcial")</f>
        <v>Não Iniciado</v>
      </c>
      <c r="AC170" s="42" t="b">
        <v>1</v>
      </c>
      <c r="AD170" s="42" t="b">
        <v>1</v>
      </c>
      <c r="AE170" s="42" t="b">
        <v>1</v>
      </c>
      <c r="AF170" s="42" t="b">
        <v>1</v>
      </c>
      <c r="AG170" s="42" t="s">
        <v>38</v>
      </c>
      <c r="AH170" s="42" t="s">
        <v>38</v>
      </c>
      <c r="AI170" s="42" t="b">
        <v>1</v>
      </c>
      <c r="AJ170" s="42" t="s">
        <v>38</v>
      </c>
      <c r="AK170" s="42" t="s">
        <v>38</v>
      </c>
      <c r="AL170" s="42" t="b">
        <v>1</v>
      </c>
      <c r="AM170" s="42" t="b">
        <v>1</v>
      </c>
      <c r="AN170" s="42" t="b">
        <v>1</v>
      </c>
      <c r="AO170" s="45" t="b" cm="1">
        <f t="array" ref="AO170">AND(COUNTIF(AC170:AN170,FALSE)=0,SUMPRODUCT(ISNUMBER(AC170:AN170)*1)=0)</f>
        <v>1</v>
      </c>
      <c r="AP170" s="59"/>
      <c r="AQ170" s="111">
        <f>IF(AB170="",99999999999,IFERROR(MATCH(AB170,{"Produção Parcial","Em Produção","Programado","Não Iniciado","Desenvolv.","Concluído"},0),7)*100000000+IF(ISNUMBER(J170),J170-46000,9999)*10000+IF(A170="",99,A170)*100+IF(C170="",99,CODE(LEFT(C170,1))))</f>
        <v>499990277</v>
      </c>
    </row>
    <row r="171" spans="1:45" s="36" customFormat="1" ht="25.15" hidden="1" customHeight="1" x14ac:dyDescent="0.25">
      <c r="A171" s="36">
        <v>2</v>
      </c>
      <c r="B171" s="38" t="s">
        <v>78</v>
      </c>
      <c r="C171" s="24" t="str">
        <f>INDEX([1]Produtos!$G:$G,MATCH($D171,[1]Produtos!$B:$B,0))</f>
        <v>MISS RÔSE</v>
      </c>
      <c r="D171" s="24" t="s">
        <v>77</v>
      </c>
      <c r="E171" s="70" t="str">
        <f>INDEX([1]Produtos!$C:$C,MATCH($D171,[1]Produtos!$B:$B,0))&amp;IF($F171&lt;&gt;"-"," - "&amp;LEFT($F171,1),"")&amp;" &gt; "&amp;$B171</f>
        <v>BODY SPLASH FORÇA DO LEAO &gt; 02_06</v>
      </c>
      <c r="F171" s="38" t="s">
        <v>38</v>
      </c>
      <c r="G171" s="38">
        <v>45831</v>
      </c>
      <c r="H171" s="39">
        <v>18000</v>
      </c>
      <c r="I171" s="24" t="s">
        <v>39</v>
      </c>
      <c r="J171" s="68" t="str" cm="1">
        <f t="array" ref="J171">IFERROR(INDEX('[2]Previsão Envase'!$D$5:$D$4867, MATCH(1,('[2]Previsão Envase'!$F$5:$F$4867=$E171)+('[2]Previsão Envase'!$G$5:$G$4867=$E171)+('[2]Previsão Envase'!$H$5:$H$4867=$E171),0)),"")</f>
        <v/>
      </c>
      <c r="K171" s="68" t="str">
        <f>IF(COUNTIF('[2]Previsão Envase'!$F:$F,E171)&gt;0,"Linha 1",
IF(COUNTIF('[2]Previsão Envase'!$G:$G,E171)&gt;0,"Linha 2",
IF(COUNTIF('[2]Previsão Envase'!$H:$H,E171)&gt;0,"Linha 3","")))</f>
        <v/>
      </c>
      <c r="L171" s="96">
        <f>COUNTIF('[2]Previsão Envase'!$F:$H,E171)-COUNTIF('[2]Previsão Envase'!$F$1:$H$4,E171)</f>
        <v>0</v>
      </c>
      <c r="M171" s="35">
        <f t="shared" si="31"/>
        <v>0</v>
      </c>
      <c r="N171" s="68" t="str">
        <f>IFERROR(MAX(_xlfn.MAXIFS('[2]Controle de Produção'!$C:$C,'[2]Controle de Produção'!$L:$L,$D171,'[2]Controle de Produção'!$P:$P,$C171,'[2]Controle de Produção'!$G:$G,$B171),_xlfn.MAXIFS([3]EXPEDIÇÃO!$N:$N,[3]EXPEDIÇÃO!$E:$E,$D171,[3]EXPEDIÇÃO!$D:$D,$C171,[3]EXPEDIÇÃO!$N:$N,"&gt;="&amp;$G171)),"")</f>
        <v/>
      </c>
      <c r="O171" s="70">
        <f>INDEX([1]Produtos!$E:$E,MATCH($D171,[1]Produtos!$B:$B,0))</f>
        <v>220</v>
      </c>
      <c r="P171" s="70" t="str">
        <f>INDEX([1]Produtos!$F:$F,MATCH($D171,[1]Produtos!$B:$B,0))</f>
        <v>ml</v>
      </c>
      <c r="Q171" s="105">
        <f>INDEX([1]Produtos!$Y:$Y,MATCH($D171,[1]Produtos!$B:$B,0))</f>
        <v>1.1000000000000001</v>
      </c>
      <c r="R171" s="35">
        <f t="shared" si="32"/>
        <v>7592.2902086267013</v>
      </c>
      <c r="S171" s="27">
        <f>IFERROR(INDEX([1]Produtos!$L:$L,MATCH(D171,[1]Produtos!$B:$B,0)), "")</f>
        <v>843.58780095852239</v>
      </c>
      <c r="T171" s="28">
        <f t="shared" si="33"/>
        <v>21.400000000000002</v>
      </c>
      <c r="U171" s="28" t="str">
        <f t="shared" si="34"/>
        <v>2D e 4h</v>
      </c>
      <c r="V171" s="27">
        <f>IFERROR(SUMIFS('[2]Controle de Produção'!$K:$K,'[2]Controle de Produção'!$L:$L,D171,'[2]Controle de Produção'!$P:$P,C171,'[2]Controle de Produção'!$B:$B,"&gt;=" &amp; G171,'[2]Controle de Produção'!$C:$C,"&lt;=" &amp; N171, '[2]Controle de Produção'!$G:$G,B171), "")</f>
        <v>0</v>
      </c>
      <c r="W171" s="27" t="str">
        <f>IFERROR(SUMIFS([3]EXPEDIÇÃO!$K:$K,[3]EXPEDIÇÃO!$E:$E,D171,[3]EXPEDIÇÃO!$D:$D,C171,[3]EXPEDIÇÃO!$N:$N,"&gt;=" &amp; G171,[3]EXPEDIÇÃO!$N:$N,"&lt;="&amp;N171), "")</f>
        <v/>
      </c>
      <c r="X171" s="27">
        <f>COUNTIFS('[2]Controle de Produção'!$P:$P,C171,'[2]Controle de Produção'!$L:$L,D171,'[2]Controle de Produção'!$B:$B,"&gt;=" &amp; G171)</f>
        <v>44</v>
      </c>
      <c r="Y171" s="27">
        <f t="shared" si="35"/>
        <v>0</v>
      </c>
      <c r="Z171" s="27">
        <f>IFERROR(COUNTIFS('[2]Controle de Produção'!$L:$L,D171,'[2]Controle de Produção'!$P:$P,C171,'[2]Controle de Produção'!$B:$B,"&gt;=" &amp; G171,'[2]Controle de Produção'!$C:$C,"&lt;=" &amp; N171, '[2]Controle de Produção'!$G:$G,B171), "")</f>
        <v>0</v>
      </c>
      <c r="AA171" s="108" t="str">
        <f t="shared" si="36"/>
        <v/>
      </c>
      <c r="AB171" s="41" t="str" cm="1">
        <f t="array" ref="AB171">_xlfn.IFS((H171*0.95)&lt;=V171,"Concluído",AND(V171 =0, J171&lt;&gt;""),"Programado",AND(V171=0,D171=""),"Desenvolv.",V171=0,"Não Iniciado",AND(V171&gt;0,V171&lt;H171,AO171=TRUE),"Em Produção",AND(V171&gt;0,V171&lt;H171,AO171=FALSE),"Produção Parcial")</f>
        <v>Não Iniciado</v>
      </c>
      <c r="AC171" s="42" t="b">
        <v>1</v>
      </c>
      <c r="AD171" s="42" t="b">
        <v>1</v>
      </c>
      <c r="AE171" s="42" t="b">
        <v>1</v>
      </c>
      <c r="AF171" s="42" t="b">
        <v>1</v>
      </c>
      <c r="AG171" s="42" t="b">
        <v>1</v>
      </c>
      <c r="AH171" s="42" t="s">
        <v>38</v>
      </c>
      <c r="AI171" s="42" t="b">
        <v>1</v>
      </c>
      <c r="AJ171" s="42" t="s">
        <v>38</v>
      </c>
      <c r="AK171" s="42" t="s">
        <v>38</v>
      </c>
      <c r="AL171" s="42" t="b">
        <v>1</v>
      </c>
      <c r="AM171" s="42" t="b">
        <v>1</v>
      </c>
      <c r="AN171" s="86" t="b">
        <v>1</v>
      </c>
      <c r="AO171" s="45" t="b" cm="1">
        <f t="array" ref="AO171">AND(COUNTIF(AC171:AN171,FALSE)=0,SUMPRODUCT(ISNUMBER(AC171:AN171)*1)=0)</f>
        <v>1</v>
      </c>
      <c r="AP171" s="35"/>
      <c r="AQ171" s="111">
        <f>IF(AB171="",99999999999,IFERROR(MATCH(AB171,{"Produção Parcial","Em Produção","Programado","Não Iniciado","Desenvolv.","Concluído"},0),7)*100000000+IF(ISNUMBER(J171),J171-46000,9999)*10000+IF(A171="",99,A171)*100+IF(C171="",99,CODE(LEFT(C171,1))))</f>
        <v>499990277</v>
      </c>
    </row>
    <row r="172" spans="1:45" s="36" customFormat="1" ht="25.15" hidden="1" customHeight="1" x14ac:dyDescent="0.25">
      <c r="A172" s="36">
        <v>2</v>
      </c>
      <c r="B172" s="38" t="s">
        <v>79</v>
      </c>
      <c r="C172" s="24" t="str">
        <f>INDEX([1]Produtos!$G:$G,MATCH($D172,[1]Produtos!$B:$B,0))</f>
        <v>MISS RÔSE</v>
      </c>
      <c r="D172" s="24" t="s">
        <v>80</v>
      </c>
      <c r="E172" s="70" t="str">
        <f>INDEX([1]Produtos!$C:$C,MATCH($D172,[1]Produtos!$B:$B,0))&amp;IF($F172&lt;&gt;"-"," - "&amp;LEFT($F172,1),"")&amp;" &gt; "&amp;$B172</f>
        <v>BODY SPLASH NÉCTAR DAS TAMARAS &gt; Fabiano 22/09</v>
      </c>
      <c r="F172" s="51" t="s">
        <v>38</v>
      </c>
      <c r="G172" s="38">
        <v>45922</v>
      </c>
      <c r="H172" s="39">
        <v>20000</v>
      </c>
      <c r="I172" s="24" t="s">
        <v>42</v>
      </c>
      <c r="J172" s="68" t="str" cm="1">
        <f t="array" ref="J172">IFERROR(INDEX('[2]Previsão Envase'!$D$5:$D$4867, MATCH(1,('[2]Previsão Envase'!$F$5:$F$4867=$E172)+('[2]Previsão Envase'!$G$5:$G$4867=$E172)+('[2]Previsão Envase'!$H$5:$H$4867=$E172),0)),"")</f>
        <v/>
      </c>
      <c r="K172" s="68" t="str">
        <f>IF(COUNTIF('[2]Previsão Envase'!$F:$F,E172)&gt;0,"Linha 1",
IF(COUNTIF('[2]Previsão Envase'!$G:$G,E172)&gt;0,"Linha 2",
IF(COUNTIF('[2]Previsão Envase'!$H:$H,E172)&gt;0,"Linha 3","")))</f>
        <v/>
      </c>
      <c r="L172" s="96">
        <f>COUNTIF('[2]Previsão Envase'!$F:$H,E172)-COUNTIF('[2]Previsão Envase'!$F$1:$H$4,E172)</f>
        <v>0</v>
      </c>
      <c r="M172" s="35">
        <f t="shared" si="31"/>
        <v>0</v>
      </c>
      <c r="N172" s="68" t="str">
        <f>IFERROR(MAX(_xlfn.MAXIFS('[2]Controle de Produção'!$C:$C,'[2]Controle de Produção'!$L:$L,$D172,'[2]Controle de Produção'!$P:$P,$C172,'[2]Controle de Produção'!$G:$G,$B172),_xlfn.MAXIFS([3]EXPEDIÇÃO!$N:$N,[3]EXPEDIÇÃO!$E:$E,$D172,[3]EXPEDIÇÃO!$D:$D,$C172,[3]EXPEDIÇÃO!$N:$N,"&gt;="&amp;$G172)),"")</f>
        <v/>
      </c>
      <c r="O172" s="70">
        <f>INDEX([1]Produtos!$E:$E,MATCH($D172,[1]Produtos!$B:$B,0))</f>
        <v>220</v>
      </c>
      <c r="P172" s="70" t="str">
        <f>INDEX([1]Produtos!$F:$F,MATCH($D172,[1]Produtos!$B:$B,0))</f>
        <v>ml</v>
      </c>
      <c r="Q172" s="105">
        <f>INDEX([1]Produtos!$Y:$Y,MATCH($D172,[1]Produtos!$B:$B,0))</f>
        <v>0.51</v>
      </c>
      <c r="R172" s="35">
        <f t="shared" si="32"/>
        <v>7592.2902086267013</v>
      </c>
      <c r="S172" s="27">
        <f>IFERROR(INDEX([1]Produtos!$L:$L,MATCH(D172,[1]Produtos!$B:$B,0)), "")</f>
        <v>843.58780095852239</v>
      </c>
      <c r="T172" s="28">
        <f t="shared" si="33"/>
        <v>23.8</v>
      </c>
      <c r="U172" s="28" t="str">
        <f t="shared" si="34"/>
        <v>2D e 7h</v>
      </c>
      <c r="V172" s="27">
        <f>IFERROR(SUMIFS('[2]Controle de Produção'!$K:$K,'[2]Controle de Produção'!$L:$L,D172,'[2]Controle de Produção'!$P:$P,C172,'[2]Controle de Produção'!$B:$B,"&gt;=" &amp; G172,'[2]Controle de Produção'!$C:$C,"&lt;=" &amp; N172, '[2]Controle de Produção'!$G:$G,B172), "")</f>
        <v>0</v>
      </c>
      <c r="W172" s="27" t="str">
        <f>IFERROR(SUMIFS([3]EXPEDIÇÃO!$K:$K,[3]EXPEDIÇÃO!$E:$E,D172,[3]EXPEDIÇÃO!$D:$D,C172,[3]EXPEDIÇÃO!$N:$N,"&gt;=" &amp; G172,[3]EXPEDIÇÃO!$N:$N,"&lt;="&amp;N172), "")</f>
        <v/>
      </c>
      <c r="X172" s="27">
        <f>COUNTIFS('[2]Controle de Produção'!$P:$P,C172,'[2]Controle de Produção'!$L:$L,D172,'[2]Controle de Produção'!$B:$B,"&gt;=" &amp; G172)</f>
        <v>16</v>
      </c>
      <c r="Y172" s="27">
        <f t="shared" si="35"/>
        <v>0</v>
      </c>
      <c r="Z172" s="27">
        <f>IFERROR(COUNTIFS('[2]Controle de Produção'!$L:$L,D172,'[2]Controle de Produção'!$P:$P,C172,'[2]Controle de Produção'!$B:$B,"&gt;=" &amp; G172,'[2]Controle de Produção'!$C:$C,"&lt;=" &amp; N172, '[2]Controle de Produção'!$G:$G,B172), "")</f>
        <v>0</v>
      </c>
      <c r="AA172" s="108" t="str">
        <f t="shared" si="36"/>
        <v/>
      </c>
      <c r="AB172" s="41" t="str" cm="1">
        <f t="array" ref="AB172">_xlfn.IFS((H172*0.95)&lt;=V172,"Concluído",AND(V172 =0, J172&lt;&gt;""),"Programado",AND(V172=0,D172=""),"Desenvolv.",V172=0,"Não Iniciado",AND(V172&gt;0,V172&lt;H172,AO172=TRUE),"Em Produção",AND(V172&gt;0,V172&lt;H172,AO172=FALSE),"Produção Parcial")</f>
        <v>Não Iniciado</v>
      </c>
      <c r="AC172" s="42" t="b">
        <v>1</v>
      </c>
      <c r="AD172" s="42" t="b">
        <v>1</v>
      </c>
      <c r="AE172" s="67" t="b">
        <v>1</v>
      </c>
      <c r="AF172" s="42" t="b">
        <v>1</v>
      </c>
      <c r="AG172" s="42" t="s">
        <v>38</v>
      </c>
      <c r="AH172" s="42" t="s">
        <v>38</v>
      </c>
      <c r="AI172" s="42" t="b">
        <v>1</v>
      </c>
      <c r="AJ172" s="42" t="s">
        <v>38</v>
      </c>
      <c r="AK172" s="42" t="s">
        <v>38</v>
      </c>
      <c r="AL172" s="42" t="b">
        <v>1</v>
      </c>
      <c r="AM172" s="42" t="b">
        <v>1</v>
      </c>
      <c r="AN172" s="42" t="b">
        <v>1</v>
      </c>
      <c r="AO172" s="45" t="b" cm="1">
        <f t="array" ref="AO172">AND(COUNTIF(AC172:AN172,FALSE)=0,SUMPRODUCT(ISNUMBER(AC172:AN172)*1)=0)</f>
        <v>1</v>
      </c>
      <c r="AP172" s="59"/>
      <c r="AQ172" s="111">
        <f>IF(AB172="",99999999999,IFERROR(MATCH(AB172,{"Produção Parcial","Em Produção","Programado","Não Iniciado","Desenvolv.","Concluído"},0),7)*100000000+IF(ISNUMBER(J172),J172-46000,9999)*10000+IF(A172="",99,A172)*100+IF(C172="",99,CODE(LEFT(C172,1))))</f>
        <v>499990277</v>
      </c>
    </row>
    <row r="173" spans="1:45" s="36" customFormat="1" ht="25.15" hidden="1" customHeight="1" x14ac:dyDescent="0.25">
      <c r="A173" s="36">
        <v>2</v>
      </c>
      <c r="B173" s="38" t="s">
        <v>95</v>
      </c>
      <c r="C173" s="24" t="str">
        <f>INDEX([1]Produtos!$G:$G,MATCH($D173,[1]Produtos!$B:$B,0))</f>
        <v>MOUTIER</v>
      </c>
      <c r="D173" s="24" t="s">
        <v>119</v>
      </c>
      <c r="E173" s="70" t="str">
        <f>INDEX([1]Produtos!$C:$C,MATCH($D173,[1]Produtos!$B:$B,0))&amp;IF($F173&lt;&gt;"-"," - "&amp;LEFT($F173,1),"")&amp;" &gt; "&amp;$B173</f>
        <v>PERFUME FEMININO 09 SCANDAL &gt; Moutier 01/09</v>
      </c>
      <c r="F173" s="51" t="s">
        <v>38</v>
      </c>
      <c r="G173" s="38">
        <v>45887</v>
      </c>
      <c r="H173" s="39">
        <v>300</v>
      </c>
      <c r="I173" s="24" t="s">
        <v>42</v>
      </c>
      <c r="J173" s="68" t="str" cm="1">
        <f t="array" ref="J173">IFERROR(INDEX('[2]Previsão Envase'!$D$5:$D$4867, MATCH(1,('[2]Previsão Envase'!$F$5:$F$4867=$E173)+('[2]Previsão Envase'!$G$5:$G$4867=$E173)+('[2]Previsão Envase'!$H$5:$H$4867=$E173),0)),"")</f>
        <v/>
      </c>
      <c r="K173" s="68" t="str">
        <f>IF(COUNTIF('[2]Previsão Envase'!$F:$F,E173)&gt;0,"Linha 1",
IF(COUNTIF('[2]Previsão Envase'!$G:$G,E173)&gt;0,"Linha 2",
IF(COUNTIF('[2]Previsão Envase'!$H:$H,E173)&gt;0,"Linha 3","")))</f>
        <v/>
      </c>
      <c r="L173" s="96">
        <f>COUNTIF('[2]Previsão Envase'!$F:$H,E173)-COUNTIF('[2]Previsão Envase'!$F$1:$H$4,E173)</f>
        <v>0</v>
      </c>
      <c r="M173" s="35">
        <f t="shared" si="31"/>
        <v>0</v>
      </c>
      <c r="N173" s="68" t="str">
        <f>IFERROR(MAX(_xlfn.MAXIFS('[2]Controle de Produção'!$C:$C,'[2]Controle de Produção'!$L:$L,$D173,'[2]Controle de Produção'!$P:$P,$C173,'[2]Controle de Produção'!$G:$G,$B173),_xlfn.MAXIFS([3]EXPEDIÇÃO!$N:$N,[3]EXPEDIÇÃO!$E:$E,$D173,[3]EXPEDIÇÃO!$D:$D,$C173,[3]EXPEDIÇÃO!$N:$N,"&gt;="&amp;$G173)),"")</f>
        <v/>
      </c>
      <c r="O173" s="70">
        <f>INDEX([1]Produtos!$E:$E,MATCH($D173,[1]Produtos!$B:$B,0))</f>
        <v>50</v>
      </c>
      <c r="P173" s="70" t="str">
        <f>INDEX([1]Produtos!$F:$F,MATCH($D173,[1]Produtos!$B:$B,0))</f>
        <v>ml</v>
      </c>
      <c r="Q173" s="105">
        <f>INDEX([1]Produtos!$Y:$Y,MATCH($D173,[1]Produtos!$B:$B,0))</f>
        <v>0</v>
      </c>
      <c r="R173" s="35">
        <f t="shared" si="32"/>
        <v>1577.3766463727152</v>
      </c>
      <c r="S173" s="27">
        <f>IFERROR(INDEX([1]Produtos!$L:$L,MATCH(D173,[1]Produtos!$B:$B,0)), "")</f>
        <v>175.26407181919058</v>
      </c>
      <c r="T173" s="28">
        <f t="shared" si="33"/>
        <v>1.8</v>
      </c>
      <c r="U173" s="28" t="str">
        <f t="shared" si="34"/>
        <v>0D e 2h</v>
      </c>
      <c r="V173" s="27">
        <f>IFERROR(SUMIFS('[2]Controle de Produção'!$K:$K,'[2]Controle de Produção'!$L:$L,D173,'[2]Controle de Produção'!$P:$P,C173,'[2]Controle de Produção'!$B:$B,"&gt;=" &amp; G173,'[2]Controle de Produção'!$C:$C,"&lt;=" &amp; N173, '[2]Controle de Produção'!$G:$G,B173), "")</f>
        <v>0</v>
      </c>
      <c r="W173" s="27" t="str">
        <f>IFERROR(SUMIFS([3]EXPEDIÇÃO!$K:$K,[3]EXPEDIÇÃO!$E:$E,D173,[3]EXPEDIÇÃO!$D:$D,C173,[3]EXPEDIÇÃO!$N:$N,"&gt;=" &amp; G173,[3]EXPEDIÇÃO!$N:$N,"&lt;="&amp;N173), "")</f>
        <v/>
      </c>
      <c r="X173" s="27">
        <f>COUNTIFS('[2]Controle de Produção'!$P:$P,C173,'[2]Controle de Produção'!$L:$L,D173,'[2]Controle de Produção'!$B:$B,"&gt;=" &amp; G173)</f>
        <v>1</v>
      </c>
      <c r="Y173" s="27">
        <f t="shared" si="35"/>
        <v>0</v>
      </c>
      <c r="Z173" s="27">
        <f>IFERROR(COUNTIFS('[2]Controle de Produção'!$L:$L,D173,'[2]Controle de Produção'!$P:$P,C173,'[2]Controle de Produção'!$B:$B,"&gt;=" &amp; G173,'[2]Controle de Produção'!$C:$C,"&lt;=" &amp; N173, '[2]Controle de Produção'!$G:$G,B173), "")</f>
        <v>0</v>
      </c>
      <c r="AA173" s="108" t="str">
        <f t="shared" si="36"/>
        <v/>
      </c>
      <c r="AB173" s="41" t="str" cm="1">
        <f t="array" ref="AB173">_xlfn.IFS((H173*0.95)&lt;=V173,"Concluído",AND(V173 =0, J173&lt;&gt;""),"Programado",AND(V173=0,D173=""),"Desenvolv.",V173=0,"Não Iniciado",AND(V173&gt;0,V173&lt;H173,AO173=TRUE),"Em Produção",AND(V173&gt;0,V173&lt;H173,AO173=FALSE),"Produção Parcial")</f>
        <v>Não Iniciado</v>
      </c>
      <c r="AC173" s="42" t="b">
        <v>1</v>
      </c>
      <c r="AD173" s="42" t="b">
        <v>1</v>
      </c>
      <c r="AE173" s="42" t="b">
        <v>0</v>
      </c>
      <c r="AF173" s="42" t="b">
        <v>0</v>
      </c>
      <c r="AG173" s="42" t="b">
        <v>0</v>
      </c>
      <c r="AH173" s="42" t="b">
        <v>0</v>
      </c>
      <c r="AI173" s="42" t="b">
        <v>0</v>
      </c>
      <c r="AJ173" s="42" t="b">
        <v>0</v>
      </c>
      <c r="AK173" s="42" t="b">
        <v>0</v>
      </c>
      <c r="AL173" s="42" t="b">
        <v>0</v>
      </c>
      <c r="AM173" s="42" t="b">
        <v>1</v>
      </c>
      <c r="AN173" s="42" t="b">
        <v>0</v>
      </c>
      <c r="AO173" s="45" t="b" cm="1">
        <f t="array" ref="AO173">AND(COUNTIF(AC173:AN173,FALSE)=0,SUMPRODUCT(ISNUMBER(AC173:AN173)*1)=0)</f>
        <v>0</v>
      </c>
      <c r="AP173" s="59"/>
      <c r="AQ173" s="111">
        <f>IF(AB173="",99999999999,IFERROR(MATCH(AB173,{"Produção Parcial","Em Produção","Programado","Não Iniciado","Desenvolv.","Concluído"},0),7)*100000000+IF(ISNUMBER(J173),J173-46000,9999)*10000+IF(A173="",99,A173)*100+IF(C173="",99,CODE(LEFT(C173,1))))</f>
        <v>499990277</v>
      </c>
    </row>
    <row r="174" spans="1:45" s="36" customFormat="1" ht="25.15" hidden="1" customHeight="1" x14ac:dyDescent="0.25">
      <c r="A174" s="36">
        <v>2</v>
      </c>
      <c r="B174" s="38" t="s">
        <v>106</v>
      </c>
      <c r="C174" s="24" t="str">
        <f>INDEX([1]Produtos!$G:$G,MATCH($D174,[1]Produtos!$B:$B,0))</f>
        <v>MOUTIER</v>
      </c>
      <c r="D174" s="24" t="s">
        <v>119</v>
      </c>
      <c r="E174" s="70" t="str">
        <f>INDEX([1]Produtos!$C:$C,MATCH($D174,[1]Produtos!$B:$B,0))&amp;IF($F174&lt;&gt;"-"," - "&amp;LEFT($F174,1),"")&amp;" &gt; "&amp;$B174</f>
        <v>PERFUME FEMININO 09 SCANDAL &gt; Perfumes Moutier</v>
      </c>
      <c r="F174" s="51" t="s">
        <v>38</v>
      </c>
      <c r="G174" s="38">
        <v>45810</v>
      </c>
      <c r="H174" s="39">
        <v>500</v>
      </c>
      <c r="I174" s="24" t="s">
        <v>39</v>
      </c>
      <c r="J174" s="68" t="str" cm="1">
        <f t="array" ref="J174">IFERROR(INDEX('[2]Previsão Envase'!$D$5:$D$4867, MATCH(1,('[2]Previsão Envase'!$F$5:$F$4867=$E174)+('[2]Previsão Envase'!$G$5:$G$4867=$E174)+('[2]Previsão Envase'!$H$5:$H$4867=$E174),0)),"")</f>
        <v/>
      </c>
      <c r="K174" s="68" t="str">
        <f>IF(COUNTIF('[2]Previsão Envase'!$F:$F,E174)&gt;0,"Linha 1",
IF(COUNTIF('[2]Previsão Envase'!$G:$G,E174)&gt;0,"Linha 2",
IF(COUNTIF('[2]Previsão Envase'!$H:$H,E174)&gt;0,"Linha 3","")))</f>
        <v/>
      </c>
      <c r="L174" s="96">
        <f>COUNTIF('[2]Previsão Envase'!$F:$H,E174)-COUNTIF('[2]Previsão Envase'!$F$1:$H$4,E174)</f>
        <v>0</v>
      </c>
      <c r="M174" s="35">
        <f t="shared" si="31"/>
        <v>0</v>
      </c>
      <c r="N174" s="68" t="str">
        <f>IFERROR(MAX(_xlfn.MAXIFS('[2]Controle de Produção'!$C:$C,'[2]Controle de Produção'!$L:$L,$D174,'[2]Controle de Produção'!$P:$P,$C174,'[2]Controle de Produção'!$G:$G,$B174),_xlfn.MAXIFS([3]EXPEDIÇÃO!$N:$N,[3]EXPEDIÇÃO!$E:$E,$D174,[3]EXPEDIÇÃO!$D:$D,$C174,[3]EXPEDIÇÃO!$N:$N,"&gt;="&amp;$G174)),"")</f>
        <v/>
      </c>
      <c r="O174" s="70">
        <f>INDEX([1]Produtos!$E:$E,MATCH($D174,[1]Produtos!$B:$B,0))</f>
        <v>50</v>
      </c>
      <c r="P174" s="70" t="str">
        <f>INDEX([1]Produtos!$F:$F,MATCH($D174,[1]Produtos!$B:$B,0))</f>
        <v>ml</v>
      </c>
      <c r="Q174" s="105">
        <f>INDEX([1]Produtos!$Y:$Y,MATCH($D174,[1]Produtos!$B:$B,0))</f>
        <v>0</v>
      </c>
      <c r="R174" s="35">
        <f t="shared" si="32"/>
        <v>1577.3766463727152</v>
      </c>
      <c r="S174" s="27">
        <f>IFERROR(INDEX([1]Produtos!$L:$L,MATCH(D174,[1]Produtos!$B:$B,0)), "")</f>
        <v>175.26407181919058</v>
      </c>
      <c r="T174" s="28">
        <f t="shared" si="33"/>
        <v>2.9</v>
      </c>
      <c r="U174" s="28" t="str">
        <f t="shared" si="34"/>
        <v>0D e 3h</v>
      </c>
      <c r="V174" s="27">
        <f>IFERROR(SUMIFS('[2]Controle de Produção'!$K:$K,'[2]Controle de Produção'!$L:$L,D174,'[2]Controle de Produção'!$P:$P,C174,'[2]Controle de Produção'!$B:$B,"&gt;=" &amp; G174,'[2]Controle de Produção'!$C:$C,"&lt;=" &amp; N174, '[2]Controle de Produção'!$G:$G,B174), "")</f>
        <v>0</v>
      </c>
      <c r="W174" s="27" t="str">
        <f>IFERROR(SUMIFS([3]EXPEDIÇÃO!$K:$K,[3]EXPEDIÇÃO!$E:$E,D174,[3]EXPEDIÇÃO!$D:$D,C174,[3]EXPEDIÇÃO!$N:$N,"&gt;=" &amp; G174,[3]EXPEDIÇÃO!$N:$N,"&lt;="&amp;N174), "")</f>
        <v/>
      </c>
      <c r="X174" s="27">
        <f>COUNTIFS('[2]Controle de Produção'!$P:$P,C174,'[2]Controle de Produção'!$L:$L,D174,'[2]Controle de Produção'!$B:$B,"&gt;=" &amp; G174)</f>
        <v>3</v>
      </c>
      <c r="Y174" s="27">
        <f t="shared" si="35"/>
        <v>0</v>
      </c>
      <c r="Z174" s="27">
        <f>IFERROR(COUNTIFS('[2]Controle de Produção'!$L:$L,D174,'[2]Controle de Produção'!$P:$P,C174,'[2]Controle de Produção'!$B:$B,"&gt;=" &amp; G174,'[2]Controle de Produção'!$C:$C,"&lt;=" &amp; N174, '[2]Controle de Produção'!$G:$G,B174), "")</f>
        <v>0</v>
      </c>
      <c r="AA174" s="108" t="str">
        <f t="shared" si="36"/>
        <v/>
      </c>
      <c r="AB174" s="41" t="str" cm="1">
        <f t="array" ref="AB174">_xlfn.IFS((H174*0.95)&lt;=V174,"Concluído",AND(V174 =0, J174&lt;&gt;""),"Programado",AND(V174=0,D174=""),"Desenvolv.",V174=0,"Não Iniciado",AND(V174&gt;0,V174&lt;H174,AO174=TRUE),"Em Produção",AND(V174&gt;0,V174&lt;H174,AO174=FALSE),"Produção Parcial")</f>
        <v>Não Iniciado</v>
      </c>
      <c r="AC174" s="42" t="b">
        <v>1</v>
      </c>
      <c r="AD174" s="42" t="b">
        <v>1</v>
      </c>
      <c r="AE174" s="42" t="b">
        <v>1</v>
      </c>
      <c r="AF174" s="42" t="b">
        <v>1</v>
      </c>
      <c r="AG174" s="42" t="b">
        <v>1</v>
      </c>
      <c r="AH174" s="42" t="b">
        <v>1</v>
      </c>
      <c r="AI174" s="42" t="b">
        <v>1</v>
      </c>
      <c r="AJ174" s="42" t="b">
        <v>1</v>
      </c>
      <c r="AK174" s="42" t="b">
        <v>0</v>
      </c>
      <c r="AL174" s="42" t="b">
        <v>1</v>
      </c>
      <c r="AM174" s="42" t="b">
        <v>1</v>
      </c>
      <c r="AN174" s="42" t="b">
        <v>1</v>
      </c>
      <c r="AO174" s="45" t="b" cm="1">
        <f t="array" ref="AO174">AND(COUNTIF(AC174:AN174,FALSE)=0,SUMPRODUCT(ISNUMBER(AC174:AN174)*1)=0)</f>
        <v>0</v>
      </c>
      <c r="AP174" s="59"/>
      <c r="AQ174" s="111">
        <f>IF(AB174="",99999999999,IFERROR(MATCH(AB174,{"Produção Parcial","Em Produção","Programado","Não Iniciado","Desenvolv.","Concluído"},0),7)*100000000+IF(ISNUMBER(J174),J174-46000,9999)*10000+IF(A174="",99,A174)*100+IF(C174="",99,CODE(LEFT(C174,1))))</f>
        <v>499990277</v>
      </c>
    </row>
    <row r="175" spans="1:45" s="36" customFormat="1" ht="25.15" hidden="1" customHeight="1" x14ac:dyDescent="0.25">
      <c r="A175" s="36">
        <v>2</v>
      </c>
      <c r="B175" s="38" t="s">
        <v>106</v>
      </c>
      <c r="C175" s="24" t="str">
        <f>INDEX([1]Produtos!$G:$G,MATCH($D175,[1]Produtos!$B:$B,0))</f>
        <v>MOUTIER</v>
      </c>
      <c r="D175" s="24" t="s">
        <v>116</v>
      </c>
      <c r="E175" s="70" t="str">
        <f>INDEX([1]Produtos!$C:$C,MATCH($D175,[1]Produtos!$B:$B,0))&amp;IF($F175&lt;&gt;"-"," - "&amp;LEFT($F175,1),"")&amp;" &gt; "&amp;$B175</f>
        <v>PERFUME FEMININO 11 OLYMPEA &gt; Perfumes Moutier</v>
      </c>
      <c r="F175" s="51" t="s">
        <v>38</v>
      </c>
      <c r="G175" s="38">
        <v>45810</v>
      </c>
      <c r="H175" s="39">
        <v>500</v>
      </c>
      <c r="I175" s="24" t="s">
        <v>39</v>
      </c>
      <c r="J175" s="68" t="str" cm="1">
        <f t="array" ref="J175">IFERROR(INDEX('[2]Previsão Envase'!$D$5:$D$4867, MATCH(1,('[2]Previsão Envase'!$F$5:$F$4867=$E175)+('[2]Previsão Envase'!$G$5:$G$4867=$E175)+('[2]Previsão Envase'!$H$5:$H$4867=$E175),0)),"")</f>
        <v/>
      </c>
      <c r="K175" s="68" t="str">
        <f>IF(COUNTIF('[2]Previsão Envase'!$F:$F,E175)&gt;0,"Linha 1",
IF(COUNTIF('[2]Previsão Envase'!$G:$G,E175)&gt;0,"Linha 2",
IF(COUNTIF('[2]Previsão Envase'!$H:$H,E175)&gt;0,"Linha 3","")))</f>
        <v/>
      </c>
      <c r="L175" s="96">
        <f>COUNTIF('[2]Previsão Envase'!$F:$H,E175)-COUNTIF('[2]Previsão Envase'!$F$1:$H$4,E175)</f>
        <v>0</v>
      </c>
      <c r="M175" s="35">
        <f t="shared" si="31"/>
        <v>0</v>
      </c>
      <c r="N175" s="68" t="str">
        <f>IFERROR(MAX(_xlfn.MAXIFS('[2]Controle de Produção'!$C:$C,'[2]Controle de Produção'!$L:$L,$D175,'[2]Controle de Produção'!$P:$P,$C175,'[2]Controle de Produção'!$G:$G,$B175),_xlfn.MAXIFS([3]EXPEDIÇÃO!$N:$N,[3]EXPEDIÇÃO!$E:$E,$D175,[3]EXPEDIÇÃO!$D:$D,$C175,[3]EXPEDIÇÃO!$N:$N,"&gt;="&amp;$G175)),"")</f>
        <v/>
      </c>
      <c r="O175" s="70">
        <f>INDEX([1]Produtos!$E:$E,MATCH($D175,[1]Produtos!$B:$B,0))</f>
        <v>50</v>
      </c>
      <c r="P175" s="70" t="str">
        <f>INDEX([1]Produtos!$F:$F,MATCH($D175,[1]Produtos!$B:$B,0))</f>
        <v>ml</v>
      </c>
      <c r="Q175" s="105">
        <f>INDEX([1]Produtos!$Y:$Y,MATCH($D175,[1]Produtos!$B:$B,0))</f>
        <v>0</v>
      </c>
      <c r="R175" s="35">
        <f t="shared" si="32"/>
        <v>1577.3766463727152</v>
      </c>
      <c r="S175" s="27">
        <f>IFERROR(INDEX([1]Produtos!$L:$L,MATCH(D175,[1]Produtos!$B:$B,0)), "")</f>
        <v>175.26407181919058</v>
      </c>
      <c r="T175" s="28">
        <f t="shared" si="33"/>
        <v>2.9</v>
      </c>
      <c r="U175" s="28" t="str">
        <f t="shared" si="34"/>
        <v>0D e 3h</v>
      </c>
      <c r="V175" s="27">
        <f>IFERROR(SUMIFS('[2]Controle de Produção'!$K:$K,'[2]Controle de Produção'!$L:$L,D175,'[2]Controle de Produção'!$P:$P,C175,'[2]Controle de Produção'!$B:$B,"&gt;=" &amp; G175,'[2]Controle de Produção'!$C:$C,"&lt;=" &amp; N175, '[2]Controle de Produção'!$G:$G,B175), "")</f>
        <v>0</v>
      </c>
      <c r="W175" s="27" t="str">
        <f>IFERROR(SUMIFS([3]EXPEDIÇÃO!$K:$K,[3]EXPEDIÇÃO!$E:$E,D175,[3]EXPEDIÇÃO!$D:$D,C175,[3]EXPEDIÇÃO!$N:$N,"&gt;=" &amp; G175,[3]EXPEDIÇÃO!$N:$N,"&lt;="&amp;N175), "")</f>
        <v/>
      </c>
      <c r="X175" s="27">
        <f>COUNTIFS('[2]Controle de Produção'!$P:$P,C175,'[2]Controle de Produção'!$L:$L,D175,'[2]Controle de Produção'!$B:$B,"&gt;=" &amp; G175)</f>
        <v>1</v>
      </c>
      <c r="Y175" s="27">
        <f t="shared" si="35"/>
        <v>0</v>
      </c>
      <c r="Z175" s="27">
        <f>IFERROR(COUNTIFS('[2]Controle de Produção'!$L:$L,D175,'[2]Controle de Produção'!$P:$P,C175,'[2]Controle de Produção'!$B:$B,"&gt;=" &amp; G175,'[2]Controle de Produção'!$C:$C,"&lt;=" &amp; N175, '[2]Controle de Produção'!$G:$G,B175), "")</f>
        <v>0</v>
      </c>
      <c r="AA175" s="108" t="str">
        <f t="shared" si="36"/>
        <v/>
      </c>
      <c r="AB175" s="41" t="str" cm="1">
        <f t="array" ref="AB175">_xlfn.IFS((H175*0.95)&lt;=V175,"Concluído",AND(V175 =0, J175&lt;&gt;""),"Programado",AND(V175=0,D175=""),"Desenvolv.",V175=0,"Não Iniciado",AND(V175&gt;0,V175&lt;H175,AO175=TRUE),"Em Produção",AND(V175&gt;0,V175&lt;H175,AO175=FALSE),"Produção Parcial")</f>
        <v>Não Iniciado</v>
      </c>
      <c r="AC175" s="42" t="b">
        <v>1</v>
      </c>
      <c r="AD175" s="42" t="b">
        <v>1</v>
      </c>
      <c r="AE175" s="42" t="b">
        <v>1</v>
      </c>
      <c r="AF175" s="42" t="b">
        <v>1</v>
      </c>
      <c r="AG175" s="42" t="b">
        <v>1</v>
      </c>
      <c r="AH175" s="42" t="b">
        <v>1</v>
      </c>
      <c r="AI175" s="42" t="b">
        <v>1</v>
      </c>
      <c r="AJ175" s="42" t="b">
        <v>1</v>
      </c>
      <c r="AK175" s="42" t="b">
        <v>0</v>
      </c>
      <c r="AL175" s="42" t="b">
        <v>1</v>
      </c>
      <c r="AM175" s="42" t="b">
        <v>1</v>
      </c>
      <c r="AN175" s="42" t="b">
        <v>1</v>
      </c>
      <c r="AO175" s="45" t="b" cm="1">
        <f t="array" ref="AO175">AND(COUNTIF(AC175:AN175,FALSE)=0,SUMPRODUCT(ISNUMBER(AC175:AN175)*1)=0)</f>
        <v>0</v>
      </c>
      <c r="AP175" s="59"/>
      <c r="AQ175" s="111">
        <f>IF(AB175="",99999999999,IFERROR(MATCH(AB175,{"Produção Parcial","Em Produção","Programado","Não Iniciado","Desenvolv.","Concluído"},0),7)*100000000+IF(ISNUMBER(J175),J175-46000,9999)*10000+IF(A175="",99,A175)*100+IF(C175="",99,CODE(LEFT(C175,1))))</f>
        <v>499990277</v>
      </c>
    </row>
    <row r="176" spans="1:45" s="36" customFormat="1" ht="25.15" hidden="1" customHeight="1" x14ac:dyDescent="0.25">
      <c r="A176" s="36">
        <v>2</v>
      </c>
      <c r="B176" s="38" t="s">
        <v>106</v>
      </c>
      <c r="C176" s="24" t="str">
        <f>INDEX([1]Produtos!$G:$G,MATCH($D176,[1]Produtos!$B:$B,0))</f>
        <v>MOUTIER</v>
      </c>
      <c r="D176" s="24" t="s">
        <v>114</v>
      </c>
      <c r="E176" s="70" t="str">
        <f>INDEX([1]Produtos!$C:$C,MATCH($D176,[1]Produtos!$B:$B,0))&amp;IF($F176&lt;&gt;"-"," - "&amp;LEFT($F176,1),"")&amp;" &gt; "&amp;$B176</f>
        <v>PERFUME FEMININO 12 LADY MILLION &gt; Perfumes Moutier</v>
      </c>
      <c r="F176" s="51" t="s">
        <v>38</v>
      </c>
      <c r="G176" s="38">
        <v>45810</v>
      </c>
      <c r="H176" s="39">
        <v>500</v>
      </c>
      <c r="I176" s="24" t="s">
        <v>39</v>
      </c>
      <c r="J176" s="68" t="str" cm="1">
        <f t="array" ref="J176">IFERROR(INDEX('[2]Previsão Envase'!$D$5:$D$4867, MATCH(1,('[2]Previsão Envase'!$F$5:$F$4867=$E176)+('[2]Previsão Envase'!$G$5:$G$4867=$E176)+('[2]Previsão Envase'!$H$5:$H$4867=$E176),0)),"")</f>
        <v/>
      </c>
      <c r="K176" s="68" t="str">
        <f>IF(COUNTIF('[2]Previsão Envase'!$F:$F,E176)&gt;0,"Linha 1",
IF(COUNTIF('[2]Previsão Envase'!$G:$G,E176)&gt;0,"Linha 2",
IF(COUNTIF('[2]Previsão Envase'!$H:$H,E176)&gt;0,"Linha 3","")))</f>
        <v/>
      </c>
      <c r="L176" s="96">
        <f>COUNTIF('[2]Previsão Envase'!$F:$H,E176)-COUNTIF('[2]Previsão Envase'!$F$1:$H$4,E176)</f>
        <v>0</v>
      </c>
      <c r="M176" s="35">
        <f t="shared" si="31"/>
        <v>0</v>
      </c>
      <c r="N176" s="68" t="str">
        <f>IFERROR(MAX(_xlfn.MAXIFS('[2]Controle de Produção'!$C:$C,'[2]Controle de Produção'!$L:$L,$D176,'[2]Controle de Produção'!$P:$P,$C176,'[2]Controle de Produção'!$G:$G,$B176),_xlfn.MAXIFS([3]EXPEDIÇÃO!$N:$N,[3]EXPEDIÇÃO!$E:$E,$D176,[3]EXPEDIÇÃO!$D:$D,$C176,[3]EXPEDIÇÃO!$N:$N,"&gt;="&amp;$G176)),"")</f>
        <v/>
      </c>
      <c r="O176" s="70">
        <f>INDEX([1]Produtos!$E:$E,MATCH($D176,[1]Produtos!$B:$B,0))</f>
        <v>50</v>
      </c>
      <c r="P176" s="70" t="str">
        <f>INDEX([1]Produtos!$F:$F,MATCH($D176,[1]Produtos!$B:$B,0))</f>
        <v>ml</v>
      </c>
      <c r="Q176" s="105">
        <f>INDEX([1]Produtos!$Y:$Y,MATCH($D176,[1]Produtos!$B:$B,0))</f>
        <v>0</v>
      </c>
      <c r="R176" s="35">
        <f t="shared" si="32"/>
        <v>1577.3766463727152</v>
      </c>
      <c r="S176" s="27">
        <f>IFERROR(INDEX([1]Produtos!$L:$L,MATCH(D176,[1]Produtos!$B:$B,0)), "")</f>
        <v>175.26407181919058</v>
      </c>
      <c r="T176" s="28">
        <f t="shared" si="33"/>
        <v>2.9</v>
      </c>
      <c r="U176" s="28" t="str">
        <f t="shared" si="34"/>
        <v>0D e 3h</v>
      </c>
      <c r="V176" s="27">
        <f>IFERROR(SUMIFS('[2]Controle de Produção'!$K:$K,'[2]Controle de Produção'!$L:$L,D176,'[2]Controle de Produção'!$P:$P,C176,'[2]Controle de Produção'!$B:$B,"&gt;=" &amp; G176,'[2]Controle de Produção'!$C:$C,"&lt;=" &amp; N176, '[2]Controle de Produção'!$G:$G,B176), "")</f>
        <v>0</v>
      </c>
      <c r="W176" s="27" t="str">
        <f>IFERROR(SUMIFS([3]EXPEDIÇÃO!$K:$K,[3]EXPEDIÇÃO!$E:$E,D176,[3]EXPEDIÇÃO!$D:$D,C176,[3]EXPEDIÇÃO!$N:$N,"&gt;=" &amp; G176,[3]EXPEDIÇÃO!$N:$N,"&lt;="&amp;N176), "")</f>
        <v/>
      </c>
      <c r="X176" s="27">
        <f>COUNTIFS('[2]Controle de Produção'!$P:$P,C176,'[2]Controle de Produção'!$L:$L,D176,'[2]Controle de Produção'!$B:$B,"&gt;=" &amp; G176)</f>
        <v>2</v>
      </c>
      <c r="Y176" s="27">
        <f t="shared" si="35"/>
        <v>0</v>
      </c>
      <c r="Z176" s="27">
        <f>IFERROR(COUNTIFS('[2]Controle de Produção'!$L:$L,D176,'[2]Controle de Produção'!$P:$P,C176,'[2]Controle de Produção'!$B:$B,"&gt;=" &amp; G176,'[2]Controle de Produção'!$C:$C,"&lt;=" &amp; N176, '[2]Controle de Produção'!$G:$G,B176), "")</f>
        <v>0</v>
      </c>
      <c r="AA176" s="108" t="str">
        <f t="shared" si="36"/>
        <v/>
      </c>
      <c r="AB176" s="41" t="str" cm="1">
        <f t="array" ref="AB176">_xlfn.IFS((H176*0.95)&lt;=V176,"Concluído",AND(V176 =0, J176&lt;&gt;""),"Programado",AND(V176=0,D176=""),"Desenvolv.",V176=0,"Não Iniciado",AND(V176&gt;0,V176&lt;H176,AO176=TRUE),"Em Produção",AND(V176&gt;0,V176&lt;H176,AO176=FALSE),"Produção Parcial")</f>
        <v>Não Iniciado</v>
      </c>
      <c r="AC176" s="42" t="b">
        <v>1</v>
      </c>
      <c r="AD176" s="42" t="b">
        <v>1</v>
      </c>
      <c r="AE176" s="42" t="b">
        <v>1</v>
      </c>
      <c r="AF176" s="42" t="b">
        <v>1</v>
      </c>
      <c r="AG176" s="42" t="b">
        <v>1</v>
      </c>
      <c r="AH176" s="42" t="b">
        <v>1</v>
      </c>
      <c r="AI176" s="42" t="b">
        <v>1</v>
      </c>
      <c r="AJ176" s="42" t="b">
        <v>1</v>
      </c>
      <c r="AK176" s="42" t="b">
        <v>0</v>
      </c>
      <c r="AL176" s="42" t="b">
        <v>1</v>
      </c>
      <c r="AM176" s="42" t="b">
        <v>1</v>
      </c>
      <c r="AN176" s="42" t="b">
        <v>1</v>
      </c>
      <c r="AO176" s="45" t="b" cm="1">
        <f t="array" ref="AO176">AND(COUNTIF(AC176:AN176,FALSE)=0,SUMPRODUCT(ISNUMBER(AC176:AN176)*1)=0)</f>
        <v>0</v>
      </c>
      <c r="AP176" s="59"/>
      <c r="AQ176" s="111">
        <f>IF(AB176="",99999999999,IFERROR(MATCH(AB176,{"Produção Parcial","Em Produção","Programado","Não Iniciado","Desenvolv.","Concluído"},0),7)*100000000+IF(ISNUMBER(J176),J176-46000,9999)*10000+IF(A176="",99,A176)*100+IF(C176="",99,CODE(LEFT(C176,1))))</f>
        <v>499990277</v>
      </c>
    </row>
    <row r="177" spans="1:43" s="36" customFormat="1" ht="25.15" hidden="1" customHeight="1" x14ac:dyDescent="0.25">
      <c r="A177" s="36">
        <v>2</v>
      </c>
      <c r="B177" s="38" t="s">
        <v>106</v>
      </c>
      <c r="C177" s="24" t="str">
        <f>INDEX([1]Produtos!$G:$G,MATCH($D177,[1]Produtos!$B:$B,0))</f>
        <v>MOUTIER</v>
      </c>
      <c r="D177" s="24" t="s">
        <v>118</v>
      </c>
      <c r="E177" s="70" t="str">
        <f>INDEX([1]Produtos!$C:$C,MATCH($D177,[1]Produtos!$B:$B,0))&amp;IF($F177&lt;&gt;"-"," - "&amp;LEFT($F177,1),"")&amp;" &gt; "&amp;$B177</f>
        <v>PERFUME FEMININO 10 212 SEXY &gt; Perfumes Moutier</v>
      </c>
      <c r="F177" s="51" t="s">
        <v>38</v>
      </c>
      <c r="G177" s="38">
        <v>45810</v>
      </c>
      <c r="H177" s="39">
        <v>500</v>
      </c>
      <c r="I177" s="24" t="s">
        <v>39</v>
      </c>
      <c r="J177" s="68" t="str" cm="1">
        <f t="array" ref="J177">IFERROR(INDEX('[2]Previsão Envase'!$D$5:$D$4867, MATCH(1,('[2]Previsão Envase'!$F$5:$F$4867=$E177)+('[2]Previsão Envase'!$G$5:$G$4867=$E177)+('[2]Previsão Envase'!$H$5:$H$4867=$E177),0)),"")</f>
        <v/>
      </c>
      <c r="K177" s="68" t="str">
        <f>IF(COUNTIF('[2]Previsão Envase'!$F:$F,E177)&gt;0,"Linha 1",
IF(COUNTIF('[2]Previsão Envase'!$G:$G,E177)&gt;0,"Linha 2",
IF(COUNTIF('[2]Previsão Envase'!$H:$H,E177)&gt;0,"Linha 3","")))</f>
        <v/>
      </c>
      <c r="L177" s="96">
        <f>COUNTIF('[2]Previsão Envase'!$F:$H,E177)-COUNTIF('[2]Previsão Envase'!$F$1:$H$4,E177)</f>
        <v>0</v>
      </c>
      <c r="M177" s="35">
        <f t="shared" si="31"/>
        <v>0</v>
      </c>
      <c r="N177" s="68" t="str">
        <f>IFERROR(MAX(_xlfn.MAXIFS('[2]Controle de Produção'!$C:$C,'[2]Controle de Produção'!$L:$L,$D177,'[2]Controle de Produção'!$P:$P,$C177,'[2]Controle de Produção'!$G:$G,$B177),_xlfn.MAXIFS([3]EXPEDIÇÃO!$N:$N,[3]EXPEDIÇÃO!$E:$E,$D177,[3]EXPEDIÇÃO!$D:$D,$C177,[3]EXPEDIÇÃO!$N:$N,"&gt;="&amp;$G177)),"")</f>
        <v/>
      </c>
      <c r="O177" s="70">
        <f>INDEX([1]Produtos!$E:$E,MATCH($D177,[1]Produtos!$B:$B,0))</f>
        <v>50</v>
      </c>
      <c r="P177" s="70" t="str">
        <f>INDEX([1]Produtos!$F:$F,MATCH($D177,[1]Produtos!$B:$B,0))</f>
        <v>ml</v>
      </c>
      <c r="Q177" s="105">
        <f>INDEX([1]Produtos!$Y:$Y,MATCH($D177,[1]Produtos!$B:$B,0))</f>
        <v>0</v>
      </c>
      <c r="R177" s="35">
        <f t="shared" si="32"/>
        <v>1577.3766463727152</v>
      </c>
      <c r="S177" s="27">
        <f>IFERROR(INDEX([1]Produtos!$L:$L,MATCH(D177,[1]Produtos!$B:$B,0)), "")</f>
        <v>175.26407181919058</v>
      </c>
      <c r="T177" s="28">
        <f t="shared" si="33"/>
        <v>2.9</v>
      </c>
      <c r="U177" s="28" t="str">
        <f t="shared" si="34"/>
        <v>0D e 3h</v>
      </c>
      <c r="V177" s="27">
        <f>IFERROR(SUMIFS('[2]Controle de Produção'!$K:$K,'[2]Controle de Produção'!$L:$L,D177,'[2]Controle de Produção'!$P:$P,C177,'[2]Controle de Produção'!$B:$B,"&gt;=" &amp; G177,'[2]Controle de Produção'!$C:$C,"&lt;=" &amp; N177, '[2]Controle de Produção'!$G:$G,B177), "")</f>
        <v>0</v>
      </c>
      <c r="W177" s="27" t="str">
        <f>IFERROR(SUMIFS([3]EXPEDIÇÃO!$K:$K,[3]EXPEDIÇÃO!$E:$E,D177,[3]EXPEDIÇÃO!$D:$D,C177,[3]EXPEDIÇÃO!$N:$N,"&gt;=" &amp; G177,[3]EXPEDIÇÃO!$N:$N,"&lt;="&amp;N177), "")</f>
        <v/>
      </c>
      <c r="X177" s="27">
        <f>COUNTIFS('[2]Controle de Produção'!$P:$P,C177,'[2]Controle de Produção'!$L:$L,D177,'[2]Controle de Produção'!$B:$B,"&gt;=" &amp; G177)</f>
        <v>1</v>
      </c>
      <c r="Y177" s="27">
        <f t="shared" si="35"/>
        <v>0</v>
      </c>
      <c r="Z177" s="27">
        <f>IFERROR(COUNTIFS('[2]Controle de Produção'!$L:$L,D177,'[2]Controle de Produção'!$P:$P,C177,'[2]Controle de Produção'!$B:$B,"&gt;=" &amp; G177,'[2]Controle de Produção'!$C:$C,"&lt;=" &amp; N177, '[2]Controle de Produção'!$G:$G,B177), "")</f>
        <v>0</v>
      </c>
      <c r="AA177" s="108" t="str">
        <f t="shared" si="36"/>
        <v/>
      </c>
      <c r="AB177" s="41" t="str" cm="1">
        <f t="array" ref="AB177">_xlfn.IFS((H177*0.95)&lt;=V177,"Concluído",AND(V177 =0, J177&lt;&gt;""),"Programado",AND(V177=0,D177=""),"Desenvolv.",V177=0,"Não Iniciado",AND(V177&gt;0,V177&lt;H177,AO177=TRUE),"Em Produção",AND(V177&gt;0,V177&lt;H177,AO177=FALSE),"Produção Parcial")</f>
        <v>Não Iniciado</v>
      </c>
      <c r="AC177" s="42" t="b">
        <v>1</v>
      </c>
      <c r="AD177" s="42" t="b">
        <v>1</v>
      </c>
      <c r="AE177" s="42" t="b">
        <v>1</v>
      </c>
      <c r="AF177" s="42" t="b">
        <v>1</v>
      </c>
      <c r="AG177" s="42" t="b">
        <v>1</v>
      </c>
      <c r="AH177" s="42" t="b">
        <v>1</v>
      </c>
      <c r="AI177" s="42" t="b">
        <v>1</v>
      </c>
      <c r="AJ177" s="42" t="b">
        <v>1</v>
      </c>
      <c r="AK177" s="42" t="b">
        <v>0</v>
      </c>
      <c r="AL177" s="42" t="b">
        <v>1</v>
      </c>
      <c r="AM177" s="42" t="b">
        <v>1</v>
      </c>
      <c r="AN177" s="42" t="b">
        <v>1</v>
      </c>
      <c r="AO177" s="45" t="b" cm="1">
        <f t="array" ref="AO177">AND(COUNTIF(AC177:AN177,FALSE)=0,SUMPRODUCT(ISNUMBER(AC177:AN177)*1)=0)</f>
        <v>0</v>
      </c>
      <c r="AP177" s="59"/>
      <c r="AQ177" s="111">
        <f>IF(AB177="",99999999999,IFERROR(MATCH(AB177,{"Produção Parcial","Em Produção","Programado","Não Iniciado","Desenvolv.","Concluído"},0),7)*100000000+IF(ISNUMBER(J177),J177-46000,9999)*10000+IF(A177="",99,A177)*100+IF(C177="",99,CODE(LEFT(C177,1))))</f>
        <v>499990277</v>
      </c>
    </row>
    <row r="178" spans="1:43" s="36" customFormat="1" ht="25.15" hidden="1" customHeight="1" x14ac:dyDescent="0.25">
      <c r="A178" s="36">
        <v>3</v>
      </c>
      <c r="B178" s="38" t="s">
        <v>238</v>
      </c>
      <c r="C178" s="70" t="str">
        <f>INDEX([1]Produtos!$G:$G,MATCH($D178,[1]Produtos!$B:$B,0))</f>
        <v>DAPOP</v>
      </c>
      <c r="D178" s="24" t="s">
        <v>240</v>
      </c>
      <c r="E178" s="70" t="str">
        <f>INDEX([1]Produtos!$C:$C,MATCH($D178,[1]Produtos!$B:$B,0))&amp;IF($F178&lt;&gt;"-"," - "&amp;LEFT($F178,1),"")&amp;" &gt; "&amp;$B178</f>
        <v>BODY SPLASH DAPOP HONEY GLOW &gt; 02_07</v>
      </c>
      <c r="F178" s="51" t="s">
        <v>38</v>
      </c>
      <c r="G178" s="38">
        <v>45854</v>
      </c>
      <c r="H178" s="39">
        <v>30000</v>
      </c>
      <c r="I178" s="24" t="s">
        <v>39</v>
      </c>
      <c r="J178" s="68" t="str" cm="1">
        <f t="array" ref="J178">IFERROR(INDEX('[2]Previsão Envase'!$D$5:$D$4867, MATCH(1,('[2]Previsão Envase'!$F$5:$F$4867=$E178)+('[2]Previsão Envase'!$G$5:$G$4867=$E178)+('[2]Previsão Envase'!$H$5:$H$4867=$E178),0)),"")</f>
        <v/>
      </c>
      <c r="K178" s="68" t="str">
        <f>IF(COUNTIF('[2]Previsão Envase'!$F:$F,E178)&gt;0,"Linha 1",
IF(COUNTIF('[2]Previsão Envase'!$G:$G,E178)&gt;0,"Linha 2",
IF(COUNTIF('[2]Previsão Envase'!$H:$H,E178)&gt;0,"Linha 3","")))</f>
        <v/>
      </c>
      <c r="L178" s="96">
        <f>COUNTIF('[2]Previsão Envase'!$F:$H,E178)-COUNTIF('[2]Previsão Envase'!$F$1:$H$4,E178)</f>
        <v>0</v>
      </c>
      <c r="M178" s="35">
        <f t="shared" si="31"/>
        <v>0</v>
      </c>
      <c r="N178" s="68" t="str">
        <f>IFERROR(MAX(_xlfn.MAXIFS('[2]Controle de Produção'!$C:$C,'[2]Controle de Produção'!$L:$L,$D178,'[2]Controle de Produção'!$P:$P,$C178,'[2]Controle de Produção'!$G:$G,$B178),_xlfn.MAXIFS([3]EXPEDIÇÃO!$N:$N,[3]EXPEDIÇÃO!$E:$E,$D178,[3]EXPEDIÇÃO!$D:$D,$C178,[3]EXPEDIÇÃO!$N:$N,"&gt;="&amp;$G178)),"")</f>
        <v/>
      </c>
      <c r="O178" s="70">
        <f>INDEX([1]Produtos!$E:$E,MATCH($D178,[1]Produtos!$B:$B,0))</f>
        <v>120</v>
      </c>
      <c r="P178" s="70" t="str">
        <f>INDEX([1]Produtos!$F:$F,MATCH($D178,[1]Produtos!$B:$B,0))</f>
        <v>ml</v>
      </c>
      <c r="Q178" s="105">
        <f>INDEX([1]Produtos!$Y:$Y,MATCH($D178,[1]Produtos!$B:$B,0))</f>
        <v>0</v>
      </c>
      <c r="R178" s="35">
        <f t="shared" si="32"/>
        <v>7999.1637743312976</v>
      </c>
      <c r="S178" s="27">
        <f>IFERROR(INDEX([1]Produtos!$L:$L,MATCH(D178,[1]Produtos!$B:$B,0)), "")</f>
        <v>888.79597492569974</v>
      </c>
      <c r="T178" s="28">
        <f t="shared" si="33"/>
        <v>33.800000000000004</v>
      </c>
      <c r="U178" s="28" t="str">
        <f t="shared" si="34"/>
        <v>3D e 8h</v>
      </c>
      <c r="V178" s="27">
        <f>IFERROR(SUMIFS('[2]Controle de Produção'!$K:$K,'[2]Controle de Produção'!$L:$L,D178,'[2]Controle de Produção'!$P:$P,C178,'[2]Controle de Produção'!$B:$B,"&gt;=" &amp; G178,'[2]Controle de Produção'!$C:$C,"&lt;=" &amp; N178, '[2]Controle de Produção'!$G:$G,B178), "")</f>
        <v>0</v>
      </c>
      <c r="W178" s="27" t="str">
        <f>IFERROR(SUMIFS([3]EXPEDIÇÃO!$K:$K,[3]EXPEDIÇÃO!$E:$E,D178,[3]EXPEDIÇÃO!$D:$D,C178,[3]EXPEDIÇÃO!$N:$N,"&gt;=" &amp; G178,[3]EXPEDIÇÃO!$N:$N,"&lt;="&amp;N178), "")</f>
        <v/>
      </c>
      <c r="X178" s="27">
        <f>COUNTIFS('[2]Controle de Produção'!$P:$P,C178,'[2]Controle de Produção'!$L:$L,D178,'[2]Controle de Produção'!$B:$B,"&gt;=" &amp; G178)</f>
        <v>6</v>
      </c>
      <c r="Y178" s="27">
        <f t="shared" si="35"/>
        <v>0</v>
      </c>
      <c r="Z178" s="27">
        <f>IFERROR(COUNTIFS('[2]Controle de Produção'!$L:$L,D178,'[2]Controle de Produção'!$P:$P,C178,'[2]Controle de Produção'!$B:$B,"&gt;=" &amp; G178,'[2]Controle de Produção'!$C:$C,"&lt;=" &amp; N178, '[2]Controle de Produção'!$G:$G,B178), "")</f>
        <v>0</v>
      </c>
      <c r="AA178" s="108" t="str">
        <f t="shared" si="36"/>
        <v/>
      </c>
      <c r="AB178" s="41" t="str" cm="1">
        <f t="array" ref="AB178">_xlfn.IFS((H178*0.95)&lt;=V178,"Concluído",AND(V178 =0, J178&lt;&gt;""),"Programado",AND(V178=0,D178=""),"Desenvolv.",V178=0,"Não Iniciado",AND(V178&gt;0,V178&lt;H178,AO178=TRUE),"Em Produção",AND(V178&gt;0,V178&lt;H178,AO178=FALSE),"Produção Parcial")</f>
        <v>Não Iniciado</v>
      </c>
      <c r="AC178" s="42" t="b">
        <v>1</v>
      </c>
      <c r="AD178" s="42" t="b">
        <v>1</v>
      </c>
      <c r="AE178" s="42" t="b">
        <v>1</v>
      </c>
      <c r="AF178" s="42" t="b">
        <v>1</v>
      </c>
      <c r="AG178" s="42" t="s">
        <v>38</v>
      </c>
      <c r="AH178" s="42" t="s">
        <v>38</v>
      </c>
      <c r="AI178" s="42" t="b">
        <v>1</v>
      </c>
      <c r="AJ178" s="42" t="b">
        <v>1</v>
      </c>
      <c r="AK178" s="42" t="b">
        <v>0</v>
      </c>
      <c r="AL178" s="42" t="b">
        <v>1</v>
      </c>
      <c r="AM178" s="42" t="b">
        <v>1</v>
      </c>
      <c r="AN178" s="91">
        <v>1</v>
      </c>
      <c r="AO178" s="45" t="b" cm="1">
        <f t="array" ref="AO178">AND(COUNTIF(AC178:AN178,FALSE)=0,SUMPRODUCT(ISNUMBER(AC178:AN178)*1)=0)</f>
        <v>0</v>
      </c>
      <c r="AP178" s="59"/>
      <c r="AQ178" s="111">
        <f>IF(AB178="",99999999999,IFERROR(MATCH(AB178,{"Produção Parcial","Em Produção","Programado","Não Iniciado","Desenvolv.","Concluído"},0),7)*100000000+IF(ISNUMBER(J178),J178-46000,9999)*10000+IF(A178="",99,A178)*100+IF(C178="",99,CODE(LEFT(C178,1))))</f>
        <v>499990368</v>
      </c>
    </row>
    <row r="179" spans="1:43" s="36" customFormat="1" ht="25.15" hidden="1" customHeight="1" x14ac:dyDescent="0.25">
      <c r="A179" s="36">
        <v>3</v>
      </c>
      <c r="B179" s="38" t="s">
        <v>227</v>
      </c>
      <c r="C179" s="24" t="s">
        <v>228</v>
      </c>
      <c r="D179" s="24" t="s">
        <v>236</v>
      </c>
      <c r="E179" s="70" t="str">
        <f>INDEX([1]Produtos!$C:$C,MATCH($D179,[1]Produtos!$B:$B,0))&amp;IF($F179&lt;&gt;"-"," - "&amp;LEFT($F179,1),"")&amp;" &gt; "&amp;$B179</f>
        <v>BODY SPLASH MATTE SORVETE DE BAUNILHA &gt; DAPOP - Pedido 360 mil</v>
      </c>
      <c r="F179" s="38" t="s">
        <v>38</v>
      </c>
      <c r="G179" s="38">
        <v>45828</v>
      </c>
      <c r="H179" s="39">
        <v>20000</v>
      </c>
      <c r="I179" s="24" t="s">
        <v>39</v>
      </c>
      <c r="J179" s="68" t="str" cm="1">
        <f t="array" ref="J179">IFERROR(INDEX('[2]Previsão Envase'!$D$5:$D$4867, MATCH(1,('[2]Previsão Envase'!$F$5:$F$4867=$E179)+('[2]Previsão Envase'!$G$5:$G$4867=$E179)+('[2]Previsão Envase'!$H$5:$H$4867=$E179),0)),"")</f>
        <v/>
      </c>
      <c r="K179" s="68" t="str">
        <f>IF(COUNTIF('[2]Previsão Envase'!$F:$F,E179)&gt;0,"Linha 1",
IF(COUNTIF('[2]Previsão Envase'!$G:$G,E179)&gt;0,"Linha 2",
IF(COUNTIF('[2]Previsão Envase'!$H:$H,E179)&gt;0,"Linha 3","")))</f>
        <v/>
      </c>
      <c r="L179" s="96">
        <f>COUNTIF('[2]Previsão Envase'!$F:$H,E179)-COUNTIF('[2]Previsão Envase'!$F$1:$H$4,E179)</f>
        <v>0</v>
      </c>
      <c r="M179" s="35">
        <f t="shared" si="31"/>
        <v>0</v>
      </c>
      <c r="N179" s="68" t="str">
        <f>IFERROR(MAX(_xlfn.MAXIFS('[2]Controle de Produção'!$C:$C,'[2]Controle de Produção'!$L:$L,$D179,'[2]Controle de Produção'!$P:$P,$C179,'[2]Controle de Produção'!$G:$G,$B179),_xlfn.MAXIFS([3]EXPEDIÇÃO!$N:$N,[3]EXPEDIÇÃO!$E:$E,$D179,[3]EXPEDIÇÃO!$D:$D,$C179,[3]EXPEDIÇÃO!$N:$N,"&gt;="&amp;$G179)),"")</f>
        <v/>
      </c>
      <c r="O179" s="70">
        <f>INDEX([1]Produtos!$E:$E,MATCH($D179,[1]Produtos!$B:$B,0))</f>
        <v>120</v>
      </c>
      <c r="P179" s="70" t="str">
        <f>INDEX([1]Produtos!$F:$F,MATCH($D179,[1]Produtos!$B:$B,0))</f>
        <v>ml</v>
      </c>
      <c r="Q179" s="105">
        <f>INDEX([1]Produtos!$Y:$Y,MATCH($D179,[1]Produtos!$B:$B,0))</f>
        <v>0</v>
      </c>
      <c r="R179" s="35">
        <f t="shared" si="32"/>
        <v>7592.2902086267013</v>
      </c>
      <c r="S179" s="27">
        <f>IFERROR(INDEX([1]Produtos!$L:$L,MATCH(D179,[1]Produtos!$B:$B,0)), "")</f>
        <v>843.58780095852239</v>
      </c>
      <c r="T179" s="28">
        <f t="shared" si="33"/>
        <v>23.8</v>
      </c>
      <c r="U179" s="28" t="str">
        <f t="shared" si="34"/>
        <v>2D e 7h</v>
      </c>
      <c r="V179" s="27">
        <f>IFERROR(SUMIFS('[2]Controle de Produção'!$K:$K,'[2]Controle de Produção'!$L:$L,D179,'[2]Controle de Produção'!$P:$P,C179,'[2]Controle de Produção'!$B:$B,"&gt;=" &amp; G179,'[2]Controle de Produção'!$C:$C,"&lt;=" &amp; N179, '[2]Controle de Produção'!$G:$G,B179), "")</f>
        <v>0</v>
      </c>
      <c r="W179" s="27" t="str">
        <f>IFERROR(SUMIFS([3]EXPEDIÇÃO!$K:$K,[3]EXPEDIÇÃO!$E:$E,D179,[3]EXPEDIÇÃO!$D:$D,C179,[3]EXPEDIÇÃO!$N:$N,"&gt;=" &amp; G179,[3]EXPEDIÇÃO!$N:$N,"&lt;="&amp;N179), "")</f>
        <v/>
      </c>
      <c r="X179" s="27">
        <f>COUNTIFS('[2]Controle de Produção'!$P:$P,C179,'[2]Controle de Produção'!$L:$L,D179,'[2]Controle de Produção'!$B:$B,"&gt;=" &amp; G179)</f>
        <v>8</v>
      </c>
      <c r="Y179" s="27">
        <f t="shared" si="35"/>
        <v>0</v>
      </c>
      <c r="Z179" s="57">
        <f>IFERROR(COUNTIFS('[2]Controle de Produção'!$L:$L,D179,'[2]Controle de Produção'!$P:$P,C179,'[2]Controle de Produção'!$B:$B,"&gt;=" &amp; G179,'[2]Controle de Produção'!$C:$C,"&lt;=" &amp; N179, '[2]Controle de Produção'!$G:$G,B179), "")</f>
        <v>0</v>
      </c>
      <c r="AA179" s="108" t="str">
        <f t="shared" si="36"/>
        <v/>
      </c>
      <c r="AB179" s="41" t="str" cm="1">
        <f t="array" ref="AB179">_xlfn.IFS((H179*0.95)&lt;=V179,"Concluído",AND(V179 =0, J179&lt;&gt;""),"Programado",AND(V179=0,D179=""),"Desenvolv.",V179=0,"Não Iniciado",AND(V179&gt;0,V179&lt;H179,AO179=TRUE),"Em Produção",AND(V179&gt;0,V179&lt;H179,AO179=FALSE),"Produção Parcial")</f>
        <v>Não Iniciado</v>
      </c>
      <c r="AC179" s="42" t="b">
        <v>1</v>
      </c>
      <c r="AD179" s="42" t="b">
        <v>1</v>
      </c>
      <c r="AE179" s="42" t="b">
        <v>1</v>
      </c>
      <c r="AF179" s="42" t="b">
        <v>1</v>
      </c>
      <c r="AG179" s="42" t="s">
        <v>38</v>
      </c>
      <c r="AH179" s="42" t="s">
        <v>38</v>
      </c>
      <c r="AI179" s="42" t="b">
        <v>1</v>
      </c>
      <c r="AJ179" s="42" t="s">
        <v>38</v>
      </c>
      <c r="AK179" s="42" t="b">
        <v>0</v>
      </c>
      <c r="AL179" s="42" t="b">
        <v>1</v>
      </c>
      <c r="AM179" s="42" t="b">
        <v>1</v>
      </c>
      <c r="AN179" s="86" t="b">
        <v>1</v>
      </c>
      <c r="AO179" s="45" t="b" cm="1">
        <f t="array" ref="AO179">AND(COUNTIF(AC179:AN179,FALSE)=0,SUMPRODUCT(ISNUMBER(AC179:AN179)*1)=0)</f>
        <v>0</v>
      </c>
      <c r="AP179" s="61"/>
      <c r="AQ179" s="111">
        <f>IF(AB179="",99999999999,IFERROR(MATCH(AB179,{"Produção Parcial","Em Produção","Programado","Não Iniciado","Desenvolv.","Concluído"},0),7)*100000000+IF(ISNUMBER(J179),J179-46000,9999)*10000+IF(A179="",99,A179)*100+IF(C179="",99,CODE(LEFT(C179,1))))</f>
        <v>499990368</v>
      </c>
    </row>
    <row r="180" spans="1:43" s="36" customFormat="1" ht="25.15" hidden="1" customHeight="1" x14ac:dyDescent="0.25">
      <c r="A180" s="36">
        <v>3</v>
      </c>
      <c r="B180" s="38" t="s">
        <v>227</v>
      </c>
      <c r="C180" s="70" t="str">
        <f>INDEX([1]Produtos!$G:$G,MATCH($D180,[1]Produtos!$B:$B,0))</f>
        <v>DAPOP</v>
      </c>
      <c r="D180" s="24" t="s">
        <v>246</v>
      </c>
      <c r="E180" s="70" t="str">
        <f>INDEX([1]Produtos!$C:$C,MATCH($D180,[1]Produtos!$B:$B,0))&amp;IF($F180&lt;&gt;"-"," - "&amp;LEFT($F180,1),"")&amp;" &gt; "&amp;$B180</f>
        <v>ESFOLIANTE GLOW TAÇA DE CHAMPAGNE - 1 &gt; DAPOP - Pedido 360 mil</v>
      </c>
      <c r="F180" s="51">
        <v>1</v>
      </c>
      <c r="G180" s="38">
        <v>45828</v>
      </c>
      <c r="H180" s="39">
        <v>7000</v>
      </c>
      <c r="I180" s="24" t="s">
        <v>39</v>
      </c>
      <c r="J180" s="68" t="str" cm="1">
        <f t="array" ref="J180">IFERROR(INDEX('[2]Previsão Envase'!$D$5:$D$4867, MATCH(1,('[2]Previsão Envase'!$F$5:$F$4867=$E180)+('[2]Previsão Envase'!$G$5:$G$4867=$E180)+('[2]Previsão Envase'!$H$5:$H$4867=$E180),0)),"")</f>
        <v/>
      </c>
      <c r="K180" s="68" t="str">
        <f>IF(COUNTIF('[2]Previsão Envase'!$F:$F,E180)&gt;0,"Linha 1",
IF(COUNTIF('[2]Previsão Envase'!$G:$G,E180)&gt;0,"Linha 2",
IF(COUNTIF('[2]Previsão Envase'!$H:$H,E180)&gt;0,"Linha 3","")))</f>
        <v/>
      </c>
      <c r="L180" s="96">
        <f>COUNTIF('[2]Previsão Envase'!$F:$H,E180)-COUNTIF('[2]Previsão Envase'!$F$1:$H$4,E180)</f>
        <v>0</v>
      </c>
      <c r="M180" s="35">
        <f t="shared" si="31"/>
        <v>0</v>
      </c>
      <c r="N180" s="68" t="str">
        <f>IFERROR(MAX(_xlfn.MAXIFS('[2]Controle de Produção'!$C:$C,'[2]Controle de Produção'!$L:$L,$D180,'[2]Controle de Produção'!$P:$P,$C180,'[2]Controle de Produção'!$G:$G,$B180),_xlfn.MAXIFS([3]EXPEDIÇÃO!$N:$N,[3]EXPEDIÇÃO!$E:$E,$D180,[3]EXPEDIÇÃO!$D:$D,$C180,[3]EXPEDIÇÃO!$N:$N,"&gt;="&amp;$G180)),"")</f>
        <v/>
      </c>
      <c r="O180" s="70">
        <f>INDEX([1]Produtos!$E:$E,MATCH($D180,[1]Produtos!$B:$B,0))</f>
        <v>150</v>
      </c>
      <c r="P180" s="70" t="str">
        <f>INDEX([1]Produtos!$F:$F,MATCH($D180,[1]Produtos!$B:$B,0))</f>
        <v>g</v>
      </c>
      <c r="Q180" s="105">
        <f>INDEX([1]Produtos!$Y:$Y,MATCH($D180,[1]Produtos!$B:$B,0))</f>
        <v>0</v>
      </c>
      <c r="R180" s="35">
        <f t="shared" si="32"/>
        <v>6490.0564190605701</v>
      </c>
      <c r="S180" s="27">
        <f>IFERROR(INDEX([1]Produtos!$L:$L,MATCH(D180,[1]Produtos!$B:$B,0)), "")</f>
        <v>721.11737989561891</v>
      </c>
      <c r="T180" s="28">
        <f t="shared" si="33"/>
        <v>9.7999999999999989</v>
      </c>
      <c r="U180" s="28" t="str">
        <f t="shared" si="34"/>
        <v>1D e 1h</v>
      </c>
      <c r="V180" s="27">
        <f>IFERROR(SUMIFS('[2]Controle de Produção'!$K:$K,'[2]Controle de Produção'!$L:$L,D180,'[2]Controle de Produção'!$P:$P,C180,'[2]Controle de Produção'!$B:$B,"&gt;=" &amp; G180,'[2]Controle de Produção'!$C:$C,"&lt;=" &amp; N180, '[2]Controle de Produção'!$G:$G,B180), "")</f>
        <v>0</v>
      </c>
      <c r="W180" s="27" t="str">
        <f>IFERROR(SUMIFS([3]EXPEDIÇÃO!$K:$K,[3]EXPEDIÇÃO!$E:$E,D180,[3]EXPEDIÇÃO!$D:$D,C180,[3]EXPEDIÇÃO!$N:$N,"&gt;=" &amp; G180,[3]EXPEDIÇÃO!$N:$N,"&lt;="&amp;N180), "")</f>
        <v/>
      </c>
      <c r="X180" s="27">
        <f>COUNTIFS('[2]Controle de Produção'!$P:$P,C180,'[2]Controle de Produção'!$L:$L,D180,'[2]Controle de Produção'!$B:$B,"&gt;=" &amp; G180)</f>
        <v>2</v>
      </c>
      <c r="Y180" s="27">
        <f t="shared" si="35"/>
        <v>0</v>
      </c>
      <c r="Z180" s="27">
        <f>IFERROR(COUNTIFS('[2]Controle de Produção'!$L:$L,D180,'[2]Controle de Produção'!$P:$P,C180,'[2]Controle de Produção'!$B:$B,"&gt;=" &amp; G180,'[2]Controle de Produção'!$C:$C,"&lt;=" &amp; N180, '[2]Controle de Produção'!$G:$G,B180), "")</f>
        <v>0</v>
      </c>
      <c r="AA180" s="108" t="str">
        <f t="shared" si="36"/>
        <v/>
      </c>
      <c r="AB180" s="41" t="str" cm="1">
        <f t="array" ref="AB180">_xlfn.IFS((H180*0.95)&lt;=V180,"Concluído",AND(V180 =0, J180&lt;&gt;""),"Programado",AND(V180=0,D180=""),"Desenvolv.",V180=0,"Não Iniciado",AND(V180&gt;0,V180&lt;H180,AO180=TRUE),"Em Produção",AND(V180&gt;0,V180&lt;H180,AO180=FALSE),"Produção Parcial")</f>
        <v>Não Iniciado</v>
      </c>
      <c r="AC180" s="42" t="b">
        <v>1</v>
      </c>
      <c r="AD180" s="42" t="b">
        <v>1</v>
      </c>
      <c r="AE180" s="42" t="b">
        <v>1</v>
      </c>
      <c r="AF180" s="42" t="b">
        <v>1</v>
      </c>
      <c r="AG180" s="42" t="b">
        <v>1</v>
      </c>
      <c r="AH180" s="42" t="s">
        <v>38</v>
      </c>
      <c r="AI180" s="42" t="s">
        <v>38</v>
      </c>
      <c r="AJ180" s="42" t="b">
        <v>1</v>
      </c>
      <c r="AK180" s="42" t="b">
        <v>0</v>
      </c>
      <c r="AL180" s="42" t="b">
        <v>1</v>
      </c>
      <c r="AM180" s="42" t="b">
        <v>1</v>
      </c>
      <c r="AN180" s="42" t="b">
        <v>0</v>
      </c>
      <c r="AO180" s="45" t="b" cm="1">
        <f t="array" ref="AO180">AND(COUNTIF(AC180:AN180,FALSE)=0,SUMPRODUCT(ISNUMBER(AC180:AN180)*1)=0)</f>
        <v>0</v>
      </c>
      <c r="AP180" s="59"/>
      <c r="AQ180" s="111">
        <f>IF(AB180="",99999999999,IFERROR(MATCH(AB180,{"Produção Parcial","Em Produção","Programado","Não Iniciado","Desenvolv.","Concluído"},0),7)*100000000+IF(ISNUMBER(J180),J180-46000,9999)*10000+IF(A180="",99,A180)*100+IF(C180="",99,CODE(LEFT(C180,1))))</f>
        <v>499990368</v>
      </c>
    </row>
    <row r="181" spans="1:43" s="36" customFormat="1" ht="25.15" hidden="1" customHeight="1" x14ac:dyDescent="0.25">
      <c r="A181" s="36">
        <v>3</v>
      </c>
      <c r="B181" s="38" t="s">
        <v>227</v>
      </c>
      <c r="C181" s="24" t="s">
        <v>228</v>
      </c>
      <c r="D181" s="24" t="s">
        <v>242</v>
      </c>
      <c r="E181" s="70" t="str">
        <f>INDEX([1]Produtos!$C:$C,MATCH($D181,[1]Produtos!$B:$B,0))&amp;IF($F181&lt;&gt;"-"," - "&amp;LEFT($F181,1),"")&amp;" &gt; "&amp;$B181</f>
        <v>HIDRATANTE GLOW NOITE DE GLAMOUR - 1 &gt; DAPOP - Pedido 360 mil</v>
      </c>
      <c r="F181" s="51">
        <v>1</v>
      </c>
      <c r="G181" s="38">
        <v>45828</v>
      </c>
      <c r="H181" s="39">
        <v>20000</v>
      </c>
      <c r="I181" s="24" t="s">
        <v>39</v>
      </c>
      <c r="J181" s="68" t="str" cm="1">
        <f t="array" ref="J181">IFERROR(INDEX('[2]Previsão Envase'!$D$5:$D$4867, MATCH(1,('[2]Previsão Envase'!$F$5:$F$4867=$E181)+('[2]Previsão Envase'!$G$5:$G$4867=$E181)+('[2]Previsão Envase'!$H$5:$H$4867=$E181),0)),"")</f>
        <v/>
      </c>
      <c r="K181" s="68" t="str">
        <f>IF(COUNTIF('[2]Previsão Envase'!$F:$F,E181)&gt;0,"Linha 1",
IF(COUNTIF('[2]Previsão Envase'!$G:$G,E181)&gt;0,"Linha 2",
IF(COUNTIF('[2]Previsão Envase'!$H:$H,E181)&gt;0,"Linha 3","")))</f>
        <v/>
      </c>
      <c r="L181" s="96">
        <f>COUNTIF('[2]Previsão Envase'!$F:$H,E181)-COUNTIF('[2]Previsão Envase'!$F$1:$H$4,E181)</f>
        <v>0</v>
      </c>
      <c r="M181" s="35">
        <f t="shared" si="31"/>
        <v>0</v>
      </c>
      <c r="N181" s="68" t="str">
        <f>IFERROR(MAX(_xlfn.MAXIFS('[2]Controle de Produção'!$C:$C,'[2]Controle de Produção'!$L:$L,$D181,'[2]Controle de Produção'!$P:$P,$C181,'[2]Controle de Produção'!$G:$G,$B181),_xlfn.MAXIFS([3]EXPEDIÇÃO!$N:$N,[3]EXPEDIÇÃO!$E:$E,$D181,[3]EXPEDIÇÃO!$D:$D,$C181,[3]EXPEDIÇÃO!$N:$N,"&gt;="&amp;$G181)),"")</f>
        <v/>
      </c>
      <c r="O181" s="70">
        <f>INDEX([1]Produtos!$E:$E,MATCH($D181,[1]Produtos!$B:$B,0))</f>
        <v>120</v>
      </c>
      <c r="P181" s="70" t="str">
        <f>INDEX([1]Produtos!$F:$F,MATCH($D181,[1]Produtos!$B:$B,0))</f>
        <v>ml</v>
      </c>
      <c r="Q181" s="105">
        <f>INDEX([1]Produtos!$Y:$Y,MATCH($D181,[1]Produtos!$B:$B,0))</f>
        <v>0</v>
      </c>
      <c r="R181" s="35">
        <f t="shared" si="32"/>
        <v>5520.5897431648482</v>
      </c>
      <c r="S181" s="27">
        <f>IFERROR(INDEX([1]Produtos!$L:$L,MATCH(D181,[1]Produtos!$B:$B,0)), "")</f>
        <v>613.39886035164977</v>
      </c>
      <c r="T181" s="28">
        <f t="shared" si="33"/>
        <v>32.700000000000003</v>
      </c>
      <c r="U181" s="28" t="str">
        <f t="shared" si="34"/>
        <v>3D e 7h</v>
      </c>
      <c r="V181" s="27">
        <f>IFERROR(SUMIFS('[2]Controle de Produção'!$K:$K,'[2]Controle de Produção'!$L:$L,D181,'[2]Controle de Produção'!$P:$P,C181,'[2]Controle de Produção'!$B:$B,"&gt;=" &amp; G181,'[2]Controle de Produção'!$C:$C,"&lt;=" &amp; N181, '[2]Controle de Produção'!$G:$G,B181), "")</f>
        <v>0</v>
      </c>
      <c r="W181" s="27" t="str">
        <f>IFERROR(SUMIFS([3]EXPEDIÇÃO!$K:$K,[3]EXPEDIÇÃO!$E:$E,D181,[3]EXPEDIÇÃO!$D:$D,C181,[3]EXPEDIÇÃO!$N:$N,"&gt;=" &amp; G181,[3]EXPEDIÇÃO!$N:$N,"&lt;="&amp;N181), "")</f>
        <v/>
      </c>
      <c r="X181" s="27">
        <f>COUNTIFS('[2]Controle de Produção'!$P:$P,C181,'[2]Controle de Produção'!$L:$L,D181,'[2]Controle de Produção'!$B:$B,"&gt;=" &amp; G181)</f>
        <v>4</v>
      </c>
      <c r="Y181" s="27">
        <f t="shared" si="35"/>
        <v>0</v>
      </c>
      <c r="Z181" s="27">
        <f>IFERROR(COUNTIFS('[2]Controle de Produção'!$L:$L,D181,'[2]Controle de Produção'!$P:$P,C181,'[2]Controle de Produção'!$B:$B,"&gt;=" &amp; G181,'[2]Controle de Produção'!$C:$C,"&lt;=" &amp; N181, '[2]Controle de Produção'!$G:$G,B181), "")</f>
        <v>0</v>
      </c>
      <c r="AA181" s="108" t="str">
        <f t="shared" si="36"/>
        <v/>
      </c>
      <c r="AB181" s="41" t="str" cm="1">
        <f t="array" ref="AB181">_xlfn.IFS((H181*0.95)&lt;=V181,"Concluído",AND(V181 =0, J181&lt;&gt;""),"Programado",AND(V181=0,D181=""),"Desenvolv.",V181=0,"Não Iniciado",AND(V181&gt;0,V181&lt;H181,AO181=TRUE),"Em Produção",AND(V181&gt;0,V181&lt;H181,AO181=FALSE),"Produção Parcial")</f>
        <v>Não Iniciado</v>
      </c>
      <c r="AC181" s="42" t="b">
        <v>1</v>
      </c>
      <c r="AD181" s="42" t="b">
        <v>1</v>
      </c>
      <c r="AE181" s="42" t="b">
        <v>1</v>
      </c>
      <c r="AF181" s="42" t="b">
        <v>1</v>
      </c>
      <c r="AG181" s="42" t="s">
        <v>38</v>
      </c>
      <c r="AH181" s="42" t="s">
        <v>38</v>
      </c>
      <c r="AI181" s="42" t="b">
        <v>1</v>
      </c>
      <c r="AJ181" s="42" t="b">
        <v>1</v>
      </c>
      <c r="AK181" s="42" t="b">
        <v>0</v>
      </c>
      <c r="AL181" s="42" t="b">
        <v>1</v>
      </c>
      <c r="AM181" s="42" t="b">
        <v>1</v>
      </c>
      <c r="AN181" s="87">
        <f>7/7</f>
        <v>1</v>
      </c>
      <c r="AO181" s="45" t="b" cm="1">
        <f t="array" ref="AO181">AND(COUNTIF(AC181:AN181,FALSE)=0,SUMPRODUCT(ISNUMBER(AC181:AN181)*1)=0)</f>
        <v>0</v>
      </c>
      <c r="AP181" s="59"/>
      <c r="AQ181" s="111">
        <f>IF(AB181="",99999999999,IFERROR(MATCH(AB181,{"Produção Parcial","Em Produção","Programado","Não Iniciado","Desenvolv.","Concluído"},0),7)*100000000+IF(ISNUMBER(J181),J181-46000,9999)*10000+IF(A181="",99,A181)*100+IF(C181="",99,CODE(LEFT(C181,1))))</f>
        <v>499990368</v>
      </c>
    </row>
    <row r="182" spans="1:43" s="36" customFormat="1" ht="25.15" hidden="1" customHeight="1" x14ac:dyDescent="0.25">
      <c r="A182" s="36">
        <v>3</v>
      </c>
      <c r="B182" s="38" t="s">
        <v>227</v>
      </c>
      <c r="C182" s="24" t="s">
        <v>228</v>
      </c>
      <c r="D182" s="24" t="s">
        <v>230</v>
      </c>
      <c r="E182" s="70" t="str">
        <f>INDEX([1]Produtos!$C:$C,MATCH($D182,[1]Produtos!$B:$B,0))&amp;IF($F182&lt;&gt;"-"," - "&amp;LEFT($F182,1),"")&amp;" &gt; "&amp;$B182</f>
        <v>HIDRATANTE MATTE SORVETE DE BAUNILHA &gt; DAPOP - Pedido 360 mil</v>
      </c>
      <c r="F182" s="51" t="s">
        <v>38</v>
      </c>
      <c r="G182" s="38">
        <v>45828</v>
      </c>
      <c r="H182" s="39">
        <v>20000</v>
      </c>
      <c r="I182" s="24" t="s">
        <v>39</v>
      </c>
      <c r="J182" s="68" t="str" cm="1">
        <f t="array" ref="J182">IFERROR(INDEX('[2]Previsão Envase'!$D$5:$D$4867, MATCH(1,('[2]Previsão Envase'!$F$5:$F$4867=$E182)+('[2]Previsão Envase'!$G$5:$G$4867=$E182)+('[2]Previsão Envase'!$H$5:$H$4867=$E182),0)),"")</f>
        <v/>
      </c>
      <c r="K182" s="68" t="str">
        <f>IF(COUNTIF('[2]Previsão Envase'!$F:$F,E182)&gt;0,"Linha 1",
IF(COUNTIF('[2]Previsão Envase'!$G:$G,E182)&gt;0,"Linha 2",
IF(COUNTIF('[2]Previsão Envase'!$H:$H,E182)&gt;0,"Linha 3","")))</f>
        <v/>
      </c>
      <c r="L182" s="96">
        <f>COUNTIF('[2]Previsão Envase'!$F:$H,E182)-COUNTIF('[2]Previsão Envase'!$F$1:$H$4,E182)</f>
        <v>0</v>
      </c>
      <c r="M182" s="35">
        <f t="shared" si="31"/>
        <v>0</v>
      </c>
      <c r="N182" s="68" t="str">
        <f>IFERROR(MAX(_xlfn.MAXIFS('[2]Controle de Produção'!$C:$C,'[2]Controle de Produção'!$L:$L,$D182,'[2]Controle de Produção'!$P:$P,$C182,'[2]Controle de Produção'!$G:$G,$B182),_xlfn.MAXIFS([3]EXPEDIÇÃO!$N:$N,[3]EXPEDIÇÃO!$E:$E,$D182,[3]EXPEDIÇÃO!$D:$D,$C182,[3]EXPEDIÇÃO!$N:$N,"&gt;="&amp;$G182)),"")</f>
        <v/>
      </c>
      <c r="O182" s="70">
        <f>INDEX([1]Produtos!$E:$E,MATCH($D182,[1]Produtos!$B:$B,0))</f>
        <v>120</v>
      </c>
      <c r="P182" s="70" t="str">
        <f>INDEX([1]Produtos!$F:$F,MATCH($D182,[1]Produtos!$B:$B,0))</f>
        <v>ml</v>
      </c>
      <c r="Q182" s="105">
        <f>INDEX([1]Produtos!$Y:$Y,MATCH($D182,[1]Produtos!$B:$B,0))</f>
        <v>0</v>
      </c>
      <c r="R182" s="35">
        <f t="shared" si="32"/>
        <v>5520.5897431648482</v>
      </c>
      <c r="S182" s="27">
        <f>IFERROR(INDEX([1]Produtos!$L:$L,MATCH(D182,[1]Produtos!$B:$B,0)), "")</f>
        <v>613.39886035164977</v>
      </c>
      <c r="T182" s="28">
        <f t="shared" si="33"/>
        <v>32.700000000000003</v>
      </c>
      <c r="U182" s="28" t="str">
        <f t="shared" si="34"/>
        <v>3D e 7h</v>
      </c>
      <c r="V182" s="27">
        <f>IFERROR(SUMIFS('[2]Controle de Produção'!$K:$K,'[2]Controle de Produção'!$L:$L,D182,'[2]Controle de Produção'!$P:$P,C182,'[2]Controle de Produção'!$B:$B,"&gt;=" &amp; G182,'[2]Controle de Produção'!$C:$C,"&lt;=" &amp; N182, '[2]Controle de Produção'!$G:$G,B182), "")</f>
        <v>0</v>
      </c>
      <c r="W182" s="27" t="str">
        <f>IFERROR(SUMIFS([3]EXPEDIÇÃO!$K:$K,[3]EXPEDIÇÃO!$E:$E,D182,[3]EXPEDIÇÃO!$D:$D,C182,[3]EXPEDIÇÃO!$N:$N,"&gt;=" &amp; G182,[3]EXPEDIÇÃO!$N:$N,"&lt;="&amp;N182), "")</f>
        <v/>
      </c>
      <c r="X182" s="27">
        <f>COUNTIFS('[2]Controle de Produção'!$P:$P,C182,'[2]Controle de Produção'!$L:$L,D182,'[2]Controle de Produção'!$B:$B,"&gt;=" &amp; G182)</f>
        <v>7</v>
      </c>
      <c r="Y182" s="27">
        <f t="shared" si="35"/>
        <v>0</v>
      </c>
      <c r="Z182" s="27">
        <f>IFERROR(COUNTIFS('[2]Controle de Produção'!$L:$L,D182,'[2]Controle de Produção'!$P:$P,C182,'[2]Controle de Produção'!$B:$B,"&gt;=" &amp; G182,'[2]Controle de Produção'!$C:$C,"&lt;=" &amp; N182, '[2]Controle de Produção'!$G:$G,B182), "")</f>
        <v>0</v>
      </c>
      <c r="AA182" s="108" t="str">
        <f t="shared" si="36"/>
        <v/>
      </c>
      <c r="AB182" s="41" t="str" cm="1">
        <f t="array" ref="AB182">_xlfn.IFS((H182*0.95)&lt;=V182,"Concluído",AND(V182 =0, J182&lt;&gt;""),"Programado",AND(V182=0,D182=""),"Desenvolv.",V182=0,"Não Iniciado",AND(V182&gt;0,V182&lt;H182,AO182=TRUE),"Em Produção",AND(V182&gt;0,V182&lt;H182,AO182=FALSE),"Produção Parcial")</f>
        <v>Não Iniciado</v>
      </c>
      <c r="AC182" s="42" t="b">
        <v>1</v>
      </c>
      <c r="AD182" s="42" t="b">
        <v>1</v>
      </c>
      <c r="AE182" s="42" t="b">
        <v>1</v>
      </c>
      <c r="AF182" s="42" t="b">
        <v>1</v>
      </c>
      <c r="AG182" s="42" t="s">
        <v>38</v>
      </c>
      <c r="AH182" s="42" t="s">
        <v>38</v>
      </c>
      <c r="AI182" s="42" t="b">
        <v>1</v>
      </c>
      <c r="AJ182" s="42" t="b">
        <v>1</v>
      </c>
      <c r="AK182" s="42" t="b">
        <v>0</v>
      </c>
      <c r="AL182" s="42" t="b">
        <v>1</v>
      </c>
      <c r="AM182" s="42" t="b">
        <v>1</v>
      </c>
      <c r="AN182" s="86">
        <f>7/7</f>
        <v>1</v>
      </c>
      <c r="AO182" s="45" t="b" cm="1">
        <f t="array" ref="AO182">AND(COUNTIF(AC182:AN182,FALSE)=0,SUMPRODUCT(ISNUMBER(AC182:AN182)*1)=0)</f>
        <v>0</v>
      </c>
      <c r="AP182" s="59"/>
      <c r="AQ182" s="111">
        <f>IF(AB182="",99999999999,IFERROR(MATCH(AB182,{"Produção Parcial","Em Produção","Programado","Não Iniciado","Desenvolv.","Concluído"},0),7)*100000000+IF(ISNUMBER(J182),J182-46000,9999)*10000+IF(A182="",99,A182)*100+IF(C182="",99,CODE(LEFT(C182,1))))</f>
        <v>499990368</v>
      </c>
    </row>
    <row r="183" spans="1:43" s="36" customFormat="1" ht="25.15" hidden="1" customHeight="1" x14ac:dyDescent="0.25">
      <c r="A183" s="36">
        <v>3</v>
      </c>
      <c r="B183" s="38" t="s">
        <v>151</v>
      </c>
      <c r="C183" s="70" t="str">
        <f>INDEX([1]Produtos!$G:$G,MATCH($D183,[1]Produtos!$B:$B,0))</f>
        <v>DYNASTY</v>
      </c>
      <c r="D183" s="24" t="s">
        <v>223</v>
      </c>
      <c r="E183" s="70" t="str">
        <f>INDEX([1]Produtos!$C:$C,MATCH($D183,[1]Produtos!$B:$B,0))&amp;IF($F183&lt;&gt;"-"," - "&amp;LEFT($F183,1),"")&amp;" &gt; "&amp;$B183</f>
        <v>PERFUME VALENTE &gt; SMAYKEL 01</v>
      </c>
      <c r="F183" s="51" t="s">
        <v>38</v>
      </c>
      <c r="G183" s="38">
        <v>45931</v>
      </c>
      <c r="H183" s="39">
        <v>1500</v>
      </c>
      <c r="I183" s="24" t="s">
        <v>39</v>
      </c>
      <c r="J183" s="68" t="str" cm="1">
        <f t="array" ref="J183">IFERROR(INDEX('[2]Previsão Envase'!$D$5:$D$4867, MATCH(1,('[2]Previsão Envase'!$F$5:$F$4867=$E183)+('[2]Previsão Envase'!$G$5:$G$4867=$E183)+('[2]Previsão Envase'!$H$5:$H$4867=$E183),0)),"")</f>
        <v/>
      </c>
      <c r="K183" s="68" t="str">
        <f>IF(COUNTIF('[2]Previsão Envase'!$F:$F,E183)&gt;0,"Linha 1",
IF(COUNTIF('[2]Previsão Envase'!$G:$G,E183)&gt;0,"Linha 2",
IF(COUNTIF('[2]Previsão Envase'!$H:$H,E183)&gt;0,"Linha 3","")))</f>
        <v/>
      </c>
      <c r="L183" s="96">
        <f>COUNTIF('[2]Previsão Envase'!$F:$H,E183)-COUNTIF('[2]Previsão Envase'!$F$1:$H$4,E183)</f>
        <v>0</v>
      </c>
      <c r="M183" s="35">
        <f t="shared" si="31"/>
        <v>0</v>
      </c>
      <c r="N183" s="68" t="str">
        <f>IFERROR(MAX(_xlfn.MAXIFS('[2]Controle de Produção'!$C:$C,'[2]Controle de Produção'!$L:$L,$D183,'[2]Controle de Produção'!$P:$P,$C183,'[2]Controle de Produção'!$G:$G,$B183),_xlfn.MAXIFS([3]EXPEDIÇÃO!$N:$N,[3]EXPEDIÇÃO!$E:$E,$D183,[3]EXPEDIÇÃO!$D:$D,$C183,[3]EXPEDIÇÃO!$N:$N,"&gt;="&amp;$G183)),"")</f>
        <v/>
      </c>
      <c r="O183" s="70">
        <f>INDEX([1]Produtos!$E:$E,MATCH($D183,[1]Produtos!$B:$B,0))</f>
        <v>57</v>
      </c>
      <c r="P183" s="70" t="str">
        <f>INDEX([1]Produtos!$F:$F,MATCH($D183,[1]Produtos!$B:$B,0))</f>
        <v>ml</v>
      </c>
      <c r="Q183" s="105">
        <f>INDEX([1]Produtos!$Y:$Y,MATCH($D183,[1]Produtos!$B:$B,0))</f>
        <v>0</v>
      </c>
      <c r="R183" s="35">
        <f t="shared" si="32"/>
        <v>1577.3766463727152</v>
      </c>
      <c r="S183" s="27">
        <f>IFERROR(INDEX([1]Produtos!$L:$L,MATCH(D183,[1]Produtos!$B:$B,0)), "")</f>
        <v>175.26407181919058</v>
      </c>
      <c r="T183" s="28">
        <f t="shared" si="33"/>
        <v>8.6</v>
      </c>
      <c r="U183" s="28" t="str">
        <f t="shared" si="34"/>
        <v>0D e 9h</v>
      </c>
      <c r="V183" s="27">
        <f>IFERROR(SUMIFS('[2]Controle de Produção'!$K:$K,'[2]Controle de Produção'!$L:$L,D183,'[2]Controle de Produção'!$P:$P,C183,'[2]Controle de Produção'!$B:$B,"&gt;=" &amp; G183,'[2]Controle de Produção'!$C:$C,"&lt;=" &amp; N183, '[2]Controle de Produção'!$G:$G,B183), "")</f>
        <v>0</v>
      </c>
      <c r="W183" s="27" t="str">
        <f>IFERROR(SUMIFS([3]EXPEDIÇÃO!$K:$K,[3]EXPEDIÇÃO!$E:$E,D183,[3]EXPEDIÇÃO!$D:$D,C183,[3]EXPEDIÇÃO!$N:$N,"&gt;=" &amp; G183,[3]EXPEDIÇÃO!$N:$N,"&lt;="&amp;N183), "")</f>
        <v/>
      </c>
      <c r="X183" s="27">
        <f>COUNTIFS('[2]Controle de Produção'!$P:$P,C183,'[2]Controle de Produção'!$L:$L,D183,'[2]Controle de Produção'!$B:$B,"&gt;=" &amp; G183)</f>
        <v>1</v>
      </c>
      <c r="Y183" s="27">
        <f t="shared" si="35"/>
        <v>0</v>
      </c>
      <c r="Z183" s="27">
        <f>IFERROR(COUNTIFS('[2]Controle de Produção'!$L:$L,D183,'[2]Controle de Produção'!$P:$P,C183,'[2]Controle de Produção'!$B:$B,"&gt;=" &amp; G183,'[2]Controle de Produção'!$C:$C,"&lt;=" &amp; N183, '[2]Controle de Produção'!$G:$G,B183), "")</f>
        <v>0</v>
      </c>
      <c r="AA183" s="108" t="str">
        <f t="shared" si="36"/>
        <v/>
      </c>
      <c r="AB183" s="41" t="str" cm="1">
        <f t="array" ref="AB183">_xlfn.IFS((H183*0.95)&lt;=V183,"Concluído",AND(V183 =0, J183&lt;&gt;""),"Programado",AND(V183=0,D183=""),"Desenvolv.",V183=0,"Não Iniciado",AND(V183&gt;0,V183&lt;H183,AO183=TRUE),"Em Produção",AND(V183&gt;0,V183&lt;H183,AO183=FALSE),"Produção Parcial")</f>
        <v>Não Iniciado</v>
      </c>
      <c r="AC183" s="42" t="b">
        <v>1</v>
      </c>
      <c r="AD183" s="42" t="b">
        <v>1</v>
      </c>
      <c r="AE183" s="42" t="b">
        <v>1</v>
      </c>
      <c r="AF183" s="42" t="b">
        <v>1</v>
      </c>
      <c r="AG183" s="42" t="b">
        <v>1</v>
      </c>
      <c r="AH183" s="42" t="b">
        <v>1</v>
      </c>
      <c r="AI183" s="42" t="b">
        <v>1</v>
      </c>
      <c r="AJ183" s="42" t="b">
        <v>1</v>
      </c>
      <c r="AK183" s="42" t="b">
        <v>0</v>
      </c>
      <c r="AL183" s="42" t="b">
        <v>1</v>
      </c>
      <c r="AM183" s="42" t="b">
        <v>1</v>
      </c>
      <c r="AN183" s="42" t="b">
        <v>1</v>
      </c>
      <c r="AO183" s="45" t="b" cm="1">
        <f t="array" ref="AO183">AND(COUNTIF(AC183:AN183,FALSE)=0,SUMPRODUCT(ISNUMBER(AC183:AN183)*1)=0)</f>
        <v>0</v>
      </c>
      <c r="AP183" s="59"/>
      <c r="AQ183" s="111">
        <f>IF(AB183="",99999999999,IFERROR(MATCH(AB183,{"Produção Parcial","Em Produção","Programado","Não Iniciado","Desenvolv.","Concluído"},0),7)*100000000+IF(ISNUMBER(J183),J183-46000,9999)*10000+IF(A183="",99,A183)*100+IF(C183="",99,CODE(LEFT(C183,1))))</f>
        <v>499990368</v>
      </c>
    </row>
    <row r="184" spans="1:43" s="36" customFormat="1" ht="25.15" hidden="1" customHeight="1" x14ac:dyDescent="0.25">
      <c r="A184" s="36">
        <v>3</v>
      </c>
      <c r="B184" s="38" t="s">
        <v>121</v>
      </c>
      <c r="C184" s="70" t="str">
        <f>INDEX([1]Produtos!$G:$G,MATCH($D184,[1]Produtos!$B:$B,0))</f>
        <v>HABIBI PERFUMES</v>
      </c>
      <c r="D184" s="24" t="s">
        <v>135</v>
      </c>
      <c r="E184" s="70" t="str">
        <f>INDEX([1]Produtos!$C:$C,MATCH($D184,[1]Produtos!$B:$B,0))&amp;IF($F184&lt;&gt;"-"," - "&amp;LEFT($F184,1),"")&amp;" &gt; "&amp;$B184</f>
        <v>HIDRATANTE BISNAGA CELESTIA 200g - 2 &gt; HABIBI 01</v>
      </c>
      <c r="F184" s="51" t="s">
        <v>84</v>
      </c>
      <c r="G184" s="38">
        <v>46127</v>
      </c>
      <c r="H184" s="39">
        <v>4000</v>
      </c>
      <c r="I184" s="24" t="s">
        <v>39</v>
      </c>
      <c r="J184" s="68" t="str" cm="1">
        <f t="array" ref="J184">IFERROR(INDEX('[2]Previsão Envase'!$D$5:$D$4867, MATCH(1,('[2]Previsão Envase'!$F$5:$F$4867=$E184)+('[2]Previsão Envase'!$G$5:$G$4867=$E184)+('[2]Previsão Envase'!$H$5:$H$4867=$E184),0)),"")</f>
        <v/>
      </c>
      <c r="K184" s="68" t="str">
        <f>IF(COUNTIF('[2]Previsão Envase'!$F:$F,E184)&gt;0,"Linha 1",
IF(COUNTIF('[2]Previsão Envase'!$G:$G,E184)&gt;0,"Linha 2",
IF(COUNTIF('[2]Previsão Envase'!$H:$H,E184)&gt;0,"Linha 3","")))</f>
        <v/>
      </c>
      <c r="L184" s="96">
        <f>COUNTIF('[2]Previsão Envase'!$F:$H,E184)-COUNTIF('[2]Previsão Envase'!$F$1:$H$4,E184)</f>
        <v>0</v>
      </c>
      <c r="M184" s="35">
        <f t="shared" si="31"/>
        <v>0</v>
      </c>
      <c r="N184" s="68" t="str">
        <f>IFERROR(MAX(_xlfn.MAXIFS('[2]Controle de Produção'!$C:$C,'[2]Controle de Produção'!$L:$L,$D184,'[2]Controle de Produção'!$P:$P,$C184,'[2]Controle de Produção'!$G:$G,$B184),_xlfn.MAXIFS([3]EXPEDIÇÃO!$N:$N,[3]EXPEDIÇÃO!$E:$E,$D184,[3]EXPEDIÇÃO!$D:$D,$C184,[3]EXPEDIÇÃO!$N:$N,"&gt;="&amp;$G184)),"")</f>
        <v/>
      </c>
      <c r="O184" s="70">
        <f>INDEX([1]Produtos!$E:$E,MATCH($D184,[1]Produtos!$B:$B,0))</f>
        <v>200</v>
      </c>
      <c r="P184" s="70" t="str">
        <f>INDEX([1]Produtos!$F:$F,MATCH($D184,[1]Produtos!$B:$B,0))</f>
        <v>g</v>
      </c>
      <c r="Q184" s="105">
        <f>INDEX([1]Produtos!$Y:$Y,MATCH($D184,[1]Produtos!$B:$B,0))</f>
        <v>2</v>
      </c>
      <c r="R184" s="35">
        <f t="shared" si="32"/>
        <v>5520.5897431648482</v>
      </c>
      <c r="S184" s="27">
        <f>IFERROR(INDEX([1]Produtos!$L:$L,MATCH(D184,[1]Produtos!$B:$B,0)), "")</f>
        <v>613.39886035164977</v>
      </c>
      <c r="T184" s="28">
        <f t="shared" si="33"/>
        <v>6.6</v>
      </c>
      <c r="U184" s="28" t="str">
        <f t="shared" si="34"/>
        <v>0D e 7h</v>
      </c>
      <c r="V184" s="27">
        <f>IFERROR(SUMIFS('[2]Controle de Produção'!$K:$K,'[2]Controle de Produção'!$L:$L,D184,'[2]Controle de Produção'!$P:$P,C184,'[2]Controle de Produção'!$B:$B,"&gt;=" &amp; G184,'[2]Controle de Produção'!$C:$C,"&lt;=" &amp; N184, '[2]Controle de Produção'!$G:$G,B184), "")</f>
        <v>0</v>
      </c>
      <c r="W184" s="27" t="str">
        <f>IFERROR(SUMIFS([3]EXPEDIÇÃO!$K:$K,[3]EXPEDIÇÃO!$E:$E,D184,[3]EXPEDIÇÃO!$D:$D,C184,[3]EXPEDIÇÃO!$N:$N,"&gt;=" &amp; G184,[3]EXPEDIÇÃO!$N:$N,"&lt;="&amp;N184), "")</f>
        <v/>
      </c>
      <c r="X184" s="27">
        <f>COUNTIFS('[2]Controle de Produção'!$P:$P,C184,'[2]Controle de Produção'!$L:$L,D184,'[2]Controle de Produção'!$B:$B,"&gt;=" &amp; G184)</f>
        <v>2</v>
      </c>
      <c r="Y184" s="27">
        <f t="shared" si="35"/>
        <v>0</v>
      </c>
      <c r="Z184" s="27">
        <f>IFERROR(COUNTIFS('[2]Controle de Produção'!$L:$L,D184,'[2]Controle de Produção'!$P:$P,C184,'[2]Controle de Produção'!$B:$B,"&gt;=" &amp; G184,'[2]Controle de Produção'!$C:$C,"&lt;=" &amp; N184, '[2]Controle de Produção'!$G:$G,B184), "")</f>
        <v>0</v>
      </c>
      <c r="AA184" s="108" t="str">
        <f t="shared" si="36"/>
        <v/>
      </c>
      <c r="AB184" s="41" t="str" cm="1">
        <f t="array" ref="AB184">_xlfn.IFS((H184*0.95)&lt;=V184,"Concluído",AND(V184 =0, J184&lt;&gt;""),"Programado",AND(V184=0,D184=""),"Desenvolv.",V184=0,"Não Iniciado",AND(V184&gt;0,V184&lt;H184,AO184=TRUE),"Em Produção",AND(V184&gt;0,V184&lt;H184,AO184=FALSE),"Produção Parcial")</f>
        <v>Não Iniciado</v>
      </c>
      <c r="AC184" s="42" t="b">
        <v>1</v>
      </c>
      <c r="AD184" s="42" t="b">
        <v>1</v>
      </c>
      <c r="AE184" s="42" t="s">
        <v>38</v>
      </c>
      <c r="AF184" s="42" t="b">
        <v>1</v>
      </c>
      <c r="AG184" s="42" t="b">
        <v>1</v>
      </c>
      <c r="AH184" s="42" t="b">
        <v>1</v>
      </c>
      <c r="AI184" s="42" t="s">
        <v>38</v>
      </c>
      <c r="AJ184" s="42" t="b">
        <v>1</v>
      </c>
      <c r="AK184" s="42" t="s">
        <v>38</v>
      </c>
      <c r="AL184" s="42" t="b">
        <v>1</v>
      </c>
      <c r="AM184" s="42" t="b">
        <v>1</v>
      </c>
      <c r="AN184" s="42" t="b">
        <v>1</v>
      </c>
      <c r="AO184" s="45" t="b" cm="1">
        <f t="array" ref="AO184">AND(COUNTIF(AC184:AN184,FALSE)=0,SUMPRODUCT(ISNUMBER(AC184:AN184)*1)=0)</f>
        <v>1</v>
      </c>
      <c r="AP184" s="59"/>
      <c r="AQ184" s="111">
        <f>IF(AB184="",99999999999,IFERROR(MATCH(AB184,{"Produção Parcial","Em Produção","Programado","Não Iniciado","Desenvolv.","Concluído"},0),7)*100000000+IF(ISNUMBER(J184),J184-46000,9999)*10000+IF(A184="",99,A184)*100+IF(C184="",99,CODE(LEFT(C184,1))))</f>
        <v>499990372</v>
      </c>
    </row>
    <row r="185" spans="1:43" s="36" customFormat="1" ht="25.15" hidden="1" customHeight="1" x14ac:dyDescent="0.25">
      <c r="A185" s="36">
        <v>3</v>
      </c>
      <c r="B185" s="38" t="s">
        <v>177</v>
      </c>
      <c r="C185" s="24" t="str">
        <f>INDEX([1]Produtos!$G:$G,MATCH($D185,[1]Produtos!$B:$B,0))</f>
        <v>ISA BEAUTY</v>
      </c>
      <c r="D185" s="24" t="s">
        <v>185</v>
      </c>
      <c r="E185" s="70" t="str">
        <f>INDEX([1]Produtos!$C:$C,MATCH($D185,[1]Produtos!$B:$B,0))&amp;IF($F185&lt;&gt;"-"," - "&amp;LEFT($F185,1),"")&amp;" &gt; "&amp;$B185</f>
        <v>ESCOVA DE CHUVEIRO CHEIRINHO DE MELÂNCIA &gt; 03_07</v>
      </c>
      <c r="F185" s="51" t="s">
        <v>38</v>
      </c>
      <c r="G185" s="38">
        <v>45862</v>
      </c>
      <c r="H185" s="39">
        <v>10000</v>
      </c>
      <c r="I185" s="24" t="s">
        <v>39</v>
      </c>
      <c r="J185" s="68" t="str" cm="1">
        <f t="array" ref="J185">IFERROR(INDEX('[2]Previsão Envase'!$D$5:$D$4867, MATCH(1,('[2]Previsão Envase'!$F$5:$F$4867=$E185)+('[2]Previsão Envase'!$G$5:$G$4867=$E185)+('[2]Previsão Envase'!$H$5:$H$4867=$E185),0)),"")</f>
        <v/>
      </c>
      <c r="K185" s="68" t="str">
        <f>IF(COUNTIF('[2]Previsão Envase'!$F:$F,E185)&gt;0,"Linha 1",
IF(COUNTIF('[2]Previsão Envase'!$G:$G,E185)&gt;0,"Linha 2",
IF(COUNTIF('[2]Previsão Envase'!$H:$H,E185)&gt;0,"Linha 3","")))</f>
        <v/>
      </c>
      <c r="L185" s="96">
        <f>COUNTIF('[2]Previsão Envase'!$F:$H,E185)-COUNTIF('[2]Previsão Envase'!$F$1:$H$4,E185)</f>
        <v>0</v>
      </c>
      <c r="M185" s="35">
        <f t="shared" si="31"/>
        <v>0</v>
      </c>
      <c r="N185" s="68" t="str">
        <f>IFERROR(MAX(_xlfn.MAXIFS('[2]Controle de Produção'!$C:$C,'[2]Controle de Produção'!$L:$L,$D185,'[2]Controle de Produção'!$P:$P,$C185,'[2]Controle de Produção'!$G:$G,$B185),_xlfn.MAXIFS([3]EXPEDIÇÃO!$N:$N,[3]EXPEDIÇÃO!$E:$E,$D185,[3]EXPEDIÇÃO!$D:$D,$C185,[3]EXPEDIÇÃO!$N:$N,"&gt;="&amp;$G185)),"")</f>
        <v/>
      </c>
      <c r="O185" s="70">
        <f>INDEX([1]Produtos!$E:$E,MATCH($D185,[1]Produtos!$B:$B,0))</f>
        <v>100</v>
      </c>
      <c r="P185" s="70" t="str">
        <f>INDEX([1]Produtos!$F:$F,MATCH($D185,[1]Produtos!$B:$B,0))</f>
        <v>ml</v>
      </c>
      <c r="Q185" s="105">
        <f>INDEX([1]Produtos!$Y:$Y,MATCH($D185,[1]Produtos!$B:$B,0))</f>
        <v>0</v>
      </c>
      <c r="R185" s="35">
        <f t="shared" si="32"/>
        <v>9126.2526765061884</v>
      </c>
      <c r="S185" s="27">
        <f>IFERROR(INDEX([1]Produtos!$L:$L,MATCH(D185,[1]Produtos!$B:$B,0)), "")</f>
        <v>1014.0280751673542</v>
      </c>
      <c r="T185" s="28">
        <f t="shared" si="33"/>
        <v>9.9</v>
      </c>
      <c r="U185" s="28" t="str">
        <f t="shared" si="34"/>
        <v>1D e 2h</v>
      </c>
      <c r="V185" s="27">
        <f>IFERROR(SUMIFS('[2]Controle de Produção'!$K:$K,'[2]Controle de Produção'!$L:$L,D185,'[2]Controle de Produção'!$P:$P,C185,'[2]Controle de Produção'!$B:$B,"&gt;=" &amp; G185,'[2]Controle de Produção'!$C:$C,"&lt;=" &amp; N185, '[2]Controle de Produção'!$G:$G,B185), "")</f>
        <v>0</v>
      </c>
      <c r="W185" s="27" t="str">
        <f>IFERROR(SUMIFS([3]EXPEDIÇÃO!$K:$K,[3]EXPEDIÇÃO!$E:$E,D185,[3]EXPEDIÇÃO!$D:$D,C185,[3]EXPEDIÇÃO!$N:$N,"&gt;=" &amp; G185,[3]EXPEDIÇÃO!$N:$N,"&lt;="&amp;N185), "")</f>
        <v/>
      </c>
      <c r="X185" s="27">
        <f>COUNTIFS('[2]Controle de Produção'!$P:$P,C185,'[2]Controle de Produção'!$L:$L,D185,'[2]Controle de Produção'!$B:$B,"&gt;=" &amp; G185)</f>
        <v>3</v>
      </c>
      <c r="Y185" s="27">
        <f t="shared" si="35"/>
        <v>0</v>
      </c>
      <c r="Z185" s="27">
        <f>IFERROR(COUNTIFS('[2]Controle de Produção'!$L:$L,D185,'[2]Controle de Produção'!$P:$P,C185,'[2]Controle de Produção'!$B:$B,"&gt;=" &amp; G185,'[2]Controle de Produção'!$C:$C,"&lt;=" &amp; N185, '[2]Controle de Produção'!$G:$G,B185), "")</f>
        <v>0</v>
      </c>
      <c r="AA185" s="108" t="str">
        <f t="shared" si="36"/>
        <v/>
      </c>
      <c r="AB185" s="41" t="str" cm="1">
        <f t="array" ref="AB185">_xlfn.IFS((H185*0.95)&lt;=V185,"Concluído",AND(V185 =0, J185&lt;&gt;""),"Programado",AND(V185=0,D185=""),"Desenvolv.",V185=0,"Não Iniciado",AND(V185&gt;0,V185&lt;H185,AO185=TRUE),"Em Produção",AND(V185&gt;0,V185&lt;H185,AO185=FALSE),"Produção Parcial")</f>
        <v>Não Iniciado</v>
      </c>
      <c r="AC185" s="42" t="b">
        <v>1</v>
      </c>
      <c r="AD185" s="42" t="b">
        <v>1</v>
      </c>
      <c r="AE185" s="42" t="b">
        <v>1</v>
      </c>
      <c r="AF185" s="42" t="b">
        <v>1</v>
      </c>
      <c r="AG185" s="42" t="s">
        <v>38</v>
      </c>
      <c r="AH185" s="42" t="s">
        <v>38</v>
      </c>
      <c r="AI185" s="42" t="s">
        <v>38</v>
      </c>
      <c r="AJ185" s="42" t="s">
        <v>38</v>
      </c>
      <c r="AK185" s="42" t="b">
        <v>0</v>
      </c>
      <c r="AL185" s="42" t="b">
        <v>1</v>
      </c>
      <c r="AM185" s="42" t="b">
        <v>1</v>
      </c>
      <c r="AN185" s="42" t="b">
        <v>1</v>
      </c>
      <c r="AO185" s="45" t="b" cm="1">
        <f t="array" ref="AO185">AND(COUNTIF(AC185:AN185,FALSE)=0,SUMPRODUCT(ISNUMBER(AC185:AN185)*1)=0)</f>
        <v>0</v>
      </c>
      <c r="AP185" s="59"/>
      <c r="AQ185" s="111">
        <f>IF(AB185="",99999999999,IFERROR(MATCH(AB185,{"Produção Parcial","Em Produção","Programado","Não Iniciado","Desenvolv.","Concluído"},0),7)*100000000+IF(ISNUMBER(J185),J185-46000,9999)*10000+IF(A185="",99,A185)*100+IF(C185="",99,CODE(LEFT(C185,1))))</f>
        <v>499990373</v>
      </c>
    </row>
    <row r="186" spans="1:43" s="36" customFormat="1" ht="25.15" hidden="1" customHeight="1" x14ac:dyDescent="0.25">
      <c r="A186" s="36">
        <v>3</v>
      </c>
      <c r="B186" s="38" t="s">
        <v>95</v>
      </c>
      <c r="C186" s="24" t="str">
        <f>INDEX([1]Produtos!$G:$G,MATCH($D186,[1]Produtos!$B:$B,0))</f>
        <v>MOUTIER</v>
      </c>
      <c r="D186" s="24" t="s">
        <v>97</v>
      </c>
      <c r="E186" s="70" t="str">
        <f>INDEX([1]Produtos!$C:$C,MATCH($D186,[1]Produtos!$B:$B,0))&amp;IF($F186&lt;&gt;"-"," - "&amp;LEFT($F186,1),"")&amp;" &gt; "&amp;$B186</f>
        <v>PERFUME FEMININO 28 212 VIP ROSÉ &gt; Moutier 01/09</v>
      </c>
      <c r="F186" s="51" t="s">
        <v>38</v>
      </c>
      <c r="G186" s="38">
        <v>45887</v>
      </c>
      <c r="H186" s="39">
        <v>300</v>
      </c>
      <c r="I186" s="24" t="s">
        <v>42</v>
      </c>
      <c r="J186" s="68" t="str" cm="1">
        <f t="array" ref="J186">IFERROR(INDEX('[2]Previsão Envase'!$D$5:$D$4867, MATCH(1,('[2]Previsão Envase'!$F$5:$F$4867=$E186)+('[2]Previsão Envase'!$G$5:$G$4867=$E186)+('[2]Previsão Envase'!$H$5:$H$4867=$E186),0)),"")</f>
        <v/>
      </c>
      <c r="K186" s="68" t="str">
        <f>IF(COUNTIF('[2]Previsão Envase'!$F:$F,E186)&gt;0,"Linha 1",
IF(COUNTIF('[2]Previsão Envase'!$G:$G,E186)&gt;0,"Linha 2",
IF(COUNTIF('[2]Previsão Envase'!$H:$H,E186)&gt;0,"Linha 3","")))</f>
        <v/>
      </c>
      <c r="L186" s="96">
        <f>COUNTIF('[2]Previsão Envase'!$F:$H,E186)-COUNTIF('[2]Previsão Envase'!$F$1:$H$4,E186)</f>
        <v>0</v>
      </c>
      <c r="M186" s="35">
        <f t="shared" si="31"/>
        <v>0</v>
      </c>
      <c r="N186" s="68" t="str">
        <f>IFERROR(MAX(_xlfn.MAXIFS('[2]Controle de Produção'!$C:$C,'[2]Controle de Produção'!$L:$L,$D186,'[2]Controle de Produção'!$P:$P,$C186,'[2]Controle de Produção'!$G:$G,$B186),_xlfn.MAXIFS([3]EXPEDIÇÃO!$N:$N,[3]EXPEDIÇÃO!$E:$E,$D186,[3]EXPEDIÇÃO!$D:$D,$C186,[3]EXPEDIÇÃO!$N:$N,"&gt;="&amp;$G186)),"")</f>
        <v/>
      </c>
      <c r="O186" s="70">
        <f>INDEX([1]Produtos!$E:$E,MATCH($D186,[1]Produtos!$B:$B,0))</f>
        <v>50</v>
      </c>
      <c r="P186" s="70" t="str">
        <f>INDEX([1]Produtos!$F:$F,MATCH($D186,[1]Produtos!$B:$B,0))</f>
        <v>ml</v>
      </c>
      <c r="Q186" s="105">
        <f>INDEX([1]Produtos!$Y:$Y,MATCH($D186,[1]Produtos!$B:$B,0))</f>
        <v>0</v>
      </c>
      <c r="R186" s="35">
        <f t="shared" si="32"/>
        <v>1577.3766463727152</v>
      </c>
      <c r="S186" s="27">
        <f>IFERROR(INDEX([1]Produtos!$L:$L,MATCH(D186,[1]Produtos!$B:$B,0)), "")</f>
        <v>175.26407181919058</v>
      </c>
      <c r="T186" s="28">
        <f t="shared" si="33"/>
        <v>1.8</v>
      </c>
      <c r="U186" s="28" t="str">
        <f t="shared" si="34"/>
        <v>0D e 2h</v>
      </c>
      <c r="V186" s="27">
        <f>IFERROR(SUMIFS('[2]Controle de Produção'!$K:$K,'[2]Controle de Produção'!$L:$L,D186,'[2]Controle de Produção'!$P:$P,C186,'[2]Controle de Produção'!$B:$B,"&gt;=" &amp; G186,'[2]Controle de Produção'!$C:$C,"&lt;=" &amp; N186, '[2]Controle de Produção'!$G:$G,B186), "")</f>
        <v>0</v>
      </c>
      <c r="W186" s="27" t="str">
        <f>IFERROR(SUMIFS([3]EXPEDIÇÃO!$K:$K,[3]EXPEDIÇÃO!$E:$E,D186,[3]EXPEDIÇÃO!$D:$D,C186,[3]EXPEDIÇÃO!$N:$N,"&gt;=" &amp; G186,[3]EXPEDIÇÃO!$N:$N,"&lt;="&amp;N186), "")</f>
        <v/>
      </c>
      <c r="X186" s="27">
        <f>COUNTIFS('[2]Controle de Produção'!$P:$P,C186,'[2]Controle de Produção'!$L:$L,D186,'[2]Controle de Produção'!$B:$B,"&gt;=" &amp; G186)</f>
        <v>1</v>
      </c>
      <c r="Y186" s="27">
        <f t="shared" si="35"/>
        <v>0</v>
      </c>
      <c r="Z186" s="27">
        <f>IFERROR(COUNTIFS('[2]Controle de Produção'!$L:$L,D186,'[2]Controle de Produção'!$P:$P,C186,'[2]Controle de Produção'!$B:$B,"&gt;=" &amp; G186,'[2]Controle de Produção'!$C:$C,"&lt;=" &amp; N186, '[2]Controle de Produção'!$G:$G,B186), "")</f>
        <v>0</v>
      </c>
      <c r="AA186" s="108" t="str">
        <f t="shared" si="36"/>
        <v/>
      </c>
      <c r="AB186" s="41" t="str" cm="1">
        <f t="array" ref="AB186">_xlfn.IFS((H186*0.95)&lt;=V186,"Concluído",AND(V186 =0, J186&lt;&gt;""),"Programado",AND(V186=0,D186=""),"Desenvolv.",V186=0,"Não Iniciado",AND(V186&gt;0,V186&lt;H186,AO186=TRUE),"Em Produção",AND(V186&gt;0,V186&lt;H186,AO186=FALSE),"Produção Parcial")</f>
        <v>Não Iniciado</v>
      </c>
      <c r="AC186" s="42" t="b">
        <v>1</v>
      </c>
      <c r="AD186" s="42" t="b">
        <v>1</v>
      </c>
      <c r="AE186" s="42" t="b">
        <v>0</v>
      </c>
      <c r="AF186" s="42" t="b">
        <v>0</v>
      </c>
      <c r="AG186" s="42" t="b">
        <v>0</v>
      </c>
      <c r="AH186" s="42" t="b">
        <v>0</v>
      </c>
      <c r="AI186" s="42" t="b">
        <v>0</v>
      </c>
      <c r="AJ186" s="42" t="b">
        <v>0</v>
      </c>
      <c r="AK186" s="42" t="b">
        <v>0</v>
      </c>
      <c r="AL186" s="42" t="b">
        <v>0</v>
      </c>
      <c r="AM186" s="42" t="b">
        <v>1</v>
      </c>
      <c r="AN186" s="42" t="b">
        <v>0</v>
      </c>
      <c r="AO186" s="45" t="b" cm="1">
        <f t="array" ref="AO186">AND(COUNTIF(AC186:AN186,FALSE)=0,SUMPRODUCT(ISNUMBER(AC186:AN186)*1)=0)</f>
        <v>0</v>
      </c>
      <c r="AP186" s="59"/>
      <c r="AQ186" s="111">
        <f>IF(AB186="",99999999999,IFERROR(MATCH(AB186,{"Produção Parcial","Em Produção","Programado","Não Iniciado","Desenvolv.","Concluído"},0),7)*100000000+IF(ISNUMBER(J186),J186-46000,9999)*10000+IF(A186="",99,A186)*100+IF(C186="",99,CODE(LEFT(C186,1))))</f>
        <v>499990377</v>
      </c>
    </row>
    <row r="187" spans="1:43" s="36" customFormat="1" ht="25.15" hidden="1" customHeight="1" x14ac:dyDescent="0.25">
      <c r="A187" s="36">
        <v>3</v>
      </c>
      <c r="B187" s="38" t="s">
        <v>95</v>
      </c>
      <c r="C187" s="24" t="str">
        <f>INDEX([1]Produtos!$G:$G,MATCH($D187,[1]Produtos!$B:$B,0))</f>
        <v>MOUTIER</v>
      </c>
      <c r="D187" s="24" t="s">
        <v>96</v>
      </c>
      <c r="E187" s="70" t="str">
        <f>INDEX([1]Produtos!$C:$C,MATCH($D187,[1]Produtos!$B:$B,0))&amp;IF($F187&lt;&gt;"-"," - "&amp;LEFT($F187,1),"")&amp;" &gt; "&amp;$B187</f>
        <v>PERFUME FEMININO 30 FANTASY &gt; Moutier 01/09</v>
      </c>
      <c r="F187" s="51" t="s">
        <v>38</v>
      </c>
      <c r="G187" s="38">
        <v>45887</v>
      </c>
      <c r="H187" s="39">
        <v>300</v>
      </c>
      <c r="I187" s="24" t="s">
        <v>42</v>
      </c>
      <c r="J187" s="68" t="str" cm="1">
        <f t="array" ref="J187">IFERROR(INDEX('[2]Previsão Envase'!$D$5:$D$4867, MATCH(1,('[2]Previsão Envase'!$F$5:$F$4867=$E187)+('[2]Previsão Envase'!$G$5:$G$4867=$E187)+('[2]Previsão Envase'!$H$5:$H$4867=$E187),0)),"")</f>
        <v/>
      </c>
      <c r="K187" s="68" t="str">
        <f>IF(COUNTIF('[2]Previsão Envase'!$F:$F,E187)&gt;0,"Linha 1",
IF(COUNTIF('[2]Previsão Envase'!$G:$G,E187)&gt;0,"Linha 2",
IF(COUNTIF('[2]Previsão Envase'!$H:$H,E187)&gt;0,"Linha 3","")))</f>
        <v/>
      </c>
      <c r="L187" s="96">
        <f>COUNTIF('[2]Previsão Envase'!$F:$H,E187)-COUNTIF('[2]Previsão Envase'!$F$1:$H$4,E187)</f>
        <v>0</v>
      </c>
      <c r="M187" s="35">
        <f t="shared" si="31"/>
        <v>0</v>
      </c>
      <c r="N187" s="68" t="str">
        <f>IFERROR(MAX(_xlfn.MAXIFS('[2]Controle de Produção'!$C:$C,'[2]Controle de Produção'!$L:$L,$D187,'[2]Controle de Produção'!$P:$P,$C187,'[2]Controle de Produção'!$G:$G,$B187),_xlfn.MAXIFS([3]EXPEDIÇÃO!$N:$N,[3]EXPEDIÇÃO!$E:$E,$D187,[3]EXPEDIÇÃO!$D:$D,$C187,[3]EXPEDIÇÃO!$N:$N,"&gt;="&amp;$G187)),"")</f>
        <v/>
      </c>
      <c r="O187" s="70">
        <f>INDEX([1]Produtos!$E:$E,MATCH($D187,[1]Produtos!$B:$B,0))</f>
        <v>50</v>
      </c>
      <c r="P187" s="70" t="str">
        <f>INDEX([1]Produtos!$F:$F,MATCH($D187,[1]Produtos!$B:$B,0))</f>
        <v>ml</v>
      </c>
      <c r="Q187" s="105">
        <f>INDEX([1]Produtos!$Y:$Y,MATCH($D187,[1]Produtos!$B:$B,0))</f>
        <v>0</v>
      </c>
      <c r="R187" s="35">
        <f t="shared" si="32"/>
        <v>1577.3766463727152</v>
      </c>
      <c r="S187" s="27">
        <f>IFERROR(INDEX([1]Produtos!$L:$L,MATCH(D187,[1]Produtos!$B:$B,0)), "")</f>
        <v>175.26407181919058</v>
      </c>
      <c r="T187" s="28">
        <f t="shared" si="33"/>
        <v>1.8</v>
      </c>
      <c r="U187" s="28" t="str">
        <f t="shared" si="34"/>
        <v>0D e 2h</v>
      </c>
      <c r="V187" s="27">
        <f>IFERROR(SUMIFS('[2]Controle de Produção'!$K:$K,'[2]Controle de Produção'!$L:$L,D187,'[2]Controle de Produção'!$P:$P,C187,'[2]Controle de Produção'!$B:$B,"&gt;=" &amp; G187,'[2]Controle de Produção'!$C:$C,"&lt;=" &amp; N187, '[2]Controle de Produção'!$G:$G,B187), "")</f>
        <v>0</v>
      </c>
      <c r="W187" s="27" t="str">
        <f>IFERROR(SUMIFS([3]EXPEDIÇÃO!$K:$K,[3]EXPEDIÇÃO!$E:$E,D187,[3]EXPEDIÇÃO!$D:$D,C187,[3]EXPEDIÇÃO!$N:$N,"&gt;=" &amp; G187,[3]EXPEDIÇÃO!$N:$N,"&lt;="&amp;N187), "")</f>
        <v/>
      </c>
      <c r="X187" s="27">
        <f>COUNTIFS('[2]Controle de Produção'!$P:$P,C187,'[2]Controle de Produção'!$L:$L,D187,'[2]Controle de Produção'!$B:$B,"&gt;=" &amp; G187)</f>
        <v>1</v>
      </c>
      <c r="Y187" s="27">
        <f t="shared" si="35"/>
        <v>0</v>
      </c>
      <c r="Z187" s="27">
        <f>IFERROR(COUNTIFS('[2]Controle de Produção'!$L:$L,D187,'[2]Controle de Produção'!$P:$P,C187,'[2]Controle de Produção'!$B:$B,"&gt;=" &amp; G187,'[2]Controle de Produção'!$C:$C,"&lt;=" &amp; N187, '[2]Controle de Produção'!$G:$G,B187), "")</f>
        <v>0</v>
      </c>
      <c r="AA187" s="108" t="str">
        <f t="shared" si="36"/>
        <v/>
      </c>
      <c r="AB187" s="41" t="str" cm="1">
        <f t="array" ref="AB187">_xlfn.IFS((H187*0.95)&lt;=V187,"Concluído",AND(V187 =0, J187&lt;&gt;""),"Programado",AND(V187=0,D187=""),"Desenvolv.",V187=0,"Não Iniciado",AND(V187&gt;0,V187&lt;H187,AO187=TRUE),"Em Produção",AND(V187&gt;0,V187&lt;H187,AO187=FALSE),"Produção Parcial")</f>
        <v>Não Iniciado</v>
      </c>
      <c r="AC187" s="42" t="b">
        <v>1</v>
      </c>
      <c r="AD187" s="42" t="b">
        <v>1</v>
      </c>
      <c r="AE187" s="42" t="b">
        <v>0</v>
      </c>
      <c r="AF187" s="42" t="b">
        <v>0</v>
      </c>
      <c r="AG187" s="42" t="b">
        <v>0</v>
      </c>
      <c r="AH187" s="42" t="b">
        <v>0</v>
      </c>
      <c r="AI187" s="42" t="b">
        <v>0</v>
      </c>
      <c r="AJ187" s="42" t="b">
        <v>0</v>
      </c>
      <c r="AK187" s="42" t="b">
        <v>0</v>
      </c>
      <c r="AL187" s="42" t="b">
        <v>0</v>
      </c>
      <c r="AM187" s="42" t="b">
        <v>1</v>
      </c>
      <c r="AN187" s="42" t="b">
        <v>0</v>
      </c>
      <c r="AO187" s="45" t="b" cm="1">
        <f t="array" ref="AO187">AND(COUNTIF(AC187:AN187,FALSE)=0,SUMPRODUCT(ISNUMBER(AC187:AN187)*1)=0)</f>
        <v>0</v>
      </c>
      <c r="AP187" s="59"/>
      <c r="AQ187" s="111">
        <f>IF(AB187="",99999999999,IFERROR(MATCH(AB187,{"Produção Parcial","Em Produção","Programado","Não Iniciado","Desenvolv.","Concluído"},0),7)*100000000+IF(ISNUMBER(J187),J187-46000,9999)*10000+IF(A187="",99,A187)*100+IF(C187="",99,CODE(LEFT(C187,1))))</f>
        <v>499990377</v>
      </c>
    </row>
    <row r="188" spans="1:43" s="36" customFormat="1" ht="25.15" hidden="1" customHeight="1" x14ac:dyDescent="0.25">
      <c r="A188" s="36">
        <v>3</v>
      </c>
      <c r="B188" s="38" t="s">
        <v>95</v>
      </c>
      <c r="C188" s="24" t="str">
        <f>INDEX([1]Produtos!$G:$G,MATCH($D188,[1]Produtos!$B:$B,0))</f>
        <v>MOUTIER</v>
      </c>
      <c r="D188" s="24" t="s">
        <v>145</v>
      </c>
      <c r="E188" s="70" t="str">
        <f>INDEX([1]Produtos!$C:$C,MATCH($D188,[1]Produtos!$B:$B,0))&amp;IF($F188&lt;&gt;"-"," - "&amp;LEFT($F188,1),"")&amp;" &gt; "&amp;$B188</f>
        <v>PERFUME MASCULINO 102 VIP BLACK &gt; Moutier 01/09</v>
      </c>
      <c r="F188" s="51" t="s">
        <v>38</v>
      </c>
      <c r="G188" s="38">
        <v>45887</v>
      </c>
      <c r="H188" s="39">
        <v>300</v>
      </c>
      <c r="I188" s="24" t="s">
        <v>42</v>
      </c>
      <c r="J188" s="68" t="str" cm="1">
        <f t="array" ref="J188">IFERROR(INDEX('[2]Previsão Envase'!$D$5:$D$4867, MATCH(1,('[2]Previsão Envase'!$F$5:$F$4867=$E188)+('[2]Previsão Envase'!$G$5:$G$4867=$E188)+('[2]Previsão Envase'!$H$5:$H$4867=$E188),0)),"")</f>
        <v/>
      </c>
      <c r="K188" s="68" t="str">
        <f>IF(COUNTIF('[2]Previsão Envase'!$F:$F,E188)&gt;0,"Linha 1",
IF(COUNTIF('[2]Previsão Envase'!$G:$G,E188)&gt;0,"Linha 2",
IF(COUNTIF('[2]Previsão Envase'!$H:$H,E188)&gt;0,"Linha 3","")))</f>
        <v/>
      </c>
      <c r="L188" s="96">
        <f>COUNTIF('[2]Previsão Envase'!$F:$H,E188)-COUNTIF('[2]Previsão Envase'!$F$1:$H$4,E188)</f>
        <v>0</v>
      </c>
      <c r="M188" s="35">
        <f t="shared" si="31"/>
        <v>0</v>
      </c>
      <c r="N188" s="68" t="str">
        <f>IFERROR(MAX(_xlfn.MAXIFS('[2]Controle de Produção'!$C:$C,'[2]Controle de Produção'!$L:$L,$D188,'[2]Controle de Produção'!$P:$P,$C188,'[2]Controle de Produção'!$G:$G,$B188),_xlfn.MAXIFS([3]EXPEDIÇÃO!$N:$N,[3]EXPEDIÇÃO!$E:$E,$D188,[3]EXPEDIÇÃO!$D:$D,$C188,[3]EXPEDIÇÃO!$N:$N,"&gt;="&amp;$G188)),"")</f>
        <v/>
      </c>
      <c r="O188" s="70">
        <f>INDEX([1]Produtos!$E:$E,MATCH($D188,[1]Produtos!$B:$B,0))</f>
        <v>50</v>
      </c>
      <c r="P188" s="70" t="str">
        <f>INDEX([1]Produtos!$F:$F,MATCH($D188,[1]Produtos!$B:$B,0))</f>
        <v>ml</v>
      </c>
      <c r="Q188" s="105">
        <f>INDEX([1]Produtos!$Y:$Y,MATCH($D188,[1]Produtos!$B:$B,0))</f>
        <v>0</v>
      </c>
      <c r="R188" s="35">
        <f t="shared" si="32"/>
        <v>1577.3766463727152</v>
      </c>
      <c r="S188" s="27">
        <f>IFERROR(INDEX([1]Produtos!$L:$L,MATCH(D188,[1]Produtos!$B:$B,0)), "")</f>
        <v>175.26407181919058</v>
      </c>
      <c r="T188" s="28">
        <f t="shared" si="33"/>
        <v>1.8</v>
      </c>
      <c r="U188" s="28" t="str">
        <f t="shared" si="34"/>
        <v>0D e 2h</v>
      </c>
      <c r="V188" s="27">
        <f>IFERROR(SUMIFS('[2]Controle de Produção'!$K:$K,'[2]Controle de Produção'!$L:$L,D188,'[2]Controle de Produção'!$P:$P,C188,'[2]Controle de Produção'!$B:$B,"&gt;=" &amp; G188,'[2]Controle de Produção'!$C:$C,"&lt;=" &amp; N188, '[2]Controle de Produção'!$G:$G,B188), "")</f>
        <v>0</v>
      </c>
      <c r="W188" s="27" t="str">
        <f>IFERROR(SUMIFS([3]EXPEDIÇÃO!$K:$K,[3]EXPEDIÇÃO!$E:$E,D188,[3]EXPEDIÇÃO!$D:$D,C188,[3]EXPEDIÇÃO!$N:$N,"&gt;=" &amp; G188,[3]EXPEDIÇÃO!$N:$N,"&lt;="&amp;N188), "")</f>
        <v/>
      </c>
      <c r="X188" s="27">
        <f>COUNTIFS('[2]Controle de Produção'!$P:$P,C188,'[2]Controle de Produção'!$L:$L,D188,'[2]Controle de Produção'!$B:$B,"&gt;=" &amp; G188)</f>
        <v>1</v>
      </c>
      <c r="Y188" s="27">
        <f t="shared" si="35"/>
        <v>0</v>
      </c>
      <c r="Z188" s="27">
        <f>IFERROR(COUNTIFS('[2]Controle de Produção'!$L:$L,D188,'[2]Controle de Produção'!$P:$P,C188,'[2]Controle de Produção'!$B:$B,"&gt;=" &amp; G188,'[2]Controle de Produção'!$C:$C,"&lt;=" &amp; N188, '[2]Controle de Produção'!$G:$G,B188), "")</f>
        <v>0</v>
      </c>
      <c r="AA188" s="108" t="str">
        <f t="shared" si="36"/>
        <v/>
      </c>
      <c r="AB188" s="41" t="str" cm="1">
        <f t="array" ref="AB188">_xlfn.IFS((H188*0.95)&lt;=V188,"Concluído",AND(V188 =0, J188&lt;&gt;""),"Programado",AND(V188=0,D188=""),"Desenvolv.",V188=0,"Não Iniciado",AND(V188&gt;0,V188&lt;H188,AO188=TRUE),"Em Produção",AND(V188&gt;0,V188&lt;H188,AO188=FALSE),"Produção Parcial")</f>
        <v>Não Iniciado</v>
      </c>
      <c r="AC188" s="42" t="b">
        <v>1</v>
      </c>
      <c r="AD188" s="42" t="b">
        <v>1</v>
      </c>
      <c r="AE188" s="42" t="b">
        <v>0</v>
      </c>
      <c r="AF188" s="42" t="b">
        <v>0</v>
      </c>
      <c r="AG188" s="42" t="b">
        <v>0</v>
      </c>
      <c r="AH188" s="42" t="b">
        <v>0</v>
      </c>
      <c r="AI188" s="42" t="b">
        <v>0</v>
      </c>
      <c r="AJ188" s="42" t="b">
        <v>0</v>
      </c>
      <c r="AK188" s="42" t="b">
        <v>0</v>
      </c>
      <c r="AL188" s="42" t="b">
        <v>0</v>
      </c>
      <c r="AM188" s="42" t="b">
        <v>1</v>
      </c>
      <c r="AN188" s="42" t="b">
        <v>0</v>
      </c>
      <c r="AO188" s="45" t="b" cm="1">
        <f t="array" ref="AO188">AND(COUNTIF(AC188:AN188,FALSE)=0,SUMPRODUCT(ISNUMBER(AC188:AN188)*1)=0)</f>
        <v>0</v>
      </c>
      <c r="AP188" s="59"/>
      <c r="AQ188" s="111">
        <f>IF(AB188="",99999999999,IFERROR(MATCH(AB188,{"Produção Parcial","Em Produção","Programado","Não Iniciado","Desenvolv.","Concluído"},0),7)*100000000+IF(ISNUMBER(J188),J188-46000,9999)*10000+IF(A188="",99,A188)*100+IF(C188="",99,CODE(LEFT(C188,1))))</f>
        <v>499990377</v>
      </c>
    </row>
    <row r="189" spans="1:43" s="36" customFormat="1" ht="25.15" hidden="1" customHeight="1" x14ac:dyDescent="0.25">
      <c r="A189" s="36">
        <v>3</v>
      </c>
      <c r="B189" s="38" t="s">
        <v>95</v>
      </c>
      <c r="C189" s="24" t="str">
        <f>INDEX([1]Produtos!$G:$G,MATCH($D189,[1]Produtos!$B:$B,0))</f>
        <v>MOUTIER</v>
      </c>
      <c r="D189" s="24" t="s">
        <v>143</v>
      </c>
      <c r="E189" s="70" t="str">
        <f>INDEX([1]Produtos!$C:$C,MATCH($D189,[1]Produtos!$B:$B,0))&amp;IF($F189&lt;&gt;"-"," - "&amp;LEFT($F189,1),"")&amp;" &gt; "&amp;$B189</f>
        <v>PERFUME MASCULINO 104 FERRARI BLACK &gt; Moutier 01/09</v>
      </c>
      <c r="F189" s="51" t="s">
        <v>38</v>
      </c>
      <c r="G189" s="38">
        <v>45887</v>
      </c>
      <c r="H189" s="39">
        <v>300</v>
      </c>
      <c r="I189" s="24" t="s">
        <v>42</v>
      </c>
      <c r="J189" s="68" t="str" cm="1">
        <f t="array" ref="J189">IFERROR(INDEX('[2]Previsão Envase'!$D$5:$D$4867, MATCH(1,('[2]Previsão Envase'!$F$5:$F$4867=$E189)+('[2]Previsão Envase'!$G$5:$G$4867=$E189)+('[2]Previsão Envase'!$H$5:$H$4867=$E189),0)),"")</f>
        <v/>
      </c>
      <c r="K189" s="68" t="str">
        <f>IF(COUNTIF('[2]Previsão Envase'!$F:$F,E189)&gt;0,"Linha 1",
IF(COUNTIF('[2]Previsão Envase'!$G:$G,E189)&gt;0,"Linha 2",
IF(COUNTIF('[2]Previsão Envase'!$H:$H,E189)&gt;0,"Linha 3","")))</f>
        <v/>
      </c>
      <c r="L189" s="96">
        <f>COUNTIF('[2]Previsão Envase'!$F:$H,E189)-COUNTIF('[2]Previsão Envase'!$F$1:$H$4,E189)</f>
        <v>0</v>
      </c>
      <c r="M189" s="35">
        <f t="shared" si="31"/>
        <v>0</v>
      </c>
      <c r="N189" s="68" t="str">
        <f>IFERROR(MAX(_xlfn.MAXIFS('[2]Controle de Produção'!$C:$C,'[2]Controle de Produção'!$L:$L,$D189,'[2]Controle de Produção'!$P:$P,$C189,'[2]Controle de Produção'!$G:$G,$B189),_xlfn.MAXIFS([3]EXPEDIÇÃO!$N:$N,[3]EXPEDIÇÃO!$E:$E,$D189,[3]EXPEDIÇÃO!$D:$D,$C189,[3]EXPEDIÇÃO!$N:$N,"&gt;="&amp;$G189)),"")</f>
        <v/>
      </c>
      <c r="O189" s="70">
        <f>INDEX([1]Produtos!$E:$E,MATCH($D189,[1]Produtos!$B:$B,0))</f>
        <v>50</v>
      </c>
      <c r="P189" s="70" t="str">
        <f>INDEX([1]Produtos!$F:$F,MATCH($D189,[1]Produtos!$B:$B,0))</f>
        <v>ml</v>
      </c>
      <c r="Q189" s="105">
        <f>INDEX([1]Produtos!$Y:$Y,MATCH($D189,[1]Produtos!$B:$B,0))</f>
        <v>0</v>
      </c>
      <c r="R189" s="35">
        <f t="shared" si="32"/>
        <v>1577.3766463727152</v>
      </c>
      <c r="S189" s="27">
        <f>IFERROR(INDEX([1]Produtos!$L:$L,MATCH(D189,[1]Produtos!$B:$B,0)), "")</f>
        <v>175.26407181919058</v>
      </c>
      <c r="T189" s="28">
        <f t="shared" si="33"/>
        <v>1.8</v>
      </c>
      <c r="U189" s="28" t="str">
        <f t="shared" si="34"/>
        <v>0D e 2h</v>
      </c>
      <c r="V189" s="27">
        <f>IFERROR(SUMIFS('[2]Controle de Produção'!$K:$K,'[2]Controle de Produção'!$L:$L,D189,'[2]Controle de Produção'!$P:$P,C189,'[2]Controle de Produção'!$B:$B,"&gt;=" &amp; G189,'[2]Controle de Produção'!$C:$C,"&lt;=" &amp; N189, '[2]Controle de Produção'!$G:$G,B189), "")</f>
        <v>0</v>
      </c>
      <c r="W189" s="27" t="str">
        <f>IFERROR(SUMIFS([3]EXPEDIÇÃO!$K:$K,[3]EXPEDIÇÃO!$E:$E,D189,[3]EXPEDIÇÃO!$D:$D,C189,[3]EXPEDIÇÃO!$N:$N,"&gt;=" &amp; G189,[3]EXPEDIÇÃO!$N:$N,"&lt;="&amp;N189), "")</f>
        <v/>
      </c>
      <c r="X189" s="27">
        <f>COUNTIFS('[2]Controle de Produção'!$P:$P,C189,'[2]Controle de Produção'!$L:$L,D189,'[2]Controle de Produção'!$B:$B,"&gt;=" &amp; G189)</f>
        <v>1</v>
      </c>
      <c r="Y189" s="27">
        <f t="shared" si="35"/>
        <v>0</v>
      </c>
      <c r="Z189" s="27">
        <f>IFERROR(COUNTIFS('[2]Controle de Produção'!$L:$L,D189,'[2]Controle de Produção'!$P:$P,C189,'[2]Controle de Produção'!$B:$B,"&gt;=" &amp; G189,'[2]Controle de Produção'!$C:$C,"&lt;=" &amp; N189, '[2]Controle de Produção'!$G:$G,B189), "")</f>
        <v>0</v>
      </c>
      <c r="AA189" s="108" t="str">
        <f t="shared" si="36"/>
        <v/>
      </c>
      <c r="AB189" s="41" t="str" cm="1">
        <f t="array" ref="AB189">_xlfn.IFS((H189*0.95)&lt;=V189,"Concluído",AND(V189 =0, J189&lt;&gt;""),"Programado",AND(V189=0,D189=""),"Desenvolv.",V189=0,"Não Iniciado",AND(V189&gt;0,V189&lt;H189,AO189=TRUE),"Em Produção",AND(V189&gt;0,V189&lt;H189,AO189=FALSE),"Produção Parcial")</f>
        <v>Não Iniciado</v>
      </c>
      <c r="AC189" s="42" t="b">
        <v>1</v>
      </c>
      <c r="AD189" s="42" t="b">
        <v>1</v>
      </c>
      <c r="AE189" s="42" t="b">
        <v>0</v>
      </c>
      <c r="AF189" s="42" t="b">
        <v>0</v>
      </c>
      <c r="AG189" s="42" t="b">
        <v>0</v>
      </c>
      <c r="AH189" s="42" t="b">
        <v>0</v>
      </c>
      <c r="AI189" s="42" t="b">
        <v>0</v>
      </c>
      <c r="AJ189" s="42" t="b">
        <v>0</v>
      </c>
      <c r="AK189" s="42" t="b">
        <v>0</v>
      </c>
      <c r="AL189" s="42" t="b">
        <v>0</v>
      </c>
      <c r="AM189" s="42" t="b">
        <v>1</v>
      </c>
      <c r="AN189" s="42" t="b">
        <v>0</v>
      </c>
      <c r="AO189" s="45" t="b" cm="1">
        <f t="array" ref="AO189">AND(COUNTIF(AC189:AN189,FALSE)=0,SUMPRODUCT(ISNUMBER(AC189:AN189)*1)=0)</f>
        <v>0</v>
      </c>
      <c r="AP189" s="59"/>
      <c r="AQ189" s="111">
        <f>IF(AB189="",99999999999,IFERROR(MATCH(AB189,{"Produção Parcial","Em Produção","Programado","Não Iniciado","Desenvolv.","Concluído"},0),7)*100000000+IF(ISNUMBER(J189),J189-46000,9999)*10000+IF(A189="",99,A189)*100+IF(C189="",99,CODE(LEFT(C189,1))))</f>
        <v>499990377</v>
      </c>
    </row>
    <row r="190" spans="1:43" s="36" customFormat="1" ht="25.15" hidden="1" customHeight="1" x14ac:dyDescent="0.25">
      <c r="A190" s="36">
        <v>3</v>
      </c>
      <c r="B190" s="38" t="s">
        <v>95</v>
      </c>
      <c r="C190" s="24" t="str">
        <f>INDEX([1]Produtos!$G:$G,MATCH($D190,[1]Produtos!$B:$B,0))</f>
        <v>MOUTIER</v>
      </c>
      <c r="D190" s="24" t="s">
        <v>129</v>
      </c>
      <c r="E190" s="70" t="str">
        <f>INDEX([1]Produtos!$C:$C,MATCH($D190,[1]Produtos!$B:$B,0))&amp;IF($F190&lt;&gt;"-"," - "&amp;LEFT($F190,1),"")&amp;" &gt; "&amp;$B190</f>
        <v>PERFUME MASCULINO 100 SILVER SCENT &gt; Moutier 01/09</v>
      </c>
      <c r="F190" s="51" t="s">
        <v>38</v>
      </c>
      <c r="G190" s="38">
        <v>45894</v>
      </c>
      <c r="H190" s="39">
        <v>1000</v>
      </c>
      <c r="I190" s="24" t="s">
        <v>42</v>
      </c>
      <c r="J190" s="68" t="str" cm="1">
        <f t="array" ref="J190">IFERROR(INDEX('[2]Previsão Envase'!$D$5:$D$4867, MATCH(1,('[2]Previsão Envase'!$F$5:$F$4867=$E190)+('[2]Previsão Envase'!$G$5:$G$4867=$E190)+('[2]Previsão Envase'!$H$5:$H$4867=$E190),0)),"")</f>
        <v/>
      </c>
      <c r="K190" s="68" t="str">
        <f>IF(COUNTIF('[2]Previsão Envase'!$F:$F,E190)&gt;0,"Linha 1",
IF(COUNTIF('[2]Previsão Envase'!$G:$G,E190)&gt;0,"Linha 2",
IF(COUNTIF('[2]Previsão Envase'!$H:$H,E190)&gt;0,"Linha 3","")))</f>
        <v/>
      </c>
      <c r="L190" s="96">
        <f>COUNTIF('[2]Previsão Envase'!$F:$H,E190)-COUNTIF('[2]Previsão Envase'!$F$1:$H$4,E190)</f>
        <v>0</v>
      </c>
      <c r="M190" s="35">
        <f t="shared" si="31"/>
        <v>0</v>
      </c>
      <c r="N190" s="68" t="str">
        <f>IFERROR(MAX(_xlfn.MAXIFS('[2]Controle de Produção'!$C:$C,'[2]Controle de Produção'!$L:$L,$D190,'[2]Controle de Produção'!$P:$P,$C190,'[2]Controle de Produção'!$G:$G,$B190),_xlfn.MAXIFS([3]EXPEDIÇÃO!$N:$N,[3]EXPEDIÇÃO!$E:$E,$D190,[3]EXPEDIÇÃO!$D:$D,$C190,[3]EXPEDIÇÃO!$N:$N,"&gt;="&amp;$G190)),"")</f>
        <v/>
      </c>
      <c r="O190" s="70">
        <f>INDEX([1]Produtos!$E:$E,MATCH($D190,[1]Produtos!$B:$B,0))</f>
        <v>50</v>
      </c>
      <c r="P190" s="70" t="str">
        <f>INDEX([1]Produtos!$F:$F,MATCH($D190,[1]Produtos!$B:$B,0))</f>
        <v>ml</v>
      </c>
      <c r="Q190" s="105">
        <f>INDEX([1]Produtos!$Y:$Y,MATCH($D190,[1]Produtos!$B:$B,0))</f>
        <v>0</v>
      </c>
      <c r="R190" s="35">
        <f t="shared" si="32"/>
        <v>1577.3766463727152</v>
      </c>
      <c r="S190" s="27">
        <f>IFERROR(INDEX([1]Produtos!$L:$L,MATCH(D190,[1]Produtos!$B:$B,0)), "")</f>
        <v>175.26407181919058</v>
      </c>
      <c r="T190" s="28">
        <f t="shared" si="33"/>
        <v>5.8</v>
      </c>
      <c r="U190" s="28" t="str">
        <f t="shared" si="34"/>
        <v>0D e 6h</v>
      </c>
      <c r="V190" s="27">
        <f>IFERROR(SUMIFS('[2]Controle de Produção'!$K:$K,'[2]Controle de Produção'!$L:$L,D190,'[2]Controle de Produção'!$P:$P,C190,'[2]Controle de Produção'!$B:$B,"&gt;=" &amp; G190,'[2]Controle de Produção'!$C:$C,"&lt;=" &amp; N190, '[2]Controle de Produção'!$G:$G,B190), "")</f>
        <v>0</v>
      </c>
      <c r="W190" s="27" t="str">
        <f>IFERROR(SUMIFS([3]EXPEDIÇÃO!$K:$K,[3]EXPEDIÇÃO!$E:$E,D190,[3]EXPEDIÇÃO!$D:$D,C190,[3]EXPEDIÇÃO!$N:$N,"&gt;=" &amp; G190,[3]EXPEDIÇÃO!$N:$N,"&lt;="&amp;N190), "")</f>
        <v/>
      </c>
      <c r="X190" s="27">
        <f>COUNTIFS('[2]Controle de Produção'!$P:$P,C190,'[2]Controle de Produção'!$L:$L,D190,'[2]Controle de Produção'!$B:$B,"&gt;=" &amp; G190)</f>
        <v>1</v>
      </c>
      <c r="Y190" s="27">
        <f t="shared" si="35"/>
        <v>0</v>
      </c>
      <c r="Z190" s="27">
        <f>IFERROR(COUNTIFS('[2]Controle de Produção'!$L:$L,D190,'[2]Controle de Produção'!$P:$P,C190,'[2]Controle de Produção'!$B:$B,"&gt;=" &amp; G190,'[2]Controle de Produção'!$C:$C,"&lt;=" &amp; N190, '[2]Controle de Produção'!$G:$G,B190), "")</f>
        <v>0</v>
      </c>
      <c r="AA190" s="108" t="str">
        <f t="shared" si="36"/>
        <v/>
      </c>
      <c r="AB190" s="41" t="str" cm="1">
        <f t="array" ref="AB190">_xlfn.IFS((H190*0.95)&lt;=V190,"Concluído",AND(V190 =0, J190&lt;&gt;""),"Programado",AND(V190=0,D190=""),"Desenvolv.",V190=0,"Não Iniciado",AND(V190&gt;0,V190&lt;H190,AO190=TRUE),"Em Produção",AND(V190&gt;0,V190&lt;H190,AO190=FALSE),"Produção Parcial")</f>
        <v>Não Iniciado</v>
      </c>
      <c r="AC190" s="42" t="b">
        <v>1</v>
      </c>
      <c r="AD190" s="42" t="b">
        <v>1</v>
      </c>
      <c r="AE190" s="42" t="b">
        <v>0</v>
      </c>
      <c r="AF190" s="42" t="b">
        <v>0</v>
      </c>
      <c r="AG190" s="42" t="b">
        <v>0</v>
      </c>
      <c r="AH190" s="42" t="b">
        <v>0</v>
      </c>
      <c r="AI190" s="42" t="b">
        <v>0</v>
      </c>
      <c r="AJ190" s="42" t="b">
        <v>0</v>
      </c>
      <c r="AK190" s="42" t="b">
        <v>0</v>
      </c>
      <c r="AL190" s="42" t="b">
        <v>0</v>
      </c>
      <c r="AM190" s="42" t="b">
        <v>1</v>
      </c>
      <c r="AN190" s="42" t="b">
        <v>0</v>
      </c>
      <c r="AO190" s="45" t="b" cm="1">
        <f t="array" ref="AO190">AND(COUNTIF(AC190:AN190,FALSE)=0,SUMPRODUCT(ISNUMBER(AC190:AN190)*1)=0)</f>
        <v>0</v>
      </c>
      <c r="AP190" s="59"/>
      <c r="AQ190" s="111">
        <f>IF(AB190="",99999999999,IFERROR(MATCH(AB190,{"Produção Parcial","Em Produção","Programado","Não Iniciado","Desenvolv.","Concluído"},0),7)*100000000+IF(ISNUMBER(J190),J190-46000,9999)*10000+IF(A190="",99,A190)*100+IF(C190="",99,CODE(LEFT(C190,1))))</f>
        <v>499990377</v>
      </c>
    </row>
    <row r="191" spans="1:43" s="36" customFormat="1" ht="25.15" hidden="1" customHeight="1" x14ac:dyDescent="0.25">
      <c r="A191" s="36">
        <v>3</v>
      </c>
      <c r="B191" s="38" t="s">
        <v>106</v>
      </c>
      <c r="C191" s="24" t="str">
        <f>INDEX([1]Produtos!$G:$G,MATCH($D191,[1]Produtos!$B:$B,0))</f>
        <v>MOUTIER</v>
      </c>
      <c r="D191" s="24" t="s">
        <v>112</v>
      </c>
      <c r="E191" s="70" t="str">
        <f>INDEX([1]Produtos!$C:$C,MATCH($D191,[1]Produtos!$B:$B,0))&amp;IF($F191&lt;&gt;"-"," - "&amp;LEFT($F191,1),"")&amp;" &gt; "&amp;$B191</f>
        <v>PERFUME FEMININO 16 COCO MADEMOISELLE &gt; Perfumes Moutier</v>
      </c>
      <c r="F191" s="51" t="s">
        <v>38</v>
      </c>
      <c r="G191" s="38">
        <v>45810</v>
      </c>
      <c r="H191" s="39">
        <v>500</v>
      </c>
      <c r="I191" s="24" t="s">
        <v>39</v>
      </c>
      <c r="J191" s="68" t="str" cm="1">
        <f t="array" ref="J191">IFERROR(INDEX('[2]Previsão Envase'!$D$5:$D$4867, MATCH(1,('[2]Previsão Envase'!$F$5:$F$4867=$E191)+('[2]Previsão Envase'!$G$5:$G$4867=$E191)+('[2]Previsão Envase'!$H$5:$H$4867=$E191),0)),"")</f>
        <v/>
      </c>
      <c r="K191" s="68" t="str">
        <f>IF(COUNTIF('[2]Previsão Envase'!$F:$F,E191)&gt;0,"Linha 1",
IF(COUNTIF('[2]Previsão Envase'!$G:$G,E191)&gt;0,"Linha 2",
IF(COUNTIF('[2]Previsão Envase'!$H:$H,E191)&gt;0,"Linha 3","")))</f>
        <v/>
      </c>
      <c r="L191" s="96">
        <f>COUNTIF('[2]Previsão Envase'!$F:$H,E191)-COUNTIF('[2]Previsão Envase'!$F$1:$H$4,E191)</f>
        <v>0</v>
      </c>
      <c r="M191" s="35">
        <f t="shared" si="31"/>
        <v>0</v>
      </c>
      <c r="N191" s="68" t="str">
        <f>IFERROR(MAX(_xlfn.MAXIFS('[2]Controle de Produção'!$C:$C,'[2]Controle de Produção'!$L:$L,$D191,'[2]Controle de Produção'!$P:$P,$C191,'[2]Controle de Produção'!$G:$G,$B191),_xlfn.MAXIFS([3]EXPEDIÇÃO!$N:$N,[3]EXPEDIÇÃO!$E:$E,$D191,[3]EXPEDIÇÃO!$D:$D,$C191,[3]EXPEDIÇÃO!$N:$N,"&gt;="&amp;$G191)),"")</f>
        <v/>
      </c>
      <c r="O191" s="70">
        <f>INDEX([1]Produtos!$E:$E,MATCH($D191,[1]Produtos!$B:$B,0))</f>
        <v>50</v>
      </c>
      <c r="P191" s="70" t="str">
        <f>INDEX([1]Produtos!$F:$F,MATCH($D191,[1]Produtos!$B:$B,0))</f>
        <v>ml</v>
      </c>
      <c r="Q191" s="105">
        <f>INDEX([1]Produtos!$Y:$Y,MATCH($D191,[1]Produtos!$B:$B,0))</f>
        <v>0</v>
      </c>
      <c r="R191" s="35">
        <f t="shared" si="32"/>
        <v>1577.3766463727152</v>
      </c>
      <c r="S191" s="27">
        <f>IFERROR(INDEX([1]Produtos!$L:$L,MATCH(D191,[1]Produtos!$B:$B,0)), "")</f>
        <v>175.26407181919058</v>
      </c>
      <c r="T191" s="28">
        <f t="shared" si="33"/>
        <v>2.9</v>
      </c>
      <c r="U191" s="28" t="str">
        <f t="shared" si="34"/>
        <v>0D e 3h</v>
      </c>
      <c r="V191" s="27">
        <f>IFERROR(SUMIFS('[2]Controle de Produção'!$K:$K,'[2]Controle de Produção'!$L:$L,D191,'[2]Controle de Produção'!$P:$P,C191,'[2]Controle de Produção'!$B:$B,"&gt;=" &amp; G191,'[2]Controle de Produção'!$C:$C,"&lt;=" &amp; N191, '[2]Controle de Produção'!$G:$G,B191), "")</f>
        <v>0</v>
      </c>
      <c r="W191" s="27" t="str">
        <f>IFERROR(SUMIFS([3]EXPEDIÇÃO!$K:$K,[3]EXPEDIÇÃO!$E:$E,D191,[3]EXPEDIÇÃO!$D:$D,C191,[3]EXPEDIÇÃO!$N:$N,"&gt;=" &amp; G191,[3]EXPEDIÇÃO!$N:$N,"&lt;="&amp;N191), "")</f>
        <v/>
      </c>
      <c r="X191" s="27">
        <f>COUNTIFS('[2]Controle de Produção'!$P:$P,C191,'[2]Controle de Produção'!$L:$L,D191,'[2]Controle de Produção'!$B:$B,"&gt;=" &amp; G191)</f>
        <v>2</v>
      </c>
      <c r="Y191" s="27">
        <f t="shared" si="35"/>
        <v>0</v>
      </c>
      <c r="Z191" s="27">
        <f>IFERROR(COUNTIFS('[2]Controle de Produção'!$L:$L,D191,'[2]Controle de Produção'!$P:$P,C191,'[2]Controle de Produção'!$B:$B,"&gt;=" &amp; G191,'[2]Controle de Produção'!$C:$C,"&lt;=" &amp; N191, '[2]Controle de Produção'!$G:$G,B191), "")</f>
        <v>0</v>
      </c>
      <c r="AA191" s="108" t="str">
        <f t="shared" si="36"/>
        <v/>
      </c>
      <c r="AB191" s="41" t="str" cm="1">
        <f t="array" ref="AB191">_xlfn.IFS((H191*0.95)&lt;=V191,"Concluído",AND(V191 =0, J191&lt;&gt;""),"Programado",AND(V191=0,D191=""),"Desenvolv.",V191=0,"Não Iniciado",AND(V191&gt;0,V191&lt;H191,AO191=TRUE),"Em Produção",AND(V191&gt;0,V191&lt;H191,AO191=FALSE),"Produção Parcial")</f>
        <v>Não Iniciado</v>
      </c>
      <c r="AC191" s="42" t="b">
        <v>1</v>
      </c>
      <c r="AD191" s="42" t="b">
        <v>1</v>
      </c>
      <c r="AE191" s="42" t="b">
        <v>1</v>
      </c>
      <c r="AF191" s="42" t="b">
        <v>1</v>
      </c>
      <c r="AG191" s="42" t="b">
        <v>1</v>
      </c>
      <c r="AH191" s="42" t="b">
        <v>1</v>
      </c>
      <c r="AI191" s="42" t="b">
        <v>1</v>
      </c>
      <c r="AJ191" s="42" t="b">
        <v>1</v>
      </c>
      <c r="AK191" s="42" t="b">
        <v>0</v>
      </c>
      <c r="AL191" s="42" t="b">
        <v>1</v>
      </c>
      <c r="AM191" s="42" t="b">
        <v>1</v>
      </c>
      <c r="AN191" s="42" t="b">
        <v>1</v>
      </c>
      <c r="AO191" s="45" t="b" cm="1">
        <f t="array" ref="AO191">AND(COUNTIF(AC191:AN191,FALSE)=0,SUMPRODUCT(ISNUMBER(AC191:AN191)*1)=0)</f>
        <v>0</v>
      </c>
      <c r="AP191" s="59"/>
      <c r="AQ191" s="111">
        <f>IF(AB191="",99999999999,IFERROR(MATCH(AB191,{"Produção Parcial","Em Produção","Programado","Não Iniciado","Desenvolv.","Concluído"},0),7)*100000000+IF(ISNUMBER(J191),J191-46000,9999)*10000+IF(A191="",99,A191)*100+IF(C191="",99,CODE(LEFT(C191,1))))</f>
        <v>499990377</v>
      </c>
    </row>
    <row r="192" spans="1:43" s="36" customFormat="1" ht="25.15" hidden="1" customHeight="1" x14ac:dyDescent="0.25">
      <c r="A192" s="36">
        <v>3</v>
      </c>
      <c r="B192" s="38" t="s">
        <v>106</v>
      </c>
      <c r="C192" s="24" t="str">
        <f>INDEX([1]Produtos!$G:$G,MATCH($D192,[1]Produtos!$B:$B,0))</f>
        <v>MOUTIER</v>
      </c>
      <c r="D192" s="24" t="s">
        <v>110</v>
      </c>
      <c r="E192" s="70" t="str">
        <f>INDEX([1]Produtos!$C:$C,MATCH($D192,[1]Produtos!$B:$B,0))&amp;IF($F192&lt;&gt;"-"," - "&amp;LEFT($F192,1),"")&amp;" &gt; "&amp;$B192</f>
        <v>PERFUME FEMININO 18 AMOR AMOR &gt; Perfumes Moutier</v>
      </c>
      <c r="F192" s="51" t="s">
        <v>38</v>
      </c>
      <c r="G192" s="38">
        <v>45810</v>
      </c>
      <c r="H192" s="39">
        <v>500</v>
      </c>
      <c r="I192" s="24" t="s">
        <v>39</v>
      </c>
      <c r="J192" s="68" t="str" cm="1">
        <f t="array" ref="J192">IFERROR(INDEX('[2]Previsão Envase'!$D$5:$D$4867, MATCH(1,('[2]Previsão Envase'!$F$5:$F$4867=$E192)+('[2]Previsão Envase'!$G$5:$G$4867=$E192)+('[2]Previsão Envase'!$H$5:$H$4867=$E192),0)),"")</f>
        <v/>
      </c>
      <c r="K192" s="68" t="str">
        <f>IF(COUNTIF('[2]Previsão Envase'!$F:$F,E192)&gt;0,"Linha 1",
IF(COUNTIF('[2]Previsão Envase'!$G:$G,E192)&gt;0,"Linha 2",
IF(COUNTIF('[2]Previsão Envase'!$H:$H,E192)&gt;0,"Linha 3","")))</f>
        <v/>
      </c>
      <c r="L192" s="96">
        <f>COUNTIF('[2]Previsão Envase'!$F:$H,E192)-COUNTIF('[2]Previsão Envase'!$F$1:$H$4,E192)</f>
        <v>0</v>
      </c>
      <c r="M192" s="35">
        <f t="shared" si="31"/>
        <v>0</v>
      </c>
      <c r="N192" s="68" t="str">
        <f>IFERROR(MAX(_xlfn.MAXIFS('[2]Controle de Produção'!$C:$C,'[2]Controle de Produção'!$L:$L,$D192,'[2]Controle de Produção'!$P:$P,$C192,'[2]Controle de Produção'!$G:$G,$B192),_xlfn.MAXIFS([3]EXPEDIÇÃO!$N:$N,[3]EXPEDIÇÃO!$E:$E,$D192,[3]EXPEDIÇÃO!$D:$D,$C192,[3]EXPEDIÇÃO!$N:$N,"&gt;="&amp;$G192)),"")</f>
        <v/>
      </c>
      <c r="O192" s="70">
        <f>INDEX([1]Produtos!$E:$E,MATCH($D192,[1]Produtos!$B:$B,0))</f>
        <v>50</v>
      </c>
      <c r="P192" s="70" t="str">
        <f>INDEX([1]Produtos!$F:$F,MATCH($D192,[1]Produtos!$B:$B,0))</f>
        <v>ml</v>
      </c>
      <c r="Q192" s="105">
        <f>INDEX([1]Produtos!$Y:$Y,MATCH($D192,[1]Produtos!$B:$B,0))</f>
        <v>0</v>
      </c>
      <c r="R192" s="35">
        <f t="shared" si="32"/>
        <v>1577.3766463727152</v>
      </c>
      <c r="S192" s="27">
        <f>IFERROR(INDEX([1]Produtos!$L:$L,MATCH(D192,[1]Produtos!$B:$B,0)), "")</f>
        <v>175.26407181919058</v>
      </c>
      <c r="T192" s="28">
        <f t="shared" si="33"/>
        <v>2.9</v>
      </c>
      <c r="U192" s="28" t="str">
        <f t="shared" si="34"/>
        <v>0D e 3h</v>
      </c>
      <c r="V192" s="27">
        <f>IFERROR(SUMIFS('[2]Controle de Produção'!$K:$K,'[2]Controle de Produção'!$L:$L,D192,'[2]Controle de Produção'!$P:$P,C192,'[2]Controle de Produção'!$B:$B,"&gt;=" &amp; G192,'[2]Controle de Produção'!$C:$C,"&lt;=" &amp; N192, '[2]Controle de Produção'!$G:$G,B192), "")</f>
        <v>0</v>
      </c>
      <c r="W192" s="27" t="str">
        <f>IFERROR(SUMIFS([3]EXPEDIÇÃO!$K:$K,[3]EXPEDIÇÃO!$E:$E,D192,[3]EXPEDIÇÃO!$D:$D,C192,[3]EXPEDIÇÃO!$N:$N,"&gt;=" &amp; G192,[3]EXPEDIÇÃO!$N:$N,"&lt;="&amp;N192), "")</f>
        <v/>
      </c>
      <c r="X192" s="27">
        <f>COUNTIFS('[2]Controle de Produção'!$P:$P,C192,'[2]Controle de Produção'!$L:$L,D192,'[2]Controle de Produção'!$B:$B,"&gt;=" &amp; G192)</f>
        <v>1</v>
      </c>
      <c r="Y192" s="27">
        <f t="shared" si="35"/>
        <v>0</v>
      </c>
      <c r="Z192" s="27">
        <f>IFERROR(COUNTIFS('[2]Controle de Produção'!$L:$L,D192,'[2]Controle de Produção'!$P:$P,C192,'[2]Controle de Produção'!$B:$B,"&gt;=" &amp; G192,'[2]Controle de Produção'!$C:$C,"&lt;=" &amp; N192, '[2]Controle de Produção'!$G:$G,B192), "")</f>
        <v>0</v>
      </c>
      <c r="AA192" s="108" t="str">
        <f t="shared" si="36"/>
        <v/>
      </c>
      <c r="AB192" s="41" t="str" cm="1">
        <f t="array" ref="AB192">_xlfn.IFS((H192*0.95)&lt;=V192,"Concluído",AND(V192 =0, J192&lt;&gt;""),"Programado",AND(V192=0,D192=""),"Desenvolv.",V192=0,"Não Iniciado",AND(V192&gt;0,V192&lt;H192,AO192=TRUE),"Em Produção",AND(V192&gt;0,V192&lt;H192,AO192=FALSE),"Produção Parcial")</f>
        <v>Não Iniciado</v>
      </c>
      <c r="AC192" s="42" t="b">
        <v>1</v>
      </c>
      <c r="AD192" s="42" t="b">
        <v>1</v>
      </c>
      <c r="AE192" s="42" t="b">
        <v>1</v>
      </c>
      <c r="AF192" s="42" t="b">
        <v>1</v>
      </c>
      <c r="AG192" s="42" t="b">
        <v>1</v>
      </c>
      <c r="AH192" s="42" t="b">
        <v>1</v>
      </c>
      <c r="AI192" s="42" t="b">
        <v>1</v>
      </c>
      <c r="AJ192" s="42" t="b">
        <v>1</v>
      </c>
      <c r="AK192" s="42" t="b">
        <v>0</v>
      </c>
      <c r="AL192" s="42" t="b">
        <v>1</v>
      </c>
      <c r="AM192" s="42" t="b">
        <v>1</v>
      </c>
      <c r="AN192" s="42" t="b">
        <v>1</v>
      </c>
      <c r="AO192" s="45" t="b" cm="1">
        <f t="array" ref="AO192">AND(COUNTIF(AC192:AN192,FALSE)=0,SUMPRODUCT(ISNUMBER(AC192:AN192)*1)=0)</f>
        <v>0</v>
      </c>
      <c r="AP192" s="59"/>
      <c r="AQ192" s="111">
        <f>IF(AB192="",99999999999,IFERROR(MATCH(AB192,{"Produção Parcial","Em Produção","Programado","Não Iniciado","Desenvolv.","Concluído"},0),7)*100000000+IF(ISNUMBER(J192),J192-46000,9999)*10000+IF(A192="",99,A192)*100+IF(C192="",99,CODE(LEFT(C192,1))))</f>
        <v>499990377</v>
      </c>
    </row>
    <row r="193" spans="1:43" s="36" customFormat="1" ht="25.15" hidden="1" customHeight="1" x14ac:dyDescent="0.25">
      <c r="A193" s="36">
        <v>3</v>
      </c>
      <c r="B193" s="38" t="s">
        <v>106</v>
      </c>
      <c r="C193" s="24" t="str">
        <f>INDEX([1]Produtos!$G:$G,MATCH($D193,[1]Produtos!$B:$B,0))</f>
        <v>MOUTIER</v>
      </c>
      <c r="D193" s="24" t="s">
        <v>109</v>
      </c>
      <c r="E193" s="70" t="str">
        <f>INDEX([1]Produtos!$C:$C,MATCH($D193,[1]Produtos!$B:$B,0))&amp;IF($F193&lt;&gt;"-"," - "&amp;LEFT($F193,1),"")&amp;" &gt; "&amp;$B193</f>
        <v>PERFUME FEMININO 31 L'INTERDIT ROUGE &gt; Perfumes Moutier</v>
      </c>
      <c r="F193" s="51" t="s">
        <v>38</v>
      </c>
      <c r="G193" s="38">
        <v>45810</v>
      </c>
      <c r="H193" s="39">
        <v>500</v>
      </c>
      <c r="I193" s="24" t="s">
        <v>39</v>
      </c>
      <c r="J193" s="68" t="str" cm="1">
        <f t="array" ref="J193">IFERROR(INDEX('[2]Previsão Envase'!$D$5:$D$4867, MATCH(1,('[2]Previsão Envase'!$F$5:$F$4867=$E193)+('[2]Previsão Envase'!$G$5:$G$4867=$E193)+('[2]Previsão Envase'!$H$5:$H$4867=$E193),0)),"")</f>
        <v/>
      </c>
      <c r="K193" s="68" t="str">
        <f>IF(COUNTIF('[2]Previsão Envase'!$F:$F,E193)&gt;0,"Linha 1",
IF(COUNTIF('[2]Previsão Envase'!$G:$G,E193)&gt;0,"Linha 2",
IF(COUNTIF('[2]Previsão Envase'!$H:$H,E193)&gt;0,"Linha 3","")))</f>
        <v/>
      </c>
      <c r="L193" s="96">
        <f>COUNTIF('[2]Previsão Envase'!$F:$H,E193)-COUNTIF('[2]Previsão Envase'!$F$1:$H$4,E193)</f>
        <v>0</v>
      </c>
      <c r="M193" s="35">
        <f t="shared" si="31"/>
        <v>0</v>
      </c>
      <c r="N193" s="68" t="str">
        <f>IFERROR(MAX(_xlfn.MAXIFS('[2]Controle de Produção'!$C:$C,'[2]Controle de Produção'!$L:$L,$D193,'[2]Controle de Produção'!$P:$P,$C193,'[2]Controle de Produção'!$G:$G,$B193),_xlfn.MAXIFS([3]EXPEDIÇÃO!$N:$N,[3]EXPEDIÇÃO!$E:$E,$D193,[3]EXPEDIÇÃO!$D:$D,$C193,[3]EXPEDIÇÃO!$N:$N,"&gt;="&amp;$G193)),"")</f>
        <v/>
      </c>
      <c r="O193" s="70">
        <f>INDEX([1]Produtos!$E:$E,MATCH($D193,[1]Produtos!$B:$B,0))</f>
        <v>50</v>
      </c>
      <c r="P193" s="70" t="str">
        <f>INDEX([1]Produtos!$F:$F,MATCH($D193,[1]Produtos!$B:$B,0))</f>
        <v>ml</v>
      </c>
      <c r="Q193" s="105">
        <f>INDEX([1]Produtos!$Y:$Y,MATCH($D193,[1]Produtos!$B:$B,0))</f>
        <v>0</v>
      </c>
      <c r="R193" s="35">
        <f t="shared" si="32"/>
        <v>1577.3766463727152</v>
      </c>
      <c r="S193" s="27">
        <f>IFERROR(INDEX([1]Produtos!$L:$L,MATCH(D193,[1]Produtos!$B:$B,0)), "")</f>
        <v>175.26407181919058</v>
      </c>
      <c r="T193" s="28">
        <f t="shared" si="33"/>
        <v>2.9</v>
      </c>
      <c r="U193" s="28" t="str">
        <f t="shared" si="34"/>
        <v>0D e 3h</v>
      </c>
      <c r="V193" s="27">
        <f>IFERROR(SUMIFS('[2]Controle de Produção'!$K:$K,'[2]Controle de Produção'!$L:$L,D193,'[2]Controle de Produção'!$P:$P,C193,'[2]Controle de Produção'!$B:$B,"&gt;=" &amp; G193,'[2]Controle de Produção'!$C:$C,"&lt;=" &amp; N193, '[2]Controle de Produção'!$G:$G,B193), "")</f>
        <v>0</v>
      </c>
      <c r="W193" s="27" t="str">
        <f>IFERROR(SUMIFS([3]EXPEDIÇÃO!$K:$K,[3]EXPEDIÇÃO!$E:$E,D193,[3]EXPEDIÇÃO!$D:$D,C193,[3]EXPEDIÇÃO!$N:$N,"&gt;=" &amp; G193,[3]EXPEDIÇÃO!$N:$N,"&lt;="&amp;N193), "")</f>
        <v/>
      </c>
      <c r="X193" s="27">
        <f>COUNTIFS('[2]Controle de Produção'!$P:$P,C193,'[2]Controle de Produção'!$L:$L,D193,'[2]Controle de Produção'!$B:$B,"&gt;=" &amp; G193)</f>
        <v>1</v>
      </c>
      <c r="Y193" s="27">
        <f t="shared" si="35"/>
        <v>0</v>
      </c>
      <c r="Z193" s="27">
        <f>IFERROR(COUNTIFS('[2]Controle de Produção'!$L:$L,D193,'[2]Controle de Produção'!$P:$P,C193,'[2]Controle de Produção'!$B:$B,"&gt;=" &amp; G193,'[2]Controle de Produção'!$C:$C,"&lt;=" &amp; N193, '[2]Controle de Produção'!$G:$G,B193), "")</f>
        <v>0</v>
      </c>
      <c r="AA193" s="108" t="str">
        <f t="shared" si="36"/>
        <v/>
      </c>
      <c r="AB193" s="41" t="str" cm="1">
        <f t="array" ref="AB193">_xlfn.IFS((H193*0.95)&lt;=V193,"Concluído",AND(V193 =0, J193&lt;&gt;""),"Programado",AND(V193=0,D193=""),"Desenvolv.",V193=0,"Não Iniciado",AND(V193&gt;0,V193&lt;H193,AO193=TRUE),"Em Produção",AND(V193&gt;0,V193&lt;H193,AO193=FALSE),"Produção Parcial")</f>
        <v>Não Iniciado</v>
      </c>
      <c r="AC193" s="42" t="b">
        <v>1</v>
      </c>
      <c r="AD193" s="42" t="b">
        <v>1</v>
      </c>
      <c r="AE193" s="42" t="b">
        <v>1</v>
      </c>
      <c r="AF193" s="42" t="b">
        <v>1</v>
      </c>
      <c r="AG193" s="42" t="b">
        <v>1</v>
      </c>
      <c r="AH193" s="42" t="b">
        <v>1</v>
      </c>
      <c r="AI193" s="42" t="b">
        <v>1</v>
      </c>
      <c r="AJ193" s="42" t="b">
        <v>1</v>
      </c>
      <c r="AK193" s="42" t="b">
        <v>0</v>
      </c>
      <c r="AL193" s="42" t="b">
        <v>1</v>
      </c>
      <c r="AM193" s="42" t="b">
        <v>1</v>
      </c>
      <c r="AN193" s="42" t="b">
        <v>1</v>
      </c>
      <c r="AO193" s="45" t="b" cm="1">
        <f t="array" ref="AO193">AND(COUNTIF(AC193:AN193,FALSE)=0,SUMPRODUCT(ISNUMBER(AC193:AN193)*1)=0)</f>
        <v>0</v>
      </c>
      <c r="AP193" s="59"/>
      <c r="AQ193" s="111">
        <f>IF(AB193="",99999999999,IFERROR(MATCH(AB193,{"Produção Parcial","Em Produção","Programado","Não Iniciado","Desenvolv.","Concluído"},0),7)*100000000+IF(ISNUMBER(J193),J193-46000,9999)*10000+IF(A193="",99,A193)*100+IF(C193="",99,CODE(LEFT(C193,1))))</f>
        <v>499990377</v>
      </c>
    </row>
    <row r="194" spans="1:43" s="36" customFormat="1" ht="25.15" hidden="1" customHeight="1" x14ac:dyDescent="0.25">
      <c r="A194" s="36">
        <v>3</v>
      </c>
      <c r="B194" s="38" t="s">
        <v>106</v>
      </c>
      <c r="C194" s="24" t="str">
        <f>INDEX([1]Produtos!$G:$G,MATCH($D194,[1]Produtos!$B:$B,0))</f>
        <v>MOUTIER</v>
      </c>
      <c r="D194" s="24" t="s">
        <v>129</v>
      </c>
      <c r="E194" s="70" t="str">
        <f>INDEX([1]Produtos!$C:$C,MATCH($D194,[1]Produtos!$B:$B,0))&amp;IF($F194&lt;&gt;"-"," - "&amp;LEFT($F194,1),"")&amp;" &gt; "&amp;$B194</f>
        <v>PERFUME MASCULINO 100 SILVER SCENT &gt; Perfumes Moutier</v>
      </c>
      <c r="F194" s="51" t="s">
        <v>38</v>
      </c>
      <c r="G194" s="38">
        <v>45810</v>
      </c>
      <c r="H194" s="39">
        <v>1500</v>
      </c>
      <c r="I194" s="24" t="s">
        <v>39</v>
      </c>
      <c r="J194" s="68" t="str" cm="1">
        <f t="array" ref="J194">IFERROR(INDEX('[2]Previsão Envase'!$D$5:$D$4867, MATCH(1,('[2]Previsão Envase'!$F$5:$F$4867=$E194)+('[2]Previsão Envase'!$G$5:$G$4867=$E194)+('[2]Previsão Envase'!$H$5:$H$4867=$E194),0)),"")</f>
        <v/>
      </c>
      <c r="K194" s="68" t="str">
        <f>IF(COUNTIF('[2]Previsão Envase'!$F:$F,E194)&gt;0,"Linha 1",
IF(COUNTIF('[2]Previsão Envase'!$G:$G,E194)&gt;0,"Linha 2",
IF(COUNTIF('[2]Previsão Envase'!$H:$H,E194)&gt;0,"Linha 3","")))</f>
        <v/>
      </c>
      <c r="L194" s="96">
        <f>COUNTIF('[2]Previsão Envase'!$F:$H,E194)-COUNTIF('[2]Previsão Envase'!$F$1:$H$4,E194)</f>
        <v>0</v>
      </c>
      <c r="M194" s="35">
        <f t="shared" si="31"/>
        <v>0</v>
      </c>
      <c r="N194" s="68" t="str">
        <f>IFERROR(MAX(_xlfn.MAXIFS('[2]Controle de Produção'!$C:$C,'[2]Controle de Produção'!$L:$L,$D194,'[2]Controle de Produção'!$P:$P,$C194,'[2]Controle de Produção'!$G:$G,$B194),_xlfn.MAXIFS([3]EXPEDIÇÃO!$N:$N,[3]EXPEDIÇÃO!$E:$E,$D194,[3]EXPEDIÇÃO!$D:$D,$C194,[3]EXPEDIÇÃO!$N:$N,"&gt;="&amp;$G194)),"")</f>
        <v/>
      </c>
      <c r="O194" s="70">
        <f>INDEX([1]Produtos!$E:$E,MATCH($D194,[1]Produtos!$B:$B,0))</f>
        <v>50</v>
      </c>
      <c r="P194" s="70" t="str">
        <f>INDEX([1]Produtos!$F:$F,MATCH($D194,[1]Produtos!$B:$B,0))</f>
        <v>ml</v>
      </c>
      <c r="Q194" s="105">
        <f>INDEX([1]Produtos!$Y:$Y,MATCH($D194,[1]Produtos!$B:$B,0))</f>
        <v>0</v>
      </c>
      <c r="R194" s="35">
        <f t="shared" si="32"/>
        <v>1577.3766463727152</v>
      </c>
      <c r="S194" s="27">
        <f>IFERROR(INDEX([1]Produtos!$L:$L,MATCH(D194,[1]Produtos!$B:$B,0)), "")</f>
        <v>175.26407181919058</v>
      </c>
      <c r="T194" s="28">
        <f t="shared" si="33"/>
        <v>8.6</v>
      </c>
      <c r="U194" s="28" t="str">
        <f t="shared" si="34"/>
        <v>0D e 9h</v>
      </c>
      <c r="V194" s="27">
        <f>IFERROR(SUMIFS('[2]Controle de Produção'!$K:$K,'[2]Controle de Produção'!$L:$L,D194,'[2]Controle de Produção'!$P:$P,C194,'[2]Controle de Produção'!$B:$B,"&gt;=" &amp; G194,'[2]Controle de Produção'!$C:$C,"&lt;=" &amp; N194, '[2]Controle de Produção'!$G:$G,B194), "")</f>
        <v>0</v>
      </c>
      <c r="W194" s="27" t="str">
        <f>IFERROR(SUMIFS([3]EXPEDIÇÃO!$K:$K,[3]EXPEDIÇÃO!$E:$E,D194,[3]EXPEDIÇÃO!$D:$D,C194,[3]EXPEDIÇÃO!$N:$N,"&gt;=" &amp; G194,[3]EXPEDIÇÃO!$N:$N,"&lt;="&amp;N194), "")</f>
        <v/>
      </c>
      <c r="X194" s="27">
        <f>COUNTIFS('[2]Controle de Produção'!$P:$P,C194,'[2]Controle de Produção'!$L:$L,D194,'[2]Controle de Produção'!$B:$B,"&gt;=" &amp; G194)</f>
        <v>3</v>
      </c>
      <c r="Y194" s="27">
        <f t="shared" si="35"/>
        <v>0</v>
      </c>
      <c r="Z194" s="27">
        <f>IFERROR(COUNTIFS('[2]Controle de Produção'!$L:$L,D194,'[2]Controle de Produção'!$P:$P,C194,'[2]Controle de Produção'!$B:$B,"&gt;=" &amp; G194,'[2]Controle de Produção'!$C:$C,"&lt;=" &amp; N194, '[2]Controle de Produção'!$G:$G,B194), "")</f>
        <v>0</v>
      </c>
      <c r="AA194" s="108" t="str">
        <f t="shared" si="36"/>
        <v/>
      </c>
      <c r="AB194" s="41" t="str" cm="1">
        <f t="array" ref="AB194">_xlfn.IFS((H194*0.95)&lt;=V194,"Concluído",AND(V194 =0, J194&lt;&gt;""),"Programado",AND(V194=0,D194=""),"Desenvolv.",V194=0,"Não Iniciado",AND(V194&gt;0,V194&lt;H194,AO194=TRUE),"Em Produção",AND(V194&gt;0,V194&lt;H194,AO194=FALSE),"Produção Parcial")</f>
        <v>Não Iniciado</v>
      </c>
      <c r="AC194" s="42" t="b">
        <v>1</v>
      </c>
      <c r="AD194" s="42" t="b">
        <v>1</v>
      </c>
      <c r="AE194" s="42" t="b">
        <v>1</v>
      </c>
      <c r="AF194" s="42" t="b">
        <v>1</v>
      </c>
      <c r="AG194" s="42" t="b">
        <v>1</v>
      </c>
      <c r="AH194" s="42" t="b">
        <v>1</v>
      </c>
      <c r="AI194" s="42" t="b">
        <v>1</v>
      </c>
      <c r="AJ194" s="42" t="b">
        <v>1</v>
      </c>
      <c r="AK194" s="42" t="b">
        <v>0</v>
      </c>
      <c r="AL194" s="42" t="b">
        <v>1</v>
      </c>
      <c r="AM194" s="42" t="b">
        <v>1</v>
      </c>
      <c r="AN194" s="42" t="b">
        <v>1</v>
      </c>
      <c r="AO194" s="45" t="b" cm="1">
        <f t="array" ref="AO194">AND(COUNTIF(AC194:AN194,FALSE)=0,SUMPRODUCT(ISNUMBER(AC194:AN194)*1)=0)</f>
        <v>0</v>
      </c>
      <c r="AP194" s="59"/>
      <c r="AQ194" s="111">
        <f>IF(AB194="",99999999999,IFERROR(MATCH(AB194,{"Produção Parcial","Em Produção","Programado","Não Iniciado","Desenvolv.","Concluído"},0),7)*100000000+IF(ISNUMBER(J194),J194-46000,9999)*10000+IF(A194="",99,A194)*100+IF(C194="",99,CODE(LEFT(C194,1))))</f>
        <v>499990377</v>
      </c>
    </row>
    <row r="195" spans="1:43" s="36" customFormat="1" ht="25.15" hidden="1" customHeight="1" x14ac:dyDescent="0.25">
      <c r="A195" s="36">
        <v>3</v>
      </c>
      <c r="B195" s="38" t="s">
        <v>106</v>
      </c>
      <c r="C195" s="24" t="str">
        <f>INDEX([1]Produtos!$G:$G,MATCH($D195,[1]Produtos!$B:$B,0))</f>
        <v>MOUTIER</v>
      </c>
      <c r="D195" s="24" t="s">
        <v>145</v>
      </c>
      <c r="E195" s="70" t="str">
        <f>INDEX([1]Produtos!$C:$C,MATCH($D195,[1]Produtos!$B:$B,0))&amp;IF($F195&lt;&gt;"-"," - "&amp;LEFT($F195,1),"")&amp;" &gt; "&amp;$B195</f>
        <v>PERFUME MASCULINO 102 VIP BLACK &gt; Perfumes Moutier</v>
      </c>
      <c r="F195" s="51" t="s">
        <v>38</v>
      </c>
      <c r="G195" s="38">
        <v>45810</v>
      </c>
      <c r="H195" s="39">
        <v>500</v>
      </c>
      <c r="I195" s="24" t="s">
        <v>39</v>
      </c>
      <c r="J195" s="68" t="str" cm="1">
        <f t="array" ref="J195">IFERROR(INDEX('[2]Previsão Envase'!$D$5:$D$4867, MATCH(1,('[2]Previsão Envase'!$F$5:$F$4867=$E195)+('[2]Previsão Envase'!$G$5:$G$4867=$E195)+('[2]Previsão Envase'!$H$5:$H$4867=$E195),0)),"")</f>
        <v/>
      </c>
      <c r="K195" s="68" t="str">
        <f>IF(COUNTIF('[2]Previsão Envase'!$F:$F,E195)&gt;0,"Linha 1",
IF(COUNTIF('[2]Previsão Envase'!$G:$G,E195)&gt;0,"Linha 2",
IF(COUNTIF('[2]Previsão Envase'!$H:$H,E195)&gt;0,"Linha 3","")))</f>
        <v/>
      </c>
      <c r="L195" s="96">
        <f>COUNTIF('[2]Previsão Envase'!$F:$H,E195)-COUNTIF('[2]Previsão Envase'!$F$1:$H$4,E195)</f>
        <v>0</v>
      </c>
      <c r="M195" s="35">
        <f t="shared" si="31"/>
        <v>0</v>
      </c>
      <c r="N195" s="68" t="str">
        <f>IFERROR(MAX(_xlfn.MAXIFS('[2]Controle de Produção'!$C:$C,'[2]Controle de Produção'!$L:$L,$D195,'[2]Controle de Produção'!$P:$P,$C195,'[2]Controle de Produção'!$G:$G,$B195),_xlfn.MAXIFS([3]EXPEDIÇÃO!$N:$N,[3]EXPEDIÇÃO!$E:$E,$D195,[3]EXPEDIÇÃO!$D:$D,$C195,[3]EXPEDIÇÃO!$N:$N,"&gt;="&amp;$G195)),"")</f>
        <v/>
      </c>
      <c r="O195" s="70">
        <f>INDEX([1]Produtos!$E:$E,MATCH($D195,[1]Produtos!$B:$B,0))</f>
        <v>50</v>
      </c>
      <c r="P195" s="70" t="str">
        <f>INDEX([1]Produtos!$F:$F,MATCH($D195,[1]Produtos!$B:$B,0))</f>
        <v>ml</v>
      </c>
      <c r="Q195" s="105">
        <f>INDEX([1]Produtos!$Y:$Y,MATCH($D195,[1]Produtos!$B:$B,0))</f>
        <v>0</v>
      </c>
      <c r="R195" s="35">
        <f t="shared" si="32"/>
        <v>1577.3766463727152</v>
      </c>
      <c r="S195" s="27">
        <f>IFERROR(INDEX([1]Produtos!$L:$L,MATCH(D195,[1]Produtos!$B:$B,0)), "")</f>
        <v>175.26407181919058</v>
      </c>
      <c r="T195" s="28">
        <f t="shared" si="33"/>
        <v>2.9</v>
      </c>
      <c r="U195" s="28" t="str">
        <f t="shared" si="34"/>
        <v>0D e 3h</v>
      </c>
      <c r="V195" s="27">
        <f>IFERROR(SUMIFS('[2]Controle de Produção'!$K:$K,'[2]Controle de Produção'!$L:$L,D195,'[2]Controle de Produção'!$P:$P,C195,'[2]Controle de Produção'!$B:$B,"&gt;=" &amp; G195,'[2]Controle de Produção'!$C:$C,"&lt;=" &amp; N195, '[2]Controle de Produção'!$G:$G,B195), "")</f>
        <v>0</v>
      </c>
      <c r="W195" s="27" t="str">
        <f>IFERROR(SUMIFS([3]EXPEDIÇÃO!$K:$K,[3]EXPEDIÇÃO!$E:$E,D195,[3]EXPEDIÇÃO!$D:$D,C195,[3]EXPEDIÇÃO!$N:$N,"&gt;=" &amp; G195,[3]EXPEDIÇÃO!$N:$N,"&lt;="&amp;N195), "")</f>
        <v/>
      </c>
      <c r="X195" s="27">
        <f>COUNTIFS('[2]Controle de Produção'!$P:$P,C195,'[2]Controle de Produção'!$L:$L,D195,'[2]Controle de Produção'!$B:$B,"&gt;=" &amp; G195)</f>
        <v>3</v>
      </c>
      <c r="Y195" s="27">
        <f t="shared" si="35"/>
        <v>0</v>
      </c>
      <c r="Z195" s="27">
        <f>IFERROR(COUNTIFS('[2]Controle de Produção'!$L:$L,D195,'[2]Controle de Produção'!$P:$P,C195,'[2]Controle de Produção'!$B:$B,"&gt;=" &amp; G195,'[2]Controle de Produção'!$C:$C,"&lt;=" &amp; N195, '[2]Controle de Produção'!$G:$G,B195), "")</f>
        <v>0</v>
      </c>
      <c r="AA195" s="108" t="str">
        <f t="shared" si="36"/>
        <v/>
      </c>
      <c r="AB195" s="41" t="str" cm="1">
        <f t="array" ref="AB195">_xlfn.IFS((H195*0.95)&lt;=V195,"Concluído",AND(V195 =0, J195&lt;&gt;""),"Programado",AND(V195=0,D195=""),"Desenvolv.",V195=0,"Não Iniciado",AND(V195&gt;0,V195&lt;H195,AO195=TRUE),"Em Produção",AND(V195&gt;0,V195&lt;H195,AO195=FALSE),"Produção Parcial")</f>
        <v>Não Iniciado</v>
      </c>
      <c r="AC195" s="42" t="b">
        <v>1</v>
      </c>
      <c r="AD195" s="42" t="b">
        <v>1</v>
      </c>
      <c r="AE195" s="42" t="b">
        <v>1</v>
      </c>
      <c r="AF195" s="42" t="b">
        <v>1</v>
      </c>
      <c r="AG195" s="42" t="b">
        <v>1</v>
      </c>
      <c r="AH195" s="42" t="b">
        <v>1</v>
      </c>
      <c r="AI195" s="42" t="b">
        <v>1</v>
      </c>
      <c r="AJ195" s="42" t="b">
        <v>1</v>
      </c>
      <c r="AK195" s="42" t="b">
        <v>0</v>
      </c>
      <c r="AL195" s="42" t="b">
        <v>1</v>
      </c>
      <c r="AM195" s="42" t="b">
        <v>1</v>
      </c>
      <c r="AN195" s="42" t="b">
        <v>1</v>
      </c>
      <c r="AO195" s="45" t="b" cm="1">
        <f t="array" ref="AO195">AND(COUNTIF(AC195:AN195,FALSE)=0,SUMPRODUCT(ISNUMBER(AC195:AN195)*1)=0)</f>
        <v>0</v>
      </c>
      <c r="AP195" s="59"/>
      <c r="AQ195" s="111">
        <f>IF(AB195="",99999999999,IFERROR(MATCH(AB195,{"Produção Parcial","Em Produção","Programado","Não Iniciado","Desenvolv.","Concluído"},0),7)*100000000+IF(ISNUMBER(J195),J195-46000,9999)*10000+IF(A195="",99,A195)*100+IF(C195="",99,CODE(LEFT(C195,1))))</f>
        <v>499990377</v>
      </c>
    </row>
    <row r="196" spans="1:43" s="36" customFormat="1" ht="25.15" hidden="1" customHeight="1" x14ac:dyDescent="0.25">
      <c r="A196" s="36">
        <v>3</v>
      </c>
      <c r="B196" s="38" t="s">
        <v>106</v>
      </c>
      <c r="C196" s="24" t="str">
        <f>INDEX([1]Produtos!$G:$G,MATCH($D196,[1]Produtos!$B:$B,0))</f>
        <v>MOUTIER</v>
      </c>
      <c r="D196" s="24" t="s">
        <v>144</v>
      </c>
      <c r="E196" s="70" t="str">
        <f>INDEX([1]Produtos!$C:$C,MATCH($D196,[1]Produtos!$B:$B,0))&amp;IF($F196&lt;&gt;"-"," - "&amp;LEFT($F196,1),"")&amp;" &gt; "&amp;$B196</f>
        <v>PERFUME MASCULINO 103 BOSS BOTTLED &gt; Perfumes Moutier</v>
      </c>
      <c r="F196" s="51" t="s">
        <v>38</v>
      </c>
      <c r="G196" s="38">
        <v>45810</v>
      </c>
      <c r="H196" s="39">
        <v>500</v>
      </c>
      <c r="I196" s="24" t="s">
        <v>39</v>
      </c>
      <c r="J196" s="68" t="str" cm="1">
        <f t="array" ref="J196">IFERROR(INDEX('[2]Previsão Envase'!$D$5:$D$4867, MATCH(1,('[2]Previsão Envase'!$F$5:$F$4867=$E196)+('[2]Previsão Envase'!$G$5:$G$4867=$E196)+('[2]Previsão Envase'!$H$5:$H$4867=$E196),0)),"")</f>
        <v/>
      </c>
      <c r="K196" s="68" t="str">
        <f>IF(COUNTIF('[2]Previsão Envase'!$F:$F,E196)&gt;0,"Linha 1",
IF(COUNTIF('[2]Previsão Envase'!$G:$G,E196)&gt;0,"Linha 2",
IF(COUNTIF('[2]Previsão Envase'!$H:$H,E196)&gt;0,"Linha 3","")))</f>
        <v/>
      </c>
      <c r="L196" s="96">
        <f>COUNTIF('[2]Previsão Envase'!$F:$H,E196)-COUNTIF('[2]Previsão Envase'!$F$1:$H$4,E196)</f>
        <v>0</v>
      </c>
      <c r="M196" s="35">
        <f t="shared" si="31"/>
        <v>0</v>
      </c>
      <c r="N196" s="68" t="str">
        <f>IFERROR(MAX(_xlfn.MAXIFS('[2]Controle de Produção'!$C:$C,'[2]Controle de Produção'!$L:$L,$D196,'[2]Controle de Produção'!$P:$P,$C196,'[2]Controle de Produção'!$G:$G,$B196),_xlfn.MAXIFS([3]EXPEDIÇÃO!$N:$N,[3]EXPEDIÇÃO!$E:$E,$D196,[3]EXPEDIÇÃO!$D:$D,$C196,[3]EXPEDIÇÃO!$N:$N,"&gt;="&amp;$G196)),"")</f>
        <v/>
      </c>
      <c r="O196" s="70">
        <f>INDEX([1]Produtos!$E:$E,MATCH($D196,[1]Produtos!$B:$B,0))</f>
        <v>50</v>
      </c>
      <c r="P196" s="70" t="str">
        <f>INDEX([1]Produtos!$F:$F,MATCH($D196,[1]Produtos!$B:$B,0))</f>
        <v>ml</v>
      </c>
      <c r="Q196" s="105">
        <f>INDEX([1]Produtos!$Y:$Y,MATCH($D196,[1]Produtos!$B:$B,0))</f>
        <v>0</v>
      </c>
      <c r="R196" s="35">
        <f t="shared" si="32"/>
        <v>1577.3766463727152</v>
      </c>
      <c r="S196" s="27">
        <f>IFERROR(INDEX([1]Produtos!$L:$L,MATCH(D196,[1]Produtos!$B:$B,0)), "")</f>
        <v>175.26407181919058</v>
      </c>
      <c r="T196" s="28">
        <f t="shared" si="33"/>
        <v>2.9</v>
      </c>
      <c r="U196" s="28" t="str">
        <f t="shared" si="34"/>
        <v>0D e 3h</v>
      </c>
      <c r="V196" s="27">
        <f>IFERROR(SUMIFS('[2]Controle de Produção'!$K:$K,'[2]Controle de Produção'!$L:$L,D196,'[2]Controle de Produção'!$P:$P,C196,'[2]Controle de Produção'!$B:$B,"&gt;=" &amp; G196,'[2]Controle de Produção'!$C:$C,"&lt;=" &amp; N196, '[2]Controle de Produção'!$G:$G,B196), "")</f>
        <v>0</v>
      </c>
      <c r="W196" s="27" t="str">
        <f>IFERROR(SUMIFS([3]EXPEDIÇÃO!$K:$K,[3]EXPEDIÇÃO!$E:$E,D196,[3]EXPEDIÇÃO!$D:$D,C196,[3]EXPEDIÇÃO!$N:$N,"&gt;=" &amp; G196,[3]EXPEDIÇÃO!$N:$N,"&lt;="&amp;N196), "")</f>
        <v/>
      </c>
      <c r="X196" s="27">
        <f>COUNTIFS('[2]Controle de Produção'!$P:$P,C196,'[2]Controle de Produção'!$L:$L,D196,'[2]Controle de Produção'!$B:$B,"&gt;=" &amp; G196)</f>
        <v>1</v>
      </c>
      <c r="Y196" s="27">
        <f t="shared" si="35"/>
        <v>0</v>
      </c>
      <c r="Z196" s="27">
        <f>IFERROR(COUNTIFS('[2]Controle de Produção'!$L:$L,D196,'[2]Controle de Produção'!$P:$P,C196,'[2]Controle de Produção'!$B:$B,"&gt;=" &amp; G196,'[2]Controle de Produção'!$C:$C,"&lt;=" &amp; N196, '[2]Controle de Produção'!$G:$G,B196), "")</f>
        <v>0</v>
      </c>
      <c r="AA196" s="108" t="str">
        <f t="shared" si="36"/>
        <v/>
      </c>
      <c r="AB196" s="41" t="str" cm="1">
        <f t="array" ref="AB196">_xlfn.IFS((H196*0.95)&lt;=V196,"Concluído",AND(V196 =0, J196&lt;&gt;""),"Programado",AND(V196=0,D196=""),"Desenvolv.",V196=0,"Não Iniciado",AND(V196&gt;0,V196&lt;H196,AO196=TRUE),"Em Produção",AND(V196&gt;0,V196&lt;H196,AO196=FALSE),"Produção Parcial")</f>
        <v>Não Iniciado</v>
      </c>
      <c r="AC196" s="42" t="b">
        <v>1</v>
      </c>
      <c r="AD196" s="42" t="b">
        <v>1</v>
      </c>
      <c r="AE196" s="42" t="b">
        <v>1</v>
      </c>
      <c r="AF196" s="42" t="b">
        <v>1</v>
      </c>
      <c r="AG196" s="42" t="b">
        <v>1</v>
      </c>
      <c r="AH196" s="42" t="b">
        <v>1</v>
      </c>
      <c r="AI196" s="42" t="b">
        <v>1</v>
      </c>
      <c r="AJ196" s="42" t="b">
        <v>1</v>
      </c>
      <c r="AK196" s="42" t="b">
        <v>0</v>
      </c>
      <c r="AL196" s="42" t="b">
        <v>1</v>
      </c>
      <c r="AM196" s="42" t="b">
        <v>1</v>
      </c>
      <c r="AN196" s="42" t="b">
        <v>1</v>
      </c>
      <c r="AO196" s="45" t="b" cm="1">
        <f t="array" ref="AO196">AND(COUNTIF(AC196:AN196,FALSE)=0,SUMPRODUCT(ISNUMBER(AC196:AN196)*1)=0)</f>
        <v>0</v>
      </c>
      <c r="AP196" s="59"/>
      <c r="AQ196" s="111">
        <f>IF(AB196="",99999999999,IFERROR(MATCH(AB196,{"Produção Parcial","Em Produção","Programado","Não Iniciado","Desenvolv.","Concluído"},0),7)*100000000+IF(ISNUMBER(J196),J196-46000,9999)*10000+IF(A196="",99,A196)*100+IF(C196="",99,CODE(LEFT(C196,1))))</f>
        <v>499990377</v>
      </c>
    </row>
    <row r="197" spans="1:43" s="36" customFormat="1" ht="25.15" hidden="1" customHeight="1" x14ac:dyDescent="0.25">
      <c r="A197" s="36">
        <v>3</v>
      </c>
      <c r="B197" s="38" t="s">
        <v>106</v>
      </c>
      <c r="C197" s="24" t="str">
        <f>INDEX([1]Produtos!$G:$G,MATCH($D197,[1]Produtos!$B:$B,0))</f>
        <v>MOUTIER</v>
      </c>
      <c r="D197" s="24" t="s">
        <v>143</v>
      </c>
      <c r="E197" s="70" t="str">
        <f>INDEX([1]Produtos!$C:$C,MATCH($D197,[1]Produtos!$B:$B,0))&amp;IF($F197&lt;&gt;"-"," - "&amp;LEFT($F197,1),"")&amp;" &gt; "&amp;$B197</f>
        <v>PERFUME MASCULINO 104 FERRARI BLACK &gt; Perfumes Moutier</v>
      </c>
      <c r="F197" s="51" t="s">
        <v>38</v>
      </c>
      <c r="G197" s="38">
        <v>45810</v>
      </c>
      <c r="H197" s="39">
        <v>500</v>
      </c>
      <c r="I197" s="24" t="s">
        <v>39</v>
      </c>
      <c r="J197" s="68" t="str" cm="1">
        <f t="array" ref="J197">IFERROR(INDEX('[2]Previsão Envase'!$D$5:$D$4867, MATCH(1,('[2]Previsão Envase'!$F$5:$F$4867=$E197)+('[2]Previsão Envase'!$G$5:$G$4867=$E197)+('[2]Previsão Envase'!$H$5:$H$4867=$E197),0)),"")</f>
        <v/>
      </c>
      <c r="K197" s="68" t="str">
        <f>IF(COUNTIF('[2]Previsão Envase'!$F:$F,E197)&gt;0,"Linha 1",
IF(COUNTIF('[2]Previsão Envase'!$G:$G,E197)&gt;0,"Linha 2",
IF(COUNTIF('[2]Previsão Envase'!$H:$H,E197)&gt;0,"Linha 3","")))</f>
        <v/>
      </c>
      <c r="L197" s="96">
        <f>COUNTIF('[2]Previsão Envase'!$F:$H,E197)-COUNTIF('[2]Previsão Envase'!$F$1:$H$4,E197)</f>
        <v>0</v>
      </c>
      <c r="M197" s="35">
        <f t="shared" ref="M197:M260" si="37">IFERROR(L197*S197,"-")</f>
        <v>0</v>
      </c>
      <c r="N197" s="68" t="str">
        <f>IFERROR(MAX(_xlfn.MAXIFS('[2]Controle de Produção'!$C:$C,'[2]Controle de Produção'!$L:$L,$D197,'[2]Controle de Produção'!$P:$P,$C197,'[2]Controle de Produção'!$G:$G,$B197),_xlfn.MAXIFS([3]EXPEDIÇÃO!$N:$N,[3]EXPEDIÇÃO!$E:$E,$D197,[3]EXPEDIÇÃO!$D:$D,$C197,[3]EXPEDIÇÃO!$N:$N,"&gt;="&amp;$G197)),"")</f>
        <v/>
      </c>
      <c r="O197" s="70">
        <f>INDEX([1]Produtos!$E:$E,MATCH($D197,[1]Produtos!$B:$B,0))</f>
        <v>50</v>
      </c>
      <c r="P197" s="70" t="str">
        <f>INDEX([1]Produtos!$F:$F,MATCH($D197,[1]Produtos!$B:$B,0))</f>
        <v>ml</v>
      </c>
      <c r="Q197" s="105">
        <f>INDEX([1]Produtos!$Y:$Y,MATCH($D197,[1]Produtos!$B:$B,0))</f>
        <v>0</v>
      </c>
      <c r="R197" s="35">
        <f t="shared" ref="R197:R260" si="38">IFERROR(S197*9, "-")</f>
        <v>1577.3766463727152</v>
      </c>
      <c r="S197" s="27">
        <f>IFERROR(INDEX([1]Produtos!$L:$L,MATCH(D197,[1]Produtos!$B:$B,0)), "")</f>
        <v>175.26407181919058</v>
      </c>
      <c r="T197" s="28">
        <f t="shared" ref="T197:T260" si="39">IFERROR(ROUNDUP(H197/S197,1),"-")</f>
        <v>2.9</v>
      </c>
      <c r="U197" s="28" t="str">
        <f t="shared" ref="U197:U260" si="40">IFERROR(ROUNDDOWN(T197/8.8,0)&amp;"D e "&amp;ROUNDUP(MOD(T197,8.8),0)&amp;"h","-")</f>
        <v>0D e 3h</v>
      </c>
      <c r="V197" s="27">
        <f>IFERROR(SUMIFS('[2]Controle de Produção'!$K:$K,'[2]Controle de Produção'!$L:$L,D197,'[2]Controle de Produção'!$P:$P,C197,'[2]Controle de Produção'!$B:$B,"&gt;=" &amp; G197,'[2]Controle de Produção'!$C:$C,"&lt;=" &amp; N197, '[2]Controle de Produção'!$G:$G,B197), "")</f>
        <v>0</v>
      </c>
      <c r="W197" s="27" t="str">
        <f>IFERROR(SUMIFS([3]EXPEDIÇÃO!$K:$K,[3]EXPEDIÇÃO!$E:$E,D197,[3]EXPEDIÇÃO!$D:$D,C197,[3]EXPEDIÇÃO!$N:$N,"&gt;=" &amp; G197,[3]EXPEDIÇÃO!$N:$N,"&lt;="&amp;N197), "")</f>
        <v/>
      </c>
      <c r="X197" s="27">
        <f>COUNTIFS('[2]Controle de Produção'!$P:$P,C197,'[2]Controle de Produção'!$L:$L,D197,'[2]Controle de Produção'!$B:$B,"&gt;=" &amp; G197)</f>
        <v>3</v>
      </c>
      <c r="Y197" s="27">
        <f t="shared" ref="Y197:Y260" si="41">IFERROR(AVERAGE(V197/X197),"-")</f>
        <v>0</v>
      </c>
      <c r="Z197" s="27">
        <f>IFERROR(COUNTIFS('[2]Controle de Produção'!$L:$L,D197,'[2]Controle de Produção'!$P:$P,C197,'[2]Controle de Produção'!$B:$B,"&gt;=" &amp; G197,'[2]Controle de Produção'!$C:$C,"&lt;=" &amp; N197, '[2]Controle de Produção'!$G:$G,B197), "")</f>
        <v>0</v>
      </c>
      <c r="AA197" s="108" t="str">
        <f t="shared" ref="AA197:AA235" si="42">IF(OR(V197=0,H197=0),"",IF(V197="","",(V197-H197)/H197))</f>
        <v/>
      </c>
      <c r="AB197" s="41" t="str" cm="1">
        <f t="array" ref="AB197">_xlfn.IFS((H197*0.95)&lt;=V197,"Concluído",AND(V197 =0, J197&lt;&gt;""),"Programado",AND(V197=0,D197=""),"Desenvolv.",V197=0,"Não Iniciado",AND(V197&gt;0,V197&lt;H197,AO197=TRUE),"Em Produção",AND(V197&gt;0,V197&lt;H197,AO197=FALSE),"Produção Parcial")</f>
        <v>Não Iniciado</v>
      </c>
      <c r="AC197" s="42" t="b">
        <v>1</v>
      </c>
      <c r="AD197" s="42" t="b">
        <v>1</v>
      </c>
      <c r="AE197" s="42" t="b">
        <v>1</v>
      </c>
      <c r="AF197" s="42" t="b">
        <v>1</v>
      </c>
      <c r="AG197" s="42" t="b">
        <v>1</v>
      </c>
      <c r="AH197" s="42" t="b">
        <v>1</v>
      </c>
      <c r="AI197" s="42" t="b">
        <v>1</v>
      </c>
      <c r="AJ197" s="42" t="b">
        <v>1</v>
      </c>
      <c r="AK197" s="42" t="b">
        <v>0</v>
      </c>
      <c r="AL197" s="42" t="b">
        <v>1</v>
      </c>
      <c r="AM197" s="42" t="b">
        <v>1</v>
      </c>
      <c r="AN197" s="42" t="b">
        <v>1</v>
      </c>
      <c r="AO197" s="45" t="b" cm="1">
        <f t="array" ref="AO197">AND(COUNTIF(AC197:AN197,FALSE)=0,SUMPRODUCT(ISNUMBER(AC197:AN197)*1)=0)</f>
        <v>0</v>
      </c>
      <c r="AP197" s="59"/>
      <c r="AQ197" s="111">
        <f>IF(AB197="",99999999999,IFERROR(MATCH(AB197,{"Produção Parcial","Em Produção","Programado","Não Iniciado","Desenvolv.","Concluído"},0),7)*100000000+IF(ISNUMBER(J197),J197-46000,9999)*10000+IF(A197="",99,A197)*100+IF(C197="",99,CODE(LEFT(C197,1))))</f>
        <v>499990377</v>
      </c>
    </row>
    <row r="198" spans="1:43" s="36" customFormat="1" ht="25.15" hidden="1" customHeight="1" x14ac:dyDescent="0.25">
      <c r="A198" s="36">
        <v>3</v>
      </c>
      <c r="B198" s="38" t="s">
        <v>106</v>
      </c>
      <c r="C198" s="24" t="str">
        <f>INDEX([1]Produtos!$G:$G,MATCH($D198,[1]Produtos!$B:$B,0))</f>
        <v>MOUTIER</v>
      </c>
      <c r="D198" s="24" t="s">
        <v>142</v>
      </c>
      <c r="E198" s="70" t="str">
        <f>INDEX([1]Produtos!$C:$C,MATCH($D198,[1]Produtos!$B:$B,0))&amp;IF($F198&lt;&gt;"-"," - "&amp;LEFT($F198,1),"")&amp;" &gt; "&amp;$B198</f>
        <v>PERFUME MASCULINO 105 SAUVAGE &gt; Perfumes Moutier</v>
      </c>
      <c r="F198" s="51" t="s">
        <v>38</v>
      </c>
      <c r="G198" s="38">
        <v>45810</v>
      </c>
      <c r="H198" s="39">
        <v>500</v>
      </c>
      <c r="I198" s="24" t="s">
        <v>39</v>
      </c>
      <c r="J198" s="68" t="str" cm="1">
        <f t="array" ref="J198">IFERROR(INDEX('[2]Previsão Envase'!$D$5:$D$4867, MATCH(1,('[2]Previsão Envase'!$F$5:$F$4867=$E198)+('[2]Previsão Envase'!$G$5:$G$4867=$E198)+('[2]Previsão Envase'!$H$5:$H$4867=$E198),0)),"")</f>
        <v/>
      </c>
      <c r="K198" s="68" t="str">
        <f>IF(COUNTIF('[2]Previsão Envase'!$F:$F,E198)&gt;0,"Linha 1",
IF(COUNTIF('[2]Previsão Envase'!$G:$G,E198)&gt;0,"Linha 2",
IF(COUNTIF('[2]Previsão Envase'!$H:$H,E198)&gt;0,"Linha 3","")))</f>
        <v/>
      </c>
      <c r="L198" s="96">
        <f>COUNTIF('[2]Previsão Envase'!$F:$H,E198)-COUNTIF('[2]Previsão Envase'!$F$1:$H$4,E198)</f>
        <v>0</v>
      </c>
      <c r="M198" s="35">
        <f t="shared" si="37"/>
        <v>0</v>
      </c>
      <c r="N198" s="68" t="str">
        <f>IFERROR(MAX(_xlfn.MAXIFS('[2]Controle de Produção'!$C:$C,'[2]Controle de Produção'!$L:$L,$D198,'[2]Controle de Produção'!$P:$P,$C198,'[2]Controle de Produção'!$G:$G,$B198),_xlfn.MAXIFS([3]EXPEDIÇÃO!$N:$N,[3]EXPEDIÇÃO!$E:$E,$D198,[3]EXPEDIÇÃO!$D:$D,$C198,[3]EXPEDIÇÃO!$N:$N,"&gt;="&amp;$G198)),"")</f>
        <v/>
      </c>
      <c r="O198" s="70">
        <f>INDEX([1]Produtos!$E:$E,MATCH($D198,[1]Produtos!$B:$B,0))</f>
        <v>50</v>
      </c>
      <c r="P198" s="70" t="str">
        <f>INDEX([1]Produtos!$F:$F,MATCH($D198,[1]Produtos!$B:$B,0))</f>
        <v>ml</v>
      </c>
      <c r="Q198" s="105">
        <f>INDEX([1]Produtos!$Y:$Y,MATCH($D198,[1]Produtos!$B:$B,0))</f>
        <v>0</v>
      </c>
      <c r="R198" s="35">
        <f t="shared" si="38"/>
        <v>1577.3766463727152</v>
      </c>
      <c r="S198" s="27">
        <f>IFERROR(INDEX([1]Produtos!$L:$L,MATCH(D198,[1]Produtos!$B:$B,0)), "")</f>
        <v>175.26407181919058</v>
      </c>
      <c r="T198" s="28">
        <f t="shared" si="39"/>
        <v>2.9</v>
      </c>
      <c r="U198" s="28" t="str">
        <f t="shared" si="40"/>
        <v>0D e 3h</v>
      </c>
      <c r="V198" s="27">
        <f>IFERROR(SUMIFS('[2]Controle de Produção'!$K:$K,'[2]Controle de Produção'!$L:$L,D198,'[2]Controle de Produção'!$P:$P,C198,'[2]Controle de Produção'!$B:$B,"&gt;=" &amp; G198,'[2]Controle de Produção'!$C:$C,"&lt;=" &amp; N198, '[2]Controle de Produção'!$G:$G,B198), "")</f>
        <v>0</v>
      </c>
      <c r="W198" s="27" t="str">
        <f>IFERROR(SUMIFS([3]EXPEDIÇÃO!$K:$K,[3]EXPEDIÇÃO!$E:$E,D198,[3]EXPEDIÇÃO!$D:$D,C198,[3]EXPEDIÇÃO!$N:$N,"&gt;=" &amp; G198,[3]EXPEDIÇÃO!$N:$N,"&lt;="&amp;N198), "")</f>
        <v/>
      </c>
      <c r="X198" s="27">
        <f>COUNTIFS('[2]Controle de Produção'!$P:$P,C198,'[2]Controle de Produção'!$L:$L,D198,'[2]Controle de Produção'!$B:$B,"&gt;=" &amp; G198)</f>
        <v>2</v>
      </c>
      <c r="Y198" s="27">
        <f t="shared" si="41"/>
        <v>0</v>
      </c>
      <c r="Z198" s="27">
        <f>IFERROR(COUNTIFS('[2]Controle de Produção'!$L:$L,D198,'[2]Controle de Produção'!$P:$P,C198,'[2]Controle de Produção'!$B:$B,"&gt;=" &amp; G198,'[2]Controle de Produção'!$C:$C,"&lt;=" &amp; N198, '[2]Controle de Produção'!$G:$G,B198), "")</f>
        <v>0</v>
      </c>
      <c r="AA198" s="108" t="str">
        <f t="shared" si="42"/>
        <v/>
      </c>
      <c r="AB198" s="41" t="str" cm="1">
        <f t="array" ref="AB198">_xlfn.IFS((H198*0.95)&lt;=V198,"Concluído",AND(V198 =0, J198&lt;&gt;""),"Programado",AND(V198=0,D198=""),"Desenvolv.",V198=0,"Não Iniciado",AND(V198&gt;0,V198&lt;H198,AO198=TRUE),"Em Produção",AND(V198&gt;0,V198&lt;H198,AO198=FALSE),"Produção Parcial")</f>
        <v>Não Iniciado</v>
      </c>
      <c r="AC198" s="42" t="b">
        <v>1</v>
      </c>
      <c r="AD198" s="42" t="b">
        <v>1</v>
      </c>
      <c r="AE198" s="42" t="b">
        <v>1</v>
      </c>
      <c r="AF198" s="42" t="b">
        <v>1</v>
      </c>
      <c r="AG198" s="42" t="b">
        <v>1</v>
      </c>
      <c r="AH198" s="42" t="b">
        <v>1</v>
      </c>
      <c r="AI198" s="42" t="b">
        <v>1</v>
      </c>
      <c r="AJ198" s="42" t="b">
        <v>1</v>
      </c>
      <c r="AK198" s="42" t="b">
        <v>0</v>
      </c>
      <c r="AL198" s="42" t="b">
        <v>1</v>
      </c>
      <c r="AM198" s="42" t="b">
        <v>1</v>
      </c>
      <c r="AN198" s="42" t="b">
        <v>1</v>
      </c>
      <c r="AO198" s="45" t="b" cm="1">
        <f t="array" ref="AO198">AND(COUNTIF(AC198:AN198,FALSE)=0,SUMPRODUCT(ISNUMBER(AC198:AN198)*1)=0)</f>
        <v>0</v>
      </c>
      <c r="AP198" s="59"/>
      <c r="AQ198" s="111">
        <f>IF(AB198="",99999999999,IFERROR(MATCH(AB198,{"Produção Parcial","Em Produção","Programado","Não Iniciado","Desenvolv.","Concluído"},0),7)*100000000+IF(ISNUMBER(J198),J198-46000,9999)*10000+IF(A198="",99,A198)*100+IF(C198="",99,CODE(LEFT(C198,1))))</f>
        <v>499990377</v>
      </c>
    </row>
    <row r="199" spans="1:43" s="36" customFormat="1" ht="25.15" hidden="1" customHeight="1" x14ac:dyDescent="0.25">
      <c r="A199" s="36">
        <v>3</v>
      </c>
      <c r="B199" s="38" t="s">
        <v>106</v>
      </c>
      <c r="C199" s="24" t="str">
        <f>INDEX([1]Produtos!$G:$G,MATCH($D199,[1]Produtos!$B:$B,0))</f>
        <v>MOUTIER</v>
      </c>
      <c r="D199" s="24" t="s">
        <v>136</v>
      </c>
      <c r="E199" s="70" t="str">
        <f>INDEX([1]Produtos!$C:$C,MATCH($D199,[1]Produtos!$B:$B,0))&amp;IF($F199&lt;&gt;"-"," - "&amp;LEFT($F199,1),"")&amp;" &gt; "&amp;$B199</f>
        <v>PERFUME MASCULINO 115 BLEU DE CHANEL &gt; Perfumes Moutier</v>
      </c>
      <c r="F199" s="51" t="s">
        <v>38</v>
      </c>
      <c r="G199" s="38">
        <v>45810</v>
      </c>
      <c r="H199" s="39">
        <v>500</v>
      </c>
      <c r="I199" s="24" t="s">
        <v>39</v>
      </c>
      <c r="J199" s="68" t="str" cm="1">
        <f t="array" ref="J199">IFERROR(INDEX('[2]Previsão Envase'!$D$5:$D$4867, MATCH(1,('[2]Previsão Envase'!$F$5:$F$4867=$E199)+('[2]Previsão Envase'!$G$5:$G$4867=$E199)+('[2]Previsão Envase'!$H$5:$H$4867=$E199),0)),"")</f>
        <v/>
      </c>
      <c r="K199" s="68" t="str">
        <f>IF(COUNTIF('[2]Previsão Envase'!$F:$F,E199)&gt;0,"Linha 1",
IF(COUNTIF('[2]Previsão Envase'!$G:$G,E199)&gt;0,"Linha 2",
IF(COUNTIF('[2]Previsão Envase'!$H:$H,E199)&gt;0,"Linha 3","")))</f>
        <v/>
      </c>
      <c r="L199" s="96">
        <f>COUNTIF('[2]Previsão Envase'!$F:$H,E199)-COUNTIF('[2]Previsão Envase'!$F$1:$H$4,E199)</f>
        <v>0</v>
      </c>
      <c r="M199" s="35">
        <f t="shared" si="37"/>
        <v>0</v>
      </c>
      <c r="N199" s="68" t="str">
        <f>IFERROR(MAX(_xlfn.MAXIFS('[2]Controle de Produção'!$C:$C,'[2]Controle de Produção'!$L:$L,$D199,'[2]Controle de Produção'!$P:$P,$C199,'[2]Controle de Produção'!$G:$G,$B199),_xlfn.MAXIFS([3]EXPEDIÇÃO!$N:$N,[3]EXPEDIÇÃO!$E:$E,$D199,[3]EXPEDIÇÃO!$D:$D,$C199,[3]EXPEDIÇÃO!$N:$N,"&gt;="&amp;$G199)),"")</f>
        <v/>
      </c>
      <c r="O199" s="70">
        <f>INDEX([1]Produtos!$E:$E,MATCH($D199,[1]Produtos!$B:$B,0))</f>
        <v>50</v>
      </c>
      <c r="P199" s="70" t="str">
        <f>INDEX([1]Produtos!$F:$F,MATCH($D199,[1]Produtos!$B:$B,0))</f>
        <v>ml</v>
      </c>
      <c r="Q199" s="105">
        <f>INDEX([1]Produtos!$Y:$Y,MATCH($D199,[1]Produtos!$B:$B,0))</f>
        <v>0</v>
      </c>
      <c r="R199" s="35">
        <f t="shared" si="38"/>
        <v>1577.3766463727152</v>
      </c>
      <c r="S199" s="27">
        <f>IFERROR(INDEX([1]Produtos!$L:$L,MATCH(D199,[1]Produtos!$B:$B,0)), "")</f>
        <v>175.26407181919058</v>
      </c>
      <c r="T199" s="28">
        <f t="shared" si="39"/>
        <v>2.9</v>
      </c>
      <c r="U199" s="28" t="str">
        <f t="shared" si="40"/>
        <v>0D e 3h</v>
      </c>
      <c r="V199" s="27">
        <f>IFERROR(SUMIFS('[2]Controle de Produção'!$K:$K,'[2]Controle de Produção'!$L:$L,D199,'[2]Controle de Produção'!$P:$P,C199,'[2]Controle de Produção'!$B:$B,"&gt;=" &amp; G199,'[2]Controle de Produção'!$C:$C,"&lt;=" &amp; N199, '[2]Controle de Produção'!$G:$G,B199), "")</f>
        <v>0</v>
      </c>
      <c r="W199" s="27" t="str">
        <f>IFERROR(SUMIFS([3]EXPEDIÇÃO!$K:$K,[3]EXPEDIÇÃO!$E:$E,D199,[3]EXPEDIÇÃO!$D:$D,C199,[3]EXPEDIÇÃO!$N:$N,"&gt;=" &amp; G199,[3]EXPEDIÇÃO!$N:$N,"&lt;="&amp;N199), "")</f>
        <v/>
      </c>
      <c r="X199" s="27">
        <f>COUNTIFS('[2]Controle de Produção'!$P:$P,C199,'[2]Controle de Produção'!$L:$L,D199,'[2]Controle de Produção'!$B:$B,"&gt;=" &amp; G199)</f>
        <v>1</v>
      </c>
      <c r="Y199" s="27">
        <f t="shared" si="41"/>
        <v>0</v>
      </c>
      <c r="Z199" s="27">
        <f>IFERROR(COUNTIFS('[2]Controle de Produção'!$L:$L,D199,'[2]Controle de Produção'!$P:$P,C199,'[2]Controle de Produção'!$B:$B,"&gt;=" &amp; G199,'[2]Controle de Produção'!$C:$C,"&lt;=" &amp; N199, '[2]Controle de Produção'!$G:$G,B199), "")</f>
        <v>0</v>
      </c>
      <c r="AA199" s="108" t="str">
        <f t="shared" si="42"/>
        <v/>
      </c>
      <c r="AB199" s="41" t="str" cm="1">
        <f t="array" ref="AB199">_xlfn.IFS((H199*0.95)&lt;=V199,"Concluído",AND(V199 =0, J199&lt;&gt;""),"Programado",AND(V199=0,D199=""),"Desenvolv.",V199=0,"Não Iniciado",AND(V199&gt;0,V199&lt;H199,AO199=TRUE),"Em Produção",AND(V199&gt;0,V199&lt;H199,AO199=FALSE),"Produção Parcial")</f>
        <v>Não Iniciado</v>
      </c>
      <c r="AC199" s="42" t="b">
        <v>1</v>
      </c>
      <c r="AD199" s="42" t="b">
        <v>1</v>
      </c>
      <c r="AE199" s="42" t="b">
        <v>1</v>
      </c>
      <c r="AF199" s="42" t="b">
        <v>1</v>
      </c>
      <c r="AG199" s="42" t="b">
        <v>1</v>
      </c>
      <c r="AH199" s="42" t="b">
        <v>1</v>
      </c>
      <c r="AI199" s="42" t="b">
        <v>1</v>
      </c>
      <c r="AJ199" s="42" t="b">
        <v>1</v>
      </c>
      <c r="AK199" s="42" t="b">
        <v>0</v>
      </c>
      <c r="AL199" s="42" t="b">
        <v>1</v>
      </c>
      <c r="AM199" s="42" t="b">
        <v>1</v>
      </c>
      <c r="AN199" s="42" t="b">
        <v>1</v>
      </c>
      <c r="AO199" s="45" t="b" cm="1">
        <f t="array" ref="AO199">AND(COUNTIF(AC199:AN199,FALSE)=0,SUMPRODUCT(ISNUMBER(AC199:AN199)*1)=0)</f>
        <v>0</v>
      </c>
      <c r="AP199" s="59"/>
      <c r="AQ199" s="111">
        <f>IF(AB199="",99999999999,IFERROR(MATCH(AB199,{"Produção Parcial","Em Produção","Programado","Não Iniciado","Desenvolv.","Concluído"},0),7)*100000000+IF(ISNUMBER(J199),J199-46000,9999)*10000+IF(A199="",99,A199)*100+IF(C199="",99,CODE(LEFT(C199,1))))</f>
        <v>499990377</v>
      </c>
    </row>
    <row r="200" spans="1:43" s="36" customFormat="1" ht="25.15" hidden="1" customHeight="1" x14ac:dyDescent="0.25">
      <c r="A200" s="36">
        <v>3</v>
      </c>
      <c r="B200" s="38" t="s">
        <v>106</v>
      </c>
      <c r="C200" s="24" t="str">
        <f>INDEX([1]Produtos!$G:$G,MATCH($D200,[1]Produtos!$B:$B,0))</f>
        <v>MOUTIER</v>
      </c>
      <c r="D200" s="24" t="s">
        <v>140</v>
      </c>
      <c r="E200" s="70" t="str">
        <f>INDEX([1]Produtos!$C:$C,MATCH($D200,[1]Produtos!$B:$B,0))&amp;IF($F200&lt;&gt;"-"," - "&amp;LEFT($F200,1),"")&amp;" &gt; "&amp;$B200</f>
        <v>PERFUME MASCULINO 110 ONE MILLION &gt; Perfumes Moutier</v>
      </c>
      <c r="F200" s="51" t="s">
        <v>38</v>
      </c>
      <c r="G200" s="38">
        <v>45810</v>
      </c>
      <c r="H200" s="39">
        <v>500</v>
      </c>
      <c r="I200" s="24" t="s">
        <v>39</v>
      </c>
      <c r="J200" s="68" t="str" cm="1">
        <f t="array" ref="J200">IFERROR(INDEX('[2]Previsão Envase'!$D$5:$D$4867, MATCH(1,('[2]Previsão Envase'!$F$5:$F$4867=$E200)+('[2]Previsão Envase'!$G$5:$G$4867=$E200)+('[2]Previsão Envase'!$H$5:$H$4867=$E200),0)),"")</f>
        <v/>
      </c>
      <c r="K200" s="68" t="str">
        <f>IF(COUNTIF('[2]Previsão Envase'!$F:$F,E200)&gt;0,"Linha 1",
IF(COUNTIF('[2]Previsão Envase'!$G:$G,E200)&gt;0,"Linha 2",
IF(COUNTIF('[2]Previsão Envase'!$H:$H,E200)&gt;0,"Linha 3","")))</f>
        <v/>
      </c>
      <c r="L200" s="96">
        <f>COUNTIF('[2]Previsão Envase'!$F:$H,E200)-COUNTIF('[2]Previsão Envase'!$F$1:$H$4,E200)</f>
        <v>0</v>
      </c>
      <c r="M200" s="35">
        <f t="shared" si="37"/>
        <v>0</v>
      </c>
      <c r="N200" s="68" t="str">
        <f>IFERROR(MAX(_xlfn.MAXIFS('[2]Controle de Produção'!$C:$C,'[2]Controle de Produção'!$L:$L,$D200,'[2]Controle de Produção'!$P:$P,$C200,'[2]Controle de Produção'!$G:$G,$B200),_xlfn.MAXIFS([3]EXPEDIÇÃO!$N:$N,[3]EXPEDIÇÃO!$E:$E,$D200,[3]EXPEDIÇÃO!$D:$D,$C200,[3]EXPEDIÇÃO!$N:$N,"&gt;="&amp;$G200)),"")</f>
        <v/>
      </c>
      <c r="O200" s="70">
        <f>INDEX([1]Produtos!$E:$E,MATCH($D200,[1]Produtos!$B:$B,0))</f>
        <v>50</v>
      </c>
      <c r="P200" s="70" t="str">
        <f>INDEX([1]Produtos!$F:$F,MATCH($D200,[1]Produtos!$B:$B,0))</f>
        <v>ml</v>
      </c>
      <c r="Q200" s="105">
        <f>INDEX([1]Produtos!$Y:$Y,MATCH($D200,[1]Produtos!$B:$B,0))</f>
        <v>0</v>
      </c>
      <c r="R200" s="35">
        <f t="shared" si="38"/>
        <v>1577.3766463727152</v>
      </c>
      <c r="S200" s="27">
        <f>IFERROR(INDEX([1]Produtos!$L:$L,MATCH(D200,[1]Produtos!$B:$B,0)), "")</f>
        <v>175.26407181919058</v>
      </c>
      <c r="T200" s="28">
        <f t="shared" si="39"/>
        <v>2.9</v>
      </c>
      <c r="U200" s="28" t="str">
        <f t="shared" si="40"/>
        <v>0D e 3h</v>
      </c>
      <c r="V200" s="27">
        <f>IFERROR(SUMIFS('[2]Controle de Produção'!$K:$K,'[2]Controle de Produção'!$L:$L,D200,'[2]Controle de Produção'!$P:$P,C200,'[2]Controle de Produção'!$B:$B,"&gt;=" &amp; G200,'[2]Controle de Produção'!$C:$C,"&lt;=" &amp; N200, '[2]Controle de Produção'!$G:$G,B200), "")</f>
        <v>0</v>
      </c>
      <c r="W200" s="27" t="str">
        <f>IFERROR(SUMIFS([3]EXPEDIÇÃO!$K:$K,[3]EXPEDIÇÃO!$E:$E,D200,[3]EXPEDIÇÃO!$D:$D,C200,[3]EXPEDIÇÃO!$N:$N,"&gt;=" &amp; G200,[3]EXPEDIÇÃO!$N:$N,"&lt;="&amp;N200), "")</f>
        <v/>
      </c>
      <c r="X200" s="27">
        <f>COUNTIFS('[2]Controle de Produção'!$P:$P,C200,'[2]Controle de Produção'!$L:$L,D200,'[2]Controle de Produção'!$B:$B,"&gt;=" &amp; G200)</f>
        <v>1</v>
      </c>
      <c r="Y200" s="27">
        <f t="shared" si="41"/>
        <v>0</v>
      </c>
      <c r="Z200" s="27">
        <f>IFERROR(COUNTIFS('[2]Controle de Produção'!$L:$L,D200,'[2]Controle de Produção'!$P:$P,C200,'[2]Controle de Produção'!$B:$B,"&gt;=" &amp; G200,'[2]Controle de Produção'!$C:$C,"&lt;=" &amp; N200, '[2]Controle de Produção'!$G:$G,B200), "")</f>
        <v>0</v>
      </c>
      <c r="AA200" s="108" t="str">
        <f t="shared" si="42"/>
        <v/>
      </c>
      <c r="AB200" s="41" t="str" cm="1">
        <f t="array" ref="AB200">_xlfn.IFS((H200*0.95)&lt;=V200,"Concluído",AND(V200 =0, J200&lt;&gt;""),"Programado",AND(V200=0,D200=""),"Desenvolv.",V200=0,"Não Iniciado",AND(V200&gt;0,V200&lt;H200,AO200=TRUE),"Em Produção",AND(V200&gt;0,V200&lt;H200,AO200=FALSE),"Produção Parcial")</f>
        <v>Não Iniciado</v>
      </c>
      <c r="AC200" s="42" t="b">
        <v>1</v>
      </c>
      <c r="AD200" s="42" t="b">
        <v>1</v>
      </c>
      <c r="AE200" s="42" t="b">
        <v>1</v>
      </c>
      <c r="AF200" s="42" t="b">
        <v>1</v>
      </c>
      <c r="AG200" s="42" t="b">
        <v>1</v>
      </c>
      <c r="AH200" s="42" t="b">
        <v>1</v>
      </c>
      <c r="AI200" s="42" t="b">
        <v>1</v>
      </c>
      <c r="AJ200" s="42" t="b">
        <v>1</v>
      </c>
      <c r="AK200" s="42" t="b">
        <v>0</v>
      </c>
      <c r="AL200" s="42" t="b">
        <v>1</v>
      </c>
      <c r="AM200" s="42" t="b">
        <v>1</v>
      </c>
      <c r="AN200" s="42" t="b">
        <v>1</v>
      </c>
      <c r="AO200" s="45" t="b" cm="1">
        <f t="array" ref="AO200">AND(COUNTIF(AC200:AN200,FALSE)=0,SUMPRODUCT(ISNUMBER(AC200:AN200)*1)=0)</f>
        <v>0</v>
      </c>
      <c r="AP200" s="61"/>
      <c r="AQ200" s="111">
        <f>IF(AB200="",99999999999,IFERROR(MATCH(AB200,{"Produção Parcial","Em Produção","Programado","Não Iniciado","Desenvolv.","Concluído"},0),7)*100000000+IF(ISNUMBER(J200),J200-46000,9999)*10000+IF(A200="",99,A200)*100+IF(C200="",99,CODE(LEFT(C200,1))))</f>
        <v>499990377</v>
      </c>
    </row>
    <row r="201" spans="1:43" s="36" customFormat="1" ht="25.15" hidden="1" customHeight="1" x14ac:dyDescent="0.25">
      <c r="A201" s="36">
        <v>3</v>
      </c>
      <c r="B201" s="38" t="s">
        <v>106</v>
      </c>
      <c r="C201" s="24" t="str">
        <f>INDEX([1]Produtos!$G:$G,MATCH($D201,[1]Produtos!$B:$B,0))</f>
        <v>MOUTIER</v>
      </c>
      <c r="D201" s="24" t="s">
        <v>137</v>
      </c>
      <c r="E201" s="70" t="str">
        <f>INDEX([1]Produtos!$C:$C,MATCH($D201,[1]Produtos!$B:$B,0))&amp;IF($F201&lt;&gt;"-"," - "&amp;LEFT($F201,1),"")&amp;" &gt; "&amp;$B201</f>
        <v>PERFUME MASCULINO 113 AZZARO WANTED &gt; Perfumes Moutier</v>
      </c>
      <c r="F201" s="51" t="s">
        <v>38</v>
      </c>
      <c r="G201" s="38">
        <v>45810</v>
      </c>
      <c r="H201" s="39">
        <v>500</v>
      </c>
      <c r="I201" s="24" t="s">
        <v>39</v>
      </c>
      <c r="J201" s="68" t="str" cm="1">
        <f t="array" ref="J201">IFERROR(INDEX('[2]Previsão Envase'!$D$5:$D$4867, MATCH(1,('[2]Previsão Envase'!$F$5:$F$4867=$E201)+('[2]Previsão Envase'!$G$5:$G$4867=$E201)+('[2]Previsão Envase'!$H$5:$H$4867=$E201),0)),"")</f>
        <v/>
      </c>
      <c r="K201" s="68" t="str">
        <f>IF(COUNTIF('[2]Previsão Envase'!$F:$F,E201)&gt;0,"Linha 1",
IF(COUNTIF('[2]Previsão Envase'!$G:$G,E201)&gt;0,"Linha 2",
IF(COUNTIF('[2]Previsão Envase'!$H:$H,E201)&gt;0,"Linha 3","")))</f>
        <v/>
      </c>
      <c r="L201" s="96">
        <f>COUNTIF('[2]Previsão Envase'!$F:$H,E201)-COUNTIF('[2]Previsão Envase'!$F$1:$H$4,E201)</f>
        <v>0</v>
      </c>
      <c r="M201" s="35">
        <f t="shared" si="37"/>
        <v>0</v>
      </c>
      <c r="N201" s="68" t="str">
        <f>IFERROR(MAX(_xlfn.MAXIFS('[2]Controle de Produção'!$C:$C,'[2]Controle de Produção'!$L:$L,$D201,'[2]Controle de Produção'!$P:$P,$C201,'[2]Controle de Produção'!$G:$G,$B201),_xlfn.MAXIFS([3]EXPEDIÇÃO!$N:$N,[3]EXPEDIÇÃO!$E:$E,$D201,[3]EXPEDIÇÃO!$D:$D,$C201,[3]EXPEDIÇÃO!$N:$N,"&gt;="&amp;$G201)),"")</f>
        <v/>
      </c>
      <c r="O201" s="70">
        <f>INDEX([1]Produtos!$E:$E,MATCH($D201,[1]Produtos!$B:$B,0))</f>
        <v>50</v>
      </c>
      <c r="P201" s="70" t="str">
        <f>INDEX([1]Produtos!$F:$F,MATCH($D201,[1]Produtos!$B:$B,0))</f>
        <v>ml</v>
      </c>
      <c r="Q201" s="105">
        <f>INDEX([1]Produtos!$Y:$Y,MATCH($D201,[1]Produtos!$B:$B,0))</f>
        <v>0</v>
      </c>
      <c r="R201" s="35">
        <f t="shared" si="38"/>
        <v>1577.3766463727152</v>
      </c>
      <c r="S201" s="27">
        <f>IFERROR(INDEX([1]Produtos!$L:$L,MATCH(D201,[1]Produtos!$B:$B,0)), "")</f>
        <v>175.26407181919058</v>
      </c>
      <c r="T201" s="28">
        <f t="shared" si="39"/>
        <v>2.9</v>
      </c>
      <c r="U201" s="28" t="str">
        <f t="shared" si="40"/>
        <v>0D e 3h</v>
      </c>
      <c r="V201" s="27">
        <f>IFERROR(SUMIFS('[2]Controle de Produção'!$K:$K,'[2]Controle de Produção'!$L:$L,D201,'[2]Controle de Produção'!$P:$P,C201,'[2]Controle de Produção'!$B:$B,"&gt;=" &amp; G201,'[2]Controle de Produção'!$C:$C,"&lt;=" &amp; N201, '[2]Controle de Produção'!$G:$G,B201), "")</f>
        <v>0</v>
      </c>
      <c r="W201" s="27" t="str">
        <f>IFERROR(SUMIFS([3]EXPEDIÇÃO!$K:$K,[3]EXPEDIÇÃO!$E:$E,D201,[3]EXPEDIÇÃO!$D:$D,C201,[3]EXPEDIÇÃO!$N:$N,"&gt;=" &amp; G201,[3]EXPEDIÇÃO!$N:$N,"&lt;="&amp;N201), "")</f>
        <v/>
      </c>
      <c r="X201" s="27">
        <f>COUNTIFS('[2]Controle de Produção'!$P:$P,C201,'[2]Controle de Produção'!$L:$L,D201,'[2]Controle de Produção'!$B:$B,"&gt;=" &amp; G201)</f>
        <v>1</v>
      </c>
      <c r="Y201" s="27">
        <f t="shared" si="41"/>
        <v>0</v>
      </c>
      <c r="Z201" s="27">
        <f>IFERROR(COUNTIFS('[2]Controle de Produção'!$L:$L,D201,'[2]Controle de Produção'!$P:$P,C201,'[2]Controle de Produção'!$B:$B,"&gt;=" &amp; G201,'[2]Controle de Produção'!$C:$C,"&lt;=" &amp; N201, '[2]Controle de Produção'!$G:$G,B201), "")</f>
        <v>0</v>
      </c>
      <c r="AA201" s="108" t="str">
        <f t="shared" si="42"/>
        <v/>
      </c>
      <c r="AB201" s="41" t="str" cm="1">
        <f t="array" ref="AB201">_xlfn.IFS((H201*0.95)&lt;=V201,"Concluído",AND(V201 =0, J201&lt;&gt;""),"Programado",AND(V201=0,D201=""),"Desenvolv.",V201=0,"Não Iniciado",AND(V201&gt;0,V201&lt;H201,AO201=TRUE),"Em Produção",AND(V201&gt;0,V201&lt;H201,AO201=FALSE),"Produção Parcial")</f>
        <v>Não Iniciado</v>
      </c>
      <c r="AC201" s="42" t="b">
        <v>1</v>
      </c>
      <c r="AD201" s="42" t="b">
        <v>1</v>
      </c>
      <c r="AE201" s="42" t="b">
        <v>1</v>
      </c>
      <c r="AF201" s="42" t="b">
        <v>1</v>
      </c>
      <c r="AG201" s="42" t="b">
        <v>1</v>
      </c>
      <c r="AH201" s="42" t="b">
        <v>1</v>
      </c>
      <c r="AI201" s="42" t="b">
        <v>1</v>
      </c>
      <c r="AJ201" s="42" t="b">
        <v>1</v>
      </c>
      <c r="AK201" s="42" t="b">
        <v>0</v>
      </c>
      <c r="AL201" s="42" t="b">
        <v>1</v>
      </c>
      <c r="AM201" s="42" t="b">
        <v>1</v>
      </c>
      <c r="AN201" s="42" t="b">
        <v>1</v>
      </c>
      <c r="AO201" s="45" t="b" cm="1">
        <f t="array" ref="AO201">AND(COUNTIF(AC201:AN201,FALSE)=0,SUMPRODUCT(ISNUMBER(AC201:AN201)*1)=0)</f>
        <v>0</v>
      </c>
      <c r="AP201" s="59"/>
      <c r="AQ201" s="111">
        <f>IF(AB201="",99999999999,IFERROR(MATCH(AB201,{"Produção Parcial","Em Produção","Programado","Não Iniciado","Desenvolv.","Concluído"},0),7)*100000000+IF(ISNUMBER(J201),J201-46000,9999)*10000+IF(A201="",99,A201)*100+IF(C201="",99,CODE(LEFT(C201,1))))</f>
        <v>499990377</v>
      </c>
    </row>
    <row r="202" spans="1:43" s="36" customFormat="1" ht="25.15" hidden="1" customHeight="1" x14ac:dyDescent="0.25">
      <c r="A202" s="36">
        <v>3</v>
      </c>
      <c r="B202" s="38" t="s">
        <v>429</v>
      </c>
      <c r="C202" s="70" t="str">
        <f>INDEX([1]Produtos!$G:$G,MATCH($D202,[1]Produtos!$B:$B,0))</f>
        <v>MISS RÔSE</v>
      </c>
      <c r="D202" s="24" t="s">
        <v>73</v>
      </c>
      <c r="E202" s="70" t="str">
        <f>INDEX([1]Produtos!$C:$C,MATCH($D202,[1]Produtos!$B:$B,0))&amp;IF($F202&lt;&gt;"-"," - "&amp;LEFT($F202,1),"")&amp;" &gt; "&amp;$B202</f>
        <v>BODY SPLASH CEU CELESTE 200ml &gt; REPOSICAO 23/03</v>
      </c>
      <c r="F202" s="51" t="s">
        <v>38</v>
      </c>
      <c r="G202" s="38">
        <v>46104</v>
      </c>
      <c r="H202" s="39">
        <v>5280</v>
      </c>
      <c r="I202" s="24" t="s">
        <v>42</v>
      </c>
      <c r="J202" s="68" t="str" cm="1">
        <f t="array" ref="J202">IFERROR(INDEX('[2]Previsão Envase'!$D$5:$D$4867, MATCH(1,('[2]Previsão Envase'!$F$5:$F$4867=$E202)+('[2]Previsão Envase'!$G$5:$G$4867=$E202)+('[2]Previsão Envase'!$H$5:$H$4867=$E202),0)),"")</f>
        <v/>
      </c>
      <c r="K202" s="68" t="str">
        <f>IF(COUNTIF('[2]Previsão Envase'!$F:$F,E202)&gt;0,"Linha 1",
IF(COUNTIF('[2]Previsão Envase'!$G:$G,E202)&gt;0,"Linha 2",
IF(COUNTIF('[2]Previsão Envase'!$H:$H,E202)&gt;0,"Linha 3","")))</f>
        <v/>
      </c>
      <c r="L202" s="96">
        <f>COUNTIF('[2]Previsão Envase'!$F:$H,E202)-COUNTIF('[2]Previsão Envase'!$F$1:$H$4,E202)</f>
        <v>0</v>
      </c>
      <c r="M202" s="35">
        <f t="shared" si="37"/>
        <v>0</v>
      </c>
      <c r="N202" s="68" t="str">
        <f>IFERROR(MAX(_xlfn.MAXIFS('[2]Controle de Produção'!$C:$C,'[2]Controle de Produção'!$L:$L,$D202,'[2]Controle de Produção'!$P:$P,$C202,'[2]Controle de Produção'!$G:$G,$B202),_xlfn.MAXIFS([3]EXPEDIÇÃO!$N:$N,[3]EXPEDIÇÃO!$E:$E,$D202,[3]EXPEDIÇÃO!$D:$D,$C202,[3]EXPEDIÇÃO!$N:$N,"&gt;="&amp;$G202)),"")</f>
        <v/>
      </c>
      <c r="O202" s="70">
        <f>INDEX([1]Produtos!$E:$E,MATCH($D202,[1]Produtos!$B:$B,0))</f>
        <v>215</v>
      </c>
      <c r="P202" s="70" t="str">
        <f>INDEX([1]Produtos!$F:$F,MATCH($D202,[1]Produtos!$B:$B,0))</f>
        <v>ml</v>
      </c>
      <c r="Q202" s="105">
        <f>INDEX([1]Produtos!$Y:$Y,MATCH($D202,[1]Produtos!$B:$B,0))</f>
        <v>0.85</v>
      </c>
      <c r="R202" s="35">
        <f t="shared" si="38"/>
        <v>7592.2902086267013</v>
      </c>
      <c r="S202" s="27">
        <f>IFERROR(INDEX([1]Produtos!$L:$L,MATCH(D202,[1]Produtos!$B:$B,0)), "")</f>
        <v>843.58780095852239</v>
      </c>
      <c r="T202" s="28">
        <f t="shared" si="39"/>
        <v>6.3</v>
      </c>
      <c r="U202" s="28" t="str">
        <f t="shared" si="40"/>
        <v>0D e 7h</v>
      </c>
      <c r="V202" s="27">
        <f>IFERROR(SUMIFS('[2]Controle de Produção'!$K:$K,'[2]Controle de Produção'!$L:$L,D202,'[2]Controle de Produção'!$P:$P,C202,'[2]Controle de Produção'!$B:$B,"&gt;=" &amp; G202,'[2]Controle de Produção'!$C:$C,"&lt;=" &amp; N202, '[2]Controle de Produção'!$G:$G,B202), "")</f>
        <v>0</v>
      </c>
      <c r="W202" s="27" t="str">
        <f>IFERROR(SUMIFS([3]EXPEDIÇÃO!$K:$K,[3]EXPEDIÇÃO!$E:$E,D202,[3]EXPEDIÇÃO!$D:$D,C202,[3]EXPEDIÇÃO!$N:$N,"&gt;=" &amp; G202,[3]EXPEDIÇÃO!$N:$N,"&lt;="&amp;N202), "")</f>
        <v/>
      </c>
      <c r="X202" s="27">
        <f>COUNTIFS('[2]Controle de Produção'!$P:$P,C202,'[2]Controle de Produção'!$L:$L,D202,'[2]Controle de Produção'!$B:$B,"&gt;=" &amp; G202)</f>
        <v>5</v>
      </c>
      <c r="Y202" s="27">
        <f t="shared" si="41"/>
        <v>0</v>
      </c>
      <c r="Z202" s="27">
        <f>IFERROR(COUNTIFS('[2]Controle de Produção'!$L:$L,D202,'[2]Controle de Produção'!$P:$P,C202,'[2]Controle de Produção'!$B:$B,"&gt;=" &amp; G202,'[2]Controle de Produção'!$C:$C,"&lt;=" &amp; N202, '[2]Controle de Produção'!$G:$G,B202), "")</f>
        <v>0</v>
      </c>
      <c r="AA202" s="108" t="str">
        <f t="shared" si="42"/>
        <v/>
      </c>
      <c r="AB202" s="41" t="str" cm="1">
        <f t="array" ref="AB202">_xlfn.IFS((H202*0.95)&lt;=V202,"Concluído",AND(V202 =0, J202&lt;&gt;""),"Programado",AND(V202=0,D202=""),"Desenvolv.",V202=0,"Não Iniciado",AND(V202&gt;0,V202&lt;H202,AO202=TRUE),"Em Produção",AND(V202&gt;0,V202&lt;H202,AO202=FALSE),"Produção Parcial")</f>
        <v>Não Iniciado</v>
      </c>
      <c r="AC202" s="42" t="b">
        <v>1</v>
      </c>
      <c r="AD202" s="42" t="b">
        <v>1</v>
      </c>
      <c r="AE202" s="67" t="b">
        <v>1</v>
      </c>
      <c r="AF202" s="42" t="b">
        <v>1</v>
      </c>
      <c r="AG202" s="42" t="b">
        <v>1</v>
      </c>
      <c r="AH202" s="42" t="s">
        <v>38</v>
      </c>
      <c r="AI202" s="67" t="b">
        <v>1</v>
      </c>
      <c r="AJ202" s="42" t="s">
        <v>38</v>
      </c>
      <c r="AK202" s="42" t="s">
        <v>38</v>
      </c>
      <c r="AL202" s="42" t="b">
        <v>1</v>
      </c>
      <c r="AM202" s="42" t="b">
        <v>1</v>
      </c>
      <c r="AN202" s="42" t="b">
        <v>1</v>
      </c>
      <c r="AO202" s="45" t="b" cm="1">
        <f t="array" ref="AO202">AND(COUNTIF(AC202:AN202,FALSE)=0,SUMPRODUCT(ISNUMBER(AC202:AN202)*1)=0)</f>
        <v>1</v>
      </c>
      <c r="AP202" s="59"/>
      <c r="AQ202" s="111">
        <f>IF(AB202="",99999999999,IFERROR(MATCH(AB202,{"Produção Parcial","Em Produção","Programado","Não Iniciado","Desenvolv.","Concluído"},0),7)*100000000+IF(ISNUMBER(J202),J202-46000,9999)*10000+IF(A202="",99,A202)*100+IF(C202="",99,CODE(LEFT(C202,1))))</f>
        <v>499990377</v>
      </c>
    </row>
    <row r="203" spans="1:43" s="36" customFormat="1" ht="25.15" hidden="1" customHeight="1" x14ac:dyDescent="0.25">
      <c r="A203" s="36">
        <v>4</v>
      </c>
      <c r="B203" s="115" t="s">
        <v>440</v>
      </c>
      <c r="C203" s="70" t="str">
        <f>INDEX([1]Produtos!$G:$G,MATCH($D203,[1]Produtos!$B:$B,0))</f>
        <v>FEBELLA BEAUTY</v>
      </c>
      <c r="D203" s="24" t="s">
        <v>443</v>
      </c>
      <c r="E203" s="70" t="str">
        <f>INDEX([1]Produtos!$C:$C,MATCH($D203,[1]Produtos!$B:$B,0))&amp;IF($F203&lt;&gt;"-"," - "&amp;LEFT($F203,1),"")&amp;" &gt; "&amp;$B203</f>
        <v>BODY SPLASH OUD NIGHT 200ML -  &gt; 05</v>
      </c>
      <c r="F203" s="51"/>
      <c r="G203" s="38">
        <v>46142</v>
      </c>
      <c r="H203" s="39">
        <v>10000</v>
      </c>
      <c r="I203" s="24" t="s">
        <v>39</v>
      </c>
      <c r="J203" s="68"/>
      <c r="K203" s="68"/>
      <c r="L203" s="96">
        <f>COUNTIF('[2]Previsão Envase'!$F:$H,E203)-COUNTIF('[2]Previsão Envase'!$F$1:$H$4,E203)</f>
        <v>12</v>
      </c>
      <c r="M203" s="35">
        <f t="shared" si="37"/>
        <v>10123.05361150227</v>
      </c>
      <c r="N203" s="68" t="str">
        <f>IFERROR(MAX(_xlfn.MAXIFS('[2]Controle de Produção'!$C:$C,'[2]Controle de Produção'!$L:$L,$D203,'[2]Controle de Produção'!$P:$P,$C203,'[2]Controle de Produção'!$G:$G,$B203),_xlfn.MAXIFS([3]EXPEDIÇÃO!$N:$N,[3]EXPEDIÇÃO!$E:$E,$D203,[3]EXPEDIÇÃO!$D:$D,$C203,[3]EXPEDIÇÃO!$N:$N,"&gt;="&amp;$G203)),"")</f>
        <v/>
      </c>
      <c r="O203" s="70">
        <f>INDEX([1]Produtos!$E:$E,MATCH($D203,[1]Produtos!$B:$B,0))</f>
        <v>200</v>
      </c>
      <c r="P203" s="70" t="str">
        <f>INDEX([1]Produtos!$F:$F,MATCH($D203,[1]Produtos!$B:$B,0))</f>
        <v>ml</v>
      </c>
      <c r="Q203" s="105">
        <f>INDEX([1]Produtos!$Y:$Y,MATCH($D203,[1]Produtos!$B:$B,0))</f>
        <v>1.2</v>
      </c>
      <c r="R203" s="35">
        <f t="shared" si="38"/>
        <v>7592.2902086267013</v>
      </c>
      <c r="S203" s="27">
        <f>IFERROR(INDEX([1]Produtos!$L:$L,MATCH(D203,[1]Produtos!$B:$B,0)), "")</f>
        <v>843.58780095852239</v>
      </c>
      <c r="T203" s="28">
        <f t="shared" si="39"/>
        <v>11.9</v>
      </c>
      <c r="U203" s="28" t="str">
        <f t="shared" si="40"/>
        <v>1D e 4h</v>
      </c>
      <c r="V203" s="27">
        <f>IFERROR(SUMIFS('[2]Controle de Produção'!$K:$K,'[2]Controle de Produção'!$L:$L,D203,'[2]Controle de Produção'!$P:$P,C203,'[2]Controle de Produção'!$B:$B,"&gt;=" &amp; G203,'[2]Controle de Produção'!$C:$C,"&lt;=" &amp; N203, '[2]Controle de Produção'!$G:$G,B203), "")</f>
        <v>0</v>
      </c>
      <c r="W203" s="27" t="str">
        <f>IFERROR(SUMIFS([3]EXPEDIÇÃO!$K:$K,[3]EXPEDIÇÃO!$E:$E,D203,[3]EXPEDIÇÃO!$D:$D,C203,[3]EXPEDIÇÃO!$N:$N,"&gt;=" &amp; G203,[3]EXPEDIÇÃO!$N:$N,"&lt;="&amp;N203), "")</f>
        <v/>
      </c>
      <c r="X203" s="27">
        <f>COUNTIFS('[2]Controle de Produção'!$P:$P,C203,'[2]Controle de Produção'!$L:$L,D203,'[2]Controle de Produção'!$B:$B,"&gt;=" &amp; G203)</f>
        <v>2</v>
      </c>
      <c r="Y203" s="27">
        <f t="shared" si="41"/>
        <v>0</v>
      </c>
      <c r="Z203" s="27"/>
      <c r="AA203" s="108" t="str">
        <f t="shared" si="42"/>
        <v/>
      </c>
      <c r="AB203" s="41" t="str" cm="1">
        <f t="array" ref="AB203">_xlfn.IFS((H203*0.95)&lt;=V203,"Concluído",AND(V203 =0, J203&lt;&gt;""),"Programado",AND(V203=0,D203=""),"Desenvolv.",V203=0,"Não Iniciado",AND(V203&gt;0,V203&lt;H203,AO203=TRUE),"Em Produção",AND(V203&gt;0,V203&lt;H203,AO203=FALSE),"Produção Parcial")</f>
        <v>Não Iniciado</v>
      </c>
      <c r="AC203" s="42" t="s">
        <v>38</v>
      </c>
      <c r="AD203" s="42" t="b">
        <v>1</v>
      </c>
      <c r="AE203" s="42" t="b">
        <v>1</v>
      </c>
      <c r="AF203" s="42" t="b">
        <v>1</v>
      </c>
      <c r="AG203" s="42" t="s">
        <v>38</v>
      </c>
      <c r="AH203" s="42" t="s">
        <v>38</v>
      </c>
      <c r="AI203" s="42" t="b">
        <v>1</v>
      </c>
      <c r="AJ203" s="42" t="s">
        <v>38</v>
      </c>
      <c r="AK203" s="42" t="s">
        <v>38</v>
      </c>
      <c r="AL203" s="42" t="b">
        <v>1</v>
      </c>
      <c r="AM203" s="42" t="b">
        <v>1</v>
      </c>
      <c r="AN203" s="42" t="b">
        <v>1</v>
      </c>
      <c r="AO203" s="45" t="b" cm="1">
        <f t="array" ref="AO203">AND(COUNTIF(AC203:AN203,FALSE)=0,SUMPRODUCT(ISNUMBER(AC203:AN203)*1)=0)</f>
        <v>1</v>
      </c>
      <c r="AP203" s="59"/>
      <c r="AQ203" s="111">
        <f>IF(AB203="",99999999999,IFERROR(MATCH(AB203,{"Produção Parcial","Em Produção","Programado","Não Iniciado","Desenvolv.","Concluído"},0),7)*100000000+IF(ISNUMBER(J203),J203-46000,9999)*10000+IF(A203="",99,A203)*100+IF(C203="",99,CODE(LEFT(C203,1))))</f>
        <v>499990470</v>
      </c>
    </row>
    <row r="204" spans="1:43" s="36" customFormat="1" ht="25.15" hidden="1" customHeight="1" x14ac:dyDescent="0.25">
      <c r="A204" s="36">
        <v>4</v>
      </c>
      <c r="B204" s="115" t="s">
        <v>440</v>
      </c>
      <c r="C204" s="70" t="str">
        <f>INDEX([1]Produtos!$G:$G,MATCH($D204,[1]Produtos!$B:$B,0))</f>
        <v>FEBELLA BEAUTY</v>
      </c>
      <c r="D204" s="24" t="s">
        <v>444</v>
      </c>
      <c r="E204" s="70" t="str">
        <f>INDEX([1]Produtos!$C:$C,MATCH($D204,[1]Produtos!$B:$B,0))&amp;IF($F204&lt;&gt;"-"," - "&amp;LEFT($F204,1),"")&amp;" &gt; "&amp;$B204</f>
        <v>BODY SPLASH ROSE MIRAGE 200ML -  &gt; 05</v>
      </c>
      <c r="F204" s="51"/>
      <c r="G204" s="38">
        <v>46142</v>
      </c>
      <c r="H204" s="39">
        <v>10000</v>
      </c>
      <c r="I204" s="24" t="s">
        <v>39</v>
      </c>
      <c r="J204" s="68"/>
      <c r="K204" s="68"/>
      <c r="L204" s="96">
        <f>COUNTIF('[2]Previsão Envase'!$F:$H,E204)-COUNTIF('[2]Previsão Envase'!$F$1:$H$4,E204)</f>
        <v>19</v>
      </c>
      <c r="M204" s="35">
        <f t="shared" si="37"/>
        <v>16028.168218211926</v>
      </c>
      <c r="N204" s="68" t="str">
        <f>IFERROR(MAX(_xlfn.MAXIFS('[2]Controle de Produção'!$C:$C,'[2]Controle de Produção'!$L:$L,$D204,'[2]Controle de Produção'!$P:$P,$C204,'[2]Controle de Produção'!$G:$G,$B204),_xlfn.MAXIFS([3]EXPEDIÇÃO!$N:$N,[3]EXPEDIÇÃO!$E:$E,$D204,[3]EXPEDIÇÃO!$D:$D,$C204,[3]EXPEDIÇÃO!$N:$N,"&gt;="&amp;$G204)),"")</f>
        <v/>
      </c>
      <c r="O204" s="70">
        <f>INDEX([1]Produtos!$E:$E,MATCH($D204,[1]Produtos!$B:$B,0))</f>
        <v>200</v>
      </c>
      <c r="P204" s="70" t="str">
        <f>INDEX([1]Produtos!$F:$F,MATCH($D204,[1]Produtos!$B:$B,0))</f>
        <v>ml</v>
      </c>
      <c r="Q204" s="105">
        <f>INDEX([1]Produtos!$Y:$Y,MATCH($D204,[1]Produtos!$B:$B,0))</f>
        <v>1.2</v>
      </c>
      <c r="R204" s="35">
        <f t="shared" si="38"/>
        <v>7592.2902086267013</v>
      </c>
      <c r="S204" s="27">
        <f>IFERROR(INDEX([1]Produtos!$L:$L,MATCH(D204,[1]Produtos!$B:$B,0)), "")</f>
        <v>843.58780095852239</v>
      </c>
      <c r="T204" s="28">
        <f t="shared" si="39"/>
        <v>11.9</v>
      </c>
      <c r="U204" s="28" t="str">
        <f t="shared" si="40"/>
        <v>1D e 4h</v>
      </c>
      <c r="V204" s="27">
        <f>IFERROR(SUMIFS('[2]Controle de Produção'!$K:$K,'[2]Controle de Produção'!$L:$L,D204,'[2]Controle de Produção'!$P:$P,C204,'[2]Controle de Produção'!$B:$B,"&gt;=" &amp; G204,'[2]Controle de Produção'!$C:$C,"&lt;=" &amp; N204, '[2]Controle de Produção'!$G:$G,B204), "")</f>
        <v>0</v>
      </c>
      <c r="W204" s="27" t="str">
        <f>IFERROR(SUMIFS([3]EXPEDIÇÃO!$K:$K,[3]EXPEDIÇÃO!$E:$E,D204,[3]EXPEDIÇÃO!$D:$D,C204,[3]EXPEDIÇÃO!$N:$N,"&gt;=" &amp; G204,[3]EXPEDIÇÃO!$N:$N,"&lt;="&amp;N204), "")</f>
        <v/>
      </c>
      <c r="X204" s="27">
        <f>COUNTIFS('[2]Controle de Produção'!$P:$P,C204,'[2]Controle de Produção'!$L:$L,D204,'[2]Controle de Produção'!$B:$B,"&gt;=" &amp; G204)</f>
        <v>3</v>
      </c>
      <c r="Y204" s="27">
        <f t="shared" si="41"/>
        <v>0</v>
      </c>
      <c r="Z204" s="27"/>
      <c r="AA204" s="108" t="str">
        <f t="shared" si="42"/>
        <v/>
      </c>
      <c r="AB204" s="41" t="str" cm="1">
        <f t="array" ref="AB204">_xlfn.IFS((H204*0.95)&lt;=V204,"Concluído",AND(V204 =0, J204&lt;&gt;""),"Programado",AND(V204=0,D204=""),"Desenvolv.",V204=0,"Não Iniciado",AND(V204&gt;0,V204&lt;H204,AO204=TRUE),"Em Produção",AND(V204&gt;0,V204&lt;H204,AO204=FALSE),"Produção Parcial")</f>
        <v>Não Iniciado</v>
      </c>
      <c r="AC204" s="42" t="s">
        <v>38</v>
      </c>
      <c r="AD204" s="42" t="b">
        <v>1</v>
      </c>
      <c r="AE204" s="42" t="b">
        <v>1</v>
      </c>
      <c r="AF204" s="42" t="b">
        <v>1</v>
      </c>
      <c r="AG204" s="42" t="s">
        <v>38</v>
      </c>
      <c r="AH204" s="42" t="s">
        <v>38</v>
      </c>
      <c r="AI204" s="42" t="b">
        <v>1</v>
      </c>
      <c r="AJ204" s="42" t="s">
        <v>38</v>
      </c>
      <c r="AK204" s="42" t="s">
        <v>38</v>
      </c>
      <c r="AL204" s="42" t="b">
        <v>1</v>
      </c>
      <c r="AM204" s="42" t="b">
        <v>1</v>
      </c>
      <c r="AN204" s="42" t="b">
        <v>1</v>
      </c>
      <c r="AO204" s="45" t="b" cm="1">
        <f t="array" ref="AO204">AND(COUNTIF(AC204:AN204,FALSE)=0,SUMPRODUCT(ISNUMBER(AC204:AN204)*1)=0)</f>
        <v>1</v>
      </c>
      <c r="AP204" s="59"/>
      <c r="AQ204" s="111">
        <f>IF(AB204="",99999999999,IFERROR(MATCH(AB204,{"Produção Parcial","Em Produção","Programado","Não Iniciado","Desenvolv.","Concluído"},0),7)*100000000+IF(ISNUMBER(J204),J204-46000,9999)*10000+IF(A204="",99,A204)*100+IF(C204="",99,CODE(LEFT(C204,1))))</f>
        <v>499990470</v>
      </c>
    </row>
    <row r="205" spans="1:43" s="36" customFormat="1" ht="25.15" hidden="1" customHeight="1" x14ac:dyDescent="0.25">
      <c r="A205" s="36">
        <v>4</v>
      </c>
      <c r="B205" s="115" t="s">
        <v>440</v>
      </c>
      <c r="C205" s="70" t="str">
        <f>INDEX([1]Produtos!$G:$G,MATCH($D205,[1]Produtos!$B:$B,0))</f>
        <v>FEBELLA BEAUTY</v>
      </c>
      <c r="D205" s="24" t="s">
        <v>445</v>
      </c>
      <c r="E205" s="70" t="str">
        <f>INDEX([1]Produtos!$C:$C,MATCH($D205,[1]Produtos!$B:$B,0))&amp;IF($F205&lt;&gt;"-"," - "&amp;LEFT($F205,1),"")&amp;" &gt; "&amp;$B205</f>
        <v>BODY SPLASH ROUGE OUT 200ML -  &gt; 05</v>
      </c>
      <c r="F205" s="51"/>
      <c r="G205" s="38">
        <v>46142</v>
      </c>
      <c r="H205" s="39">
        <v>10000</v>
      </c>
      <c r="I205" s="24" t="s">
        <v>39</v>
      </c>
      <c r="J205" s="68"/>
      <c r="K205" s="68"/>
      <c r="L205" s="96">
        <f>COUNTIF('[2]Previsão Envase'!$F:$H,E205)-COUNTIF('[2]Previsão Envase'!$F$1:$H$4,E205)</f>
        <v>22</v>
      </c>
      <c r="M205" s="35">
        <f t="shared" si="37"/>
        <v>18558.931621087493</v>
      </c>
      <c r="N205" s="68" t="str">
        <f>IFERROR(MAX(_xlfn.MAXIFS('[2]Controle de Produção'!$C:$C,'[2]Controle de Produção'!$L:$L,$D205,'[2]Controle de Produção'!$P:$P,$C205,'[2]Controle de Produção'!$G:$G,$B205),_xlfn.MAXIFS([3]EXPEDIÇÃO!$N:$N,[3]EXPEDIÇÃO!$E:$E,$D205,[3]EXPEDIÇÃO!$D:$D,$C205,[3]EXPEDIÇÃO!$N:$N,"&gt;="&amp;$G205)),"")</f>
        <v/>
      </c>
      <c r="O205" s="70">
        <f>INDEX([1]Produtos!$E:$E,MATCH($D205,[1]Produtos!$B:$B,0))</f>
        <v>200</v>
      </c>
      <c r="P205" s="70" t="str">
        <f>INDEX([1]Produtos!$F:$F,MATCH($D205,[1]Produtos!$B:$B,0))</f>
        <v>ml</v>
      </c>
      <c r="Q205" s="105">
        <f>INDEX([1]Produtos!$Y:$Y,MATCH($D205,[1]Produtos!$B:$B,0))</f>
        <v>1.2</v>
      </c>
      <c r="R205" s="35">
        <f t="shared" si="38"/>
        <v>7592.2902086267013</v>
      </c>
      <c r="S205" s="27">
        <f>IFERROR(INDEX([1]Produtos!$L:$L,MATCH(D205,[1]Produtos!$B:$B,0)), "")</f>
        <v>843.58780095852239</v>
      </c>
      <c r="T205" s="28">
        <f t="shared" si="39"/>
        <v>11.9</v>
      </c>
      <c r="U205" s="28" t="str">
        <f t="shared" si="40"/>
        <v>1D e 4h</v>
      </c>
      <c r="V205" s="27">
        <f>IFERROR(SUMIFS('[2]Controle de Produção'!$K:$K,'[2]Controle de Produção'!$L:$L,D205,'[2]Controle de Produção'!$P:$P,C205,'[2]Controle de Produção'!$B:$B,"&gt;=" &amp; G205,'[2]Controle de Produção'!$C:$C,"&lt;=" &amp; N205, '[2]Controle de Produção'!$G:$G,B205), "")</f>
        <v>0</v>
      </c>
      <c r="W205" s="27" t="str">
        <f>IFERROR(SUMIFS([3]EXPEDIÇÃO!$K:$K,[3]EXPEDIÇÃO!$E:$E,D205,[3]EXPEDIÇÃO!$D:$D,C205,[3]EXPEDIÇÃO!$N:$N,"&gt;=" &amp; G205,[3]EXPEDIÇÃO!$N:$N,"&lt;="&amp;N205), "")</f>
        <v/>
      </c>
      <c r="X205" s="27">
        <f>COUNTIFS('[2]Controle de Produção'!$P:$P,C205,'[2]Controle de Produção'!$L:$L,D205,'[2]Controle de Produção'!$B:$B,"&gt;=" &amp; G205)</f>
        <v>5</v>
      </c>
      <c r="Y205" s="27">
        <f t="shared" si="41"/>
        <v>0</v>
      </c>
      <c r="Z205" s="27"/>
      <c r="AA205" s="108" t="str">
        <f t="shared" si="42"/>
        <v/>
      </c>
      <c r="AB205" s="41" t="str" cm="1">
        <f t="array" ref="AB205">_xlfn.IFS((H205*0.95)&lt;=V205,"Concluído",AND(V205 =0, J205&lt;&gt;""),"Programado",AND(V205=0,D205=""),"Desenvolv.",V205=0,"Não Iniciado",AND(V205&gt;0,V205&lt;H205,AO205=TRUE),"Em Produção",AND(V205&gt;0,V205&lt;H205,AO205=FALSE),"Produção Parcial")</f>
        <v>Não Iniciado</v>
      </c>
      <c r="AC205" s="42" t="s">
        <v>38</v>
      </c>
      <c r="AD205" s="42" t="b">
        <v>1</v>
      </c>
      <c r="AE205" s="42" t="b">
        <v>1</v>
      </c>
      <c r="AF205" s="42" t="b">
        <v>1</v>
      </c>
      <c r="AG205" s="42" t="s">
        <v>38</v>
      </c>
      <c r="AH205" s="42" t="s">
        <v>38</v>
      </c>
      <c r="AI205" s="42" t="b">
        <v>1</v>
      </c>
      <c r="AJ205" s="42" t="s">
        <v>38</v>
      </c>
      <c r="AK205" s="42" t="s">
        <v>38</v>
      </c>
      <c r="AL205" s="42" t="b">
        <v>1</v>
      </c>
      <c r="AM205" s="42" t="b">
        <v>1</v>
      </c>
      <c r="AN205" s="42" t="b">
        <v>1</v>
      </c>
      <c r="AO205" s="45" t="b" cm="1">
        <f t="array" ref="AO205">AND(COUNTIF(AC205:AN205,FALSE)=0,SUMPRODUCT(ISNUMBER(AC205:AN205)*1)=0)</f>
        <v>1</v>
      </c>
      <c r="AP205" s="59"/>
      <c r="AQ205" s="111">
        <f>IF(AB205="",99999999999,IFERROR(MATCH(AB205,{"Produção Parcial","Em Produção","Programado","Não Iniciado","Desenvolv.","Concluído"},0),7)*100000000+IF(ISNUMBER(J205),J205-46000,9999)*10000+IF(A205="",99,A205)*100+IF(C205="",99,CODE(LEFT(C205,1))))</f>
        <v>499990470</v>
      </c>
    </row>
    <row r="206" spans="1:43" s="36" customFormat="1" ht="25.15" hidden="1" customHeight="1" x14ac:dyDescent="0.25">
      <c r="A206" s="36">
        <v>4</v>
      </c>
      <c r="B206" s="38" t="s">
        <v>215</v>
      </c>
      <c r="C206" s="70" t="str">
        <f>INDEX([1]Produtos!$G:$G,MATCH($D206,[1]Produtos!$B:$B,0))</f>
        <v>GLOW MAKE UP</v>
      </c>
      <c r="D206" s="24" t="s">
        <v>216</v>
      </c>
      <c r="E206" s="70" t="str">
        <f>INDEX([1]Produtos!$C:$C,MATCH($D206,[1]Produtos!$B:$B,0))&amp;IF($F206&lt;&gt;"-"," - "&amp;LEFT($F206,1),"")&amp;" &gt; "&amp;$B206</f>
        <v>ÁGUA MICELAR HONEY &gt; ANDRE 06/11</v>
      </c>
      <c r="F206" s="51" t="s">
        <v>38</v>
      </c>
      <c r="G206" s="38">
        <v>45967</v>
      </c>
      <c r="H206" s="39">
        <v>20000</v>
      </c>
      <c r="I206" s="24" t="s">
        <v>39</v>
      </c>
      <c r="J206" s="68" t="str" cm="1">
        <f t="array" ref="J206">IFERROR(INDEX('[2]Previsão Envase'!$D$5:$D$4867, MATCH(1,('[2]Previsão Envase'!$F$5:$F$4867=$E206)+('[2]Previsão Envase'!$G$5:$G$4867=$E206)+('[2]Previsão Envase'!$H$5:$H$4867=$E206),0)),"")</f>
        <v/>
      </c>
      <c r="K206" s="68" t="str">
        <f>IF(COUNTIF('[2]Previsão Envase'!$F:$F,E206)&gt;0,"Linha 1",
IF(COUNTIF('[2]Previsão Envase'!$G:$G,E206)&gt;0,"Linha 2",
IF(COUNTIF('[2]Previsão Envase'!$H:$H,E206)&gt;0,"Linha 3","")))</f>
        <v/>
      </c>
      <c r="L206" s="96">
        <f>COUNTIF('[2]Previsão Envase'!$F:$H,E206)-COUNTIF('[2]Previsão Envase'!$F$1:$H$4,E206)</f>
        <v>0</v>
      </c>
      <c r="M206" s="35">
        <f t="shared" si="37"/>
        <v>0</v>
      </c>
      <c r="N206" s="68" t="str">
        <f>IFERROR(MAX(_xlfn.MAXIFS('[2]Controle de Produção'!$C:$C,'[2]Controle de Produção'!$L:$L,$D206,'[2]Controle de Produção'!$P:$P,$C206,'[2]Controle de Produção'!$G:$G,$B206),_xlfn.MAXIFS([3]EXPEDIÇÃO!$N:$N,[3]EXPEDIÇÃO!$E:$E,$D206,[3]EXPEDIÇÃO!$D:$D,$C206,[3]EXPEDIÇÃO!$N:$N,"&gt;="&amp;$G206)),"")</f>
        <v/>
      </c>
      <c r="O206" s="70">
        <f>INDEX([1]Produtos!$E:$E,MATCH($D206,[1]Produtos!$B:$B,0))</f>
        <v>325</v>
      </c>
      <c r="P206" s="70" t="str">
        <f>INDEX([1]Produtos!$F:$F,MATCH($D206,[1]Produtos!$B:$B,0))</f>
        <v>ml</v>
      </c>
      <c r="Q206" s="105">
        <f>INDEX([1]Produtos!$Y:$Y,MATCH($D206,[1]Produtos!$B:$B,0))</f>
        <v>0</v>
      </c>
      <c r="R206" s="35">
        <f t="shared" si="38"/>
        <v>7288.9063376861359</v>
      </c>
      <c r="S206" s="27">
        <f>IFERROR(INDEX([1]Produtos!$L:$L,MATCH(D206,[1]Produtos!$B:$B,0)), "")</f>
        <v>809.87848196512618</v>
      </c>
      <c r="T206" s="28">
        <f t="shared" si="39"/>
        <v>24.700000000000003</v>
      </c>
      <c r="U206" s="28" t="str">
        <f t="shared" si="40"/>
        <v>2D e 8h</v>
      </c>
      <c r="V206" s="27">
        <f>IFERROR(SUMIFS('[2]Controle de Produção'!$K:$K,'[2]Controle de Produção'!$L:$L,D206,'[2]Controle de Produção'!$P:$P,C206,'[2]Controle de Produção'!$B:$B,"&gt;=" &amp; G206,'[2]Controle de Produção'!$C:$C,"&lt;=" &amp; N206, '[2]Controle de Produção'!$G:$G,B206), "")</f>
        <v>0</v>
      </c>
      <c r="W206" s="27" t="str">
        <f>IFERROR(SUMIFS([3]EXPEDIÇÃO!$K:$K,[3]EXPEDIÇÃO!$E:$E,D206,[3]EXPEDIÇÃO!$D:$D,C206,[3]EXPEDIÇÃO!$N:$N,"&gt;=" &amp; G206,[3]EXPEDIÇÃO!$N:$N,"&lt;="&amp;N206), "")</f>
        <v/>
      </c>
      <c r="X206" s="27">
        <f>COUNTIFS('[2]Controle de Produção'!$P:$P,C206,'[2]Controle de Produção'!$L:$L,D206,'[2]Controle de Produção'!$B:$B,"&gt;=" &amp; G206)</f>
        <v>7</v>
      </c>
      <c r="Y206" s="27">
        <f t="shared" si="41"/>
        <v>0</v>
      </c>
      <c r="Z206" s="27">
        <f>IFERROR(COUNTIFS('[2]Controle de Produção'!$L:$L,D206,'[2]Controle de Produção'!$P:$P,C206,'[2]Controle de Produção'!$B:$B,"&gt;=" &amp; G206,'[2]Controle de Produção'!$C:$C,"&lt;=" &amp; N206, '[2]Controle de Produção'!$G:$G,B206), "")</f>
        <v>0</v>
      </c>
      <c r="AA206" s="108" t="str">
        <f t="shared" si="42"/>
        <v/>
      </c>
      <c r="AB206" s="41" t="str" cm="1">
        <f t="array" ref="AB206">_xlfn.IFS((H206*0.95)&lt;=V206,"Concluído",AND(V206 =0, J206&lt;&gt;""),"Programado",AND(V206=0,D206=""),"Desenvolv.",V206=0,"Não Iniciado",AND(V206&gt;0,V206&lt;H206,AO206=TRUE),"Em Produção",AND(V206&gt;0,V206&lt;H206,AO206=FALSE),"Produção Parcial")</f>
        <v>Não Iniciado</v>
      </c>
      <c r="AC206" s="42" t="b">
        <v>1</v>
      </c>
      <c r="AD206" s="42" t="b">
        <v>1</v>
      </c>
      <c r="AE206" s="42" t="s">
        <v>38</v>
      </c>
      <c r="AF206" s="42" t="b">
        <v>1</v>
      </c>
      <c r="AG206" s="42" t="b">
        <v>1</v>
      </c>
      <c r="AH206" s="42" t="s">
        <v>38</v>
      </c>
      <c r="AI206" s="42" t="s">
        <v>38</v>
      </c>
      <c r="AJ206" s="42" t="s">
        <v>38</v>
      </c>
      <c r="AK206" s="42" t="b">
        <v>0</v>
      </c>
      <c r="AL206" s="42" t="b">
        <v>1</v>
      </c>
      <c r="AM206" s="42" t="b">
        <v>1</v>
      </c>
      <c r="AN206" s="42" t="b">
        <v>1</v>
      </c>
      <c r="AO206" s="45" t="b" cm="1">
        <f t="array" ref="AO206">AND(COUNTIF(AC206:AN206,FALSE)=0,SUMPRODUCT(ISNUMBER(AC206:AN206)*1)=0)</f>
        <v>0</v>
      </c>
      <c r="AP206" s="59"/>
      <c r="AQ206" s="111">
        <f>IF(AB206="",99999999999,IFERROR(MATCH(AB206,{"Produção Parcial","Em Produção","Programado","Não Iniciado","Desenvolv.","Concluído"},0),7)*100000000+IF(ISNUMBER(J206),J206-46000,9999)*10000+IF(A206="",99,A206)*100+IF(C206="",99,CODE(LEFT(C206,1))))</f>
        <v>499990471</v>
      </c>
    </row>
    <row r="207" spans="1:43" s="36" customFormat="1" ht="25.15" hidden="1" customHeight="1" x14ac:dyDescent="0.25">
      <c r="A207" s="36">
        <v>4</v>
      </c>
      <c r="B207" s="103" t="s">
        <v>416</v>
      </c>
      <c r="C207" s="70" t="str">
        <f>INDEX([1]Produtos!$G:$G,MATCH($D207,[1]Produtos!$B:$B,0))</f>
        <v>GOTA ZEN</v>
      </c>
      <c r="D207" s="24" t="s">
        <v>213</v>
      </c>
      <c r="E207" s="70" t="str">
        <f>INDEX([1]Produtos!$C:$C,MATCH($D207,[1]Produtos!$B:$B,0))&amp;IF($F207&lt;&gt;"-"," - "&amp;LEFT($F207,1),"")&amp;" &gt; "&amp;$B207</f>
        <v>BODY SPLASH ARABYS' AMBAR &gt; MARIO 09/02/26</v>
      </c>
      <c r="F207" s="51" t="s">
        <v>38</v>
      </c>
      <c r="G207" s="38">
        <v>46009</v>
      </c>
      <c r="H207" s="39">
        <v>2800</v>
      </c>
      <c r="I207" s="24" t="s">
        <v>39</v>
      </c>
      <c r="J207" s="68" t="str" cm="1">
        <f t="array" ref="J207">IFERROR(INDEX('[2]Previsão Envase'!$D$5:$D$4867, MATCH(1,('[2]Previsão Envase'!$F$5:$F$4867=$E207)+('[2]Previsão Envase'!$G$5:$G$4867=$E207)+('[2]Previsão Envase'!$H$5:$H$4867=$E207),0)),"")</f>
        <v/>
      </c>
      <c r="K207" s="68" t="str">
        <f>IF(COUNTIF('[2]Previsão Envase'!$F:$F,E207)&gt;0,"Linha 1",
IF(COUNTIF('[2]Previsão Envase'!$G:$G,E207)&gt;0,"Linha 2",
IF(COUNTIF('[2]Previsão Envase'!$H:$H,E207)&gt;0,"Linha 3","")))</f>
        <v/>
      </c>
      <c r="L207" s="96">
        <f>COUNTIF('[2]Previsão Envase'!$F:$H,E207)-COUNTIF('[2]Previsão Envase'!$F$1:$H$4,E207)</f>
        <v>0</v>
      </c>
      <c r="M207" s="35">
        <f t="shared" si="37"/>
        <v>0</v>
      </c>
      <c r="N207" s="68" t="str">
        <f>IFERROR(MAX(_xlfn.MAXIFS('[2]Controle de Produção'!$C:$C,'[2]Controle de Produção'!$L:$L,$D207,'[2]Controle de Produção'!$P:$P,$C207,'[2]Controle de Produção'!$G:$G,$B207),_xlfn.MAXIFS([3]EXPEDIÇÃO!$N:$N,[3]EXPEDIÇÃO!$E:$E,$D207,[3]EXPEDIÇÃO!$D:$D,$C207,[3]EXPEDIÇÃO!$N:$N,"&gt;="&amp;$G207)),"")</f>
        <v/>
      </c>
      <c r="O207" s="70">
        <f>INDEX([1]Produtos!$E:$E,MATCH($D207,[1]Produtos!$B:$B,0))</f>
        <v>210</v>
      </c>
      <c r="P207" s="70" t="str">
        <f>INDEX([1]Produtos!$F:$F,MATCH($D207,[1]Produtos!$B:$B,0))</f>
        <v>ml</v>
      </c>
      <c r="Q207" s="105">
        <f>INDEX([1]Produtos!$Y:$Y,MATCH($D207,[1]Produtos!$B:$B,0))</f>
        <v>2.0200000000000005</v>
      </c>
      <c r="R207" s="35">
        <f t="shared" si="38"/>
        <v>7592.2902086267013</v>
      </c>
      <c r="S207" s="27">
        <f>IFERROR(INDEX([1]Produtos!$L:$L,MATCH(D207,[1]Produtos!$B:$B,0)), "")</f>
        <v>843.58780095852239</v>
      </c>
      <c r="T207" s="28">
        <f t="shared" si="39"/>
        <v>3.4</v>
      </c>
      <c r="U207" s="28" t="str">
        <f t="shared" si="40"/>
        <v>0D e 4h</v>
      </c>
      <c r="V207" s="27">
        <f>IFERROR(SUMIFS('[2]Controle de Produção'!$K:$K,'[2]Controle de Produção'!$L:$L,D207,'[2]Controle de Produção'!$P:$P,C207,'[2]Controle de Produção'!$B:$B,"&gt;=" &amp; G207,'[2]Controle de Produção'!$C:$C,"&lt;=" &amp; N207, '[2]Controle de Produção'!$G:$G,B207), "")</f>
        <v>0</v>
      </c>
      <c r="W207" s="27" t="str">
        <f>IFERROR(SUMIFS([3]EXPEDIÇÃO!$K:$K,[3]EXPEDIÇÃO!$E:$E,D207,[3]EXPEDIÇÃO!$D:$D,C207,[3]EXPEDIÇÃO!$N:$N,"&gt;=" &amp; G207,[3]EXPEDIÇÃO!$N:$N,"&lt;="&amp;N207), "")</f>
        <v/>
      </c>
      <c r="X207" s="27">
        <f>COUNTIFS('[2]Controle de Produção'!$P:$P,C207,'[2]Controle de Produção'!$L:$L,D207,'[2]Controle de Produção'!$B:$B,"&gt;=" &amp; G207)</f>
        <v>1</v>
      </c>
      <c r="Y207" s="27">
        <f t="shared" si="41"/>
        <v>0</v>
      </c>
      <c r="Z207" s="27">
        <f>IFERROR(COUNTIFS('[2]Controle de Produção'!$L:$L,D207,'[2]Controle de Produção'!$P:$P,C207,'[2]Controle de Produção'!$B:$B,"&gt;=" &amp; G207,'[2]Controle de Produção'!$C:$C,"&lt;=" &amp; N207, '[2]Controle de Produção'!$G:$G,B207), "")</f>
        <v>0</v>
      </c>
      <c r="AA207" s="108" t="str">
        <f t="shared" si="42"/>
        <v/>
      </c>
      <c r="AB207" s="41" t="str" cm="1">
        <f t="array" ref="AB207">_xlfn.IFS((H207*0.95)&lt;=V207,"Concluído",AND(V207 =0, J207&lt;&gt;""),"Programado",AND(V207=0,D207=""),"Desenvolv.",V207=0,"Não Iniciado",AND(V207&gt;0,V207&lt;H207,AO207=TRUE),"Em Produção",AND(V207&gt;0,V207&lt;H207,AO207=FALSE),"Produção Parcial")</f>
        <v>Não Iniciado</v>
      </c>
      <c r="AC207" s="42" t="b">
        <v>1</v>
      </c>
      <c r="AD207" s="42" t="b">
        <v>1</v>
      </c>
      <c r="AE207" s="42" t="b">
        <v>1</v>
      </c>
      <c r="AF207" s="42" t="b">
        <v>1</v>
      </c>
      <c r="AG207" s="42" t="s">
        <v>38</v>
      </c>
      <c r="AH207" s="42" t="s">
        <v>38</v>
      </c>
      <c r="AI207" s="42" t="b">
        <v>1</v>
      </c>
      <c r="AJ207" s="42" t="s">
        <v>38</v>
      </c>
      <c r="AK207" s="42" t="s">
        <v>38</v>
      </c>
      <c r="AL207" s="42" t="b">
        <v>1</v>
      </c>
      <c r="AM207" s="42" t="b">
        <v>1</v>
      </c>
      <c r="AN207" s="42" t="b">
        <v>1</v>
      </c>
      <c r="AO207" s="45" t="b" cm="1">
        <f t="array" ref="AO207">AND(COUNTIF(AC207:AN207,FALSE)=0,SUMPRODUCT(ISNUMBER(AC207:AN207)*1)=0)</f>
        <v>1</v>
      </c>
      <c r="AP207" s="59"/>
      <c r="AQ207" s="111">
        <f>IF(AB207="",99999999999,IFERROR(MATCH(AB207,{"Produção Parcial","Em Produção","Programado","Não Iniciado","Desenvolv.","Concluído"},0),7)*100000000+IF(ISNUMBER(J207),J207-46000,9999)*10000+IF(A207="",99,A207)*100+IF(C207="",99,CODE(LEFT(C207,1))))</f>
        <v>499990471</v>
      </c>
    </row>
    <row r="208" spans="1:43" s="36" customFormat="1" ht="25.15" hidden="1" customHeight="1" x14ac:dyDescent="0.25">
      <c r="A208" s="36">
        <v>4</v>
      </c>
      <c r="B208" s="103" t="s">
        <v>416</v>
      </c>
      <c r="C208" s="70" t="str">
        <f>INDEX([1]Produtos!$G:$G,MATCH($D208,[1]Produtos!$B:$B,0))</f>
        <v>GOTA ZEN</v>
      </c>
      <c r="D208" s="24" t="s">
        <v>211</v>
      </c>
      <c r="E208" s="70" t="str">
        <f>INDEX([1]Produtos!$C:$C,MATCH($D208,[1]Produtos!$B:$B,0))&amp;IF($F208&lt;&gt;"-"," - "&amp;LEFT($F208,1),"")&amp;" &gt; "&amp;$B208</f>
        <v>BODY SPLASH ARABYS' FEROZ &gt; MARIO 09/02/26</v>
      </c>
      <c r="F208" s="51" t="s">
        <v>38</v>
      </c>
      <c r="G208" s="38">
        <v>46009</v>
      </c>
      <c r="H208" s="39">
        <v>2800</v>
      </c>
      <c r="I208" s="24" t="s">
        <v>39</v>
      </c>
      <c r="J208" s="68" t="str" cm="1">
        <f t="array" ref="J208">IFERROR(INDEX('[2]Previsão Envase'!$D$5:$D$4867, MATCH(1,('[2]Previsão Envase'!$F$5:$F$4867=$E208)+('[2]Previsão Envase'!$G$5:$G$4867=$E208)+('[2]Previsão Envase'!$H$5:$H$4867=$E208),0)),"")</f>
        <v/>
      </c>
      <c r="K208" s="68" t="str">
        <f>IF(COUNTIF('[2]Previsão Envase'!$F:$F,E208)&gt;0,"Linha 1",
IF(COUNTIF('[2]Previsão Envase'!$G:$G,E208)&gt;0,"Linha 2",
IF(COUNTIF('[2]Previsão Envase'!$H:$H,E208)&gt;0,"Linha 3","")))</f>
        <v/>
      </c>
      <c r="L208" s="96">
        <f>COUNTIF('[2]Previsão Envase'!$F:$H,E208)-COUNTIF('[2]Previsão Envase'!$F$1:$H$4,E208)</f>
        <v>0</v>
      </c>
      <c r="M208" s="35">
        <f t="shared" si="37"/>
        <v>0</v>
      </c>
      <c r="N208" s="68" t="str">
        <f>IFERROR(MAX(_xlfn.MAXIFS('[2]Controle de Produção'!$C:$C,'[2]Controle de Produção'!$L:$L,$D208,'[2]Controle de Produção'!$P:$P,$C208,'[2]Controle de Produção'!$G:$G,$B208),_xlfn.MAXIFS([3]EXPEDIÇÃO!$N:$N,[3]EXPEDIÇÃO!$E:$E,$D208,[3]EXPEDIÇÃO!$D:$D,$C208,[3]EXPEDIÇÃO!$N:$N,"&gt;="&amp;$G208)),"")</f>
        <v/>
      </c>
      <c r="O208" s="70">
        <f>INDEX([1]Produtos!$E:$E,MATCH($D208,[1]Produtos!$B:$B,0))</f>
        <v>210</v>
      </c>
      <c r="P208" s="70" t="str">
        <f>INDEX([1]Produtos!$F:$F,MATCH($D208,[1]Produtos!$B:$B,0))</f>
        <v>ml</v>
      </c>
      <c r="Q208" s="105">
        <f>INDEX([1]Produtos!$Y:$Y,MATCH($D208,[1]Produtos!$B:$B,0))</f>
        <v>2.0200000000000005</v>
      </c>
      <c r="R208" s="35">
        <f t="shared" si="38"/>
        <v>7592.2902086267013</v>
      </c>
      <c r="S208" s="27">
        <f>IFERROR(INDEX([1]Produtos!$L:$L,MATCH(D208,[1]Produtos!$B:$B,0)), "")</f>
        <v>843.58780095852239</v>
      </c>
      <c r="T208" s="28">
        <f t="shared" si="39"/>
        <v>3.4</v>
      </c>
      <c r="U208" s="28" t="str">
        <f t="shared" si="40"/>
        <v>0D e 4h</v>
      </c>
      <c r="V208" s="27">
        <f>IFERROR(SUMIFS('[2]Controle de Produção'!$K:$K,'[2]Controle de Produção'!$L:$L,D208,'[2]Controle de Produção'!$P:$P,C208,'[2]Controle de Produção'!$B:$B,"&gt;=" &amp; G208,'[2]Controle de Produção'!$C:$C,"&lt;=" &amp; N208, '[2]Controle de Produção'!$G:$G,B208), "")</f>
        <v>0</v>
      </c>
      <c r="W208" s="27" t="str">
        <f>IFERROR(SUMIFS([3]EXPEDIÇÃO!$K:$K,[3]EXPEDIÇÃO!$E:$E,D208,[3]EXPEDIÇÃO!$D:$D,C208,[3]EXPEDIÇÃO!$N:$N,"&gt;=" &amp; G208,[3]EXPEDIÇÃO!$N:$N,"&lt;="&amp;N208), "")</f>
        <v/>
      </c>
      <c r="X208" s="27">
        <f>COUNTIFS('[2]Controle de Produção'!$P:$P,C208,'[2]Controle de Produção'!$L:$L,D208,'[2]Controle de Produção'!$B:$B,"&gt;=" &amp; G208)</f>
        <v>1</v>
      </c>
      <c r="Y208" s="27">
        <f t="shared" si="41"/>
        <v>0</v>
      </c>
      <c r="Z208" s="27">
        <f>IFERROR(COUNTIFS('[2]Controle de Produção'!$L:$L,D208,'[2]Controle de Produção'!$P:$P,C208,'[2]Controle de Produção'!$B:$B,"&gt;=" &amp; G208,'[2]Controle de Produção'!$C:$C,"&lt;=" &amp; N208, '[2]Controle de Produção'!$G:$G,B208), "")</f>
        <v>0</v>
      </c>
      <c r="AA208" s="108" t="str">
        <f t="shared" si="42"/>
        <v/>
      </c>
      <c r="AB208" s="41" t="str" cm="1">
        <f t="array" ref="AB208">_xlfn.IFS((H208*0.95)&lt;=V208,"Concluído",AND(V208 =0, J208&lt;&gt;""),"Programado",AND(V208=0,D208=""),"Desenvolv.",V208=0,"Não Iniciado",AND(V208&gt;0,V208&lt;H208,AO208=TRUE),"Em Produção",AND(V208&gt;0,V208&lt;H208,AO208=FALSE),"Produção Parcial")</f>
        <v>Não Iniciado</v>
      </c>
      <c r="AC208" s="42" t="b">
        <v>1</v>
      </c>
      <c r="AD208" s="42" t="b">
        <v>1</v>
      </c>
      <c r="AE208" s="42" t="b">
        <v>1</v>
      </c>
      <c r="AF208" s="42" t="b">
        <v>1</v>
      </c>
      <c r="AG208" s="42" t="s">
        <v>38</v>
      </c>
      <c r="AH208" s="42" t="s">
        <v>38</v>
      </c>
      <c r="AI208" s="42" t="b">
        <v>1</v>
      </c>
      <c r="AJ208" s="42" t="s">
        <v>38</v>
      </c>
      <c r="AK208" s="42" t="s">
        <v>38</v>
      </c>
      <c r="AL208" s="42" t="b">
        <v>1</v>
      </c>
      <c r="AM208" s="42" t="b">
        <v>1</v>
      </c>
      <c r="AN208" s="42" t="b">
        <v>1</v>
      </c>
      <c r="AO208" s="45" t="b" cm="1">
        <f t="array" ref="AO208">AND(COUNTIF(AC208:AN208,FALSE)=0,SUMPRODUCT(ISNUMBER(AC208:AN208)*1)=0)</f>
        <v>1</v>
      </c>
      <c r="AP208" s="59"/>
      <c r="AQ208" s="111">
        <f>IF(AB208="",99999999999,IFERROR(MATCH(AB208,{"Produção Parcial","Em Produção","Programado","Não Iniciado","Desenvolv.","Concluído"},0),7)*100000000+IF(ISNUMBER(J208),J208-46000,9999)*10000+IF(A208="",99,A208)*100+IF(C208="",99,CODE(LEFT(C208,1))))</f>
        <v>499990471</v>
      </c>
    </row>
    <row r="209" spans="1:45" s="36" customFormat="1" ht="25.15" hidden="1" customHeight="1" x14ac:dyDescent="0.25">
      <c r="A209" s="36">
        <v>4</v>
      </c>
      <c r="B209" s="38" t="s">
        <v>416</v>
      </c>
      <c r="C209" s="70" t="str">
        <f>INDEX([1]Produtos!$G:$G,MATCH($D209,[1]Produtos!$B:$B,0))</f>
        <v>GOTA ZEN</v>
      </c>
      <c r="D209" s="24" t="s">
        <v>209</v>
      </c>
      <c r="E209" s="70" t="str">
        <f>INDEX([1]Produtos!$C:$C,MATCH($D209,[1]Produtos!$B:$B,0))&amp;IF($F209&lt;&gt;"-"," - "&amp;LEFT($F209,1),"")&amp;" &gt; "&amp;$B209</f>
        <v>BODY SPLASH ESCAN DALOSA &gt; MARIO 09/02/26</v>
      </c>
      <c r="F209" s="51" t="s">
        <v>38</v>
      </c>
      <c r="G209" s="38">
        <v>46009</v>
      </c>
      <c r="H209" s="39">
        <v>2800</v>
      </c>
      <c r="I209" s="24" t="s">
        <v>39</v>
      </c>
      <c r="J209" s="68" t="str" cm="1">
        <f t="array" ref="J209">IFERROR(INDEX('[2]Previsão Envase'!$D$5:$D$4867, MATCH(1,('[2]Previsão Envase'!$F$5:$F$4867=$E209)+('[2]Previsão Envase'!$G$5:$G$4867=$E209)+('[2]Previsão Envase'!$H$5:$H$4867=$E209),0)),"")</f>
        <v/>
      </c>
      <c r="K209" s="68" t="str">
        <f>IF(COUNTIF('[2]Previsão Envase'!$F:$F,E209)&gt;0,"Linha 1",
IF(COUNTIF('[2]Previsão Envase'!$G:$G,E209)&gt;0,"Linha 2",
IF(COUNTIF('[2]Previsão Envase'!$H:$H,E209)&gt;0,"Linha 3","")))</f>
        <v/>
      </c>
      <c r="L209" s="96">
        <f>COUNTIF('[2]Previsão Envase'!$F:$H,E209)-COUNTIF('[2]Previsão Envase'!$F$1:$H$4,E209)</f>
        <v>0</v>
      </c>
      <c r="M209" s="35">
        <f t="shared" si="37"/>
        <v>0</v>
      </c>
      <c r="N209" s="68" t="str">
        <f>IFERROR(MAX(_xlfn.MAXIFS('[2]Controle de Produção'!$C:$C,'[2]Controle de Produção'!$L:$L,$D209,'[2]Controle de Produção'!$P:$P,$C209,'[2]Controle de Produção'!$G:$G,$B209),_xlfn.MAXIFS([3]EXPEDIÇÃO!$N:$N,[3]EXPEDIÇÃO!$E:$E,$D209,[3]EXPEDIÇÃO!$D:$D,$C209,[3]EXPEDIÇÃO!$N:$N,"&gt;="&amp;$G209)),"")</f>
        <v/>
      </c>
      <c r="O209" s="70">
        <f>INDEX([1]Produtos!$E:$E,MATCH($D209,[1]Produtos!$B:$B,0))</f>
        <v>210</v>
      </c>
      <c r="P209" s="70" t="str">
        <f>INDEX([1]Produtos!$F:$F,MATCH($D209,[1]Produtos!$B:$B,0))</f>
        <v>ml</v>
      </c>
      <c r="Q209" s="105">
        <f>INDEX([1]Produtos!$Y:$Y,MATCH($D209,[1]Produtos!$B:$B,0))</f>
        <v>2.0200000000000005</v>
      </c>
      <c r="R209" s="35">
        <f t="shared" si="38"/>
        <v>7592.2902086267013</v>
      </c>
      <c r="S209" s="27">
        <f>IFERROR(INDEX([1]Produtos!$L:$L,MATCH(D209,[1]Produtos!$B:$B,0)), "")</f>
        <v>843.58780095852239</v>
      </c>
      <c r="T209" s="28">
        <f t="shared" si="39"/>
        <v>3.4</v>
      </c>
      <c r="U209" s="28" t="str">
        <f t="shared" si="40"/>
        <v>0D e 4h</v>
      </c>
      <c r="V209" s="27">
        <f>IFERROR(SUMIFS('[2]Controle de Produção'!$K:$K,'[2]Controle de Produção'!$L:$L,D209,'[2]Controle de Produção'!$P:$P,C209,'[2]Controle de Produção'!$B:$B,"&gt;=" &amp; G209,'[2]Controle de Produção'!$C:$C,"&lt;=" &amp; N209, '[2]Controle de Produção'!$G:$G,B209), "")</f>
        <v>0</v>
      </c>
      <c r="W209" s="27" t="str">
        <f>IFERROR(SUMIFS([3]EXPEDIÇÃO!$K:$K,[3]EXPEDIÇÃO!$E:$E,D209,[3]EXPEDIÇÃO!$D:$D,C209,[3]EXPEDIÇÃO!$N:$N,"&gt;=" &amp; G209,[3]EXPEDIÇÃO!$N:$N,"&lt;="&amp;N209), "")</f>
        <v/>
      </c>
      <c r="X209" s="27">
        <f>COUNTIFS('[2]Controle de Produção'!$P:$P,C209,'[2]Controle de Produção'!$L:$L,D209,'[2]Controle de Produção'!$B:$B,"&gt;=" &amp; G209)</f>
        <v>3</v>
      </c>
      <c r="Y209" s="27">
        <f t="shared" si="41"/>
        <v>0</v>
      </c>
      <c r="Z209" s="27">
        <f>IFERROR(COUNTIFS('[2]Controle de Produção'!$L:$L,D209,'[2]Controle de Produção'!$P:$P,C209,'[2]Controle de Produção'!$B:$B,"&gt;=" &amp; G209,'[2]Controle de Produção'!$C:$C,"&lt;=" &amp; N209, '[2]Controle de Produção'!$G:$G,B209), "")</f>
        <v>0</v>
      </c>
      <c r="AA209" s="108" t="str">
        <f t="shared" si="42"/>
        <v/>
      </c>
      <c r="AB209" s="41" t="str" cm="1">
        <f t="array" ref="AB209">_xlfn.IFS((H209*0.95)&lt;=V209,"Concluído",AND(V209 =0, J209&lt;&gt;""),"Programado",AND(V209=0,D209=""),"Desenvolv.",V209=0,"Não Iniciado",AND(V209&gt;0,V209&lt;H209,AO209=TRUE),"Em Produção",AND(V209&gt;0,V209&lt;H209,AO209=FALSE),"Produção Parcial")</f>
        <v>Não Iniciado</v>
      </c>
      <c r="AC209" s="42" t="b">
        <v>1</v>
      </c>
      <c r="AD209" s="42" t="b">
        <v>1</v>
      </c>
      <c r="AE209" s="42" t="b">
        <v>1</v>
      </c>
      <c r="AF209" s="42" t="b">
        <v>1</v>
      </c>
      <c r="AG209" s="42" t="s">
        <v>38</v>
      </c>
      <c r="AH209" s="42" t="s">
        <v>38</v>
      </c>
      <c r="AI209" s="42" t="b">
        <v>1</v>
      </c>
      <c r="AJ209" s="42" t="s">
        <v>38</v>
      </c>
      <c r="AK209" s="42" t="s">
        <v>38</v>
      </c>
      <c r="AL209" s="42" t="b">
        <v>1</v>
      </c>
      <c r="AM209" s="42" t="b">
        <v>1</v>
      </c>
      <c r="AN209" s="42" t="b">
        <v>1</v>
      </c>
      <c r="AO209" s="45" t="b" cm="1">
        <f t="array" ref="AO209">AND(COUNTIF(AC209:AN209,FALSE)=0,SUMPRODUCT(ISNUMBER(AC209:AN209)*1)=0)</f>
        <v>1</v>
      </c>
      <c r="AP209" s="59"/>
      <c r="AQ209" s="111">
        <f>IF(AB209="",99999999999,IFERROR(MATCH(AB209,{"Produção Parcial","Em Produção","Programado","Não Iniciado","Desenvolv.","Concluído"},0),7)*100000000+IF(ISNUMBER(J209),J209-46000,9999)*10000+IF(A209="",99,A209)*100+IF(C209="",99,CODE(LEFT(C209,1))))</f>
        <v>499990471</v>
      </c>
    </row>
    <row r="210" spans="1:45" s="36" customFormat="1" ht="25.15" hidden="1" customHeight="1" x14ac:dyDescent="0.25">
      <c r="A210" s="36">
        <v>4</v>
      </c>
      <c r="B210" s="38" t="s">
        <v>121</v>
      </c>
      <c r="C210" s="70" t="str">
        <f>INDEX([1]Produtos!$G:$G,MATCH($D210,[1]Produtos!$B:$B,0))</f>
        <v>HABIBI PERFUMES</v>
      </c>
      <c r="D210" s="24" t="s">
        <v>124</v>
      </c>
      <c r="E210" s="70" t="str">
        <f>INDEX([1]Produtos!$C:$C,MATCH($D210,[1]Produtos!$B:$B,0))&amp;IF($F210&lt;&gt;"-"," - "&amp;LEFT($F210,1),"")&amp;" &gt; "&amp;$B210</f>
        <v>HIDRATANTE BISNAGA ANGELUS 200g - 2 &gt; HABIBI 01</v>
      </c>
      <c r="F210" s="51" t="s">
        <v>84</v>
      </c>
      <c r="G210" s="38">
        <v>46127</v>
      </c>
      <c r="H210" s="39">
        <v>4000</v>
      </c>
      <c r="I210" s="24" t="s">
        <v>39</v>
      </c>
      <c r="J210" s="68" t="str" cm="1">
        <f t="array" ref="J210">IFERROR(INDEX('[2]Previsão Envase'!$D$5:$D$4867, MATCH(1,('[2]Previsão Envase'!$F$5:$F$4867=$E210)+('[2]Previsão Envase'!$G$5:$G$4867=$E210)+('[2]Previsão Envase'!$H$5:$H$4867=$E210),0)),"")</f>
        <v/>
      </c>
      <c r="K210" s="68" t="str">
        <f>IF(COUNTIF('[2]Previsão Envase'!$F:$F,E210)&gt;0,"Linha 1",
IF(COUNTIF('[2]Previsão Envase'!$G:$G,E210)&gt;0,"Linha 2",
IF(COUNTIF('[2]Previsão Envase'!$H:$H,E210)&gt;0,"Linha 3","")))</f>
        <v/>
      </c>
      <c r="L210" s="96">
        <f>COUNTIF('[2]Previsão Envase'!$F:$H,E210)-COUNTIF('[2]Previsão Envase'!$F$1:$H$4,E210)</f>
        <v>0</v>
      </c>
      <c r="M210" s="35">
        <f t="shared" si="37"/>
        <v>0</v>
      </c>
      <c r="N210" s="68" t="str">
        <f>IFERROR(MAX(_xlfn.MAXIFS('[2]Controle de Produção'!$C:$C,'[2]Controle de Produção'!$L:$L,$D210,'[2]Controle de Produção'!$P:$P,$C210,'[2]Controle de Produção'!$G:$G,$B210),_xlfn.MAXIFS([3]EXPEDIÇÃO!$N:$N,[3]EXPEDIÇÃO!$E:$E,$D210,[3]EXPEDIÇÃO!$D:$D,$C210,[3]EXPEDIÇÃO!$N:$N,"&gt;="&amp;$G210)),"")</f>
        <v/>
      </c>
      <c r="O210" s="70">
        <f>INDEX([1]Produtos!$E:$E,MATCH($D210,[1]Produtos!$B:$B,0))</f>
        <v>200</v>
      </c>
      <c r="P210" s="70" t="str">
        <f>INDEX([1]Produtos!$F:$F,MATCH($D210,[1]Produtos!$B:$B,0))</f>
        <v>g</v>
      </c>
      <c r="Q210" s="105">
        <f>INDEX([1]Produtos!$Y:$Y,MATCH($D210,[1]Produtos!$B:$B,0))</f>
        <v>2</v>
      </c>
      <c r="R210" s="35">
        <f t="shared" si="38"/>
        <v>5520.5897431648482</v>
      </c>
      <c r="S210" s="27">
        <f>IFERROR(INDEX([1]Produtos!$L:$L,MATCH(D210,[1]Produtos!$B:$B,0)), "")</f>
        <v>613.39886035164977</v>
      </c>
      <c r="T210" s="28">
        <f t="shared" si="39"/>
        <v>6.6</v>
      </c>
      <c r="U210" s="28" t="str">
        <f t="shared" si="40"/>
        <v>0D e 7h</v>
      </c>
      <c r="V210" s="27">
        <f>IFERROR(SUMIFS('[2]Controle de Produção'!$K:$K,'[2]Controle de Produção'!$L:$L,D210,'[2]Controle de Produção'!$P:$P,C210,'[2]Controle de Produção'!$B:$B,"&gt;=" &amp; G210,'[2]Controle de Produção'!$C:$C,"&lt;=" &amp; N210, '[2]Controle de Produção'!$G:$G,B210), "")</f>
        <v>0</v>
      </c>
      <c r="W210" s="27" t="str">
        <f>IFERROR(SUMIFS([3]EXPEDIÇÃO!$K:$K,[3]EXPEDIÇÃO!$E:$E,D210,[3]EXPEDIÇÃO!$D:$D,C210,[3]EXPEDIÇÃO!$N:$N,"&gt;=" &amp; G210,[3]EXPEDIÇÃO!$N:$N,"&lt;="&amp;N210), "")</f>
        <v/>
      </c>
      <c r="X210" s="27">
        <f>COUNTIFS('[2]Controle de Produção'!$P:$P,C210,'[2]Controle de Produção'!$L:$L,D210,'[2]Controle de Produção'!$B:$B,"&gt;=" &amp; G210)</f>
        <v>3</v>
      </c>
      <c r="Y210" s="27">
        <f t="shared" si="41"/>
        <v>0</v>
      </c>
      <c r="Z210" s="27">
        <f>IFERROR(COUNTIFS('[2]Controle de Produção'!$L:$L,D210,'[2]Controle de Produção'!$P:$P,C210,'[2]Controle de Produção'!$B:$B,"&gt;=" &amp; G210,'[2]Controle de Produção'!$C:$C,"&lt;=" &amp; N210, '[2]Controle de Produção'!$G:$G,B210), "")</f>
        <v>0</v>
      </c>
      <c r="AA210" s="108" t="str">
        <f t="shared" si="42"/>
        <v/>
      </c>
      <c r="AB210" s="41" t="str" cm="1">
        <f t="array" ref="AB210">_xlfn.IFS((H210*0.95)&lt;=V210,"Concluído",AND(V210 =0, J210&lt;&gt;""),"Programado",AND(V210=0,D210=""),"Desenvolv.",V210=0,"Não Iniciado",AND(V210&gt;0,V210&lt;H210,AO210=TRUE),"Em Produção",AND(V210&gt;0,V210&lt;H210,AO210=FALSE),"Produção Parcial")</f>
        <v>Não Iniciado</v>
      </c>
      <c r="AC210" s="42" t="b">
        <v>1</v>
      </c>
      <c r="AD210" s="42" t="b">
        <v>1</v>
      </c>
      <c r="AE210" s="42" t="s">
        <v>38</v>
      </c>
      <c r="AF210" s="42" t="b">
        <v>1</v>
      </c>
      <c r="AG210" s="42" t="b">
        <v>1</v>
      </c>
      <c r="AH210" s="42" t="b">
        <v>1</v>
      </c>
      <c r="AI210" s="42" t="s">
        <v>38</v>
      </c>
      <c r="AJ210" s="42" t="b">
        <v>1</v>
      </c>
      <c r="AK210" s="42" t="s">
        <v>38</v>
      </c>
      <c r="AL210" s="42" t="b">
        <v>1</v>
      </c>
      <c r="AM210" s="42" t="b">
        <v>1</v>
      </c>
      <c r="AN210" s="42" t="b">
        <v>1</v>
      </c>
      <c r="AO210" s="45" t="b" cm="1">
        <f t="array" ref="AO210">AND(COUNTIF(AC210:AN210,FALSE)=0,SUMPRODUCT(ISNUMBER(AC210:AN210)*1)=0)</f>
        <v>1</v>
      </c>
      <c r="AP210" s="59"/>
      <c r="AQ210" s="111">
        <f>IF(AB210="",99999999999,IFERROR(MATCH(AB210,{"Produção Parcial","Em Produção","Programado","Não Iniciado","Desenvolv.","Concluído"},0),7)*100000000+IF(ISNUMBER(J210),J210-46000,9999)*10000+IF(A210="",99,A210)*100+IF(C210="",99,CODE(LEFT(C210,1))))</f>
        <v>499990472</v>
      </c>
    </row>
    <row r="211" spans="1:45" s="36" customFormat="1" ht="25.15" hidden="1" customHeight="1" x14ac:dyDescent="0.25">
      <c r="A211" s="36">
        <v>4</v>
      </c>
      <c r="B211" s="38" t="s">
        <v>177</v>
      </c>
      <c r="C211" s="24" t="str">
        <f>INDEX([1]Produtos!$G:$G,MATCH($D211,[1]Produtos!$B:$B,0))</f>
        <v>ISA BEAUTY</v>
      </c>
      <c r="D211" s="24" t="s">
        <v>180</v>
      </c>
      <c r="E211" s="70" t="str">
        <f>INDEX([1]Produtos!$C:$C,MATCH($D211,[1]Produtos!$B:$B,0))&amp;IF($F211&lt;&gt;"-"," - "&amp;LEFT($F211,1),"")&amp;" &gt; "&amp;$B211</f>
        <v>GELATINA CAPILAR CHEIRINHO DE PISTACHE &gt; 03_07</v>
      </c>
      <c r="F211" s="51" t="s">
        <v>38</v>
      </c>
      <c r="G211" s="38">
        <v>45862</v>
      </c>
      <c r="H211" s="39">
        <v>10000</v>
      </c>
      <c r="I211" s="24" t="s">
        <v>39</v>
      </c>
      <c r="J211" s="68" t="str" cm="1">
        <f t="array" ref="J211">IFERROR(INDEX('[2]Previsão Envase'!$D$5:$D$4867, MATCH(1,('[2]Previsão Envase'!$F$5:$F$4867=$E211)+('[2]Previsão Envase'!$G$5:$G$4867=$E211)+('[2]Previsão Envase'!$H$5:$H$4867=$E211),0)),"")</f>
        <v/>
      </c>
      <c r="K211" s="68" t="str">
        <f>IF(COUNTIF('[2]Previsão Envase'!$F:$F,E211)&gt;0,"Linha 1",
IF(COUNTIF('[2]Previsão Envase'!$G:$G,E211)&gt;0,"Linha 2",
IF(COUNTIF('[2]Previsão Envase'!$H:$H,E211)&gt;0,"Linha 3","")))</f>
        <v/>
      </c>
      <c r="L211" s="96">
        <f>COUNTIF('[2]Previsão Envase'!$F:$H,E211)-COUNTIF('[2]Previsão Envase'!$F$1:$H$4,E211)</f>
        <v>0</v>
      </c>
      <c r="M211" s="35">
        <f t="shared" si="37"/>
        <v>0</v>
      </c>
      <c r="N211" s="68" t="str">
        <f>IFERROR(MAX(_xlfn.MAXIFS('[2]Controle de Produção'!$C:$C,'[2]Controle de Produção'!$L:$L,$D211,'[2]Controle de Produção'!$P:$P,$C211,'[2]Controle de Produção'!$G:$G,$B211),_xlfn.MAXIFS([3]EXPEDIÇÃO!$N:$N,[3]EXPEDIÇÃO!$E:$E,$D211,[3]EXPEDIÇÃO!$D:$D,$C211,[3]EXPEDIÇÃO!$N:$N,"&gt;="&amp;$G211)),"")</f>
        <v/>
      </c>
      <c r="O211" s="70">
        <f>INDEX([1]Produtos!$E:$E,MATCH($D211,[1]Produtos!$B:$B,0))</f>
        <v>500</v>
      </c>
      <c r="P211" s="70" t="str">
        <f>INDEX([1]Produtos!$F:$F,MATCH($D211,[1]Produtos!$B:$B,0))</f>
        <v>ml</v>
      </c>
      <c r="Q211" s="105">
        <f>INDEX([1]Produtos!$Y:$Y,MATCH($D211,[1]Produtos!$B:$B,0))</f>
        <v>0</v>
      </c>
      <c r="R211" s="35">
        <f t="shared" si="38"/>
        <v>4672.1934435811372</v>
      </c>
      <c r="S211" s="27">
        <f>IFERROR(INDEX([1]Produtos!$L:$L,MATCH(D211,[1]Produtos!$B:$B,0)), "")</f>
        <v>519.13260484234854</v>
      </c>
      <c r="T211" s="28">
        <f t="shared" si="39"/>
        <v>19.3</v>
      </c>
      <c r="U211" s="28" t="str">
        <f t="shared" si="40"/>
        <v>2D e 2h</v>
      </c>
      <c r="V211" s="27">
        <f>IFERROR(SUMIFS('[2]Controle de Produção'!$K:$K,'[2]Controle de Produção'!$L:$L,D211,'[2]Controle de Produção'!$P:$P,C211,'[2]Controle de Produção'!$B:$B,"&gt;=" &amp; G211,'[2]Controle de Produção'!$C:$C,"&lt;=" &amp; N211, '[2]Controle de Produção'!$G:$G,B211), "")</f>
        <v>0</v>
      </c>
      <c r="W211" s="27" t="str">
        <f>IFERROR(SUMIFS([3]EXPEDIÇÃO!$K:$K,[3]EXPEDIÇÃO!$E:$E,D211,[3]EXPEDIÇÃO!$D:$D,C211,[3]EXPEDIÇÃO!$N:$N,"&gt;=" &amp; G211,[3]EXPEDIÇÃO!$N:$N,"&lt;="&amp;N211), "")</f>
        <v/>
      </c>
      <c r="X211" s="27">
        <f>COUNTIFS('[2]Controle de Produção'!$P:$P,C211,'[2]Controle de Produção'!$L:$L,D211,'[2]Controle de Produção'!$B:$B,"&gt;=" &amp; G211)</f>
        <v>10</v>
      </c>
      <c r="Y211" s="27">
        <f t="shared" si="41"/>
        <v>0</v>
      </c>
      <c r="Z211" s="27">
        <f>IFERROR(COUNTIFS('[2]Controle de Produção'!$L:$L,D211,'[2]Controle de Produção'!$P:$P,C211,'[2]Controle de Produção'!$B:$B,"&gt;=" &amp; G211,'[2]Controle de Produção'!$C:$C,"&lt;=" &amp; N211, '[2]Controle de Produção'!$G:$G,B211), "")</f>
        <v>0</v>
      </c>
      <c r="AA211" s="108" t="str">
        <f t="shared" si="42"/>
        <v/>
      </c>
      <c r="AB211" s="41" t="str" cm="1">
        <f t="array" ref="AB211">_xlfn.IFS((H211*0.95)&lt;=V211,"Concluído",AND(V211 =0, J211&lt;&gt;""),"Programado",AND(V211=0,D211=""),"Desenvolv.",V211=0,"Não Iniciado",AND(V211&gt;0,V211&lt;H211,AO211=TRUE),"Em Produção",AND(V211&gt;0,V211&lt;H211,AO211=FALSE),"Produção Parcial")</f>
        <v>Não Iniciado</v>
      </c>
      <c r="AC211" s="42" t="b">
        <v>1</v>
      </c>
      <c r="AD211" s="42" t="b">
        <v>1</v>
      </c>
      <c r="AE211" s="42" t="b">
        <v>1</v>
      </c>
      <c r="AF211" s="42" t="b">
        <v>1</v>
      </c>
      <c r="AG211" s="42" t="b">
        <v>1</v>
      </c>
      <c r="AH211" s="42" t="s">
        <v>38</v>
      </c>
      <c r="AI211" s="42" t="s">
        <v>38</v>
      </c>
      <c r="AJ211" s="42" t="s">
        <v>38</v>
      </c>
      <c r="AK211" s="42" t="b">
        <v>0</v>
      </c>
      <c r="AL211" s="42" t="b">
        <v>1</v>
      </c>
      <c r="AM211" s="42" t="b">
        <v>1</v>
      </c>
      <c r="AN211" s="87">
        <f>7/7</f>
        <v>1</v>
      </c>
      <c r="AO211" s="45" t="b" cm="1">
        <f t="array" ref="AO211">AND(COUNTIF(AC211:AN211,FALSE)=0,SUMPRODUCT(ISNUMBER(AC211:AN211)*1)=0)</f>
        <v>0</v>
      </c>
      <c r="AP211" s="59"/>
      <c r="AQ211" s="111">
        <f>IF(AB211="",99999999999,IFERROR(MATCH(AB211,{"Produção Parcial","Em Produção","Programado","Não Iniciado","Desenvolv.","Concluído"},0),7)*100000000+IF(ISNUMBER(J211),J211-46000,9999)*10000+IF(A211="",99,A211)*100+IF(C211="",99,CODE(LEFT(C211,1))))</f>
        <v>499990473</v>
      </c>
      <c r="AR211"/>
      <c r="AS211"/>
    </row>
    <row r="212" spans="1:45" s="36" customFormat="1" ht="25.15" hidden="1" customHeight="1" x14ac:dyDescent="0.25">
      <c r="A212" s="36">
        <v>4</v>
      </c>
      <c r="B212" s="38" t="s">
        <v>430</v>
      </c>
      <c r="C212" s="70" t="str">
        <f>INDEX([1]Produtos!$G:$G,MATCH($D212,[1]Produtos!$B:$B,0))</f>
        <v>MISS RÔSE</v>
      </c>
      <c r="D212" s="24" t="s">
        <v>80</v>
      </c>
      <c r="E212" s="70" t="str">
        <f>INDEX([1]Produtos!$C:$C,MATCH($D212,[1]Produtos!$B:$B,0))&amp;IF($F212&lt;&gt;"-"," - "&amp;LEFT($F212,1),"")&amp;" &gt; "&amp;$B212</f>
        <v>BODY SPLASH NÉCTAR DAS TAMARAS &gt; PROG 01 25/03/26</v>
      </c>
      <c r="F212" s="51" t="s">
        <v>38</v>
      </c>
      <c r="G212" s="38">
        <v>46106</v>
      </c>
      <c r="H212" s="39">
        <v>30000</v>
      </c>
      <c r="I212" s="24" t="s">
        <v>42</v>
      </c>
      <c r="J212" s="68" t="str" cm="1">
        <f t="array" ref="J212">IFERROR(INDEX('[2]Previsão Envase'!$D$5:$D$4867, MATCH(1,('[2]Previsão Envase'!$F$5:$F$4867=$E212)+('[2]Previsão Envase'!$G$5:$G$4867=$E212)+('[2]Previsão Envase'!$H$5:$H$4867=$E212),0)),"")</f>
        <v/>
      </c>
      <c r="K212" s="68" t="str">
        <f>IF(COUNTIF('[2]Previsão Envase'!$F:$F,E212)&gt;0,"Linha 1",
IF(COUNTIF('[2]Previsão Envase'!$G:$G,E212)&gt;0,"Linha 2",
IF(COUNTIF('[2]Previsão Envase'!$H:$H,E212)&gt;0,"Linha 3","")))</f>
        <v/>
      </c>
      <c r="L212" s="96">
        <f>COUNTIF('[2]Previsão Envase'!$F:$H,E212)-COUNTIF('[2]Previsão Envase'!$F$1:$H$4,E212)</f>
        <v>0</v>
      </c>
      <c r="M212" s="35">
        <f t="shared" si="37"/>
        <v>0</v>
      </c>
      <c r="N212" s="68" t="str">
        <f>IFERROR(MAX(_xlfn.MAXIFS('[2]Controle de Produção'!$C:$C,'[2]Controle de Produção'!$L:$L,$D212,'[2]Controle de Produção'!$P:$P,$C212,'[2]Controle de Produção'!$G:$G,$B212),_xlfn.MAXIFS([3]EXPEDIÇÃO!$N:$N,[3]EXPEDIÇÃO!$E:$E,$D212,[3]EXPEDIÇÃO!$D:$D,$C212,[3]EXPEDIÇÃO!$N:$N,"&gt;="&amp;$G212)),"")</f>
        <v/>
      </c>
      <c r="O212" s="70">
        <f>INDEX([1]Produtos!$E:$E,MATCH($D212,[1]Produtos!$B:$B,0))</f>
        <v>220</v>
      </c>
      <c r="P212" s="70" t="str">
        <f>INDEX([1]Produtos!$F:$F,MATCH($D212,[1]Produtos!$B:$B,0))</f>
        <v>ml</v>
      </c>
      <c r="Q212" s="105">
        <f>INDEX([1]Produtos!$Y:$Y,MATCH($D212,[1]Produtos!$B:$B,0))</f>
        <v>0.51</v>
      </c>
      <c r="R212" s="35">
        <f t="shared" si="38"/>
        <v>7592.2902086267013</v>
      </c>
      <c r="S212" s="27">
        <f>IFERROR(INDEX([1]Produtos!$L:$L,MATCH(D212,[1]Produtos!$B:$B,0)), "")</f>
        <v>843.58780095852239</v>
      </c>
      <c r="T212" s="28">
        <f t="shared" si="39"/>
        <v>35.6</v>
      </c>
      <c r="U212" s="28" t="str">
        <f t="shared" si="40"/>
        <v>4D e 1h</v>
      </c>
      <c r="V212" s="57">
        <f>IFERROR(SUMIFS('[2]Controle de Produção'!$K:$K,'[2]Controle de Produção'!$L:$L,D212,'[2]Controle de Produção'!$P:$P,C212,'[2]Controle de Produção'!$B:$B,"&gt;=" &amp; G212,'[2]Controle de Produção'!$C:$C,"&lt;=" &amp; N212, '[2]Controle de Produção'!$G:$G,B212), "")</f>
        <v>0</v>
      </c>
      <c r="W212" s="27" t="str">
        <f>IFERROR(SUMIFS([3]EXPEDIÇÃO!$K:$K,[3]EXPEDIÇÃO!$E:$E,D212,[3]EXPEDIÇÃO!$D:$D,C212,[3]EXPEDIÇÃO!$N:$N,"&gt;=" &amp; G212,[3]EXPEDIÇÃO!$N:$N,"&lt;="&amp;N212), "")</f>
        <v/>
      </c>
      <c r="X212" s="27">
        <f>COUNTIFS('[2]Controle de Produção'!$P:$P,C212,'[2]Controle de Produção'!$L:$L,D212,'[2]Controle de Produção'!$B:$B,"&gt;=" &amp; G212)</f>
        <v>6</v>
      </c>
      <c r="Y212" s="27">
        <f t="shared" si="41"/>
        <v>0</v>
      </c>
      <c r="Z212" s="27">
        <f>IFERROR(COUNTIFS('[2]Controle de Produção'!$L:$L,D212,'[2]Controle de Produção'!$P:$P,C212,'[2]Controle de Produção'!$B:$B,"&gt;=" &amp; G212,'[2]Controle de Produção'!$C:$C,"&lt;=" &amp; N212, '[2]Controle de Produção'!$G:$G,B212), "")</f>
        <v>0</v>
      </c>
      <c r="AA212" s="108" t="str">
        <f t="shared" si="42"/>
        <v/>
      </c>
      <c r="AB212" s="41" t="str" cm="1">
        <f t="array" ref="AB212">_xlfn.IFS((H212*0.95)&lt;=V212,"Concluído",AND(V212 =0, J212&lt;&gt;""),"Programado",AND(V212=0,D212=""),"Desenvolv.",V212=0,"Não Iniciado",AND(V212&gt;0,V212&lt;H212,AO212=TRUE),"Em Produção",AND(V212&gt;0,V212&lt;H212,AO212=FALSE),"Produção Parcial")</f>
        <v>Não Iniciado</v>
      </c>
      <c r="AC212" s="42" t="b">
        <v>1</v>
      </c>
      <c r="AD212" s="42" t="b">
        <v>1</v>
      </c>
      <c r="AE212" s="42" t="b">
        <v>1</v>
      </c>
      <c r="AF212" s="42" t="b">
        <v>1</v>
      </c>
      <c r="AG212" s="42" t="s">
        <v>38</v>
      </c>
      <c r="AH212" s="42" t="s">
        <v>38</v>
      </c>
      <c r="AI212" s="42" t="b">
        <v>0</v>
      </c>
      <c r="AJ212" s="42" t="s">
        <v>38</v>
      </c>
      <c r="AK212" s="42" t="s">
        <v>38</v>
      </c>
      <c r="AL212" s="42" t="b">
        <v>0</v>
      </c>
      <c r="AM212" s="42" t="b">
        <v>1</v>
      </c>
      <c r="AN212" s="42" t="b">
        <v>1</v>
      </c>
      <c r="AO212" s="45" t="b" cm="1">
        <f t="array" ref="AO212">AND(COUNTIF(AC212:AN212,FALSE)=0,SUMPRODUCT(ISNUMBER(AC212:AN212)*1)=0)</f>
        <v>0</v>
      </c>
      <c r="AP212" s="59"/>
      <c r="AQ212" s="111">
        <f>IF(AB212="",99999999999,IFERROR(MATCH(AB212,{"Produção Parcial","Em Produção","Programado","Não Iniciado","Desenvolv.","Concluído"},0),7)*100000000+IF(ISNUMBER(J212),J212-46000,9999)*10000+IF(A212="",99,A212)*100+IF(C212="",99,CODE(LEFT(C212,1))))</f>
        <v>499990477</v>
      </c>
      <c r="AR212"/>
      <c r="AS212"/>
    </row>
    <row r="213" spans="1:45" s="36" customFormat="1" ht="25.15" hidden="1" customHeight="1" x14ac:dyDescent="0.25">
      <c r="A213" s="36">
        <v>4</v>
      </c>
      <c r="B213" s="112" t="s">
        <v>452</v>
      </c>
      <c r="C213" s="70" t="str">
        <f>INDEX([1]Produtos!$G:$G,MATCH($D213,[1]Produtos!$B:$B,0))</f>
        <v>MISS RÔSE</v>
      </c>
      <c r="D213" s="24" t="s">
        <v>75</v>
      </c>
      <c r="E213" s="70" t="str">
        <f>INDEX([1]Produtos!$C:$C,MATCH($D213,[1]Produtos!$B:$B,0))&amp;IF($F213&lt;&gt;"-"," - "&amp;LEFT($F213,1),"")&amp;" &gt; "&amp;$B213</f>
        <v>BODY SPLASH CEU INFINITO 200ml &gt; 0011</v>
      </c>
      <c r="F213" s="51" t="s">
        <v>38</v>
      </c>
      <c r="G213" s="38">
        <v>46169</v>
      </c>
      <c r="H213" s="39">
        <v>15000</v>
      </c>
      <c r="I213" s="24" t="s">
        <v>42</v>
      </c>
      <c r="J213" s="68" t="str" cm="1">
        <f t="array" ref="J213">IFERROR(INDEX('[2]Previsão Envase'!$D$5:$D$4867, MATCH(1,('[2]Previsão Envase'!$F$5:$F$4867=$E213)+('[2]Previsão Envase'!$G$5:$G$4867=$E213)+('[2]Previsão Envase'!$H$5:$H$4867=$E213),0)),"")</f>
        <v/>
      </c>
      <c r="K213" s="68" t="str">
        <f>IF(COUNTIF('[2]Previsão Envase'!$F:$F,E213)&gt;0,"Linha 1",
IF(COUNTIF('[2]Previsão Envase'!$G:$G,E213)&gt;0,"Linha 2",
IF(COUNTIF('[2]Previsão Envase'!$H:$H,E213)&gt;0,"Linha 3","")))</f>
        <v/>
      </c>
      <c r="L213" s="96">
        <f>COUNTIF('[2]Previsão Envase'!$F:$H,E213)-COUNTIF('[2]Previsão Envase'!$F$1:$H$4,E213)</f>
        <v>0</v>
      </c>
      <c r="M213" s="35">
        <f t="shared" si="37"/>
        <v>0</v>
      </c>
      <c r="N213" s="68" t="str">
        <f>IFERROR(MAX(_xlfn.MAXIFS('[2]Controle de Produção'!$C:$C,'[2]Controle de Produção'!$L:$L,$D213,'[2]Controle de Produção'!$P:$P,$C213,'[2]Controle de Produção'!$G:$G,$B213),_xlfn.MAXIFS([3]EXPEDIÇÃO!$N:$N,[3]EXPEDIÇÃO!$E:$E,$D213,[3]EXPEDIÇÃO!$D:$D,$C213,[3]EXPEDIÇÃO!$N:$N,"&gt;="&amp;$G213)),"")</f>
        <v/>
      </c>
      <c r="O213" s="70">
        <f>INDEX([1]Produtos!$E:$E,MATCH($D213,[1]Produtos!$B:$B,0))</f>
        <v>215</v>
      </c>
      <c r="P213" s="70" t="str">
        <f>INDEX([1]Produtos!$F:$F,MATCH($D213,[1]Produtos!$B:$B,0))</f>
        <v>ml</v>
      </c>
      <c r="Q213" s="105">
        <f>INDEX([1]Produtos!$Y:$Y,MATCH($D213,[1]Produtos!$B:$B,0))</f>
        <v>0.85</v>
      </c>
      <c r="R213" s="35">
        <f t="shared" si="38"/>
        <v>7592.2902086267013</v>
      </c>
      <c r="S213" s="27">
        <f>IFERROR(INDEX([1]Produtos!$L:$L,MATCH(D213,[1]Produtos!$B:$B,0)), "")</f>
        <v>843.58780095852239</v>
      </c>
      <c r="T213" s="28">
        <f t="shared" si="39"/>
        <v>17.8</v>
      </c>
      <c r="U213" s="28" t="str">
        <f t="shared" si="40"/>
        <v>2D e 1h</v>
      </c>
      <c r="V213" s="57">
        <f>IFERROR(SUMIFS('[2]Controle de Produção'!$K:$K,'[2]Controle de Produção'!$L:$L,D213,'[2]Controle de Produção'!$P:$P,C213,'[2]Controle de Produção'!$B:$B,"&gt;=" &amp; G213,'[2]Controle de Produção'!$C:$C,"&lt;=" &amp; N213, '[2]Controle de Produção'!$G:$G,B213), "")</f>
        <v>0</v>
      </c>
      <c r="W213" s="27" t="str">
        <f>IFERROR(SUMIFS([3]EXPEDIÇÃO!$K:$K,[3]EXPEDIÇÃO!$E:$E,D213,[3]EXPEDIÇÃO!$D:$D,C213,[3]EXPEDIÇÃO!$N:$N,"&gt;=" &amp; G213,[3]EXPEDIÇÃO!$N:$N,"&lt;="&amp;N213), "")</f>
        <v/>
      </c>
      <c r="X213" s="27">
        <f>COUNTIFS('[2]Controle de Produção'!$P:$P,C213,'[2]Controle de Produção'!$L:$L,D213,'[2]Controle de Produção'!$B:$B,"&gt;=" &amp; G213)</f>
        <v>3</v>
      </c>
      <c r="Y213" s="27">
        <f t="shared" si="41"/>
        <v>0</v>
      </c>
      <c r="Z213" s="27">
        <f>IFERROR(COUNTIFS('[2]Controle de Produção'!$L:$L,D213,'[2]Controle de Produção'!$P:$P,C213,'[2]Controle de Produção'!$B:$B,"&gt;=" &amp; G213,'[2]Controle de Produção'!$C:$C,"&lt;=" &amp; N213, '[2]Controle de Produção'!$G:$G,B213), "")</f>
        <v>0</v>
      </c>
      <c r="AA213" s="108" t="str">
        <f t="shared" si="42"/>
        <v/>
      </c>
      <c r="AB213" s="41" t="str" cm="1">
        <f t="array" ref="AB213">_xlfn.IFS((H213*0.95)&lt;=V213,"Concluído",AND(V213 =0, J213&lt;&gt;""),"Programado",AND(V213=0,D213=""),"Desenvolv.",V213=0,"Não Iniciado",AND(V213&gt;0,V213&lt;H213,AO213=TRUE),"Em Produção",AND(V213&gt;0,V213&lt;H213,AO213=FALSE),"Produção Parcial")</f>
        <v>Não Iniciado</v>
      </c>
      <c r="AC213" s="42" t="b">
        <v>1</v>
      </c>
      <c r="AD213" s="42" t="b">
        <v>1</v>
      </c>
      <c r="AE213" s="42" t="b">
        <v>1</v>
      </c>
      <c r="AF213" s="42" t="b">
        <v>0</v>
      </c>
      <c r="AG213" s="42" t="b">
        <v>0</v>
      </c>
      <c r="AH213" s="42" t="s">
        <v>38</v>
      </c>
      <c r="AI213" s="42" t="b">
        <v>0</v>
      </c>
      <c r="AJ213" s="42" t="s">
        <v>38</v>
      </c>
      <c r="AK213" s="42" t="s">
        <v>38</v>
      </c>
      <c r="AL213" s="42" t="b">
        <v>0</v>
      </c>
      <c r="AM213" s="42" t="b">
        <v>0</v>
      </c>
      <c r="AN213" s="42" t="b">
        <v>0</v>
      </c>
      <c r="AO213" s="45" t="b" cm="1">
        <f t="array" ref="AO213">AND(COUNTIF(AC213:AN213,FALSE)=0,SUMPRODUCT(ISNUMBER(AC213:AN213)*1)=0)</f>
        <v>0</v>
      </c>
      <c r="AP213" s="59"/>
      <c r="AQ213" s="111">
        <f>IF(AB213="",99999999999,IFERROR(MATCH(AB213,{"Produção Parcial","Em Produção","Programado","Não Iniciado","Desenvolv.","Concluído"},0),7)*100000000+IF(ISNUMBER(J213),J213-46000,9999)*10000+IF(A213="",99,A213)*100+IF(C213="",99,CODE(LEFT(C213,1))))</f>
        <v>499990477</v>
      </c>
    </row>
    <row r="214" spans="1:45" s="36" customFormat="1" ht="25.15" hidden="1" customHeight="1" x14ac:dyDescent="0.25">
      <c r="A214" s="36">
        <v>4</v>
      </c>
      <c r="B214" s="112" t="s">
        <v>452</v>
      </c>
      <c r="C214" s="70" t="str">
        <f>INDEX([1]Produtos!$G:$G,MATCH($D214,[1]Produtos!$B:$B,0))</f>
        <v>MISS RÔSE</v>
      </c>
      <c r="D214" s="24" t="s">
        <v>73</v>
      </c>
      <c r="E214" s="70" t="str">
        <f>INDEX([1]Produtos!$C:$C,MATCH($D214,[1]Produtos!$B:$B,0))&amp;IF($F214&lt;&gt;"-"," - "&amp;LEFT($F214,1),"")&amp;" &gt; "&amp;$B214</f>
        <v>BODY SPLASH CEU CELESTE 200ml &gt; 0011</v>
      </c>
      <c r="F214" s="51" t="s">
        <v>38</v>
      </c>
      <c r="G214" s="38">
        <v>46169</v>
      </c>
      <c r="H214" s="39">
        <v>30000</v>
      </c>
      <c r="I214" s="24" t="s">
        <v>42</v>
      </c>
      <c r="J214" s="68" t="str" cm="1">
        <f t="array" ref="J214">IFERROR(INDEX('[2]Previsão Envase'!$D$5:$D$4867, MATCH(1,('[2]Previsão Envase'!$F$5:$F$4867=$E214)+('[2]Previsão Envase'!$G$5:$G$4867=$E214)+('[2]Previsão Envase'!$H$5:$H$4867=$E214),0)),"")</f>
        <v/>
      </c>
      <c r="K214" s="68" t="str">
        <f>IF(COUNTIF('[2]Previsão Envase'!$F:$F,E214)&gt;0,"Linha 1",
IF(COUNTIF('[2]Previsão Envase'!$G:$G,E214)&gt;0,"Linha 2",
IF(COUNTIF('[2]Previsão Envase'!$H:$H,E214)&gt;0,"Linha 3","")))</f>
        <v/>
      </c>
      <c r="L214" s="96">
        <f>COUNTIF('[2]Previsão Envase'!$F:$H,E214)-COUNTIF('[2]Previsão Envase'!$F$1:$H$4,E214)</f>
        <v>0</v>
      </c>
      <c r="M214" s="35">
        <f t="shared" si="37"/>
        <v>0</v>
      </c>
      <c r="N214" s="68" t="str">
        <f>IFERROR(MAX(_xlfn.MAXIFS('[2]Controle de Produção'!$C:$C,'[2]Controle de Produção'!$L:$L,$D214,'[2]Controle de Produção'!$P:$P,$C214,'[2]Controle de Produção'!$G:$G,$B214),_xlfn.MAXIFS([3]EXPEDIÇÃO!$N:$N,[3]EXPEDIÇÃO!$E:$E,$D214,[3]EXPEDIÇÃO!$D:$D,$C214,[3]EXPEDIÇÃO!$N:$N,"&gt;="&amp;$G214)),"")</f>
        <v/>
      </c>
      <c r="O214" s="70">
        <f>INDEX([1]Produtos!$E:$E,MATCH($D214,[1]Produtos!$B:$B,0))</f>
        <v>215</v>
      </c>
      <c r="P214" s="70" t="str">
        <f>INDEX([1]Produtos!$F:$F,MATCH($D214,[1]Produtos!$B:$B,0))</f>
        <v>ml</v>
      </c>
      <c r="Q214" s="105">
        <f>INDEX([1]Produtos!$Y:$Y,MATCH($D214,[1]Produtos!$B:$B,0))</f>
        <v>0.85</v>
      </c>
      <c r="R214" s="35">
        <f t="shared" si="38"/>
        <v>7592.2902086267013</v>
      </c>
      <c r="S214" s="27">
        <f>IFERROR(INDEX([1]Produtos!$L:$L,MATCH(D214,[1]Produtos!$B:$B,0)), "")</f>
        <v>843.58780095852239</v>
      </c>
      <c r="T214" s="28">
        <f t="shared" si="39"/>
        <v>35.6</v>
      </c>
      <c r="U214" s="28" t="str">
        <f t="shared" si="40"/>
        <v>4D e 1h</v>
      </c>
      <c r="V214" s="57">
        <f>IFERROR(SUMIFS('[2]Controle de Produção'!$K:$K,'[2]Controle de Produção'!$L:$L,D214,'[2]Controle de Produção'!$P:$P,C214,'[2]Controle de Produção'!$B:$B,"&gt;=" &amp; G214,'[2]Controle de Produção'!$C:$C,"&lt;=" &amp; N214, '[2]Controle de Produção'!$G:$G,B214), "")</f>
        <v>0</v>
      </c>
      <c r="W214" s="27" t="str">
        <f>IFERROR(SUMIFS([3]EXPEDIÇÃO!$K:$K,[3]EXPEDIÇÃO!$E:$E,D214,[3]EXPEDIÇÃO!$D:$D,C214,[3]EXPEDIÇÃO!$N:$N,"&gt;=" &amp; G214,[3]EXPEDIÇÃO!$N:$N,"&lt;="&amp;N214), "")</f>
        <v/>
      </c>
      <c r="X214" s="27">
        <f>COUNTIFS('[2]Controle de Produção'!$P:$P,C214,'[2]Controle de Produção'!$L:$L,D214,'[2]Controle de Produção'!$B:$B,"&gt;=" &amp; G214)</f>
        <v>3</v>
      </c>
      <c r="Y214" s="27">
        <f t="shared" si="41"/>
        <v>0</v>
      </c>
      <c r="Z214" s="27">
        <f>IFERROR(COUNTIFS('[2]Controle de Produção'!$L:$L,D214,'[2]Controle de Produção'!$P:$P,C214,'[2]Controle de Produção'!$B:$B,"&gt;=" &amp; G214,'[2]Controle de Produção'!$C:$C,"&lt;=" &amp; N214, '[2]Controle de Produção'!$G:$G,B214), "")</f>
        <v>0</v>
      </c>
      <c r="AA214" s="108" t="str">
        <f t="shared" si="42"/>
        <v/>
      </c>
      <c r="AB214" s="41" t="str" cm="1">
        <f t="array" ref="AB214">_xlfn.IFS((H214*0.95)&lt;=V214,"Concluído",AND(V214 =0, J214&lt;&gt;""),"Programado",AND(V214=0,D214=""),"Desenvolv.",V214=0,"Não Iniciado",AND(V214&gt;0,V214&lt;H214,AO214=TRUE),"Em Produção",AND(V214&gt;0,V214&lt;H214,AO214=FALSE),"Produção Parcial")</f>
        <v>Não Iniciado</v>
      </c>
      <c r="AC214" s="42" t="b">
        <v>0</v>
      </c>
      <c r="AD214" s="42" t="b">
        <v>0</v>
      </c>
      <c r="AE214" s="42" t="b">
        <v>1</v>
      </c>
      <c r="AF214" s="42" t="b">
        <v>0</v>
      </c>
      <c r="AG214" s="42" t="b">
        <v>0</v>
      </c>
      <c r="AH214" s="42" t="b">
        <v>0</v>
      </c>
      <c r="AI214" s="42" t="b">
        <v>0</v>
      </c>
      <c r="AJ214" s="42" t="s">
        <v>38</v>
      </c>
      <c r="AK214" s="42" t="s">
        <v>38</v>
      </c>
      <c r="AL214" s="42" t="b">
        <v>0</v>
      </c>
      <c r="AM214" s="42" t="b">
        <v>0</v>
      </c>
      <c r="AN214" s="42" t="b">
        <v>0</v>
      </c>
      <c r="AO214" s="45" t="b" cm="1">
        <f t="array" ref="AO214">AND(COUNTIF(AC214:AN214,FALSE)=0,SUMPRODUCT(ISNUMBER(AC214:AN214)*1)=0)</f>
        <v>0</v>
      </c>
      <c r="AP214" s="59"/>
      <c r="AQ214" s="111">
        <f>IF(AB214="",99999999999,IFERROR(MATCH(AB214,{"Produção Parcial","Em Produção","Programado","Não Iniciado","Desenvolv.","Concluído"},0),7)*100000000+IF(ISNUMBER(J214),J214-46000,9999)*10000+IF(A214="",99,A214)*100+IF(C214="",99,CODE(LEFT(C214,1))))</f>
        <v>499990477</v>
      </c>
      <c r="AR214"/>
      <c r="AS214"/>
    </row>
    <row r="215" spans="1:45" s="36" customFormat="1" ht="25.15" hidden="1" customHeight="1" x14ac:dyDescent="0.25">
      <c r="A215" s="36">
        <v>4</v>
      </c>
      <c r="B215" s="112" t="s">
        <v>452</v>
      </c>
      <c r="C215" s="70" t="str">
        <f>INDEX([1]Produtos!$G:$G,MATCH($D215,[1]Produtos!$B:$B,0))</f>
        <v>MISS RÔSE</v>
      </c>
      <c r="D215" s="24" t="s">
        <v>101</v>
      </c>
      <c r="E215" s="70" t="str">
        <f>INDEX([1]Produtos!$C:$C,MATCH($D215,[1]Produtos!$B:$B,0))&amp;IF($F215&lt;&gt;"-"," - "&amp;LEFT($F215,1),"")&amp;" &gt; "&amp;$B215</f>
        <v>BODY SPLASH DESPERTAR DAS FLORES 200ml &gt; 0011</v>
      </c>
      <c r="F215" s="51" t="s">
        <v>38</v>
      </c>
      <c r="G215" s="38">
        <v>46169</v>
      </c>
      <c r="H215" s="39">
        <v>30000</v>
      </c>
      <c r="I215" s="24" t="s">
        <v>42</v>
      </c>
      <c r="J215" s="68" t="str" cm="1">
        <f t="array" ref="J215">IFERROR(INDEX('[2]Previsão Envase'!$D$5:$D$4867, MATCH(1,('[2]Previsão Envase'!$F$5:$F$4867=$E215)+('[2]Previsão Envase'!$G$5:$G$4867=$E215)+('[2]Previsão Envase'!$H$5:$H$4867=$E215),0)),"")</f>
        <v/>
      </c>
      <c r="K215" s="68" t="str">
        <f>IF(COUNTIF('[2]Previsão Envase'!$F:$F,E215)&gt;0,"Linha 1",
IF(COUNTIF('[2]Previsão Envase'!$G:$G,E215)&gt;0,"Linha 2",
IF(COUNTIF('[2]Previsão Envase'!$H:$H,E215)&gt;0,"Linha 3","")))</f>
        <v/>
      </c>
      <c r="L215" s="96">
        <f>COUNTIF('[2]Previsão Envase'!$F:$H,E215)-COUNTIF('[2]Previsão Envase'!$F$1:$H$4,E215)</f>
        <v>0</v>
      </c>
      <c r="M215" s="35">
        <f t="shared" si="37"/>
        <v>0</v>
      </c>
      <c r="N215" s="68" t="str">
        <f>IFERROR(MAX(_xlfn.MAXIFS('[2]Controle de Produção'!$C:$C,'[2]Controle de Produção'!$L:$L,$D215,'[2]Controle de Produção'!$P:$P,$C215,'[2]Controle de Produção'!$G:$G,$B215),_xlfn.MAXIFS([3]EXPEDIÇÃO!$N:$N,[3]EXPEDIÇÃO!$E:$E,$D215,[3]EXPEDIÇÃO!$D:$D,$C215,[3]EXPEDIÇÃO!$N:$N,"&gt;="&amp;$G215)),"")</f>
        <v/>
      </c>
      <c r="O215" s="70">
        <f>INDEX([1]Produtos!$E:$E,MATCH($D215,[1]Produtos!$B:$B,0))</f>
        <v>215</v>
      </c>
      <c r="P215" s="70" t="str">
        <f>INDEX([1]Produtos!$F:$F,MATCH($D215,[1]Produtos!$B:$B,0))</f>
        <v>ml</v>
      </c>
      <c r="Q215" s="105">
        <f>INDEX([1]Produtos!$Y:$Y,MATCH($D215,[1]Produtos!$B:$B,0))</f>
        <v>0.85000000000000009</v>
      </c>
      <c r="R215" s="35">
        <f t="shared" si="38"/>
        <v>7592.2902086267013</v>
      </c>
      <c r="S215" s="27">
        <f>IFERROR(INDEX([1]Produtos!$L:$L,MATCH(D215,[1]Produtos!$B:$B,0)), "")</f>
        <v>843.58780095852239</v>
      </c>
      <c r="T215" s="28">
        <f t="shared" si="39"/>
        <v>35.6</v>
      </c>
      <c r="U215" s="28" t="str">
        <f t="shared" si="40"/>
        <v>4D e 1h</v>
      </c>
      <c r="V215" s="57">
        <f>IFERROR(SUMIFS('[2]Controle de Produção'!$K:$K,'[2]Controle de Produção'!$L:$L,D215,'[2]Controle de Produção'!$P:$P,C215,'[2]Controle de Produção'!$B:$B,"&gt;=" &amp; G215,'[2]Controle de Produção'!$C:$C,"&lt;=" &amp; N215, '[2]Controle de Produção'!$G:$G,B215), "")</f>
        <v>0</v>
      </c>
      <c r="W215" s="27" t="str">
        <f>IFERROR(SUMIFS([3]EXPEDIÇÃO!$K:$K,[3]EXPEDIÇÃO!$E:$E,D215,[3]EXPEDIÇÃO!$D:$D,C215,[3]EXPEDIÇÃO!$N:$N,"&gt;=" &amp; G215,[3]EXPEDIÇÃO!$N:$N,"&lt;="&amp;N215), "")</f>
        <v/>
      </c>
      <c r="X215" s="27">
        <f>COUNTIFS('[2]Controle de Produção'!$P:$P,C215,'[2]Controle de Produção'!$L:$L,D215,'[2]Controle de Produção'!$B:$B,"&gt;=" &amp; G215)</f>
        <v>4</v>
      </c>
      <c r="Y215" s="27">
        <f t="shared" si="41"/>
        <v>0</v>
      </c>
      <c r="Z215" s="27">
        <f>IFERROR(COUNTIFS('[2]Controle de Produção'!$L:$L,D215,'[2]Controle de Produção'!$P:$P,C215,'[2]Controle de Produção'!$B:$B,"&gt;=" &amp; G215,'[2]Controle de Produção'!$C:$C,"&lt;=" &amp; N215, '[2]Controle de Produção'!$G:$G,B215), "")</f>
        <v>0</v>
      </c>
      <c r="AA215" s="108" t="str">
        <f t="shared" si="42"/>
        <v/>
      </c>
      <c r="AB215" s="41" t="str" cm="1">
        <f t="array" ref="AB215">_xlfn.IFS((H215*0.95)&lt;=V215,"Concluído",AND(V215 =0, J215&lt;&gt;""),"Programado",AND(V215=0,D215=""),"Desenvolv.",V215=0,"Não Iniciado",AND(V215&gt;0,V215&lt;H215,AO215=TRUE),"Em Produção",AND(V215&gt;0,V215&lt;H215,AO215=FALSE),"Produção Parcial")</f>
        <v>Não Iniciado</v>
      </c>
      <c r="AC215" s="42" t="b">
        <v>1</v>
      </c>
      <c r="AD215" s="42" t="b">
        <v>1</v>
      </c>
      <c r="AE215" s="42" t="b">
        <v>1</v>
      </c>
      <c r="AF215" s="42" t="b">
        <v>0</v>
      </c>
      <c r="AG215" s="42" t="b">
        <v>0</v>
      </c>
      <c r="AH215" s="42" t="b">
        <v>0</v>
      </c>
      <c r="AI215" s="42" t="b">
        <v>0</v>
      </c>
      <c r="AJ215" s="42" t="b">
        <v>0</v>
      </c>
      <c r="AK215" s="42" t="s">
        <v>38</v>
      </c>
      <c r="AL215" s="42" t="b">
        <v>0</v>
      </c>
      <c r="AM215" s="42" t="b">
        <v>0</v>
      </c>
      <c r="AN215" s="42" t="b">
        <v>0</v>
      </c>
      <c r="AO215" s="45" t="b" cm="1">
        <f t="array" ref="AO215">AND(COUNTIF(AC215:AN215,FALSE)=0,SUMPRODUCT(ISNUMBER(AC215:AN215)*1)=0)</f>
        <v>0</v>
      </c>
      <c r="AP215" s="59"/>
      <c r="AQ215" s="111">
        <f>IF(AB215="",99999999999,IFERROR(MATCH(AB215,{"Produção Parcial","Em Produção","Programado","Não Iniciado","Desenvolv.","Concluído"},0),7)*100000000+IF(ISNUMBER(J215),J215-46000,9999)*10000+IF(A215="",99,A215)*100+IF(C215="",99,CODE(LEFT(C215,1))))</f>
        <v>499990477</v>
      </c>
    </row>
    <row r="216" spans="1:45" s="36" customFormat="1" ht="25.15" hidden="1" customHeight="1" x14ac:dyDescent="0.25">
      <c r="A216" s="36">
        <v>4</v>
      </c>
      <c r="B216" s="112" t="s">
        <v>452</v>
      </c>
      <c r="C216" s="70" t="str">
        <f>INDEX([1]Produtos!$G:$G,MATCH($D216,[1]Produtos!$B:$B,0))</f>
        <v>MISS RÔSE</v>
      </c>
      <c r="D216" s="24" t="s">
        <v>69</v>
      </c>
      <c r="E216" s="70" t="str">
        <f>INDEX([1]Produtos!$C:$C,MATCH($D216,[1]Produtos!$B:$B,0))&amp;IF($F216&lt;&gt;"-"," - "&amp;LEFT($F216,1),"")&amp;" &gt; "&amp;$B216</f>
        <v>BODY SPLASH FLOR D AURA 200ml &gt; 0011</v>
      </c>
      <c r="F216" s="51" t="s">
        <v>38</v>
      </c>
      <c r="G216" s="38">
        <v>46169</v>
      </c>
      <c r="H216" s="39">
        <v>15000</v>
      </c>
      <c r="I216" s="24" t="s">
        <v>42</v>
      </c>
      <c r="J216" s="68" t="str" cm="1">
        <f t="array" ref="J216">IFERROR(INDEX('[2]Previsão Envase'!$D$5:$D$4867, MATCH(1,('[2]Previsão Envase'!$F$5:$F$4867=$E216)+('[2]Previsão Envase'!$G$5:$G$4867=$E216)+('[2]Previsão Envase'!$H$5:$H$4867=$E216),0)),"")</f>
        <v/>
      </c>
      <c r="K216" s="68" t="str">
        <f>IF(COUNTIF('[2]Previsão Envase'!$F:$F,E216)&gt;0,"Linha 1",
IF(COUNTIF('[2]Previsão Envase'!$G:$G,E216)&gt;0,"Linha 2",
IF(COUNTIF('[2]Previsão Envase'!$H:$H,E216)&gt;0,"Linha 3","")))</f>
        <v/>
      </c>
      <c r="L216" s="96">
        <f>COUNTIF('[2]Previsão Envase'!$F:$H,E216)-COUNTIF('[2]Previsão Envase'!$F$1:$H$4,E216)</f>
        <v>0</v>
      </c>
      <c r="M216" s="35">
        <f t="shared" si="37"/>
        <v>0</v>
      </c>
      <c r="N216" s="68" t="str">
        <f>IFERROR(MAX(_xlfn.MAXIFS('[2]Controle de Produção'!$C:$C,'[2]Controle de Produção'!$L:$L,$D216,'[2]Controle de Produção'!$P:$P,$C216,'[2]Controle de Produção'!$G:$G,$B216),_xlfn.MAXIFS([3]EXPEDIÇÃO!$N:$N,[3]EXPEDIÇÃO!$E:$E,$D216,[3]EXPEDIÇÃO!$D:$D,$C216,[3]EXPEDIÇÃO!$N:$N,"&gt;="&amp;$G216)),"")</f>
        <v/>
      </c>
      <c r="O216" s="70">
        <f>INDEX([1]Produtos!$E:$E,MATCH($D216,[1]Produtos!$B:$B,0))</f>
        <v>215</v>
      </c>
      <c r="P216" s="70" t="str">
        <f>INDEX([1]Produtos!$F:$F,MATCH($D216,[1]Produtos!$B:$B,0))</f>
        <v>ml</v>
      </c>
      <c r="Q216" s="105">
        <f>INDEX([1]Produtos!$Y:$Y,MATCH($D216,[1]Produtos!$B:$B,0))</f>
        <v>0.85</v>
      </c>
      <c r="R216" s="35">
        <f t="shared" si="38"/>
        <v>7592.2902086267013</v>
      </c>
      <c r="S216" s="27">
        <f>IFERROR(INDEX([1]Produtos!$L:$L,MATCH(D216,[1]Produtos!$B:$B,0)), "")</f>
        <v>843.58780095852239</v>
      </c>
      <c r="T216" s="28">
        <f t="shared" si="39"/>
        <v>17.8</v>
      </c>
      <c r="U216" s="28" t="str">
        <f t="shared" si="40"/>
        <v>2D e 1h</v>
      </c>
      <c r="V216" s="57">
        <f>IFERROR(SUMIFS('[2]Controle de Produção'!$K:$K,'[2]Controle de Produção'!$L:$L,D216,'[2]Controle de Produção'!$P:$P,C216,'[2]Controle de Produção'!$B:$B,"&gt;=" &amp; G216,'[2]Controle de Produção'!$C:$C,"&lt;=" &amp; N216, '[2]Controle de Produção'!$G:$G,B216), "")</f>
        <v>0</v>
      </c>
      <c r="W216" s="27" t="str">
        <f>IFERROR(SUMIFS([3]EXPEDIÇÃO!$K:$K,[3]EXPEDIÇÃO!$E:$E,D216,[3]EXPEDIÇÃO!$D:$D,C216,[3]EXPEDIÇÃO!$N:$N,"&gt;=" &amp; G216,[3]EXPEDIÇÃO!$N:$N,"&lt;="&amp;N216), "")</f>
        <v/>
      </c>
      <c r="X216" s="27">
        <f>COUNTIFS('[2]Controle de Produção'!$P:$P,C216,'[2]Controle de Produção'!$L:$L,D216,'[2]Controle de Produção'!$B:$B,"&gt;=" &amp; G216)</f>
        <v>2</v>
      </c>
      <c r="Y216" s="27">
        <f t="shared" si="41"/>
        <v>0</v>
      </c>
      <c r="Z216" s="27">
        <f>IFERROR(COUNTIFS('[2]Controle de Produção'!$L:$L,D216,'[2]Controle de Produção'!$P:$P,C216,'[2]Controle de Produção'!$B:$B,"&gt;=" &amp; G216,'[2]Controle de Produção'!$C:$C,"&lt;=" &amp; N216, '[2]Controle de Produção'!$G:$G,B216), "")</f>
        <v>0</v>
      </c>
      <c r="AA216" s="108" t="str">
        <f t="shared" si="42"/>
        <v/>
      </c>
      <c r="AB216" s="41" t="str" cm="1">
        <f t="array" ref="AB216">_xlfn.IFS((H216*0.95)&lt;=V216,"Concluído",AND(V216 =0, J216&lt;&gt;""),"Programado",AND(V216=0,D216=""),"Desenvolv.",V216=0,"Não Iniciado",AND(V216&gt;0,V216&lt;H216,AO216=TRUE),"Em Produção",AND(V216&gt;0,V216&lt;H216,AO216=FALSE),"Produção Parcial")</f>
        <v>Não Iniciado</v>
      </c>
      <c r="AC216" s="42" t="b">
        <v>0</v>
      </c>
      <c r="AD216" s="42" t="b">
        <v>0</v>
      </c>
      <c r="AE216" s="42" t="b">
        <v>1</v>
      </c>
      <c r="AF216" s="42" t="b">
        <v>0</v>
      </c>
      <c r="AG216" s="42" t="b">
        <v>0</v>
      </c>
      <c r="AH216" s="42" t="b">
        <v>0</v>
      </c>
      <c r="AI216" s="42" t="b">
        <v>0</v>
      </c>
      <c r="AJ216" s="42" t="b">
        <v>0</v>
      </c>
      <c r="AK216" s="42" t="s">
        <v>38</v>
      </c>
      <c r="AL216" s="42" t="b">
        <v>0</v>
      </c>
      <c r="AM216" s="42" t="b">
        <v>0</v>
      </c>
      <c r="AN216" s="42" t="b">
        <v>0</v>
      </c>
      <c r="AO216" s="45" t="b" cm="1">
        <f t="array" ref="AO216">AND(COUNTIF(AC216:AN216,FALSE)=0,SUMPRODUCT(ISNUMBER(AC216:AN216)*1)=0)</f>
        <v>0</v>
      </c>
      <c r="AP216" s="59"/>
      <c r="AQ216" s="111">
        <f>IF(AB216="",99999999999,IFERROR(MATCH(AB216,{"Produção Parcial","Em Produção","Programado","Não Iniciado","Desenvolv.","Concluído"},0),7)*100000000+IF(ISNUMBER(J216),J216-46000,9999)*10000+IF(A216="",99,A216)*100+IF(C216="",99,CODE(LEFT(C216,1))))</f>
        <v>499990477</v>
      </c>
    </row>
    <row r="217" spans="1:45" s="36" customFormat="1" ht="25.15" hidden="1" customHeight="1" x14ac:dyDescent="0.25">
      <c r="A217" s="36">
        <v>4</v>
      </c>
      <c r="B217" s="112" t="s">
        <v>455</v>
      </c>
      <c r="C217" s="70" t="str">
        <f>INDEX([1]Produtos!$G:$G,MATCH($D217,[1]Produtos!$B:$B,0))</f>
        <v>MISS RÔSE</v>
      </c>
      <c r="D217" s="24" t="s">
        <v>80</v>
      </c>
      <c r="E217" s="70" t="str">
        <f>INDEX([1]Produtos!$C:$C,MATCH($D217,[1]Produtos!$B:$B,0))&amp;IF($F217&lt;&gt;"-"," - "&amp;LEFT($F217,1),"")&amp;" &gt; "&amp;$B217</f>
        <v>BODY SPLASH NÉCTAR DAS TAMARAS &gt; 0014</v>
      </c>
      <c r="F217" s="51" t="s">
        <v>38</v>
      </c>
      <c r="G217" s="38">
        <v>46196</v>
      </c>
      <c r="H217" s="39">
        <v>10000</v>
      </c>
      <c r="I217" s="24" t="s">
        <v>42</v>
      </c>
      <c r="J217" s="68" t="str" cm="1">
        <f t="array" ref="J217">IFERROR(INDEX('[2]Previsão Envase'!$D$5:$D$4867, MATCH(1,('[2]Previsão Envase'!$F$5:$F$4867=$E217)+('[2]Previsão Envase'!$G$5:$G$4867=$E217)+('[2]Previsão Envase'!$H$5:$H$4867=$E217),0)),"")</f>
        <v/>
      </c>
      <c r="K217" s="68" t="str">
        <f>IF(COUNTIF('[2]Previsão Envase'!$F:$F,E217)&gt;0,"Linha 1",
IF(COUNTIF('[2]Previsão Envase'!$G:$G,E217)&gt;0,"Linha 2",
IF(COUNTIF('[2]Previsão Envase'!$H:$H,E217)&gt;0,"Linha 3","")))</f>
        <v/>
      </c>
      <c r="L217" s="96">
        <f>COUNTIF('[2]Previsão Envase'!$F:$H,E217)-COUNTIF('[2]Previsão Envase'!$F$1:$H$4,E217)</f>
        <v>0</v>
      </c>
      <c r="M217" s="35">
        <f t="shared" si="37"/>
        <v>0</v>
      </c>
      <c r="N217" s="68" t="str">
        <f>IFERROR(MAX(_xlfn.MAXIFS('[2]Controle de Produção'!$C:$C,'[2]Controle de Produção'!$L:$L,$D217,'[2]Controle de Produção'!$P:$P,$C217,'[2]Controle de Produção'!$G:$G,$B217),_xlfn.MAXIFS([3]EXPEDIÇÃO!$N:$N,[3]EXPEDIÇÃO!$E:$E,$D217,[3]EXPEDIÇÃO!$D:$D,$C217,[3]EXPEDIÇÃO!$N:$N,"&gt;="&amp;$G217)),"")</f>
        <v/>
      </c>
      <c r="O217" s="70">
        <f>INDEX([1]Produtos!$E:$E,MATCH($D217,[1]Produtos!$B:$B,0))</f>
        <v>220</v>
      </c>
      <c r="P217" s="70" t="str">
        <f>INDEX([1]Produtos!$F:$F,MATCH($D217,[1]Produtos!$B:$B,0))</f>
        <v>ml</v>
      </c>
      <c r="Q217" s="105">
        <f>INDEX([1]Produtos!$Y:$Y,MATCH($D217,[1]Produtos!$B:$B,0))</f>
        <v>0.51</v>
      </c>
      <c r="R217" s="35">
        <f t="shared" si="38"/>
        <v>7592.2902086267013</v>
      </c>
      <c r="S217" s="27">
        <f>IFERROR(INDEX([1]Produtos!$L:$L,MATCH(D217,[1]Produtos!$B:$B,0)), "")</f>
        <v>843.58780095852239</v>
      </c>
      <c r="T217" s="28">
        <f t="shared" si="39"/>
        <v>11.9</v>
      </c>
      <c r="U217" s="28" t="str">
        <f t="shared" si="40"/>
        <v>1D e 4h</v>
      </c>
      <c r="V217" s="57">
        <f>IFERROR(SUMIFS('[2]Controle de Produção'!$K:$K,'[2]Controle de Produção'!$L:$L,D217,'[2]Controle de Produção'!$P:$P,C217,'[2]Controle de Produção'!$B:$B,"&gt;=" &amp; G217,'[2]Controle de Produção'!$C:$C,"&lt;=" &amp; N217, '[2]Controle de Produção'!$G:$G,B217), "")</f>
        <v>0</v>
      </c>
      <c r="W217" s="27" t="str">
        <f>IFERROR(SUMIFS([3]EXPEDIÇÃO!$K:$K,[3]EXPEDIÇÃO!$E:$E,D217,[3]EXPEDIÇÃO!$D:$D,C217,[3]EXPEDIÇÃO!$N:$N,"&gt;=" &amp; G217,[3]EXPEDIÇÃO!$N:$N,"&lt;="&amp;N217), "")</f>
        <v/>
      </c>
      <c r="X217" s="27">
        <f>COUNTIFS('[2]Controle de Produção'!$P:$P,C217,'[2]Controle de Produção'!$L:$L,D217,'[2]Controle de Produção'!$B:$B,"&gt;=" &amp; G217)</f>
        <v>0</v>
      </c>
      <c r="Y217" s="27" t="str">
        <f t="shared" si="41"/>
        <v>-</v>
      </c>
      <c r="Z217" s="27">
        <f>IFERROR(COUNTIFS('[2]Controle de Produção'!$L:$L,D217,'[2]Controle de Produção'!$P:$P,C217,'[2]Controle de Produção'!$B:$B,"&gt;=" &amp; G217,'[2]Controle de Produção'!$C:$C,"&lt;=" &amp; N217, '[2]Controle de Produção'!$G:$G,B217), "")</f>
        <v>0</v>
      </c>
      <c r="AA217" s="108" t="str">
        <f t="shared" si="42"/>
        <v/>
      </c>
      <c r="AB217" s="41" t="str" cm="1">
        <f t="array" ref="AB217">_xlfn.IFS((H217*0.95)&lt;=V217,"Concluído",AND(V217 =0, J217&lt;&gt;""),"Programado",AND(V217=0,D217=""),"Desenvolv.",V217=0,"Não Iniciado",AND(V217&gt;0,V217&lt;H217,AO217=TRUE),"Em Produção",AND(V217&gt;0,V217&lt;H217,AO217=FALSE),"Produção Parcial")</f>
        <v>Não Iniciado</v>
      </c>
      <c r="AC217" s="42" t="b">
        <v>1</v>
      </c>
      <c r="AD217" s="42" t="b">
        <v>1</v>
      </c>
      <c r="AE217" s="42" t="b">
        <v>0</v>
      </c>
      <c r="AF217" s="42" t="b">
        <v>0</v>
      </c>
      <c r="AG217" s="42" t="s">
        <v>38</v>
      </c>
      <c r="AH217" s="42" t="s">
        <v>38</v>
      </c>
      <c r="AI217" s="42" t="b">
        <v>0</v>
      </c>
      <c r="AJ217" s="42" t="s">
        <v>38</v>
      </c>
      <c r="AK217" s="42" t="s">
        <v>38</v>
      </c>
      <c r="AL217" s="42" t="b">
        <v>0</v>
      </c>
      <c r="AM217" s="42" t="b">
        <v>0</v>
      </c>
      <c r="AN217" s="42" t="b">
        <v>0</v>
      </c>
      <c r="AO217" s="45" t="b" cm="1">
        <f t="array" ref="AO217">AND(COUNTIF(AC217:AN217,FALSE)=0,SUMPRODUCT(ISNUMBER(AC217:AN217)*1)=0)</f>
        <v>0</v>
      </c>
      <c r="AP217" s="59"/>
      <c r="AQ217" s="111">
        <f>IF(AB217="",99999999999,IFERROR(MATCH(AB217,{"Produção Parcial","Em Produção","Programado","Não Iniciado","Desenvolv.","Concluído"},0),7)*100000000+IF(ISNUMBER(J217),J217-46000,9999)*10000+IF(A217="",99,A217)*100+IF(C217="",99,CODE(LEFT(C217,1))))</f>
        <v>499990477</v>
      </c>
    </row>
    <row r="218" spans="1:45" s="36" customFormat="1" ht="25.15" hidden="1" customHeight="1" x14ac:dyDescent="0.25">
      <c r="A218" s="36">
        <v>4</v>
      </c>
      <c r="B218" s="112" t="s">
        <v>455</v>
      </c>
      <c r="C218" s="70" t="str">
        <f>INDEX([1]Produtos!$G:$G,MATCH($D218,[1]Produtos!$B:$B,0))</f>
        <v>MISS RÔSE</v>
      </c>
      <c r="D218" s="24" t="s">
        <v>41</v>
      </c>
      <c r="E218" s="70" t="str">
        <f>INDEX([1]Produtos!$C:$C,MATCH($D218,[1]Produtos!$B:$B,0))&amp;IF($F218&lt;&gt;"-"," - "&amp;LEFT($F218,1),"")&amp;" &gt; "&amp;$B218</f>
        <v>BODY SPLASH AURORA IMPERIAL &gt; 0014</v>
      </c>
      <c r="F218" s="51" t="s">
        <v>38</v>
      </c>
      <c r="G218" s="38">
        <v>46196</v>
      </c>
      <c r="H218" s="39">
        <v>40000</v>
      </c>
      <c r="I218" s="24" t="s">
        <v>42</v>
      </c>
      <c r="J218" s="68" t="str" cm="1">
        <f t="array" ref="J218">IFERROR(INDEX('[2]Previsão Envase'!$D$5:$D$4867, MATCH(1,('[2]Previsão Envase'!$F$5:$F$4867=$E218)+('[2]Previsão Envase'!$G$5:$G$4867=$E218)+('[2]Previsão Envase'!$H$5:$H$4867=$E218),0)),"")</f>
        <v/>
      </c>
      <c r="K218" s="68" t="str">
        <f>IF(COUNTIF('[2]Previsão Envase'!$F:$F,E218)&gt;0,"Linha 1",
IF(COUNTIF('[2]Previsão Envase'!$G:$G,E218)&gt;0,"Linha 2",
IF(COUNTIF('[2]Previsão Envase'!$H:$H,E218)&gt;0,"Linha 3","")))</f>
        <v/>
      </c>
      <c r="L218" s="96">
        <f>COUNTIF('[2]Previsão Envase'!$F:$H,E218)-COUNTIF('[2]Previsão Envase'!$F$1:$H$4,E218)</f>
        <v>0</v>
      </c>
      <c r="M218" s="35">
        <f t="shared" si="37"/>
        <v>0</v>
      </c>
      <c r="N218" s="68" t="str">
        <f>IFERROR(MAX(_xlfn.MAXIFS('[2]Controle de Produção'!$C:$C,'[2]Controle de Produção'!$L:$L,$D218,'[2]Controle de Produção'!$P:$P,$C218,'[2]Controle de Produção'!$G:$G,$B218),_xlfn.MAXIFS([3]EXPEDIÇÃO!$N:$N,[3]EXPEDIÇÃO!$E:$E,$D218,[3]EXPEDIÇÃO!$D:$D,$C218,[3]EXPEDIÇÃO!$N:$N,"&gt;="&amp;$G218)),"")</f>
        <v/>
      </c>
      <c r="O218" s="70">
        <f>INDEX([1]Produtos!$E:$E,MATCH($D218,[1]Produtos!$B:$B,0))</f>
        <v>220</v>
      </c>
      <c r="P218" s="70" t="str">
        <f>INDEX([1]Produtos!$F:$F,MATCH($D218,[1]Produtos!$B:$B,0))</f>
        <v>ml</v>
      </c>
      <c r="Q218" s="105">
        <f>INDEX([1]Produtos!$Y:$Y,MATCH($D218,[1]Produtos!$B:$B,0))</f>
        <v>0.51</v>
      </c>
      <c r="R218" s="35">
        <f t="shared" si="38"/>
        <v>7592.2902086267013</v>
      </c>
      <c r="S218" s="27">
        <f>IFERROR(INDEX([1]Produtos!$L:$L,MATCH(D218,[1]Produtos!$B:$B,0)), "")</f>
        <v>843.58780095852239</v>
      </c>
      <c r="T218" s="28">
        <f t="shared" si="39"/>
        <v>47.5</v>
      </c>
      <c r="U218" s="28" t="str">
        <f t="shared" si="40"/>
        <v>5D e 4h</v>
      </c>
      <c r="V218" s="57">
        <f>IFERROR(SUMIFS('[2]Controle de Produção'!$K:$K,'[2]Controle de Produção'!$L:$L,D218,'[2]Controle de Produção'!$P:$P,C218,'[2]Controle de Produção'!$B:$B,"&gt;=" &amp; G218,'[2]Controle de Produção'!$C:$C,"&lt;=" &amp; N218, '[2]Controle de Produção'!$G:$G,B218), "")</f>
        <v>0</v>
      </c>
      <c r="W218" s="27" t="str">
        <f>IFERROR(SUMIFS([3]EXPEDIÇÃO!$K:$K,[3]EXPEDIÇÃO!$E:$E,D218,[3]EXPEDIÇÃO!$D:$D,C218,[3]EXPEDIÇÃO!$N:$N,"&gt;=" &amp; G218,[3]EXPEDIÇÃO!$N:$N,"&lt;="&amp;N218), "")</f>
        <v/>
      </c>
      <c r="X218" s="27">
        <f>COUNTIFS('[2]Controle de Produção'!$P:$P,C218,'[2]Controle de Produção'!$L:$L,D218,'[2]Controle de Produção'!$B:$B,"&gt;=" &amp; G218)</f>
        <v>2</v>
      </c>
      <c r="Y218" s="27">
        <f t="shared" si="41"/>
        <v>0</v>
      </c>
      <c r="Z218" s="27">
        <f>IFERROR(COUNTIFS('[2]Controle de Produção'!$L:$L,D218,'[2]Controle de Produção'!$P:$P,C218,'[2]Controle de Produção'!$B:$B,"&gt;=" &amp; G218,'[2]Controle de Produção'!$C:$C,"&lt;=" &amp; N218, '[2]Controle de Produção'!$G:$G,B218), "")</f>
        <v>0</v>
      </c>
      <c r="AA218" s="108" t="str">
        <f t="shared" si="42"/>
        <v/>
      </c>
      <c r="AB218" s="41" t="str" cm="1">
        <f t="array" ref="AB218">_xlfn.IFS((H218*0.95)&lt;=V218,"Concluído",AND(V218 =0, J218&lt;&gt;""),"Programado",AND(V218=0,D218=""),"Desenvolv.",V218=0,"Não Iniciado",AND(V218&gt;0,V218&lt;H218,AO218=TRUE),"Em Produção",AND(V218&gt;0,V218&lt;H218,AO218=FALSE),"Produção Parcial")</f>
        <v>Não Iniciado</v>
      </c>
      <c r="AC218" s="42" t="b">
        <v>1</v>
      </c>
      <c r="AD218" s="42" t="b">
        <v>1</v>
      </c>
      <c r="AE218" s="42" t="b">
        <v>0</v>
      </c>
      <c r="AF218" s="42" t="b">
        <v>0</v>
      </c>
      <c r="AG218" s="42" t="s">
        <v>38</v>
      </c>
      <c r="AH218" s="42" t="s">
        <v>38</v>
      </c>
      <c r="AI218" s="42" t="b">
        <v>0</v>
      </c>
      <c r="AJ218" s="42" t="s">
        <v>38</v>
      </c>
      <c r="AK218" s="42" t="s">
        <v>38</v>
      </c>
      <c r="AL218" s="42" t="b">
        <v>0</v>
      </c>
      <c r="AM218" s="42" t="b">
        <v>0</v>
      </c>
      <c r="AN218" s="42" t="b">
        <v>0</v>
      </c>
      <c r="AO218" s="45" t="b" cm="1">
        <f t="array" ref="AO218">AND(COUNTIF(AC218:AN218,FALSE)=0,SUMPRODUCT(ISNUMBER(AC218:AN218)*1)=0)</f>
        <v>0</v>
      </c>
      <c r="AP218" s="59"/>
      <c r="AQ218" s="111">
        <f>IF(AB218="",99999999999,IFERROR(MATCH(AB218,{"Produção Parcial","Em Produção","Programado","Não Iniciado","Desenvolv.","Concluído"},0),7)*100000000+IF(ISNUMBER(J218),J218-46000,9999)*10000+IF(A218="",99,A218)*100+IF(C218="",99,CODE(LEFT(C218,1))))</f>
        <v>499990477</v>
      </c>
    </row>
    <row r="219" spans="1:45" s="36" customFormat="1" ht="25.15" customHeight="1" x14ac:dyDescent="0.25">
      <c r="A219" s="36">
        <v>4</v>
      </c>
      <c r="B219" s="112" t="s">
        <v>456</v>
      </c>
      <c r="C219" s="70" t="str">
        <f>INDEX([1]Produtos!$G:$G,MATCH($D219,[1]Produtos!$B:$B,0))</f>
        <v>MISS RÔSE</v>
      </c>
      <c r="D219" s="24" t="s">
        <v>148</v>
      </c>
      <c r="E219" s="70" t="str">
        <f>INDEX([1]Produtos!$C:$C,MATCH($D219,[1]Produtos!$B:$B,0))&amp;IF($F219&lt;&gt;"-"," - "&amp;LEFT($F219,1),"")&amp;" &gt; "&amp;$B219</f>
        <v>FIXADOR FIX MATTE 120ml &gt; 0015</v>
      </c>
      <c r="F219" s="51" t="s">
        <v>38</v>
      </c>
      <c r="G219" s="38">
        <v>46196</v>
      </c>
      <c r="H219" s="39">
        <v>60000</v>
      </c>
      <c r="I219" s="24" t="s">
        <v>42</v>
      </c>
      <c r="J219" s="68" t="str" cm="1">
        <f t="array" ref="J219">IFERROR(INDEX('[2]Previsão Envase'!$D$5:$D$4867, MATCH(1,('[2]Previsão Envase'!$F$5:$F$4867=$E219)+('[2]Previsão Envase'!$G$5:$G$4867=$E219)+('[2]Previsão Envase'!$H$5:$H$4867=$E219),0)),"")</f>
        <v/>
      </c>
      <c r="K219" s="68" t="str">
        <f>IF(COUNTIF('[2]Previsão Envase'!$F:$F,E219)&gt;0,"Linha 1",
IF(COUNTIF('[2]Previsão Envase'!$G:$G,E219)&gt;0,"Linha 2",
IF(COUNTIF('[2]Previsão Envase'!$H:$H,E219)&gt;0,"Linha 3","")))</f>
        <v/>
      </c>
      <c r="L219" s="96">
        <f>COUNTIF('[2]Previsão Envase'!$F:$H,E219)-COUNTIF('[2]Previsão Envase'!$F$1:$H$4,E219)</f>
        <v>0</v>
      </c>
      <c r="M219" s="35">
        <f t="shared" si="37"/>
        <v>0</v>
      </c>
      <c r="N219" s="68" t="str">
        <f>IFERROR(MAX(_xlfn.MAXIFS('[2]Controle de Produção'!$C:$C,'[2]Controle de Produção'!$L:$L,$D219,'[2]Controle de Produção'!$P:$P,$C219,'[2]Controle de Produção'!$G:$G,$B219),_xlfn.MAXIFS([3]EXPEDIÇÃO!$N:$N,[3]EXPEDIÇÃO!$E:$E,$D219,[3]EXPEDIÇÃO!$D:$D,$C219,[3]EXPEDIÇÃO!$N:$N,"&gt;="&amp;$G219)),"")</f>
        <v/>
      </c>
      <c r="O219" s="70">
        <f>INDEX([1]Produtos!$E:$E,MATCH($D219,[1]Produtos!$B:$B,0))</f>
        <v>120</v>
      </c>
      <c r="P219" s="70" t="str">
        <f>INDEX([1]Produtos!$F:$F,MATCH($D219,[1]Produtos!$B:$B,0))</f>
        <v>ml</v>
      </c>
      <c r="Q219" s="105">
        <f>INDEX([1]Produtos!$Y:$Y,MATCH($D219,[1]Produtos!$B:$B,0))</f>
        <v>0.55000000000000004</v>
      </c>
      <c r="R219" s="35">
        <f t="shared" si="38"/>
        <v>7069.6498915671636</v>
      </c>
      <c r="S219" s="27">
        <f>IFERROR(INDEX([1]Produtos!$L:$L,MATCH(D219,[1]Produtos!$B:$B,0)), "")</f>
        <v>785.51665461857374</v>
      </c>
      <c r="T219" s="28">
        <f t="shared" si="39"/>
        <v>76.399999999999991</v>
      </c>
      <c r="U219" s="28" t="str">
        <f t="shared" si="40"/>
        <v>8D e 6h</v>
      </c>
      <c r="V219" s="27">
        <f>IFERROR(SUMIFS('[2]Controle de Produção'!$K:$K,'[2]Controle de Produção'!$L:$L,D219,'[2]Controle de Produção'!$P:$P,C219,'[2]Controle de Produção'!$B:$B,"&gt;=" &amp; G219,'[2]Controle de Produção'!$C:$C,"&lt;=" &amp; N219, '[2]Controle de Produção'!$G:$G,B219), "")</f>
        <v>0</v>
      </c>
      <c r="W219" s="27" t="str">
        <f>IFERROR(SUMIFS([3]EXPEDIÇÃO!$K:$K,[3]EXPEDIÇÃO!$E:$E,D219,[3]EXPEDIÇÃO!$D:$D,C219,[3]EXPEDIÇÃO!$N:$N,"&gt;=" &amp; G219,[3]EXPEDIÇÃO!$N:$N,"&lt;="&amp;N219), "")</f>
        <v/>
      </c>
      <c r="X219" s="27">
        <f>COUNTIFS('[2]Controle de Produção'!$P:$P,C219,'[2]Controle de Produção'!$L:$L,D219,'[2]Controle de Produção'!$B:$B,"&gt;=" &amp; G219)</f>
        <v>0</v>
      </c>
      <c r="Y219" s="27" t="str">
        <f t="shared" si="41"/>
        <v>-</v>
      </c>
      <c r="Z219" s="27">
        <f>IFERROR(COUNTIFS('[2]Controle de Produção'!$L:$L,D219,'[2]Controle de Produção'!$P:$P,C219,'[2]Controle de Produção'!$B:$B,"&gt;=" &amp; G219,'[2]Controle de Produção'!$C:$C,"&lt;=" &amp; N219, '[2]Controle de Produção'!$G:$G,B219), "")</f>
        <v>0</v>
      </c>
      <c r="AA219" s="108" t="str">
        <f t="shared" si="42"/>
        <v/>
      </c>
      <c r="AB219" s="41" t="str" cm="1">
        <f t="array" ref="AB219">_xlfn.IFS((H219*0.95)&lt;=V219,"Concluído",AND(V219 =0, J219&lt;&gt;""),"Programado",AND(V219=0,D219=""),"Desenvolv.",V219=0,"Não Iniciado",AND(V219&gt;0,V219&lt;H219,AO219=TRUE),"Em Produção",AND(V219&gt;0,V219&lt;H219,AO219=FALSE),"Produção Parcial")</f>
        <v>Não Iniciado</v>
      </c>
      <c r="AC219" s="42" t="b">
        <v>1</v>
      </c>
      <c r="AD219" s="42" t="b">
        <v>1</v>
      </c>
      <c r="AE219" s="42" t="b">
        <v>0</v>
      </c>
      <c r="AF219" s="42" t="b">
        <v>0</v>
      </c>
      <c r="AG219" s="42" t="s">
        <v>38</v>
      </c>
      <c r="AH219" s="42" t="s">
        <v>38</v>
      </c>
      <c r="AI219" s="42" t="b">
        <v>0</v>
      </c>
      <c r="AJ219" s="42" t="b">
        <v>0</v>
      </c>
      <c r="AK219" s="42" t="b">
        <v>0</v>
      </c>
      <c r="AL219" s="42" t="b">
        <v>0</v>
      </c>
      <c r="AM219" s="42" t="b">
        <v>0</v>
      </c>
      <c r="AN219" s="42" t="b">
        <v>0</v>
      </c>
      <c r="AO219" s="45" t="b" cm="1">
        <f t="array" ref="AO219">AND(COUNTIF(AC219:AN219,FALSE)=0,SUMPRODUCT(ISNUMBER(AC219:AN219)*1)=0)</f>
        <v>0</v>
      </c>
      <c r="AP219" s="59"/>
      <c r="AQ219" s="111">
        <f>IF(AB219="",99999999999,IFERROR(MATCH(AB219,{"Produção Parcial","Em Produção","Programado","Não Iniciado","Desenvolv.","Concluído"},0),7)*100000000+IF(ISNUMBER(J219),J219-46000,9999)*10000+IF(A219="",99,A219)*100+IF(C219="",99,CODE(LEFT(C219,1))))</f>
        <v>499990477</v>
      </c>
    </row>
    <row r="220" spans="1:45" s="36" customFormat="1" ht="25.15" hidden="1" customHeight="1" x14ac:dyDescent="0.25">
      <c r="A220" s="36">
        <v>4</v>
      </c>
      <c r="B220" s="38" t="s">
        <v>36</v>
      </c>
      <c r="C220" s="70" t="str">
        <f>INDEX([1]Produtos!$G:$G,MATCH($D220,[1]Produtos!$B:$B,0))</f>
        <v>MISS RÔSE</v>
      </c>
      <c r="D220" s="24" t="s">
        <v>101</v>
      </c>
      <c r="E220" s="70" t="str">
        <f>INDEX([1]Produtos!$C:$C,MATCH($D220,[1]Produtos!$B:$B,0))&amp;IF($F220&lt;&gt;"-"," - "&amp;LEFT($F220,1),"")&amp;" &gt; "&amp;$B220</f>
        <v>BODY SPLASH DESPERTAR DAS FLORES 200ml &gt; FABIANO 09/12</v>
      </c>
      <c r="F220" s="51" t="s">
        <v>38</v>
      </c>
      <c r="G220" s="38">
        <v>46000</v>
      </c>
      <c r="H220" s="39">
        <v>15000</v>
      </c>
      <c r="I220" s="24" t="s">
        <v>39</v>
      </c>
      <c r="J220" s="68" t="str" cm="1">
        <f t="array" ref="J220">IFERROR(INDEX('[2]Previsão Envase'!$D$5:$D$4867, MATCH(1,('[2]Previsão Envase'!$F$5:$F$4867=$E220)+('[2]Previsão Envase'!$G$5:$G$4867=$E220)+('[2]Previsão Envase'!$H$5:$H$4867=$E220),0)),"")</f>
        <v/>
      </c>
      <c r="K220" s="68" t="str">
        <f>IF(COUNTIF('[2]Previsão Envase'!$F:$F,E220)&gt;0,"Linha 1",
IF(COUNTIF('[2]Previsão Envase'!$G:$G,E220)&gt;0,"Linha 2",
IF(COUNTIF('[2]Previsão Envase'!$H:$H,E220)&gt;0,"Linha 3","")))</f>
        <v/>
      </c>
      <c r="L220" s="96">
        <f>COUNTIF('[2]Previsão Envase'!$F:$H,E220)-COUNTIF('[2]Previsão Envase'!$F$1:$H$4,E220)</f>
        <v>0</v>
      </c>
      <c r="M220" s="35">
        <f t="shared" si="37"/>
        <v>0</v>
      </c>
      <c r="N220" s="68" t="str">
        <f>IFERROR(MAX(_xlfn.MAXIFS('[2]Controle de Produção'!$C:$C,'[2]Controle de Produção'!$L:$L,$D220,'[2]Controle de Produção'!$P:$P,$C220,'[2]Controle de Produção'!$G:$G,$B220),_xlfn.MAXIFS([3]EXPEDIÇÃO!$N:$N,[3]EXPEDIÇÃO!$E:$E,$D220,[3]EXPEDIÇÃO!$D:$D,$C220,[3]EXPEDIÇÃO!$N:$N,"&gt;="&amp;$G220)),"")</f>
        <v/>
      </c>
      <c r="O220" s="70">
        <f>INDEX([1]Produtos!$E:$E,MATCH($D220,[1]Produtos!$B:$B,0))</f>
        <v>215</v>
      </c>
      <c r="P220" s="70" t="str">
        <f>INDEX([1]Produtos!$F:$F,MATCH($D220,[1]Produtos!$B:$B,0))</f>
        <v>ml</v>
      </c>
      <c r="Q220" s="105">
        <f>INDEX([1]Produtos!$Y:$Y,MATCH($D220,[1]Produtos!$B:$B,0))</f>
        <v>0.85000000000000009</v>
      </c>
      <c r="R220" s="35">
        <f t="shared" si="38"/>
        <v>7592.2902086267013</v>
      </c>
      <c r="S220" s="27">
        <f>IFERROR(INDEX([1]Produtos!$L:$L,MATCH(D220,[1]Produtos!$B:$B,0)), "")</f>
        <v>843.58780095852239</v>
      </c>
      <c r="T220" s="28">
        <f t="shared" si="39"/>
        <v>17.8</v>
      </c>
      <c r="U220" s="28" t="str">
        <f t="shared" si="40"/>
        <v>2D e 1h</v>
      </c>
      <c r="V220" s="27">
        <f>IFERROR(SUMIFS('[2]Controle de Produção'!$K:$K,'[2]Controle de Produção'!$L:$L,D220,'[2]Controle de Produção'!$P:$P,C220,'[2]Controle de Produção'!$B:$B,"&gt;=" &amp; G220,'[2]Controle de Produção'!$C:$C,"&lt;=" &amp; N220, '[2]Controle de Produção'!$G:$G,B220), "")</f>
        <v>0</v>
      </c>
      <c r="W220" s="27" t="str">
        <f>IFERROR(SUMIFS([3]EXPEDIÇÃO!$K:$K,[3]EXPEDIÇÃO!$E:$E,D220,[3]EXPEDIÇÃO!$D:$D,C220,[3]EXPEDIÇÃO!$N:$N,"&gt;=" &amp; G220,[3]EXPEDIÇÃO!$N:$N,"&lt;="&amp;N220), "")</f>
        <v/>
      </c>
      <c r="X220" s="27">
        <f>COUNTIFS('[2]Controle de Produção'!$P:$P,C220,'[2]Controle de Produção'!$L:$L,D220,'[2]Controle de Produção'!$B:$B,"&gt;=" &amp; G220)</f>
        <v>11</v>
      </c>
      <c r="Y220" s="27">
        <f t="shared" si="41"/>
        <v>0</v>
      </c>
      <c r="Z220" s="27">
        <f>IFERROR(COUNTIFS('[2]Controle de Produção'!$L:$L,D220,'[2]Controle de Produção'!$P:$P,C220,'[2]Controle de Produção'!$B:$B,"&gt;=" &amp; G220,'[2]Controle de Produção'!$C:$C,"&lt;=" &amp; N220, '[2]Controle de Produção'!$G:$G,B220), "")</f>
        <v>0</v>
      </c>
      <c r="AA220" s="108" t="str">
        <f t="shared" si="42"/>
        <v/>
      </c>
      <c r="AB220" s="41" t="str" cm="1">
        <f t="array" ref="AB220">_xlfn.IFS((H220*0.95)&lt;=V220,"Concluído",AND(V220 =0, J220&lt;&gt;""),"Programado",AND(V220=0,D220=""),"Desenvolv.",V220=0,"Não Iniciado",AND(V220&gt;0,V220&lt;H220,AO220=TRUE),"Em Produção",AND(V220&gt;0,V220&lt;H220,AO220=FALSE),"Produção Parcial")</f>
        <v>Não Iniciado</v>
      </c>
      <c r="AC220" s="42" t="b">
        <v>1</v>
      </c>
      <c r="AD220" s="42" t="b">
        <v>1</v>
      </c>
      <c r="AE220" s="42" t="b">
        <v>1</v>
      </c>
      <c r="AF220" s="42" t="b">
        <v>1</v>
      </c>
      <c r="AG220" s="42" t="b">
        <v>1</v>
      </c>
      <c r="AH220" s="42" t="s">
        <v>38</v>
      </c>
      <c r="AI220" s="42" t="b">
        <v>1</v>
      </c>
      <c r="AJ220" s="42" t="s">
        <v>38</v>
      </c>
      <c r="AK220" s="42" t="s">
        <v>38</v>
      </c>
      <c r="AL220" s="42" t="b">
        <v>1</v>
      </c>
      <c r="AM220" s="42" t="b">
        <v>1</v>
      </c>
      <c r="AN220" s="42" t="b">
        <v>1</v>
      </c>
      <c r="AO220" s="45" t="b" cm="1">
        <f t="array" ref="AO220">AND(COUNTIF(AC220:AN220,FALSE)=0,SUMPRODUCT(ISNUMBER(AC220:AN220)*1)=0)</f>
        <v>1</v>
      </c>
      <c r="AP220" s="59"/>
      <c r="AQ220" s="111">
        <f>IF(AB220="",99999999999,IFERROR(MATCH(AB220,{"Produção Parcial","Em Produção","Programado","Não Iniciado","Desenvolv.","Concluído"},0),7)*100000000+IF(ISNUMBER(J220),J220-46000,9999)*10000+IF(A220="",99,A220)*100+IF(C220="",99,CODE(LEFT(C220,1))))</f>
        <v>499990477</v>
      </c>
    </row>
    <row r="221" spans="1:45" s="36" customFormat="1" ht="25.15" hidden="1" customHeight="1" x14ac:dyDescent="0.25">
      <c r="A221" s="36">
        <v>4</v>
      </c>
      <c r="B221" s="38" t="s">
        <v>36</v>
      </c>
      <c r="C221" s="70" t="str">
        <f>INDEX([1]Produtos!$G:$G,MATCH($D221,[1]Produtos!$B:$B,0))</f>
        <v>MISS RÔSE</v>
      </c>
      <c r="D221" s="24" t="s">
        <v>71</v>
      </c>
      <c r="E221" s="70" t="str">
        <f>INDEX([1]Produtos!$C:$C,MATCH($D221,[1]Produtos!$B:$B,0))&amp;IF($F221&lt;&gt;"-"," - "&amp;LEFT($F221,1),"")&amp;" &gt; "&amp;$B221</f>
        <v>BODY SPLASH AMBAR REAL 200ml &gt; FABIANO 09/12</v>
      </c>
      <c r="F221" s="51" t="s">
        <v>38</v>
      </c>
      <c r="G221" s="38">
        <v>46000</v>
      </c>
      <c r="H221" s="39">
        <v>15000</v>
      </c>
      <c r="I221" s="24" t="s">
        <v>39</v>
      </c>
      <c r="J221" s="68" t="str" cm="1">
        <f t="array" ref="J221">IFERROR(INDEX('[2]Previsão Envase'!$D$5:$D$4867, MATCH(1,('[2]Previsão Envase'!$F$5:$F$4867=$E221)+('[2]Previsão Envase'!$G$5:$G$4867=$E221)+('[2]Previsão Envase'!$H$5:$H$4867=$E221),0)),"")</f>
        <v/>
      </c>
      <c r="K221" s="68" t="str">
        <f>IF(COUNTIF('[2]Previsão Envase'!$F:$F,E221)&gt;0,"Linha 1",
IF(COUNTIF('[2]Previsão Envase'!$G:$G,E221)&gt;0,"Linha 2",
IF(COUNTIF('[2]Previsão Envase'!$H:$H,E221)&gt;0,"Linha 3","")))</f>
        <v/>
      </c>
      <c r="L221" s="96">
        <f>COUNTIF('[2]Previsão Envase'!$F:$H,E221)-COUNTIF('[2]Previsão Envase'!$F$1:$H$4,E221)</f>
        <v>0</v>
      </c>
      <c r="M221" s="35">
        <f t="shared" si="37"/>
        <v>0</v>
      </c>
      <c r="N221" s="68" t="str">
        <f>IFERROR(MAX(_xlfn.MAXIFS('[2]Controle de Produção'!$C:$C,'[2]Controle de Produção'!$L:$L,$D221,'[2]Controle de Produção'!$P:$P,$C221,'[2]Controle de Produção'!$G:$G,$B221),_xlfn.MAXIFS([3]EXPEDIÇÃO!$N:$N,[3]EXPEDIÇÃO!$E:$E,$D221,[3]EXPEDIÇÃO!$D:$D,$C221,[3]EXPEDIÇÃO!$N:$N,"&gt;="&amp;$G221)),"")</f>
        <v/>
      </c>
      <c r="O221" s="70">
        <f>INDEX([1]Produtos!$E:$E,MATCH($D221,[1]Produtos!$B:$B,0))</f>
        <v>215</v>
      </c>
      <c r="P221" s="70" t="str">
        <f>INDEX([1]Produtos!$F:$F,MATCH($D221,[1]Produtos!$B:$B,0))</f>
        <v>ml</v>
      </c>
      <c r="Q221" s="105">
        <f>INDEX([1]Produtos!$Y:$Y,MATCH($D221,[1]Produtos!$B:$B,0))</f>
        <v>0.85</v>
      </c>
      <c r="R221" s="35">
        <f t="shared" si="38"/>
        <v>7592.2902086267013</v>
      </c>
      <c r="S221" s="27">
        <f>IFERROR(INDEX([1]Produtos!$L:$L,MATCH(D221,[1]Produtos!$B:$B,0)), "")</f>
        <v>843.58780095852239</v>
      </c>
      <c r="T221" s="28">
        <f t="shared" si="39"/>
        <v>17.8</v>
      </c>
      <c r="U221" s="28" t="str">
        <f t="shared" si="40"/>
        <v>2D e 1h</v>
      </c>
      <c r="V221" s="27">
        <f>IFERROR(SUMIFS('[2]Controle de Produção'!$K:$K,'[2]Controle de Produção'!$L:$L,D221,'[2]Controle de Produção'!$P:$P,C221,'[2]Controle de Produção'!$B:$B,"&gt;=" &amp; G221,'[2]Controle de Produção'!$C:$C,"&lt;=" &amp; N221, '[2]Controle de Produção'!$G:$G,B221), "")</f>
        <v>0</v>
      </c>
      <c r="W221" s="27" t="str">
        <f>IFERROR(SUMIFS([3]EXPEDIÇÃO!$K:$K,[3]EXPEDIÇÃO!$E:$E,D221,[3]EXPEDIÇÃO!$D:$D,C221,[3]EXPEDIÇÃO!$N:$N,"&gt;=" &amp; G221,[3]EXPEDIÇÃO!$N:$N,"&lt;="&amp;N221), "")</f>
        <v/>
      </c>
      <c r="X221" s="27">
        <f>COUNTIFS('[2]Controle de Produção'!$P:$P,C221,'[2]Controle de Produção'!$L:$L,D221,'[2]Controle de Produção'!$B:$B,"&gt;=" &amp; G221)</f>
        <v>14</v>
      </c>
      <c r="Y221" s="27">
        <f t="shared" si="41"/>
        <v>0</v>
      </c>
      <c r="Z221" s="27">
        <f>IFERROR(COUNTIFS('[2]Controle de Produção'!$L:$L,D221,'[2]Controle de Produção'!$P:$P,C221,'[2]Controle de Produção'!$B:$B,"&gt;=" &amp; G221,'[2]Controle de Produção'!$C:$C,"&lt;=" &amp; N221, '[2]Controle de Produção'!$G:$G,B221), "")</f>
        <v>0</v>
      </c>
      <c r="AA221" s="108" t="str">
        <f t="shared" si="42"/>
        <v/>
      </c>
      <c r="AB221" s="41" t="str" cm="1">
        <f t="array" ref="AB221">_xlfn.IFS((H221*0.95)&lt;=V221,"Concluído",AND(V221 =0, J221&lt;&gt;""),"Programado",AND(V221=0,D221=""),"Desenvolv.",V221=0,"Não Iniciado",AND(V221&gt;0,V221&lt;H221,AO221=TRUE),"Em Produção",AND(V221&gt;0,V221&lt;H221,AO221=FALSE),"Produção Parcial")</f>
        <v>Não Iniciado</v>
      </c>
      <c r="AC221" s="42" t="b">
        <v>1</v>
      </c>
      <c r="AD221" s="42" t="b">
        <v>1</v>
      </c>
      <c r="AE221" s="42" t="b">
        <v>1</v>
      </c>
      <c r="AF221" s="42" t="b">
        <v>1</v>
      </c>
      <c r="AG221" s="42" t="b">
        <v>1</v>
      </c>
      <c r="AH221" s="42" t="s">
        <v>38</v>
      </c>
      <c r="AI221" s="42" t="b">
        <v>1</v>
      </c>
      <c r="AJ221" s="42" t="s">
        <v>38</v>
      </c>
      <c r="AK221" s="42" t="b">
        <v>0</v>
      </c>
      <c r="AL221" s="42" t="b">
        <v>1</v>
      </c>
      <c r="AM221" s="42" t="b">
        <v>1</v>
      </c>
      <c r="AN221" s="42" t="b">
        <v>0</v>
      </c>
      <c r="AO221" s="45" t="b" cm="1">
        <f t="array" ref="AO221">AND(COUNTIF(AC221:AN221,FALSE)=0,SUMPRODUCT(ISNUMBER(AC221:AN221)*1)=0)</f>
        <v>0</v>
      </c>
      <c r="AP221" s="59"/>
      <c r="AQ221" s="111">
        <f>IF(AB221="",99999999999,IFERROR(MATCH(AB221,{"Produção Parcial","Em Produção","Programado","Não Iniciado","Desenvolv.","Concluído"},0),7)*100000000+IF(ISNUMBER(J221),J221-46000,9999)*10000+IF(A221="",99,A221)*100+IF(C221="",99,CODE(LEFT(C221,1))))</f>
        <v>499990477</v>
      </c>
    </row>
    <row r="222" spans="1:45" s="36" customFormat="1" ht="25.15" hidden="1" customHeight="1" x14ac:dyDescent="0.25">
      <c r="A222" s="36">
        <v>4</v>
      </c>
      <c r="B222" s="38" t="s">
        <v>106</v>
      </c>
      <c r="C222" s="24" t="str">
        <f>INDEX([1]Produtos!$G:$G,MATCH($D222,[1]Produtos!$B:$B,0))</f>
        <v>MOUTIER</v>
      </c>
      <c r="D222" s="24" t="s">
        <v>134</v>
      </c>
      <c r="E222" s="70" t="str">
        <f>INDEX([1]Produtos!$C:$C,MATCH($D222,[1]Produtos!$B:$B,0))&amp;IF($F222&lt;&gt;"-"," - "&amp;LEFT($F222,1),"")&amp;" &gt; "&amp;$B222</f>
        <v>PERFUME MASCULINO 117 INVICTUS &gt; Perfumes Moutier</v>
      </c>
      <c r="F222" s="51" t="s">
        <v>38</v>
      </c>
      <c r="G222" s="38">
        <v>45810</v>
      </c>
      <c r="H222" s="39">
        <v>500</v>
      </c>
      <c r="I222" s="24" t="s">
        <v>39</v>
      </c>
      <c r="J222" s="68" t="str" cm="1">
        <f t="array" ref="J222">IFERROR(INDEX('[2]Previsão Envase'!$D$5:$D$4867, MATCH(1,('[2]Previsão Envase'!$F$5:$F$4867=$E222)+('[2]Previsão Envase'!$G$5:$G$4867=$E222)+('[2]Previsão Envase'!$H$5:$H$4867=$E222),0)),"")</f>
        <v/>
      </c>
      <c r="K222" s="68" t="str">
        <f>IF(COUNTIF('[2]Previsão Envase'!$F:$F,E222)&gt;0,"Linha 1",
IF(COUNTIF('[2]Previsão Envase'!$G:$G,E222)&gt;0,"Linha 2",
IF(COUNTIF('[2]Previsão Envase'!$H:$H,E222)&gt;0,"Linha 3","")))</f>
        <v/>
      </c>
      <c r="L222" s="96">
        <f>COUNTIF('[2]Previsão Envase'!$F:$H,E222)-COUNTIF('[2]Previsão Envase'!$F$1:$H$4,E222)</f>
        <v>0</v>
      </c>
      <c r="M222" s="35">
        <f t="shared" si="37"/>
        <v>0</v>
      </c>
      <c r="N222" s="68" t="str">
        <f>IFERROR(MAX(_xlfn.MAXIFS('[2]Controle de Produção'!$C:$C,'[2]Controle de Produção'!$L:$L,$D222,'[2]Controle de Produção'!$P:$P,$C222,'[2]Controle de Produção'!$G:$G,$B222),_xlfn.MAXIFS([3]EXPEDIÇÃO!$N:$N,[3]EXPEDIÇÃO!$E:$E,$D222,[3]EXPEDIÇÃO!$D:$D,$C222,[3]EXPEDIÇÃO!$N:$N,"&gt;="&amp;$G222)),"")</f>
        <v/>
      </c>
      <c r="O222" s="70">
        <f>INDEX([1]Produtos!$E:$E,MATCH($D222,[1]Produtos!$B:$B,0))</f>
        <v>50</v>
      </c>
      <c r="P222" s="70" t="str">
        <f>INDEX([1]Produtos!$F:$F,MATCH($D222,[1]Produtos!$B:$B,0))</f>
        <v>ml</v>
      </c>
      <c r="Q222" s="105">
        <f>INDEX([1]Produtos!$Y:$Y,MATCH($D222,[1]Produtos!$B:$B,0))</f>
        <v>0</v>
      </c>
      <c r="R222" s="35">
        <f t="shared" si="38"/>
        <v>1577.3766463727152</v>
      </c>
      <c r="S222" s="27">
        <f>IFERROR(INDEX([1]Produtos!$L:$L,MATCH(D222,[1]Produtos!$B:$B,0)), "")</f>
        <v>175.26407181919058</v>
      </c>
      <c r="T222" s="28">
        <f t="shared" si="39"/>
        <v>2.9</v>
      </c>
      <c r="U222" s="28" t="str">
        <f t="shared" si="40"/>
        <v>0D e 3h</v>
      </c>
      <c r="V222" s="27">
        <f>IFERROR(SUMIFS('[2]Controle de Produção'!$K:$K,'[2]Controle de Produção'!$L:$L,D222,'[2]Controle de Produção'!$P:$P,C222,'[2]Controle de Produção'!$B:$B,"&gt;=" &amp; G222,'[2]Controle de Produção'!$C:$C,"&lt;=" &amp; N222, '[2]Controle de Produção'!$G:$G,B222), "")</f>
        <v>0</v>
      </c>
      <c r="W222" s="27" t="str">
        <f>IFERROR(SUMIFS([3]EXPEDIÇÃO!$K:$K,[3]EXPEDIÇÃO!$E:$E,D222,[3]EXPEDIÇÃO!$D:$D,C222,[3]EXPEDIÇÃO!$N:$N,"&gt;=" &amp; G222,[3]EXPEDIÇÃO!$N:$N,"&lt;="&amp;N222), "")</f>
        <v/>
      </c>
      <c r="X222" s="27">
        <f>COUNTIFS('[2]Controle de Produção'!$P:$P,C222,'[2]Controle de Produção'!$L:$L,D222,'[2]Controle de Produção'!$B:$B,"&gt;=" &amp; G222)</f>
        <v>1</v>
      </c>
      <c r="Y222" s="27">
        <f t="shared" si="41"/>
        <v>0</v>
      </c>
      <c r="Z222" s="27">
        <f>IFERROR(COUNTIFS('[2]Controle de Produção'!$L:$L,D222,'[2]Controle de Produção'!$P:$P,C222,'[2]Controle de Produção'!$B:$B,"&gt;=" &amp; G222,'[2]Controle de Produção'!$C:$C,"&lt;=" &amp; N222, '[2]Controle de Produção'!$G:$G,B222), "")</f>
        <v>0</v>
      </c>
      <c r="AA222" s="108" t="str">
        <f t="shared" si="42"/>
        <v/>
      </c>
      <c r="AB222" s="41" t="str" cm="1">
        <f t="array" ref="AB222">_xlfn.IFS((H222*0.95)&lt;=V222,"Concluído",AND(V222 =0, J222&lt;&gt;""),"Programado",AND(V222=0,D222=""),"Desenvolv.",V222=0,"Não Iniciado",AND(V222&gt;0,V222&lt;H222,AO222=TRUE),"Em Produção",AND(V222&gt;0,V222&lt;H222,AO222=FALSE),"Produção Parcial")</f>
        <v>Não Iniciado</v>
      </c>
      <c r="AC222" s="42" t="b">
        <v>1</v>
      </c>
      <c r="AD222" s="42" t="b">
        <v>1</v>
      </c>
      <c r="AE222" s="42" t="b">
        <v>1</v>
      </c>
      <c r="AF222" s="42" t="b">
        <v>1</v>
      </c>
      <c r="AG222" s="42" t="b">
        <v>1</v>
      </c>
      <c r="AH222" s="42" t="b">
        <v>1</v>
      </c>
      <c r="AI222" s="42" t="b">
        <v>1</v>
      </c>
      <c r="AJ222" s="42" t="b">
        <v>1</v>
      </c>
      <c r="AK222" s="42" t="b">
        <v>0</v>
      </c>
      <c r="AL222" s="42" t="b">
        <v>1</v>
      </c>
      <c r="AM222" s="42" t="b">
        <v>1</v>
      </c>
      <c r="AN222" s="42" t="b">
        <v>1</v>
      </c>
      <c r="AO222" s="45" t="b" cm="1">
        <f t="array" ref="AO222">AND(COUNTIF(AC222:AN222,FALSE)=0,SUMPRODUCT(ISNUMBER(AC222:AN222)*1)=0)</f>
        <v>0</v>
      </c>
      <c r="AP222" s="61"/>
      <c r="AQ222" s="111">
        <f>IF(AB222="",99999999999,IFERROR(MATCH(AB222,{"Produção Parcial","Em Produção","Programado","Não Iniciado","Desenvolv.","Concluído"},0),7)*100000000+IF(ISNUMBER(J222),J222-46000,9999)*10000+IF(A222="",99,A222)*100+IF(C222="",99,CODE(LEFT(C222,1))))</f>
        <v>499990477</v>
      </c>
    </row>
    <row r="223" spans="1:45" s="36" customFormat="1" ht="25.15" hidden="1" customHeight="1" x14ac:dyDescent="0.25">
      <c r="A223" s="36">
        <v>4</v>
      </c>
      <c r="B223" s="38" t="s">
        <v>106</v>
      </c>
      <c r="C223" s="24" t="str">
        <f>INDEX([1]Produtos!$G:$G,MATCH($D223,[1]Produtos!$B:$B,0))</f>
        <v>MOUTIER</v>
      </c>
      <c r="D223" s="24" t="s">
        <v>133</v>
      </c>
      <c r="E223" s="70" t="str">
        <f>INDEX([1]Produtos!$C:$C,MATCH($D223,[1]Produtos!$B:$B,0))&amp;IF($F223&lt;&gt;"-"," - "&amp;LEFT($F223,1),"")&amp;" &gt; "&amp;$B223</f>
        <v>PERFUME MASCULINO 118 CH BAD BOY &gt; Perfumes Moutier</v>
      </c>
      <c r="F223" s="51" t="s">
        <v>38</v>
      </c>
      <c r="G223" s="38">
        <v>45810</v>
      </c>
      <c r="H223" s="39">
        <v>500</v>
      </c>
      <c r="I223" s="24" t="s">
        <v>39</v>
      </c>
      <c r="J223" s="68" t="str" cm="1">
        <f t="array" ref="J223">IFERROR(INDEX('[2]Previsão Envase'!$D$5:$D$4867, MATCH(1,('[2]Previsão Envase'!$F$5:$F$4867=$E223)+('[2]Previsão Envase'!$G$5:$G$4867=$E223)+('[2]Previsão Envase'!$H$5:$H$4867=$E223),0)),"")</f>
        <v/>
      </c>
      <c r="K223" s="68" t="str">
        <f>IF(COUNTIF('[2]Previsão Envase'!$F:$F,E223)&gt;0,"Linha 1",
IF(COUNTIF('[2]Previsão Envase'!$G:$G,E223)&gt;0,"Linha 2",
IF(COUNTIF('[2]Previsão Envase'!$H:$H,E223)&gt;0,"Linha 3","")))</f>
        <v/>
      </c>
      <c r="L223" s="96">
        <f>COUNTIF('[2]Previsão Envase'!$F:$H,E223)-COUNTIF('[2]Previsão Envase'!$F$1:$H$4,E223)</f>
        <v>0</v>
      </c>
      <c r="M223" s="35">
        <f t="shared" si="37"/>
        <v>0</v>
      </c>
      <c r="N223" s="68" t="str">
        <f>IFERROR(MAX(_xlfn.MAXIFS('[2]Controle de Produção'!$C:$C,'[2]Controle de Produção'!$L:$L,$D223,'[2]Controle de Produção'!$P:$P,$C223,'[2]Controle de Produção'!$G:$G,$B223),_xlfn.MAXIFS([3]EXPEDIÇÃO!$N:$N,[3]EXPEDIÇÃO!$E:$E,$D223,[3]EXPEDIÇÃO!$D:$D,$C223,[3]EXPEDIÇÃO!$N:$N,"&gt;="&amp;$G223)),"")</f>
        <v/>
      </c>
      <c r="O223" s="70">
        <f>INDEX([1]Produtos!$E:$E,MATCH($D223,[1]Produtos!$B:$B,0))</f>
        <v>50</v>
      </c>
      <c r="P223" s="70" t="str">
        <f>INDEX([1]Produtos!$F:$F,MATCH($D223,[1]Produtos!$B:$B,0))</f>
        <v>ml</v>
      </c>
      <c r="Q223" s="105">
        <f>INDEX([1]Produtos!$Y:$Y,MATCH($D223,[1]Produtos!$B:$B,0))</f>
        <v>0</v>
      </c>
      <c r="R223" s="35">
        <f t="shared" si="38"/>
        <v>1577.3766463727152</v>
      </c>
      <c r="S223" s="27">
        <f>IFERROR(INDEX([1]Produtos!$L:$L,MATCH(D223,[1]Produtos!$B:$B,0)), "")</f>
        <v>175.26407181919058</v>
      </c>
      <c r="T223" s="28">
        <f t="shared" si="39"/>
        <v>2.9</v>
      </c>
      <c r="U223" s="28" t="str">
        <f t="shared" si="40"/>
        <v>0D e 3h</v>
      </c>
      <c r="V223" s="27">
        <f>IFERROR(SUMIFS('[2]Controle de Produção'!$K:$K,'[2]Controle de Produção'!$L:$L,D223,'[2]Controle de Produção'!$P:$P,C223,'[2]Controle de Produção'!$B:$B,"&gt;=" &amp; G223,'[2]Controle de Produção'!$C:$C,"&lt;=" &amp; N223, '[2]Controle de Produção'!$G:$G,B223), "")</f>
        <v>0</v>
      </c>
      <c r="W223" s="27" t="str">
        <f>IFERROR(SUMIFS([3]EXPEDIÇÃO!$K:$K,[3]EXPEDIÇÃO!$E:$E,D223,[3]EXPEDIÇÃO!$D:$D,C223,[3]EXPEDIÇÃO!$N:$N,"&gt;=" &amp; G223,[3]EXPEDIÇÃO!$N:$N,"&lt;="&amp;N223), "")</f>
        <v/>
      </c>
      <c r="X223" s="27">
        <f>COUNTIFS('[2]Controle de Produção'!$P:$P,C223,'[2]Controle de Produção'!$L:$L,D223,'[2]Controle de Produção'!$B:$B,"&gt;=" &amp; G223)</f>
        <v>1</v>
      </c>
      <c r="Y223" s="27">
        <f t="shared" si="41"/>
        <v>0</v>
      </c>
      <c r="Z223" s="27">
        <f>IFERROR(COUNTIFS('[2]Controle de Produção'!$L:$L,D223,'[2]Controle de Produção'!$P:$P,C223,'[2]Controle de Produção'!$B:$B,"&gt;=" &amp; G223,'[2]Controle de Produção'!$C:$C,"&lt;=" &amp; N223, '[2]Controle de Produção'!$G:$G,B223), "")</f>
        <v>0</v>
      </c>
      <c r="AA223" s="108" t="str">
        <f t="shared" si="42"/>
        <v/>
      </c>
      <c r="AB223" s="41" t="str" cm="1">
        <f t="array" ref="AB223">_xlfn.IFS((H223*0.95)&lt;=V223,"Concluído",AND(V223 =0, J223&lt;&gt;""),"Programado",AND(V223=0,D223=""),"Desenvolv.",V223=0,"Não Iniciado",AND(V223&gt;0,V223&lt;H223,AO223=TRUE),"Em Produção",AND(V223&gt;0,V223&lt;H223,AO223=FALSE),"Produção Parcial")</f>
        <v>Não Iniciado</v>
      </c>
      <c r="AC223" s="42" t="b">
        <v>1</v>
      </c>
      <c r="AD223" s="42" t="b">
        <v>1</v>
      </c>
      <c r="AE223" s="42" t="b">
        <v>1</v>
      </c>
      <c r="AF223" s="42" t="b">
        <v>1</v>
      </c>
      <c r="AG223" s="42" t="b">
        <v>1</v>
      </c>
      <c r="AH223" s="42" t="b">
        <v>1</v>
      </c>
      <c r="AI223" s="42" t="b">
        <v>1</v>
      </c>
      <c r="AJ223" s="42" t="b">
        <v>1</v>
      </c>
      <c r="AK223" s="42" t="b">
        <v>0</v>
      </c>
      <c r="AL223" s="42" t="b">
        <v>1</v>
      </c>
      <c r="AM223" s="42" t="b">
        <v>1</v>
      </c>
      <c r="AN223" s="86" t="b">
        <v>1</v>
      </c>
      <c r="AO223" s="45" t="b" cm="1">
        <f t="array" ref="AO223">AND(COUNTIF(AC223:AN223,FALSE)=0,SUMPRODUCT(ISNUMBER(AC223:AN223)*1)=0)</f>
        <v>0</v>
      </c>
      <c r="AP223" s="61"/>
      <c r="AQ223" s="111">
        <f>IF(AB223="",99999999999,IFERROR(MATCH(AB223,{"Produção Parcial","Em Produção","Programado","Não Iniciado","Desenvolv.","Concluído"},0),7)*100000000+IF(ISNUMBER(J223),J223-46000,9999)*10000+IF(A223="",99,A223)*100+IF(C223="",99,CODE(LEFT(C223,1))))</f>
        <v>499990477</v>
      </c>
    </row>
    <row r="224" spans="1:45" s="36" customFormat="1" ht="25.15" hidden="1" customHeight="1" x14ac:dyDescent="0.25">
      <c r="A224" s="36">
        <v>4</v>
      </c>
      <c r="B224" s="38" t="s">
        <v>106</v>
      </c>
      <c r="C224" s="24" t="str">
        <f>INDEX([1]Produtos!$G:$G,MATCH($D224,[1]Produtos!$B:$B,0))</f>
        <v>MOUTIER</v>
      </c>
      <c r="D224" s="24" t="s">
        <v>132</v>
      </c>
      <c r="E224" s="70" t="str">
        <f>INDEX([1]Produtos!$C:$C,MATCH($D224,[1]Produtos!$B:$B,0))&amp;IF($F224&lt;&gt;"-"," - "&amp;LEFT($F224,1),"")&amp;" &gt; "&amp;$B224</f>
        <v>PERFUME MASCULINO 119 EROS VERSACE &gt; Perfumes Moutier</v>
      </c>
      <c r="F224" s="51" t="s">
        <v>38</v>
      </c>
      <c r="G224" s="38">
        <v>45810</v>
      </c>
      <c r="H224" s="39">
        <v>500</v>
      </c>
      <c r="I224" s="24" t="s">
        <v>39</v>
      </c>
      <c r="J224" s="68" t="str" cm="1">
        <f t="array" ref="J224">IFERROR(INDEX('[2]Previsão Envase'!$D$5:$D$4867, MATCH(1,('[2]Previsão Envase'!$F$5:$F$4867=$E224)+('[2]Previsão Envase'!$G$5:$G$4867=$E224)+('[2]Previsão Envase'!$H$5:$H$4867=$E224),0)),"")</f>
        <v/>
      </c>
      <c r="K224" s="68" t="str">
        <f>IF(COUNTIF('[2]Previsão Envase'!$F:$F,E224)&gt;0,"Linha 1",
IF(COUNTIF('[2]Previsão Envase'!$G:$G,E224)&gt;0,"Linha 2",
IF(COUNTIF('[2]Previsão Envase'!$H:$H,E224)&gt;0,"Linha 3","")))</f>
        <v/>
      </c>
      <c r="L224" s="96">
        <f>COUNTIF('[2]Previsão Envase'!$F:$H,E224)-COUNTIF('[2]Previsão Envase'!$F$1:$H$4,E224)</f>
        <v>0</v>
      </c>
      <c r="M224" s="35">
        <f t="shared" si="37"/>
        <v>0</v>
      </c>
      <c r="N224" s="68" t="str">
        <f>IFERROR(MAX(_xlfn.MAXIFS('[2]Controle de Produção'!$C:$C,'[2]Controle de Produção'!$L:$L,$D224,'[2]Controle de Produção'!$P:$P,$C224,'[2]Controle de Produção'!$G:$G,$B224),_xlfn.MAXIFS([3]EXPEDIÇÃO!$N:$N,[3]EXPEDIÇÃO!$E:$E,$D224,[3]EXPEDIÇÃO!$D:$D,$C224,[3]EXPEDIÇÃO!$N:$N,"&gt;="&amp;$G224)),"")</f>
        <v/>
      </c>
      <c r="O224" s="70">
        <f>INDEX([1]Produtos!$E:$E,MATCH($D224,[1]Produtos!$B:$B,0))</f>
        <v>50</v>
      </c>
      <c r="P224" s="70" t="str">
        <f>INDEX([1]Produtos!$F:$F,MATCH($D224,[1]Produtos!$B:$B,0))</f>
        <v>ml</v>
      </c>
      <c r="Q224" s="105">
        <f>INDEX([1]Produtos!$Y:$Y,MATCH($D224,[1]Produtos!$B:$B,0))</f>
        <v>0</v>
      </c>
      <c r="R224" s="35">
        <f t="shared" si="38"/>
        <v>1577.3766463727152</v>
      </c>
      <c r="S224" s="27">
        <f>IFERROR(INDEX([1]Produtos!$L:$L,MATCH(D224,[1]Produtos!$B:$B,0)), "")</f>
        <v>175.26407181919058</v>
      </c>
      <c r="T224" s="28">
        <f t="shared" si="39"/>
        <v>2.9</v>
      </c>
      <c r="U224" s="28" t="str">
        <f t="shared" si="40"/>
        <v>0D e 3h</v>
      </c>
      <c r="V224" s="27">
        <f>IFERROR(SUMIFS('[2]Controle de Produção'!$K:$K,'[2]Controle de Produção'!$L:$L,D224,'[2]Controle de Produção'!$P:$P,C224,'[2]Controle de Produção'!$B:$B,"&gt;=" &amp; G224,'[2]Controle de Produção'!$C:$C,"&lt;=" &amp; N224, '[2]Controle de Produção'!$G:$G,B224), "")</f>
        <v>0</v>
      </c>
      <c r="W224" s="27" t="str">
        <f>IFERROR(SUMIFS([3]EXPEDIÇÃO!$K:$K,[3]EXPEDIÇÃO!$E:$E,D224,[3]EXPEDIÇÃO!$D:$D,C224,[3]EXPEDIÇÃO!$N:$N,"&gt;=" &amp; G224,[3]EXPEDIÇÃO!$N:$N,"&lt;="&amp;N224), "")</f>
        <v/>
      </c>
      <c r="X224" s="27">
        <f>COUNTIFS('[2]Controle de Produção'!$P:$P,C224,'[2]Controle de Produção'!$L:$L,D224,'[2]Controle de Produção'!$B:$B,"&gt;=" &amp; G224)</f>
        <v>2</v>
      </c>
      <c r="Y224" s="27">
        <f t="shared" si="41"/>
        <v>0</v>
      </c>
      <c r="Z224" s="27">
        <f>IFERROR(COUNTIFS('[2]Controle de Produção'!$L:$L,D224,'[2]Controle de Produção'!$P:$P,C224,'[2]Controle de Produção'!$B:$B,"&gt;=" &amp; G224,'[2]Controle de Produção'!$C:$C,"&lt;=" &amp; N224, '[2]Controle de Produção'!$G:$G,B224), "")</f>
        <v>0</v>
      </c>
      <c r="AA224" s="108" t="str">
        <f t="shared" si="42"/>
        <v/>
      </c>
      <c r="AB224" s="41" t="str" cm="1">
        <f t="array" ref="AB224">_xlfn.IFS((H224*0.95)&lt;=V224,"Concluído",AND(V224 =0, J224&lt;&gt;""),"Programado",AND(V224=0,D224=""),"Desenvolv.",V224=0,"Não Iniciado",AND(V224&gt;0,V224&lt;H224,AO224=TRUE),"Em Produção",AND(V224&gt;0,V224&lt;H224,AO224=FALSE),"Produção Parcial")</f>
        <v>Não Iniciado</v>
      </c>
      <c r="AC224" s="42" t="b">
        <v>1</v>
      </c>
      <c r="AD224" s="42" t="b">
        <v>1</v>
      </c>
      <c r="AE224" s="42" t="b">
        <v>1</v>
      </c>
      <c r="AF224" s="42" t="b">
        <v>1</v>
      </c>
      <c r="AG224" s="42" t="b">
        <v>1</v>
      </c>
      <c r="AH224" s="42" t="b">
        <v>1</v>
      </c>
      <c r="AI224" s="42" t="b">
        <v>1</v>
      </c>
      <c r="AJ224" s="42" t="b">
        <v>1</v>
      </c>
      <c r="AK224" s="42" t="b">
        <v>0</v>
      </c>
      <c r="AL224" s="42" t="b">
        <v>1</v>
      </c>
      <c r="AM224" s="42" t="b">
        <v>1</v>
      </c>
      <c r="AN224" s="86" t="b">
        <v>1</v>
      </c>
      <c r="AO224" s="45" t="b" cm="1">
        <f t="array" ref="AO224">AND(COUNTIF(AC224:AN224,FALSE)=0,SUMPRODUCT(ISNUMBER(AC224:AN224)*1)=0)</f>
        <v>0</v>
      </c>
      <c r="AP224" s="61"/>
      <c r="AQ224" s="111">
        <f>IF(AB224="",99999999999,IFERROR(MATCH(AB224,{"Produção Parcial","Em Produção","Programado","Não Iniciado","Desenvolv.","Concluído"},0),7)*100000000+IF(ISNUMBER(J224),J224-46000,9999)*10000+IF(A224="",99,A224)*100+IF(C224="",99,CODE(LEFT(C224,1))))</f>
        <v>499990477</v>
      </c>
    </row>
    <row r="225" spans="1:43" s="36" customFormat="1" ht="25.15" hidden="1" customHeight="1" x14ac:dyDescent="0.25">
      <c r="A225" s="36">
        <v>4</v>
      </c>
      <c r="B225" s="38" t="s">
        <v>106</v>
      </c>
      <c r="C225" s="24" t="str">
        <f>INDEX([1]Produtos!$G:$G,MATCH($D225,[1]Produtos!$B:$B,0))</f>
        <v>MOUTIER</v>
      </c>
      <c r="D225" s="24" t="s">
        <v>131</v>
      </c>
      <c r="E225" s="70" t="str">
        <f>INDEX([1]Produtos!$C:$C,MATCH($D225,[1]Produtos!$B:$B,0))&amp;IF($F225&lt;&gt;"-"," - "&amp;LEFT($F225,1),"")&amp;" &gt; "&amp;$B225</f>
        <v>PERFUME MASCULINO 122 ANIMALE &gt; Perfumes Moutier</v>
      </c>
      <c r="F225" s="51" t="s">
        <v>38</v>
      </c>
      <c r="G225" s="38">
        <v>45810</v>
      </c>
      <c r="H225" s="39">
        <v>500</v>
      </c>
      <c r="I225" s="24" t="s">
        <v>39</v>
      </c>
      <c r="J225" s="68" t="str" cm="1">
        <f t="array" ref="J225">IFERROR(INDEX('[2]Previsão Envase'!$D$5:$D$4867, MATCH(1,('[2]Previsão Envase'!$F$5:$F$4867=$E225)+('[2]Previsão Envase'!$G$5:$G$4867=$E225)+('[2]Previsão Envase'!$H$5:$H$4867=$E225),0)),"")</f>
        <v/>
      </c>
      <c r="K225" s="68" t="str">
        <f>IF(COUNTIF('[2]Previsão Envase'!$F:$F,E225)&gt;0,"Linha 1",
IF(COUNTIF('[2]Previsão Envase'!$G:$G,E225)&gt;0,"Linha 2",
IF(COUNTIF('[2]Previsão Envase'!$H:$H,E225)&gt;0,"Linha 3","")))</f>
        <v/>
      </c>
      <c r="L225" s="96">
        <f>COUNTIF('[2]Previsão Envase'!$F:$H,E225)-COUNTIF('[2]Previsão Envase'!$F$1:$H$4,E225)</f>
        <v>0</v>
      </c>
      <c r="M225" s="35">
        <f t="shared" si="37"/>
        <v>0</v>
      </c>
      <c r="N225" s="68" t="str">
        <f>IFERROR(MAX(_xlfn.MAXIFS('[2]Controle de Produção'!$C:$C,'[2]Controle de Produção'!$L:$L,$D225,'[2]Controle de Produção'!$P:$P,$C225,'[2]Controle de Produção'!$G:$G,$B225),_xlfn.MAXIFS([3]EXPEDIÇÃO!$N:$N,[3]EXPEDIÇÃO!$E:$E,$D225,[3]EXPEDIÇÃO!$D:$D,$C225,[3]EXPEDIÇÃO!$N:$N,"&gt;="&amp;$G225)),"")</f>
        <v/>
      </c>
      <c r="O225" s="70">
        <f>INDEX([1]Produtos!$E:$E,MATCH($D225,[1]Produtos!$B:$B,0))</f>
        <v>50</v>
      </c>
      <c r="P225" s="70" t="str">
        <f>INDEX([1]Produtos!$F:$F,MATCH($D225,[1]Produtos!$B:$B,0))</f>
        <v>ml</v>
      </c>
      <c r="Q225" s="105">
        <f>INDEX([1]Produtos!$Y:$Y,MATCH($D225,[1]Produtos!$B:$B,0))</f>
        <v>0</v>
      </c>
      <c r="R225" s="35">
        <f t="shared" si="38"/>
        <v>1577.3766463727152</v>
      </c>
      <c r="S225" s="27">
        <f>IFERROR(INDEX([1]Produtos!$L:$L,MATCH(D225,[1]Produtos!$B:$B,0)), "")</f>
        <v>175.26407181919058</v>
      </c>
      <c r="T225" s="28">
        <f t="shared" si="39"/>
        <v>2.9</v>
      </c>
      <c r="U225" s="28" t="str">
        <f t="shared" si="40"/>
        <v>0D e 3h</v>
      </c>
      <c r="V225" s="27">
        <f>IFERROR(SUMIFS('[2]Controle de Produção'!$K:$K,'[2]Controle de Produção'!$L:$L,D225,'[2]Controle de Produção'!$P:$P,C225,'[2]Controle de Produção'!$B:$B,"&gt;=" &amp; G225,'[2]Controle de Produção'!$C:$C,"&lt;=" &amp; N225, '[2]Controle de Produção'!$G:$G,B225), "")</f>
        <v>0</v>
      </c>
      <c r="W225" s="27" t="str">
        <f>IFERROR(SUMIFS([3]EXPEDIÇÃO!$K:$K,[3]EXPEDIÇÃO!$E:$E,D225,[3]EXPEDIÇÃO!$D:$D,C225,[3]EXPEDIÇÃO!$N:$N,"&gt;=" &amp; G225,[3]EXPEDIÇÃO!$N:$N,"&lt;="&amp;N225), "")</f>
        <v/>
      </c>
      <c r="X225" s="27">
        <f>COUNTIFS('[2]Controle de Produção'!$P:$P,C225,'[2]Controle de Produção'!$L:$L,D225,'[2]Controle de Produção'!$B:$B,"&gt;=" &amp; G225)</f>
        <v>1</v>
      </c>
      <c r="Y225" s="27">
        <f t="shared" si="41"/>
        <v>0</v>
      </c>
      <c r="Z225" s="27">
        <f>IFERROR(COUNTIFS('[2]Controle de Produção'!$L:$L,D225,'[2]Controle de Produção'!$P:$P,C225,'[2]Controle de Produção'!$B:$B,"&gt;=" &amp; G225,'[2]Controle de Produção'!$C:$C,"&lt;=" &amp; N225, '[2]Controle de Produção'!$G:$G,B225), "")</f>
        <v>0</v>
      </c>
      <c r="AA225" s="108" t="str">
        <f t="shared" si="42"/>
        <v/>
      </c>
      <c r="AB225" s="41" t="str" cm="1">
        <f t="array" ref="AB225">_xlfn.IFS((H225*0.95)&lt;=V225,"Concluído",AND(V225 =0, J225&lt;&gt;""),"Programado",AND(V225=0,D225=""),"Desenvolv.",V225=0,"Não Iniciado",AND(V225&gt;0,V225&lt;H225,AO225=TRUE),"Em Produção",AND(V225&gt;0,V225&lt;H225,AO225=FALSE),"Produção Parcial")</f>
        <v>Não Iniciado</v>
      </c>
      <c r="AC225" s="42" t="b">
        <v>1</v>
      </c>
      <c r="AD225" s="42" t="b">
        <v>1</v>
      </c>
      <c r="AE225" s="42" t="b">
        <v>1</v>
      </c>
      <c r="AF225" s="42" t="b">
        <v>1</v>
      </c>
      <c r="AG225" s="42" t="b">
        <v>1</v>
      </c>
      <c r="AH225" s="42" t="b">
        <v>1</v>
      </c>
      <c r="AI225" s="42" t="b">
        <v>1</v>
      </c>
      <c r="AJ225" s="42" t="b">
        <v>1</v>
      </c>
      <c r="AK225" s="42" t="b">
        <v>0</v>
      </c>
      <c r="AL225" s="42" t="b">
        <v>1</v>
      </c>
      <c r="AM225" s="42" t="b">
        <v>1</v>
      </c>
      <c r="AN225" s="86" t="b">
        <v>1</v>
      </c>
      <c r="AO225" s="45" t="b" cm="1">
        <f t="array" ref="AO225">AND(COUNTIF(AC225:AN225,FALSE)=0,SUMPRODUCT(ISNUMBER(AC225:AN225)*1)=0)</f>
        <v>0</v>
      </c>
      <c r="AP225" s="61"/>
      <c r="AQ225" s="111">
        <f>IF(AB225="",99999999999,IFERROR(MATCH(AB225,{"Produção Parcial","Em Produção","Programado","Não Iniciado","Desenvolv.","Concluído"},0),7)*100000000+IF(ISNUMBER(J225),J225-46000,9999)*10000+IF(A225="",99,A225)*100+IF(C225="",99,CODE(LEFT(C225,1))))</f>
        <v>499990477</v>
      </c>
    </row>
    <row r="226" spans="1:43" s="36" customFormat="1" ht="25.15" hidden="1" customHeight="1" x14ac:dyDescent="0.25">
      <c r="A226" s="36">
        <v>4</v>
      </c>
      <c r="B226" s="38" t="s">
        <v>106</v>
      </c>
      <c r="C226" s="24" t="str">
        <f>INDEX([1]Produtos!$G:$G,MATCH($D226,[1]Produtos!$B:$B,0))</f>
        <v>MOUTIER</v>
      </c>
      <c r="D226" s="24" t="s">
        <v>130</v>
      </c>
      <c r="E226" s="70" t="str">
        <f>INDEX([1]Produtos!$C:$C,MATCH($D226,[1]Produtos!$B:$B,0))&amp;IF($F226&lt;&gt;"-"," - "&amp;LEFT($F226,1),"")&amp;" &gt; "&amp;$B226</f>
        <v>PERFUME MASCULINO 135 SCANDAL POUR HOMME &gt; Perfumes Moutier</v>
      </c>
      <c r="F226" s="51" t="s">
        <v>38</v>
      </c>
      <c r="G226" s="38">
        <v>45810</v>
      </c>
      <c r="H226" s="39">
        <v>500</v>
      </c>
      <c r="I226" s="24" t="s">
        <v>39</v>
      </c>
      <c r="J226" s="68" t="str" cm="1">
        <f t="array" ref="J226">IFERROR(INDEX('[2]Previsão Envase'!$D$5:$D$4867, MATCH(1,('[2]Previsão Envase'!$F$5:$F$4867=$E226)+('[2]Previsão Envase'!$G$5:$G$4867=$E226)+('[2]Previsão Envase'!$H$5:$H$4867=$E226),0)),"")</f>
        <v/>
      </c>
      <c r="K226" s="68" t="str">
        <f>IF(COUNTIF('[2]Previsão Envase'!$F:$F,E226)&gt;0,"Linha 1",
IF(COUNTIF('[2]Previsão Envase'!$G:$G,E226)&gt;0,"Linha 2",
IF(COUNTIF('[2]Previsão Envase'!$H:$H,E226)&gt;0,"Linha 3","")))</f>
        <v/>
      </c>
      <c r="L226" s="96">
        <f>COUNTIF('[2]Previsão Envase'!$F:$H,E226)-COUNTIF('[2]Previsão Envase'!$F$1:$H$4,E226)</f>
        <v>0</v>
      </c>
      <c r="M226" s="35">
        <f t="shared" si="37"/>
        <v>0</v>
      </c>
      <c r="N226" s="68" t="str">
        <f>IFERROR(MAX(_xlfn.MAXIFS('[2]Controle de Produção'!$C:$C,'[2]Controle de Produção'!$L:$L,$D226,'[2]Controle de Produção'!$P:$P,$C226,'[2]Controle de Produção'!$G:$G,$B226),_xlfn.MAXIFS([3]EXPEDIÇÃO!$N:$N,[3]EXPEDIÇÃO!$E:$E,$D226,[3]EXPEDIÇÃO!$D:$D,$C226,[3]EXPEDIÇÃO!$N:$N,"&gt;="&amp;$G226)),"")</f>
        <v/>
      </c>
      <c r="O226" s="70">
        <f>INDEX([1]Produtos!$E:$E,MATCH($D226,[1]Produtos!$B:$B,0))</f>
        <v>50</v>
      </c>
      <c r="P226" s="70" t="str">
        <f>INDEX([1]Produtos!$F:$F,MATCH($D226,[1]Produtos!$B:$B,0))</f>
        <v>ml</v>
      </c>
      <c r="Q226" s="105">
        <f>INDEX([1]Produtos!$Y:$Y,MATCH($D226,[1]Produtos!$B:$B,0))</f>
        <v>0</v>
      </c>
      <c r="R226" s="35">
        <f t="shared" si="38"/>
        <v>1577.3766463727152</v>
      </c>
      <c r="S226" s="27">
        <f>IFERROR(INDEX([1]Produtos!$L:$L,MATCH(D226,[1]Produtos!$B:$B,0)), "")</f>
        <v>175.26407181919058</v>
      </c>
      <c r="T226" s="28">
        <f t="shared" si="39"/>
        <v>2.9</v>
      </c>
      <c r="U226" s="28" t="str">
        <f t="shared" si="40"/>
        <v>0D e 3h</v>
      </c>
      <c r="V226" s="27">
        <f>IFERROR(SUMIFS('[2]Controle de Produção'!$K:$K,'[2]Controle de Produção'!$L:$L,D226,'[2]Controle de Produção'!$P:$P,C226,'[2]Controle de Produção'!$B:$B,"&gt;=" &amp; G226,'[2]Controle de Produção'!$C:$C,"&lt;=" &amp; N226, '[2]Controle de Produção'!$G:$G,B226), "")</f>
        <v>0</v>
      </c>
      <c r="W226" s="27" t="str">
        <f>IFERROR(SUMIFS([3]EXPEDIÇÃO!$K:$K,[3]EXPEDIÇÃO!$E:$E,D226,[3]EXPEDIÇÃO!$D:$D,C226,[3]EXPEDIÇÃO!$N:$N,"&gt;=" &amp; G226,[3]EXPEDIÇÃO!$N:$N,"&lt;="&amp;N226), "")</f>
        <v/>
      </c>
      <c r="X226" s="27">
        <f>COUNTIFS('[2]Controle de Produção'!$P:$P,C226,'[2]Controle de Produção'!$L:$L,D226,'[2]Controle de Produção'!$B:$B,"&gt;=" &amp; G226)</f>
        <v>1</v>
      </c>
      <c r="Y226" s="27">
        <f t="shared" si="41"/>
        <v>0</v>
      </c>
      <c r="Z226" s="27">
        <f>IFERROR(COUNTIFS('[2]Controle de Produção'!$L:$L,D226,'[2]Controle de Produção'!$P:$P,C226,'[2]Controle de Produção'!$B:$B,"&gt;=" &amp; G226,'[2]Controle de Produção'!$C:$C,"&lt;=" &amp; N226, '[2]Controle de Produção'!$G:$G,B226), "")</f>
        <v>0</v>
      </c>
      <c r="AA226" s="108" t="str">
        <f t="shared" si="42"/>
        <v/>
      </c>
      <c r="AB226" s="41" t="str" cm="1">
        <f t="array" ref="AB226">_xlfn.IFS((H226*0.95)&lt;=V226,"Concluído",AND(V226 =0, J226&lt;&gt;""),"Programado",AND(V226=0,D226=""),"Desenvolv.",V226=0,"Não Iniciado",AND(V226&gt;0,V226&lt;H226,AO226=TRUE),"Em Produção",AND(V226&gt;0,V226&lt;H226,AO226=FALSE),"Produção Parcial")</f>
        <v>Não Iniciado</v>
      </c>
      <c r="AC226" s="42" t="b">
        <v>1</v>
      </c>
      <c r="AD226" s="42" t="b">
        <v>1</v>
      </c>
      <c r="AE226" s="42" t="b">
        <v>1</v>
      </c>
      <c r="AF226" s="42" t="b">
        <v>1</v>
      </c>
      <c r="AG226" s="42" t="b">
        <v>1</v>
      </c>
      <c r="AH226" s="42" t="b">
        <v>1</v>
      </c>
      <c r="AI226" s="42" t="b">
        <v>1</v>
      </c>
      <c r="AJ226" s="42" t="b">
        <v>1</v>
      </c>
      <c r="AK226" s="42" t="b">
        <v>0</v>
      </c>
      <c r="AL226" s="42" t="b">
        <v>1</v>
      </c>
      <c r="AM226" s="42" t="b">
        <v>1</v>
      </c>
      <c r="AN226" s="42" t="b">
        <v>1</v>
      </c>
      <c r="AO226" s="45" t="b" cm="1">
        <f t="array" ref="AO226">AND(COUNTIF(AC226:AN226,FALSE)=0,SUMPRODUCT(ISNUMBER(AC226:AN226)*1)=0)</f>
        <v>0</v>
      </c>
      <c r="AP226" s="61"/>
      <c r="AQ226" s="111">
        <f>IF(AB226="",99999999999,IFERROR(MATCH(AB226,{"Produção Parcial","Em Produção","Programado","Não Iniciado","Desenvolv.","Concluído"},0),7)*100000000+IF(ISNUMBER(J226),J226-46000,9999)*10000+IF(A226="",99,A226)*100+IF(C226="",99,CODE(LEFT(C226,1))))</f>
        <v>499990477</v>
      </c>
    </row>
    <row r="227" spans="1:43" s="36" customFormat="1" ht="25.15" hidden="1" customHeight="1" x14ac:dyDescent="0.25">
      <c r="A227" s="36">
        <v>4</v>
      </c>
      <c r="B227" s="38" t="s">
        <v>429</v>
      </c>
      <c r="C227" s="70" t="str">
        <f>INDEX([1]Produtos!$G:$G,MATCH($D227,[1]Produtos!$B:$B,0))</f>
        <v>MISS RÔSE</v>
      </c>
      <c r="D227" s="24" t="s">
        <v>71</v>
      </c>
      <c r="E227" s="70" t="str">
        <f>INDEX([1]Produtos!$C:$C,MATCH($D227,[1]Produtos!$B:$B,0))&amp;IF($F227&lt;&gt;"-"," - "&amp;LEFT($F227,1),"")&amp;" &gt; "&amp;$B227</f>
        <v>BODY SPLASH AMBAR REAL 200ml &gt; REPOSICAO 23/03</v>
      </c>
      <c r="F227" s="51" t="s">
        <v>38</v>
      </c>
      <c r="G227" s="38">
        <v>46104</v>
      </c>
      <c r="H227" s="39">
        <v>7680</v>
      </c>
      <c r="I227" s="24" t="s">
        <v>42</v>
      </c>
      <c r="J227" s="68" t="str" cm="1">
        <f t="array" ref="J227">IFERROR(INDEX('[2]Previsão Envase'!$D$5:$D$4867, MATCH(1,('[2]Previsão Envase'!$F$5:$F$4867=$E227)+('[2]Previsão Envase'!$G$5:$G$4867=$E227)+('[2]Previsão Envase'!$H$5:$H$4867=$E227),0)),"")</f>
        <v/>
      </c>
      <c r="K227" s="68" t="str">
        <f>IF(COUNTIF('[2]Previsão Envase'!$F:$F,E227)&gt;0,"Linha 1",
IF(COUNTIF('[2]Previsão Envase'!$G:$G,E227)&gt;0,"Linha 2",
IF(COUNTIF('[2]Previsão Envase'!$H:$H,E227)&gt;0,"Linha 3","")))</f>
        <v/>
      </c>
      <c r="L227" s="96">
        <f>COUNTIF('[2]Previsão Envase'!$F:$H,E227)-COUNTIF('[2]Previsão Envase'!$F$1:$H$4,E227)</f>
        <v>0</v>
      </c>
      <c r="M227" s="35">
        <f t="shared" si="37"/>
        <v>0</v>
      </c>
      <c r="N227" s="68" t="str">
        <f>IFERROR(MAX(_xlfn.MAXIFS('[2]Controle de Produção'!$C:$C,'[2]Controle de Produção'!$L:$L,$D227,'[2]Controle de Produção'!$P:$P,$C227,'[2]Controle de Produção'!$G:$G,$B227),_xlfn.MAXIFS([3]EXPEDIÇÃO!$N:$N,[3]EXPEDIÇÃO!$E:$E,$D227,[3]EXPEDIÇÃO!$D:$D,$C227,[3]EXPEDIÇÃO!$N:$N,"&gt;="&amp;$G227)),"")</f>
        <v/>
      </c>
      <c r="O227" s="70">
        <f>INDEX([1]Produtos!$E:$E,MATCH($D227,[1]Produtos!$B:$B,0))</f>
        <v>215</v>
      </c>
      <c r="P227" s="70" t="str">
        <f>INDEX([1]Produtos!$F:$F,MATCH($D227,[1]Produtos!$B:$B,0))</f>
        <v>ml</v>
      </c>
      <c r="Q227" s="105">
        <f>INDEX([1]Produtos!$Y:$Y,MATCH($D227,[1]Produtos!$B:$B,0))</f>
        <v>0.85</v>
      </c>
      <c r="R227" s="35">
        <f t="shared" si="38"/>
        <v>7592.2902086267013</v>
      </c>
      <c r="S227" s="27">
        <f>IFERROR(INDEX([1]Produtos!$L:$L,MATCH(D227,[1]Produtos!$B:$B,0)), "")</f>
        <v>843.58780095852239</v>
      </c>
      <c r="T227" s="28">
        <f t="shared" si="39"/>
        <v>9.1999999999999993</v>
      </c>
      <c r="U227" s="28" t="str">
        <f t="shared" si="40"/>
        <v>1D e 1h</v>
      </c>
      <c r="V227" s="27">
        <f>IFERROR(SUMIFS('[2]Controle de Produção'!$K:$K,'[2]Controle de Produção'!$L:$L,D227,'[2]Controle de Produção'!$P:$P,C227,'[2]Controle de Produção'!$B:$B,"&gt;=" &amp; G227,'[2]Controle de Produção'!$C:$C,"&lt;=" &amp; N227, '[2]Controle de Produção'!$G:$G,B227), "")</f>
        <v>0</v>
      </c>
      <c r="W227" s="27" t="str">
        <f>IFERROR(SUMIFS([3]EXPEDIÇÃO!$K:$K,[3]EXPEDIÇÃO!$E:$E,D227,[3]EXPEDIÇÃO!$D:$D,C227,[3]EXPEDIÇÃO!$N:$N,"&gt;=" &amp; G227,[3]EXPEDIÇÃO!$N:$N,"&lt;="&amp;N227), "")</f>
        <v/>
      </c>
      <c r="X227" s="27">
        <f>COUNTIFS('[2]Controle de Produção'!$P:$P,C227,'[2]Controle de Produção'!$L:$L,D227,'[2]Controle de Produção'!$B:$B,"&gt;=" &amp; G227)</f>
        <v>8</v>
      </c>
      <c r="Y227" s="27">
        <f t="shared" si="41"/>
        <v>0</v>
      </c>
      <c r="Z227" s="27">
        <f>IFERROR(COUNTIFS('[2]Controle de Produção'!$L:$L,D227,'[2]Controle de Produção'!$P:$P,C227,'[2]Controle de Produção'!$B:$B,"&gt;=" &amp; G227,'[2]Controle de Produção'!$C:$C,"&lt;=" &amp; N227, '[2]Controle de Produção'!$G:$G,B227), "")</f>
        <v>0</v>
      </c>
      <c r="AA227" s="108" t="str">
        <f t="shared" si="42"/>
        <v/>
      </c>
      <c r="AB227" s="41" t="str" cm="1">
        <f t="array" ref="AB227">_xlfn.IFS((H227*0.95)&lt;=V227,"Concluído",AND(V227 =0, J227&lt;&gt;""),"Programado",AND(V227=0,D227=""),"Desenvolv.",V227=0,"Não Iniciado",AND(V227&gt;0,V227&lt;H227,AO227=TRUE),"Em Produção",AND(V227&gt;0,V227&lt;H227,AO227=FALSE),"Produção Parcial")</f>
        <v>Não Iniciado</v>
      </c>
      <c r="AC227" s="42" t="b">
        <v>1</v>
      </c>
      <c r="AD227" s="42" t="b">
        <v>1</v>
      </c>
      <c r="AE227" s="67" t="b">
        <v>1</v>
      </c>
      <c r="AF227" s="42" t="b">
        <v>1</v>
      </c>
      <c r="AG227" s="42" t="b">
        <v>1</v>
      </c>
      <c r="AH227" s="42" t="s">
        <v>38</v>
      </c>
      <c r="AI227" s="67" t="b">
        <v>1</v>
      </c>
      <c r="AJ227" s="42" t="s">
        <v>38</v>
      </c>
      <c r="AK227" s="42" t="s">
        <v>38</v>
      </c>
      <c r="AL227" s="42" t="b">
        <v>1</v>
      </c>
      <c r="AM227" s="42" t="b">
        <v>1</v>
      </c>
      <c r="AN227" s="42" t="b">
        <v>1</v>
      </c>
      <c r="AO227" s="45" t="b" cm="1">
        <f t="array" ref="AO227">AND(COUNTIF(AC227:AN227,FALSE)=0,SUMPRODUCT(ISNUMBER(AC227:AN227)*1)=0)</f>
        <v>1</v>
      </c>
      <c r="AP227" s="59"/>
      <c r="AQ227" s="111">
        <f>IF(AB227="",99999999999,IFERROR(MATCH(AB227,{"Produção Parcial","Em Produção","Programado","Não Iniciado","Desenvolv.","Concluído"},0),7)*100000000+IF(ISNUMBER(J227),J227-46000,9999)*10000+IF(A227="",99,A227)*100+IF(C227="",99,CODE(LEFT(C227,1))))</f>
        <v>499990477</v>
      </c>
    </row>
    <row r="228" spans="1:43" s="36" customFormat="1" ht="25.15" hidden="1" customHeight="1" x14ac:dyDescent="0.25">
      <c r="A228" s="36">
        <v>4</v>
      </c>
      <c r="B228" s="38" t="s">
        <v>429</v>
      </c>
      <c r="C228" s="70" t="str">
        <f>INDEX([1]Produtos!$G:$G,MATCH($D228,[1]Produtos!$B:$B,0))</f>
        <v>MISS RÔSE</v>
      </c>
      <c r="D228" s="24" t="s">
        <v>75</v>
      </c>
      <c r="E228" s="70" t="str">
        <f>INDEX([1]Produtos!$C:$C,MATCH($D228,[1]Produtos!$B:$B,0))&amp;IF($F228&lt;&gt;"-"," - "&amp;LEFT($F228,1),"")&amp;" &gt; "&amp;$B228</f>
        <v>BODY SPLASH CEU INFINITO 200ml &gt; REPOSICAO 23/03</v>
      </c>
      <c r="F228" s="51" t="s">
        <v>38</v>
      </c>
      <c r="G228" s="38">
        <v>46104</v>
      </c>
      <c r="H228" s="39">
        <v>7680</v>
      </c>
      <c r="I228" s="24" t="s">
        <v>42</v>
      </c>
      <c r="J228" s="68" t="str" cm="1">
        <f t="array" ref="J228">IFERROR(INDEX('[2]Previsão Envase'!$D$5:$D$4867, MATCH(1,('[2]Previsão Envase'!$F$5:$F$4867=$E228)+('[2]Previsão Envase'!$G$5:$G$4867=$E228)+('[2]Previsão Envase'!$H$5:$H$4867=$E228),0)),"")</f>
        <v/>
      </c>
      <c r="K228" s="68" t="str">
        <f>IF(COUNTIF('[2]Previsão Envase'!$F:$F,E228)&gt;0,"Linha 1",
IF(COUNTIF('[2]Previsão Envase'!$G:$G,E228)&gt;0,"Linha 2",
IF(COUNTIF('[2]Previsão Envase'!$H:$H,E228)&gt;0,"Linha 3","")))</f>
        <v/>
      </c>
      <c r="L228" s="96">
        <f>COUNTIF('[2]Previsão Envase'!$F:$H,E228)-COUNTIF('[2]Previsão Envase'!$F$1:$H$4,E228)</f>
        <v>0</v>
      </c>
      <c r="M228" s="35">
        <f t="shared" si="37"/>
        <v>0</v>
      </c>
      <c r="N228" s="68" t="str">
        <f>IFERROR(MAX(_xlfn.MAXIFS('[2]Controle de Produção'!$C:$C,'[2]Controle de Produção'!$L:$L,$D228,'[2]Controle de Produção'!$P:$P,$C228,'[2]Controle de Produção'!$G:$G,$B228),_xlfn.MAXIFS([3]EXPEDIÇÃO!$N:$N,[3]EXPEDIÇÃO!$E:$E,$D228,[3]EXPEDIÇÃO!$D:$D,$C228,[3]EXPEDIÇÃO!$N:$N,"&gt;="&amp;$G228)),"")</f>
        <v/>
      </c>
      <c r="O228" s="70">
        <f>INDEX([1]Produtos!$E:$E,MATCH($D228,[1]Produtos!$B:$B,0))</f>
        <v>215</v>
      </c>
      <c r="P228" s="70" t="str">
        <f>INDEX([1]Produtos!$F:$F,MATCH($D228,[1]Produtos!$B:$B,0))</f>
        <v>ml</v>
      </c>
      <c r="Q228" s="105">
        <f>INDEX([1]Produtos!$Y:$Y,MATCH($D228,[1]Produtos!$B:$B,0))</f>
        <v>0.85</v>
      </c>
      <c r="R228" s="35">
        <f t="shared" si="38"/>
        <v>7592.2902086267013</v>
      </c>
      <c r="S228" s="27">
        <f>IFERROR(INDEX([1]Produtos!$L:$L,MATCH(D228,[1]Produtos!$B:$B,0)), "")</f>
        <v>843.58780095852239</v>
      </c>
      <c r="T228" s="28">
        <f t="shared" si="39"/>
        <v>9.1999999999999993</v>
      </c>
      <c r="U228" s="28" t="str">
        <f t="shared" si="40"/>
        <v>1D e 1h</v>
      </c>
      <c r="V228" s="27">
        <f>IFERROR(SUMIFS('[2]Controle de Produção'!$K:$K,'[2]Controle de Produção'!$L:$L,D228,'[2]Controle de Produção'!$P:$P,C228,'[2]Controle de Produção'!$B:$B,"&gt;=" &amp; G228,'[2]Controle de Produção'!$C:$C,"&lt;=" &amp; N228, '[2]Controle de Produção'!$G:$G,B228), "")</f>
        <v>0</v>
      </c>
      <c r="W228" s="27" t="str">
        <f>IFERROR(SUMIFS([3]EXPEDIÇÃO!$K:$K,[3]EXPEDIÇÃO!$E:$E,D228,[3]EXPEDIÇÃO!$D:$D,C228,[3]EXPEDIÇÃO!$N:$N,"&gt;=" &amp; G228,[3]EXPEDIÇÃO!$N:$N,"&lt;="&amp;N228), "")</f>
        <v/>
      </c>
      <c r="X228" s="27">
        <f>COUNTIFS('[2]Controle de Produção'!$P:$P,C228,'[2]Controle de Produção'!$L:$L,D228,'[2]Controle de Produção'!$B:$B,"&gt;=" &amp; G228)</f>
        <v>6</v>
      </c>
      <c r="Y228" s="27">
        <f t="shared" si="41"/>
        <v>0</v>
      </c>
      <c r="Z228" s="27">
        <f>IFERROR(COUNTIFS('[2]Controle de Produção'!$L:$L,D228,'[2]Controle de Produção'!$P:$P,C228,'[2]Controle de Produção'!$B:$B,"&gt;=" &amp; G228,'[2]Controle de Produção'!$C:$C,"&lt;=" &amp; N228, '[2]Controle de Produção'!$G:$G,B228), "")</f>
        <v>0</v>
      </c>
      <c r="AA228" s="108" t="str">
        <f t="shared" si="42"/>
        <v/>
      </c>
      <c r="AB228" s="41" t="str" cm="1">
        <f t="array" ref="AB228">_xlfn.IFS((H228*0.95)&lt;=V228,"Concluído",AND(V228 =0, J228&lt;&gt;""),"Programado",AND(V228=0,D228=""),"Desenvolv.",V228=0,"Não Iniciado",AND(V228&gt;0,V228&lt;H228,AO228=TRUE),"Em Produção",AND(V228&gt;0,V228&lt;H228,AO228=FALSE),"Produção Parcial")</f>
        <v>Não Iniciado</v>
      </c>
      <c r="AC228" s="42" t="b">
        <v>1</v>
      </c>
      <c r="AD228" s="42" t="b">
        <v>1</v>
      </c>
      <c r="AE228" s="67" t="b">
        <v>1</v>
      </c>
      <c r="AF228" s="42" t="b">
        <v>1</v>
      </c>
      <c r="AG228" s="42" t="b">
        <v>1</v>
      </c>
      <c r="AH228" s="42" t="s">
        <v>38</v>
      </c>
      <c r="AI228" s="67" t="b">
        <v>1</v>
      </c>
      <c r="AJ228" s="42" t="s">
        <v>38</v>
      </c>
      <c r="AK228" s="42" t="s">
        <v>38</v>
      </c>
      <c r="AL228" s="42" t="b">
        <v>1</v>
      </c>
      <c r="AM228" s="42" t="b">
        <v>1</v>
      </c>
      <c r="AN228" s="42" t="b">
        <v>1</v>
      </c>
      <c r="AO228" s="45" t="b" cm="1">
        <f t="array" ref="AO228">AND(COUNTIF(AC228:AN228,FALSE)=0,SUMPRODUCT(ISNUMBER(AC228:AN228)*1)=0)</f>
        <v>1</v>
      </c>
      <c r="AP228" s="59"/>
      <c r="AQ228" s="111">
        <f>IF(AB228="",99999999999,IFERROR(MATCH(AB228,{"Produção Parcial","Em Produção","Programado","Não Iniciado","Desenvolv.","Concluído"},0),7)*100000000+IF(ISNUMBER(J228),J228-46000,9999)*10000+IF(A228="",99,A228)*100+IF(C228="",99,CODE(LEFT(C228,1))))</f>
        <v>499990477</v>
      </c>
    </row>
    <row r="229" spans="1:43" s="36" customFormat="1" ht="25.15" hidden="1" customHeight="1" x14ac:dyDescent="0.25">
      <c r="A229" s="36">
        <v>4</v>
      </c>
      <c r="B229" s="38" t="s">
        <v>429</v>
      </c>
      <c r="C229" s="70" t="str">
        <f>INDEX([1]Produtos!$G:$G,MATCH($D229,[1]Produtos!$B:$B,0))</f>
        <v>MISS RÔSE</v>
      </c>
      <c r="D229" s="24" t="s">
        <v>69</v>
      </c>
      <c r="E229" s="70" t="str">
        <f>INDEX([1]Produtos!$C:$C,MATCH($D229,[1]Produtos!$B:$B,0))&amp;IF($F229&lt;&gt;"-"," - "&amp;LEFT($F229,1),"")&amp;" &gt; "&amp;$B229</f>
        <v>BODY SPLASH FLOR D AURA 200ml &gt; REPOSICAO 23/03</v>
      </c>
      <c r="F229" s="51" t="s">
        <v>38</v>
      </c>
      <c r="G229" s="38">
        <v>46104</v>
      </c>
      <c r="H229" s="39">
        <v>7680</v>
      </c>
      <c r="I229" s="24" t="s">
        <v>42</v>
      </c>
      <c r="J229" s="68" t="str" cm="1">
        <f t="array" ref="J229">IFERROR(INDEX('[2]Previsão Envase'!$D$5:$D$4867, MATCH(1,('[2]Previsão Envase'!$F$5:$F$4867=$E229)+('[2]Previsão Envase'!$G$5:$G$4867=$E229)+('[2]Previsão Envase'!$H$5:$H$4867=$E229),0)),"")</f>
        <v/>
      </c>
      <c r="K229" s="68" t="str">
        <f>IF(COUNTIF('[2]Previsão Envase'!$F:$F,E229)&gt;0,"Linha 1",
IF(COUNTIF('[2]Previsão Envase'!$G:$G,E229)&gt;0,"Linha 2",
IF(COUNTIF('[2]Previsão Envase'!$H:$H,E229)&gt;0,"Linha 3","")))</f>
        <v/>
      </c>
      <c r="L229" s="96">
        <f>COUNTIF('[2]Previsão Envase'!$F:$H,E229)-COUNTIF('[2]Previsão Envase'!$F$1:$H$4,E229)</f>
        <v>0</v>
      </c>
      <c r="M229" s="35">
        <f t="shared" si="37"/>
        <v>0</v>
      </c>
      <c r="N229" s="68" t="str">
        <f>IFERROR(MAX(_xlfn.MAXIFS('[2]Controle de Produção'!$C:$C,'[2]Controle de Produção'!$L:$L,$D229,'[2]Controle de Produção'!$P:$P,$C229,'[2]Controle de Produção'!$G:$G,$B229),_xlfn.MAXIFS([3]EXPEDIÇÃO!$N:$N,[3]EXPEDIÇÃO!$E:$E,$D229,[3]EXPEDIÇÃO!$D:$D,$C229,[3]EXPEDIÇÃO!$N:$N,"&gt;="&amp;$G229)),"")</f>
        <v/>
      </c>
      <c r="O229" s="70">
        <f>INDEX([1]Produtos!$E:$E,MATCH($D229,[1]Produtos!$B:$B,0))</f>
        <v>215</v>
      </c>
      <c r="P229" s="70" t="str">
        <f>INDEX([1]Produtos!$F:$F,MATCH($D229,[1]Produtos!$B:$B,0))</f>
        <v>ml</v>
      </c>
      <c r="Q229" s="105">
        <f>INDEX([1]Produtos!$Y:$Y,MATCH($D229,[1]Produtos!$B:$B,0))</f>
        <v>0.85</v>
      </c>
      <c r="R229" s="35">
        <f t="shared" si="38"/>
        <v>7592.2902086267013</v>
      </c>
      <c r="S229" s="27">
        <f>IFERROR(INDEX([1]Produtos!$L:$L,MATCH(D229,[1]Produtos!$B:$B,0)), "")</f>
        <v>843.58780095852239</v>
      </c>
      <c r="T229" s="28">
        <f t="shared" si="39"/>
        <v>9.1999999999999993</v>
      </c>
      <c r="U229" s="28" t="str">
        <f t="shared" si="40"/>
        <v>1D e 1h</v>
      </c>
      <c r="V229" s="27">
        <f>IFERROR(SUMIFS('[2]Controle de Produção'!$K:$K,'[2]Controle de Produção'!$L:$L,D229,'[2]Controle de Produção'!$P:$P,C229,'[2]Controle de Produção'!$B:$B,"&gt;=" &amp; G229,'[2]Controle de Produção'!$C:$C,"&lt;=" &amp; N229, '[2]Controle de Produção'!$G:$G,B229), "")</f>
        <v>0</v>
      </c>
      <c r="W229" s="27" t="str">
        <f>IFERROR(SUMIFS([3]EXPEDIÇÃO!$K:$K,[3]EXPEDIÇÃO!$E:$E,D229,[3]EXPEDIÇÃO!$D:$D,C229,[3]EXPEDIÇÃO!$N:$N,"&gt;=" &amp; G229,[3]EXPEDIÇÃO!$N:$N,"&lt;="&amp;N229), "")</f>
        <v/>
      </c>
      <c r="X229" s="27">
        <f>COUNTIFS('[2]Controle de Produção'!$P:$P,C229,'[2]Controle de Produção'!$L:$L,D229,'[2]Controle de Produção'!$B:$B,"&gt;=" &amp; G229)</f>
        <v>4</v>
      </c>
      <c r="Y229" s="27">
        <f t="shared" si="41"/>
        <v>0</v>
      </c>
      <c r="Z229" s="27">
        <f>IFERROR(COUNTIFS('[2]Controle de Produção'!$L:$L,D229,'[2]Controle de Produção'!$P:$P,C229,'[2]Controle de Produção'!$B:$B,"&gt;=" &amp; G229,'[2]Controle de Produção'!$C:$C,"&lt;=" &amp; N229, '[2]Controle de Produção'!$G:$G,B229), "")</f>
        <v>0</v>
      </c>
      <c r="AA229" s="108" t="str">
        <f t="shared" si="42"/>
        <v/>
      </c>
      <c r="AB229" s="41" t="str" cm="1">
        <f t="array" ref="AB229">_xlfn.IFS((H229*0.95)&lt;=V229,"Concluído",AND(V229 =0, J229&lt;&gt;""),"Programado",AND(V229=0,D229=""),"Desenvolv.",V229=0,"Não Iniciado",AND(V229&gt;0,V229&lt;H229,AO229=TRUE),"Em Produção",AND(V229&gt;0,V229&lt;H229,AO229=FALSE),"Produção Parcial")</f>
        <v>Não Iniciado</v>
      </c>
      <c r="AC229" s="42" t="b">
        <v>1</v>
      </c>
      <c r="AD229" s="42" t="b">
        <v>1</v>
      </c>
      <c r="AE229" s="67" t="b">
        <v>1</v>
      </c>
      <c r="AF229" s="42" t="b">
        <v>1</v>
      </c>
      <c r="AG229" s="42" t="b">
        <v>1</v>
      </c>
      <c r="AH229" s="42" t="s">
        <v>38</v>
      </c>
      <c r="AI229" s="67" t="b">
        <v>1</v>
      </c>
      <c r="AJ229" s="42" t="s">
        <v>38</v>
      </c>
      <c r="AK229" s="42" t="s">
        <v>38</v>
      </c>
      <c r="AL229" s="42" t="b">
        <v>1</v>
      </c>
      <c r="AM229" s="42" t="b">
        <v>1</v>
      </c>
      <c r="AN229" s="42" t="b">
        <v>1</v>
      </c>
      <c r="AO229" s="45" t="b" cm="1">
        <f t="array" ref="AO229">AND(COUNTIF(AC229:AN229,FALSE)=0,SUMPRODUCT(ISNUMBER(AC229:AN229)*1)=0)</f>
        <v>1</v>
      </c>
      <c r="AP229" s="59"/>
      <c r="AQ229" s="111">
        <f>IF(AB229="",99999999999,IFERROR(MATCH(AB229,{"Produção Parcial","Em Produção","Programado","Não Iniciado","Desenvolv.","Concluído"},0),7)*100000000+IF(ISNUMBER(J229),J229-46000,9999)*10000+IF(A229="",99,A229)*100+IF(C229="",99,CODE(LEFT(C229,1))))</f>
        <v>499990477</v>
      </c>
    </row>
    <row r="230" spans="1:43" s="36" customFormat="1" ht="25.15" hidden="1" customHeight="1" x14ac:dyDescent="0.25">
      <c r="A230" s="36">
        <v>4</v>
      </c>
      <c r="B230" s="38" t="s">
        <v>429</v>
      </c>
      <c r="C230" s="70" t="str">
        <f>INDEX([1]Produtos!$G:$G,MATCH($D230,[1]Produtos!$B:$B,0))</f>
        <v>MISS RÔSE</v>
      </c>
      <c r="D230" s="24" t="s">
        <v>101</v>
      </c>
      <c r="E230" s="70" t="str">
        <f>INDEX([1]Produtos!$C:$C,MATCH($D230,[1]Produtos!$B:$B,0))&amp;IF($F230&lt;&gt;"-"," - "&amp;LEFT($F230,1),"")&amp;" &gt; "&amp;$B230</f>
        <v>BODY SPLASH DESPERTAR DAS FLORES 200ml &gt; REPOSICAO 23/03</v>
      </c>
      <c r="F230" s="51" t="s">
        <v>38</v>
      </c>
      <c r="G230" s="38">
        <v>46104</v>
      </c>
      <c r="H230" s="39">
        <v>6240</v>
      </c>
      <c r="I230" s="24" t="s">
        <v>42</v>
      </c>
      <c r="J230" s="68" t="str" cm="1">
        <f t="array" ref="J230">IFERROR(INDEX('[2]Previsão Envase'!$D$5:$D$4867, MATCH(1,('[2]Previsão Envase'!$F$5:$F$4867=$E230)+('[2]Previsão Envase'!$G$5:$G$4867=$E230)+('[2]Previsão Envase'!$H$5:$H$4867=$E230),0)),"")</f>
        <v/>
      </c>
      <c r="K230" s="68" t="str">
        <f>IF(COUNTIF('[2]Previsão Envase'!$F:$F,E230)&gt;0,"Linha 1",
IF(COUNTIF('[2]Previsão Envase'!$G:$G,E230)&gt;0,"Linha 2",
IF(COUNTIF('[2]Previsão Envase'!$H:$H,E230)&gt;0,"Linha 3","")))</f>
        <v/>
      </c>
      <c r="L230" s="96">
        <f>COUNTIF('[2]Previsão Envase'!$F:$H,E230)-COUNTIF('[2]Previsão Envase'!$F$1:$H$4,E230)</f>
        <v>0</v>
      </c>
      <c r="M230" s="35">
        <f t="shared" si="37"/>
        <v>0</v>
      </c>
      <c r="N230" s="68" t="str">
        <f>IFERROR(MAX(_xlfn.MAXIFS('[2]Controle de Produção'!$C:$C,'[2]Controle de Produção'!$L:$L,$D230,'[2]Controle de Produção'!$P:$P,$C230,'[2]Controle de Produção'!$G:$G,$B230),_xlfn.MAXIFS([3]EXPEDIÇÃO!$N:$N,[3]EXPEDIÇÃO!$E:$E,$D230,[3]EXPEDIÇÃO!$D:$D,$C230,[3]EXPEDIÇÃO!$N:$N,"&gt;="&amp;$G230)),"")</f>
        <v/>
      </c>
      <c r="O230" s="70">
        <f>INDEX([1]Produtos!$E:$E,MATCH($D230,[1]Produtos!$B:$B,0))</f>
        <v>215</v>
      </c>
      <c r="P230" s="70" t="str">
        <f>INDEX([1]Produtos!$F:$F,MATCH($D230,[1]Produtos!$B:$B,0))</f>
        <v>ml</v>
      </c>
      <c r="Q230" s="105">
        <f>INDEX([1]Produtos!$Y:$Y,MATCH($D230,[1]Produtos!$B:$B,0))</f>
        <v>0.85000000000000009</v>
      </c>
      <c r="R230" s="35">
        <f t="shared" si="38"/>
        <v>7592.2902086267013</v>
      </c>
      <c r="S230" s="27">
        <f>IFERROR(INDEX([1]Produtos!$L:$L,MATCH(D230,[1]Produtos!$B:$B,0)), "")</f>
        <v>843.58780095852239</v>
      </c>
      <c r="T230" s="28">
        <f t="shared" si="39"/>
        <v>7.3999999999999995</v>
      </c>
      <c r="U230" s="28" t="str">
        <f t="shared" si="40"/>
        <v>0D e 8h</v>
      </c>
      <c r="V230" s="27">
        <f>IFERROR(SUMIFS('[2]Controle de Produção'!$K:$K,'[2]Controle de Produção'!$L:$L,D230,'[2]Controle de Produção'!$P:$P,C230,'[2]Controle de Produção'!$B:$B,"&gt;=" &amp; G230,'[2]Controle de Produção'!$C:$C,"&lt;=" &amp; N230, '[2]Controle de Produção'!$G:$G,B230), "")</f>
        <v>0</v>
      </c>
      <c r="W230" s="27" t="str">
        <f>IFERROR(SUMIFS([3]EXPEDIÇÃO!$K:$K,[3]EXPEDIÇÃO!$E:$E,D230,[3]EXPEDIÇÃO!$D:$D,C230,[3]EXPEDIÇÃO!$N:$N,"&gt;=" &amp; G230,[3]EXPEDIÇÃO!$N:$N,"&lt;="&amp;N230), "")</f>
        <v/>
      </c>
      <c r="X230" s="27">
        <f>COUNTIFS('[2]Controle de Produção'!$P:$P,C230,'[2]Controle de Produção'!$L:$L,D230,'[2]Controle de Produção'!$B:$B,"&gt;=" &amp; G230)</f>
        <v>7</v>
      </c>
      <c r="Y230" s="27">
        <f t="shared" si="41"/>
        <v>0</v>
      </c>
      <c r="Z230" s="27">
        <f>IFERROR(COUNTIFS('[2]Controle de Produção'!$L:$L,D230,'[2]Controle de Produção'!$P:$P,C230,'[2]Controle de Produção'!$B:$B,"&gt;=" &amp; G230,'[2]Controle de Produção'!$C:$C,"&lt;=" &amp; N230, '[2]Controle de Produção'!$G:$G,B230), "")</f>
        <v>0</v>
      </c>
      <c r="AA230" s="108" t="str">
        <f t="shared" si="42"/>
        <v/>
      </c>
      <c r="AB230" s="41" t="str" cm="1">
        <f t="array" ref="AB230">_xlfn.IFS((H230*0.95)&lt;=V230,"Concluído",AND(V230 =0, J230&lt;&gt;""),"Programado",AND(V230=0,D230=""),"Desenvolv.",V230=0,"Não Iniciado",AND(V230&gt;0,V230&lt;H230,AO230=TRUE),"Em Produção",AND(V230&gt;0,V230&lt;H230,AO230=FALSE),"Produção Parcial")</f>
        <v>Não Iniciado</v>
      </c>
      <c r="AC230" s="42" t="b">
        <v>1</v>
      </c>
      <c r="AD230" s="42" t="b">
        <v>1</v>
      </c>
      <c r="AE230" s="67" t="b">
        <v>1</v>
      </c>
      <c r="AF230" s="42" t="b">
        <v>1</v>
      </c>
      <c r="AG230" s="42" t="b">
        <v>1</v>
      </c>
      <c r="AH230" s="42" t="s">
        <v>38</v>
      </c>
      <c r="AI230" s="67" t="b">
        <v>1</v>
      </c>
      <c r="AJ230" s="42" t="s">
        <v>38</v>
      </c>
      <c r="AK230" s="42" t="s">
        <v>38</v>
      </c>
      <c r="AL230" s="42" t="b">
        <v>1</v>
      </c>
      <c r="AM230" s="42" t="b">
        <v>1</v>
      </c>
      <c r="AN230" s="42" t="b">
        <v>1</v>
      </c>
      <c r="AO230" s="45" t="b" cm="1">
        <f t="array" ref="AO230">AND(COUNTIF(AC230:AN230,FALSE)=0,SUMPRODUCT(ISNUMBER(AC230:AN230)*1)=0)</f>
        <v>1</v>
      </c>
      <c r="AP230" s="59"/>
      <c r="AQ230" s="111">
        <f>IF(AB230="",99999999999,IFERROR(MATCH(AB230,{"Produção Parcial","Em Produção","Programado","Não Iniciado","Desenvolv.","Concluído"},0),7)*100000000+IF(ISNUMBER(J230),J230-46000,9999)*10000+IF(A230="",99,A230)*100+IF(C230="",99,CODE(LEFT(C230,1))))</f>
        <v>499990477</v>
      </c>
    </row>
    <row r="231" spans="1:43" s="36" customFormat="1" ht="25.15" hidden="1" customHeight="1" x14ac:dyDescent="0.25">
      <c r="A231" s="36">
        <v>4</v>
      </c>
      <c r="B231" s="112" t="s">
        <v>435</v>
      </c>
      <c r="C231" s="70" t="str">
        <f>INDEX([1]Produtos!$G:$G,MATCH($D231,[1]Produtos!$B:$B,0))</f>
        <v>SAFIRA</v>
      </c>
      <c r="D231" s="24" t="s">
        <v>55</v>
      </c>
      <c r="E231" s="70" t="str">
        <f>INDEX([1]Produtos!$C:$C,MATCH($D231,[1]Produtos!$B:$B,0))&amp;IF($F231&lt;&gt;"-"," - "&amp;LEFT($F231,1),"")&amp;" &gt; "&amp;$B231</f>
        <v>SABONETE DEMAQUILANTE PITAYA &gt; 0005</v>
      </c>
      <c r="F231" s="51" t="s">
        <v>38</v>
      </c>
      <c r="G231" s="38">
        <v>46044</v>
      </c>
      <c r="H231" s="39">
        <v>3000</v>
      </c>
      <c r="I231" s="24" t="s">
        <v>39</v>
      </c>
      <c r="J231" s="68" t="str" cm="1">
        <f t="array" ref="J231">IFERROR(INDEX('[2]Previsão Envase'!$D$5:$D$4867, MATCH(1,('[2]Previsão Envase'!$F$5:$F$4867=$E231)+('[2]Previsão Envase'!$G$5:$G$4867=$E231)+('[2]Previsão Envase'!$H$5:$H$4867=$E231),0)),"")</f>
        <v/>
      </c>
      <c r="K231" s="68" t="str">
        <f>IF(COUNTIF('[2]Previsão Envase'!$F:$F,E231)&gt;0,"Linha 1",
IF(COUNTIF('[2]Previsão Envase'!$G:$G,E231)&gt;0,"Linha 2",
IF(COUNTIF('[2]Previsão Envase'!$H:$H,E231)&gt;0,"Linha 3","")))</f>
        <v/>
      </c>
      <c r="L231" s="96">
        <f>COUNTIF('[2]Previsão Envase'!$F:$H,E231)-COUNTIF('[2]Previsão Envase'!$F$1:$H$4,E231)</f>
        <v>0</v>
      </c>
      <c r="M231" s="35">
        <f t="shared" si="37"/>
        <v>0</v>
      </c>
      <c r="N231" s="68" t="str">
        <f>IFERROR(MAX(_xlfn.MAXIFS('[2]Controle de Produção'!$C:$C,'[2]Controle de Produção'!$L:$L,$D231,'[2]Controle de Produção'!$P:$P,$C231,'[2]Controle de Produção'!$G:$G,$B231),_xlfn.MAXIFS([3]EXPEDIÇÃO!$N:$N,[3]EXPEDIÇÃO!$E:$E,$D231,[3]EXPEDIÇÃO!$D:$D,$C231,[3]EXPEDIÇÃO!$N:$N,"&gt;="&amp;$G231)),"")</f>
        <v/>
      </c>
      <c r="O231" s="70">
        <f>INDEX([1]Produtos!$E:$E,MATCH($D231,[1]Produtos!$B:$B,0))</f>
        <v>100</v>
      </c>
      <c r="P231" s="70" t="str">
        <f>INDEX([1]Produtos!$F:$F,MATCH($D231,[1]Produtos!$B:$B,0))</f>
        <v>ml</v>
      </c>
      <c r="Q231" s="105">
        <f>INDEX([1]Produtos!$Y:$Y,MATCH($D231,[1]Produtos!$B:$B,0))</f>
        <v>0</v>
      </c>
      <c r="R231" s="35">
        <f t="shared" si="38"/>
        <v>6588.4449153457572</v>
      </c>
      <c r="S231" s="27">
        <f>IFERROR(INDEX([1]Produtos!$L:$L,MATCH(D231,[1]Produtos!$B:$B,0)), "")</f>
        <v>732.04943503841741</v>
      </c>
      <c r="T231" s="28">
        <f t="shared" si="39"/>
        <v>4.0999999999999996</v>
      </c>
      <c r="U231" s="28" t="str">
        <f t="shared" si="40"/>
        <v>0D e 5h</v>
      </c>
      <c r="V231" s="27">
        <f>IFERROR(SUMIFS('[2]Controle de Produção'!$K:$K,'[2]Controle de Produção'!$L:$L,D231,'[2]Controle de Produção'!$P:$P,C231,'[2]Controle de Produção'!$B:$B,"&gt;=" &amp; G231,'[2]Controle de Produção'!$C:$C,"&lt;=" &amp; N231, '[2]Controle de Produção'!$G:$G,B231), "")</f>
        <v>0</v>
      </c>
      <c r="W231" s="27" t="str">
        <f>IFERROR(SUMIFS([3]EXPEDIÇÃO!$K:$K,[3]EXPEDIÇÃO!$E:$E,D231,[3]EXPEDIÇÃO!$D:$D,C231,[3]EXPEDIÇÃO!$N:$N,"&gt;=" &amp; G231,[3]EXPEDIÇÃO!$N:$N,"&lt;="&amp;N231), "")</f>
        <v/>
      </c>
      <c r="X231" s="27">
        <f>COUNTIFS('[2]Controle de Produção'!$P:$P,C231,'[2]Controle de Produção'!$L:$L,D231,'[2]Controle de Produção'!$B:$B,"&gt;=" &amp; G231)</f>
        <v>1</v>
      </c>
      <c r="Y231" s="27">
        <f t="shared" si="41"/>
        <v>0</v>
      </c>
      <c r="Z231" s="27">
        <f>IFERROR(COUNTIFS('[2]Controle de Produção'!$L:$L,D231,'[2]Controle de Produção'!$P:$P,C231,'[2]Controle de Produção'!$B:$B,"&gt;=" &amp; G231,'[2]Controle de Produção'!$C:$C,"&lt;=" &amp; N231, '[2]Controle de Produção'!$G:$G,B231), "")</f>
        <v>0</v>
      </c>
      <c r="AA231" s="108" t="str">
        <f t="shared" si="42"/>
        <v/>
      </c>
      <c r="AB231" s="41" t="str" cm="1">
        <f t="array" ref="AB231">_xlfn.IFS((H231*0.95)&lt;=V231,"Concluído",AND(V231 =0, J231&lt;&gt;""),"Programado",AND(V231=0,D231=""),"Desenvolv.",V231=0,"Não Iniciado",AND(V231&gt;0,V231&lt;H231,AO231=TRUE),"Em Produção",AND(V231&gt;0,V231&lt;H231,AO231=FALSE),"Produção Parcial")</f>
        <v>Não Iniciado</v>
      </c>
      <c r="AC231" s="42" t="b">
        <v>1</v>
      </c>
      <c r="AD231" s="42" t="b">
        <v>1</v>
      </c>
      <c r="AE231" s="42" t="s">
        <v>38</v>
      </c>
      <c r="AF231" s="42" t="b">
        <v>1</v>
      </c>
      <c r="AG231" s="42" t="b">
        <v>1</v>
      </c>
      <c r="AH231" s="42" t="s">
        <v>38</v>
      </c>
      <c r="AI231" s="42" t="s">
        <v>38</v>
      </c>
      <c r="AJ231" s="42" t="s">
        <v>38</v>
      </c>
      <c r="AK231" s="42" t="s">
        <v>38</v>
      </c>
      <c r="AL231" s="42" t="b">
        <v>1</v>
      </c>
      <c r="AM231" s="42" t="b">
        <v>1</v>
      </c>
      <c r="AN231" s="42" t="b">
        <v>1</v>
      </c>
      <c r="AO231" s="45" t="b" cm="1">
        <f t="array" ref="AO231">AND(COUNTIF(AC231:AN231,FALSE)=0,SUMPRODUCT(ISNUMBER(AC231:AN231)*1)=0)</f>
        <v>1</v>
      </c>
      <c r="AP231" s="59"/>
      <c r="AQ231" s="111">
        <f>IF(AB231="",99999999999,IFERROR(MATCH(AB231,{"Produção Parcial","Em Produção","Programado","Não Iniciado","Desenvolv.","Concluído"},0),7)*100000000+IF(ISNUMBER(J231),J231-46000,9999)*10000+IF(A231="",99,A231)*100+IF(C231="",99,CODE(LEFT(C231,1))))</f>
        <v>499990483</v>
      </c>
    </row>
    <row r="232" spans="1:43" s="36" customFormat="1" ht="25.15" hidden="1" customHeight="1" x14ac:dyDescent="0.25">
      <c r="A232" s="36">
        <v>5</v>
      </c>
      <c r="B232" s="112" t="s">
        <v>437</v>
      </c>
      <c r="C232" s="70" t="str">
        <f>INDEX([1]Produtos!$G:$G,MATCH($D232,[1]Produtos!$B:$B,0))</f>
        <v>DAPOP</v>
      </c>
      <c r="D232" s="24" t="s">
        <v>239</v>
      </c>
      <c r="E232" s="70" t="str">
        <f>INDEX([1]Produtos!$C:$C,MATCH($D232,[1]Produtos!$B:$B,0))&amp;IF($F232&lt;&gt;"-"," - "&amp;LEFT($F232,1),"")&amp;" &gt; "&amp;$B232</f>
        <v>PERFUME CAPILAR HONEY &gt; 0007</v>
      </c>
      <c r="F232" s="51" t="s">
        <v>38</v>
      </c>
      <c r="G232" s="38">
        <v>46013</v>
      </c>
      <c r="H232" s="39">
        <v>28800</v>
      </c>
      <c r="I232" s="24" t="s">
        <v>42</v>
      </c>
      <c r="J232" s="68" t="str" cm="1">
        <f t="array" ref="J232">IFERROR(INDEX('[2]Previsão Envase'!$D$5:$D$4867, MATCH(1,('[2]Previsão Envase'!$F$5:$F$4867=$E232)+('[2]Previsão Envase'!$G$5:$G$4867=$E232)+('[2]Previsão Envase'!$H$5:$H$4867=$E232),0)),"")</f>
        <v/>
      </c>
      <c r="K232" s="68" t="str">
        <f>IF(COUNTIF('[2]Previsão Envase'!$F:$F,E232)&gt;0,"Linha 1",
IF(COUNTIF('[2]Previsão Envase'!$G:$G,E232)&gt;0,"Linha 2",
IF(COUNTIF('[2]Previsão Envase'!$H:$H,E232)&gt;0,"Linha 3","")))</f>
        <v/>
      </c>
      <c r="L232" s="96">
        <f>COUNTIF('[2]Previsão Envase'!$F:$H,E232)-COUNTIF('[2]Previsão Envase'!$F$1:$H$4,E232)</f>
        <v>0</v>
      </c>
      <c r="M232" s="35">
        <f t="shared" si="37"/>
        <v>0</v>
      </c>
      <c r="N232" s="68" t="str">
        <f>IFERROR(MAX(_xlfn.MAXIFS('[2]Controle de Produção'!$C:$C,'[2]Controle de Produção'!$L:$L,$D232,'[2]Controle de Produção'!$P:$P,$C232,'[2]Controle de Produção'!$G:$G,$B232),_xlfn.MAXIFS([3]EXPEDIÇÃO!$N:$N,[3]EXPEDIÇÃO!$E:$E,$D232,[3]EXPEDIÇÃO!$D:$D,$C232,[3]EXPEDIÇÃO!$N:$N,"&gt;="&amp;$G232)),"")</f>
        <v/>
      </c>
      <c r="O232" s="70">
        <f>INDEX([1]Produtos!$E:$E,MATCH($D232,[1]Produtos!$B:$B,0))</f>
        <v>60</v>
      </c>
      <c r="P232" s="70" t="str">
        <f>INDEX([1]Produtos!$F:$F,MATCH($D232,[1]Produtos!$B:$B,0))</f>
        <v>ml</v>
      </c>
      <c r="Q232" s="105">
        <f>INDEX([1]Produtos!$Y:$Y,MATCH($D232,[1]Produtos!$B:$B,0))</f>
        <v>0</v>
      </c>
      <c r="R232" s="35">
        <f t="shared" si="38"/>
        <v>6072.2675460400496</v>
      </c>
      <c r="S232" s="27">
        <f>IFERROR(INDEX([1]Produtos!$L:$L,MATCH(D232,[1]Produtos!$B:$B,0)), "")</f>
        <v>674.69639400444999</v>
      </c>
      <c r="T232" s="28">
        <f t="shared" si="39"/>
        <v>42.7</v>
      </c>
      <c r="U232" s="28" t="str">
        <f t="shared" si="40"/>
        <v>4D e 8h</v>
      </c>
      <c r="V232" s="27">
        <f>IFERROR(SUMIFS('[2]Controle de Produção'!$K:$K,'[2]Controle de Produção'!$L:$L,D232,'[2]Controle de Produção'!$P:$P,C232,'[2]Controle de Produção'!$B:$B,"&gt;=" &amp; G232,'[2]Controle de Produção'!$C:$C,"&lt;=" &amp; N232, '[2]Controle de Produção'!$G:$G,B232), "")</f>
        <v>0</v>
      </c>
      <c r="W232" s="27" t="str">
        <f>IFERROR(SUMIFS([3]EXPEDIÇÃO!$K:$K,[3]EXPEDIÇÃO!$E:$E,D232,[3]EXPEDIÇÃO!$D:$D,C232,[3]EXPEDIÇÃO!$N:$N,"&gt;=" &amp; G232,[3]EXPEDIÇÃO!$N:$N,"&lt;="&amp;N232), "")</f>
        <v/>
      </c>
      <c r="X232" s="27">
        <f>COUNTIFS('[2]Controle de Produção'!$P:$P,C232,'[2]Controle de Produção'!$L:$L,D232,'[2]Controle de Produção'!$B:$B,"&gt;=" &amp; G232)</f>
        <v>0</v>
      </c>
      <c r="Y232" s="27" t="str">
        <f t="shared" si="41"/>
        <v>-</v>
      </c>
      <c r="Z232" s="27">
        <f>IFERROR(COUNTIFS('[2]Controle de Produção'!$L:$L,D232,'[2]Controle de Produção'!$P:$P,C232,'[2]Controle de Produção'!$B:$B,"&gt;=" &amp; G232,'[2]Controle de Produção'!$C:$C,"&lt;=" &amp; N232, '[2]Controle de Produção'!$G:$G,B232), "")</f>
        <v>0</v>
      </c>
      <c r="AA232" s="108" t="str">
        <f t="shared" si="42"/>
        <v/>
      </c>
      <c r="AB232" s="41" t="str" cm="1">
        <f t="array" ref="AB232">_xlfn.IFS((H232*0.95)&lt;=V232,"Concluído",AND(V232 =0, J232&lt;&gt;""),"Programado",AND(V232=0,D232=""),"Desenvolv.",V232=0,"Não Iniciado",AND(V232&gt;0,V232&lt;H232,AO232=TRUE),"Em Produção",AND(V232&gt;0,V232&lt;H232,AO232=FALSE),"Produção Parcial")</f>
        <v>Não Iniciado</v>
      </c>
      <c r="AC232" s="42" t="b">
        <v>1</v>
      </c>
      <c r="AD232" s="42" t="b">
        <v>1</v>
      </c>
      <c r="AE232" s="42" t="b">
        <v>1</v>
      </c>
      <c r="AF232" s="42" t="b">
        <v>1</v>
      </c>
      <c r="AG232" s="42" t="s">
        <v>38</v>
      </c>
      <c r="AH232" s="42" t="s">
        <v>38</v>
      </c>
      <c r="AI232" s="42" t="b">
        <v>0</v>
      </c>
      <c r="AJ232" s="42" t="b">
        <v>0</v>
      </c>
      <c r="AK232" s="42" t="b">
        <v>1</v>
      </c>
      <c r="AL232" s="42" t="b">
        <v>1</v>
      </c>
      <c r="AM232" s="42" t="b">
        <v>0</v>
      </c>
      <c r="AN232" s="42" t="b">
        <v>0</v>
      </c>
      <c r="AO232" s="45" t="b" cm="1">
        <f t="array" ref="AO232">AND(COUNTIF(AC232:AN232,FALSE)=0,SUMPRODUCT(ISNUMBER(AC232:AN232)*1)=0)</f>
        <v>0</v>
      </c>
      <c r="AP232" s="59"/>
      <c r="AQ232" s="111">
        <f>IF(AB232="",99999999999,IFERROR(MATCH(AB232,{"Produção Parcial","Em Produção","Programado","Não Iniciado","Desenvolv.","Concluído"},0),7)*100000000+IF(ISNUMBER(J232),J232-46000,9999)*10000+IF(A232="",99,A232)*100+IF(C232="",99,CODE(LEFT(C232,1))))</f>
        <v>499990568</v>
      </c>
    </row>
    <row r="233" spans="1:43" s="36" customFormat="1" ht="25.15" hidden="1" customHeight="1" x14ac:dyDescent="0.25">
      <c r="A233" s="36">
        <v>5</v>
      </c>
      <c r="B233" s="112" t="s">
        <v>437</v>
      </c>
      <c r="C233" s="70" t="str">
        <f>INDEX([1]Produtos!$G:$G,MATCH($D233,[1]Produtos!$B:$B,0))</f>
        <v>DAPOP</v>
      </c>
      <c r="D233" s="24" t="s">
        <v>248</v>
      </c>
      <c r="E233" s="70" t="str">
        <f>INDEX([1]Produtos!$C:$C,MATCH($D233,[1]Produtos!$B:$B,0))&amp;IF($F233&lt;&gt;"-"," - "&amp;LEFT($F233,1),"")&amp;" &gt; "&amp;$B233</f>
        <v>BODY SPLASH GLOW TAÇA DE CHAMPAGNE &gt; 0007</v>
      </c>
      <c r="F233" s="51" t="s">
        <v>38</v>
      </c>
      <c r="G233" s="38">
        <v>46013</v>
      </c>
      <c r="H233" s="39">
        <v>14400</v>
      </c>
      <c r="I233" s="24" t="s">
        <v>42</v>
      </c>
      <c r="J233" s="68" t="str" cm="1">
        <f t="array" ref="J233">IFERROR(INDEX('[2]Previsão Envase'!$D$5:$D$4867, MATCH(1,('[2]Previsão Envase'!$F$5:$F$4867=$E233)+('[2]Previsão Envase'!$G$5:$G$4867=$E233)+('[2]Previsão Envase'!$H$5:$H$4867=$E233),0)),"")</f>
        <v/>
      </c>
      <c r="K233" s="68" t="str">
        <f>IF(COUNTIF('[2]Previsão Envase'!$F:$F,E233)&gt;0,"Linha 1",
IF(COUNTIF('[2]Previsão Envase'!$G:$G,E233)&gt;0,"Linha 2",
IF(COUNTIF('[2]Previsão Envase'!$H:$H,E233)&gt;0,"Linha 3","")))</f>
        <v/>
      </c>
      <c r="L233" s="96">
        <f>COUNTIF('[2]Previsão Envase'!$F:$H,E233)-COUNTIF('[2]Previsão Envase'!$F$1:$H$4,E233)</f>
        <v>0</v>
      </c>
      <c r="M233" s="35">
        <f t="shared" si="37"/>
        <v>0</v>
      </c>
      <c r="N233" s="68" t="str">
        <f>IFERROR(MAX(_xlfn.MAXIFS('[2]Controle de Produção'!$C:$C,'[2]Controle de Produção'!$L:$L,$D233,'[2]Controle de Produção'!$P:$P,$C233,'[2]Controle de Produção'!$G:$G,$B233),_xlfn.MAXIFS([3]EXPEDIÇÃO!$N:$N,[3]EXPEDIÇÃO!$E:$E,$D233,[3]EXPEDIÇÃO!$D:$D,$C233,[3]EXPEDIÇÃO!$N:$N,"&gt;="&amp;$G233)),"")</f>
        <v/>
      </c>
      <c r="O233" s="70">
        <f>INDEX([1]Produtos!$E:$E,MATCH($D233,[1]Produtos!$B:$B,0))</f>
        <v>120</v>
      </c>
      <c r="P233" s="70" t="str">
        <f>INDEX([1]Produtos!$F:$F,MATCH($D233,[1]Produtos!$B:$B,0))</f>
        <v>ml</v>
      </c>
      <c r="Q233" s="105">
        <f>INDEX([1]Produtos!$Y:$Y,MATCH($D233,[1]Produtos!$B:$B,0))</f>
        <v>0</v>
      </c>
      <c r="R233" s="35">
        <f t="shared" si="38"/>
        <v>7999.1637743312976</v>
      </c>
      <c r="S233" s="27">
        <f>IFERROR(INDEX([1]Produtos!$L:$L,MATCH(D233,[1]Produtos!$B:$B,0)), "")</f>
        <v>888.79597492569974</v>
      </c>
      <c r="T233" s="28">
        <f t="shared" si="39"/>
        <v>16.3</v>
      </c>
      <c r="U233" s="28" t="str">
        <f t="shared" si="40"/>
        <v>1D e 8h</v>
      </c>
      <c r="V233" s="27">
        <f>IFERROR(SUMIFS('[2]Controle de Produção'!$K:$K,'[2]Controle de Produção'!$L:$L,D233,'[2]Controle de Produção'!$P:$P,C233,'[2]Controle de Produção'!$B:$B,"&gt;=" &amp; G233,'[2]Controle de Produção'!$C:$C,"&lt;=" &amp; N233, '[2]Controle de Produção'!$G:$G,B233), "")</f>
        <v>0</v>
      </c>
      <c r="W233" s="27" t="str">
        <f>IFERROR(SUMIFS([3]EXPEDIÇÃO!$K:$K,[3]EXPEDIÇÃO!$E:$E,D233,[3]EXPEDIÇÃO!$D:$D,C233,[3]EXPEDIÇÃO!$N:$N,"&gt;=" &amp; G233,[3]EXPEDIÇÃO!$N:$N,"&lt;="&amp;N233), "")</f>
        <v/>
      </c>
      <c r="X233" s="27">
        <f>COUNTIFS('[2]Controle de Produção'!$P:$P,C233,'[2]Controle de Produção'!$L:$L,D233,'[2]Controle de Produção'!$B:$B,"&gt;=" &amp; G233)</f>
        <v>0</v>
      </c>
      <c r="Y233" s="27" t="str">
        <f t="shared" si="41"/>
        <v>-</v>
      </c>
      <c r="Z233" s="27">
        <f>IFERROR(COUNTIFS('[2]Controle de Produção'!$L:$L,D233,'[2]Controle de Produção'!$P:$P,C233,'[2]Controle de Produção'!$B:$B,"&gt;=" &amp; G233,'[2]Controle de Produção'!$C:$C,"&lt;=" &amp; N233, '[2]Controle de Produção'!$G:$G,B233), "")</f>
        <v>0</v>
      </c>
      <c r="AA233" s="108" t="str">
        <f t="shared" si="42"/>
        <v/>
      </c>
      <c r="AB233" s="41" t="str" cm="1">
        <f t="array" ref="AB233">_xlfn.IFS((H233*0.95)&lt;=V233,"Concluído",AND(V233 =0, J233&lt;&gt;""),"Programado",AND(V233=0,D233=""),"Desenvolv.",V233=0,"Não Iniciado",AND(V233&gt;0,V233&lt;H233,AO233=TRUE),"Em Produção",AND(V233&gt;0,V233&lt;H233,AO233=FALSE),"Produção Parcial")</f>
        <v>Não Iniciado</v>
      </c>
      <c r="AC233" s="42" t="b">
        <v>1</v>
      </c>
      <c r="AD233" s="42" t="b">
        <v>1</v>
      </c>
      <c r="AE233" s="42" t="b">
        <v>1</v>
      </c>
      <c r="AF233" s="42" t="b">
        <v>1</v>
      </c>
      <c r="AG233" s="42" t="s">
        <v>38</v>
      </c>
      <c r="AH233" s="42" t="s">
        <v>38</v>
      </c>
      <c r="AI233" s="42" t="b">
        <v>0</v>
      </c>
      <c r="AJ233" s="42" t="b">
        <v>0</v>
      </c>
      <c r="AK233" s="42" t="s">
        <v>38</v>
      </c>
      <c r="AL233" s="42" t="b">
        <v>0</v>
      </c>
      <c r="AM233" s="42" t="b">
        <v>0</v>
      </c>
      <c r="AN233" s="42" t="b">
        <v>0</v>
      </c>
      <c r="AO233" s="45" t="b" cm="1">
        <f t="array" ref="AO233">AND(COUNTIF(AC233:AN233,FALSE)=0,SUMPRODUCT(ISNUMBER(AC233:AN233)*1)=0)</f>
        <v>0</v>
      </c>
      <c r="AP233" s="59"/>
      <c r="AQ233" s="111">
        <f>IF(AB233="",99999999999,IFERROR(MATCH(AB233,{"Produção Parcial","Em Produção","Programado","Não Iniciado","Desenvolv.","Concluído"},0),7)*100000000+IF(ISNUMBER(J233),J233-46000,9999)*10000+IF(A233="",99,A233)*100+IF(C233="",99,CODE(LEFT(C233,1))))</f>
        <v>499990568</v>
      </c>
    </row>
    <row r="234" spans="1:43" s="36" customFormat="1" ht="25.15" hidden="1" customHeight="1" x14ac:dyDescent="0.25">
      <c r="A234" s="36">
        <v>5</v>
      </c>
      <c r="B234" s="112" t="s">
        <v>437</v>
      </c>
      <c r="C234" s="70" t="str">
        <f>INDEX([1]Produtos!$G:$G,MATCH($D234,[1]Produtos!$B:$B,0))</f>
        <v>DAPOP</v>
      </c>
      <c r="D234" s="24" t="s">
        <v>247</v>
      </c>
      <c r="E234" s="70" t="str">
        <f>INDEX([1]Produtos!$C:$C,MATCH($D234,[1]Produtos!$B:$B,0))&amp;IF($F234&lt;&gt;"-"," - "&amp;LEFT($F234,1),"")&amp;" &gt; "&amp;$B234</f>
        <v>BODY SPLASH GLOW NOITE DE GLAMOUR &gt; 0007</v>
      </c>
      <c r="F234" s="51" t="s">
        <v>38</v>
      </c>
      <c r="G234" s="38">
        <v>46013</v>
      </c>
      <c r="H234" s="39">
        <v>14400</v>
      </c>
      <c r="I234" s="24" t="s">
        <v>42</v>
      </c>
      <c r="J234" s="68" t="str" cm="1">
        <f t="array" ref="J234">IFERROR(INDEX('[2]Previsão Envase'!$D$5:$D$4867, MATCH(1,('[2]Previsão Envase'!$F$5:$F$4867=$E234)+('[2]Previsão Envase'!$G$5:$G$4867=$E234)+('[2]Previsão Envase'!$H$5:$H$4867=$E234),0)),"")</f>
        <v/>
      </c>
      <c r="K234" s="68" t="str">
        <f>IF(COUNTIF('[2]Previsão Envase'!$F:$F,E234)&gt;0,"Linha 1",
IF(COUNTIF('[2]Previsão Envase'!$G:$G,E234)&gt;0,"Linha 2",
IF(COUNTIF('[2]Previsão Envase'!$H:$H,E234)&gt;0,"Linha 3","")))</f>
        <v/>
      </c>
      <c r="L234" s="96">
        <f>COUNTIF('[2]Previsão Envase'!$F:$H,E234)-COUNTIF('[2]Previsão Envase'!$F$1:$H$4,E234)</f>
        <v>0</v>
      </c>
      <c r="M234" s="35">
        <f t="shared" si="37"/>
        <v>0</v>
      </c>
      <c r="N234" s="68" t="str">
        <f>IFERROR(MAX(_xlfn.MAXIFS('[2]Controle de Produção'!$C:$C,'[2]Controle de Produção'!$L:$L,$D234,'[2]Controle de Produção'!$P:$P,$C234,'[2]Controle de Produção'!$G:$G,$B234),_xlfn.MAXIFS([3]EXPEDIÇÃO!$N:$N,[3]EXPEDIÇÃO!$E:$E,$D234,[3]EXPEDIÇÃO!$D:$D,$C234,[3]EXPEDIÇÃO!$N:$N,"&gt;="&amp;$G234)),"")</f>
        <v/>
      </c>
      <c r="O234" s="70">
        <f>INDEX([1]Produtos!$E:$E,MATCH($D234,[1]Produtos!$B:$B,0))</f>
        <v>120</v>
      </c>
      <c r="P234" s="70" t="str">
        <f>INDEX([1]Produtos!$F:$F,MATCH($D234,[1]Produtos!$B:$B,0))</f>
        <v>ml</v>
      </c>
      <c r="Q234" s="105">
        <f>INDEX([1]Produtos!$Y:$Y,MATCH($D234,[1]Produtos!$B:$B,0))</f>
        <v>0</v>
      </c>
      <c r="R234" s="35">
        <f t="shared" si="38"/>
        <v>7999.1637743312976</v>
      </c>
      <c r="S234" s="27">
        <f>IFERROR(INDEX([1]Produtos!$L:$L,MATCH(D234,[1]Produtos!$B:$B,0)), "")</f>
        <v>888.79597492569974</v>
      </c>
      <c r="T234" s="28">
        <f t="shared" si="39"/>
        <v>16.3</v>
      </c>
      <c r="U234" s="28" t="str">
        <f t="shared" si="40"/>
        <v>1D e 8h</v>
      </c>
      <c r="V234" s="27">
        <f>IFERROR(SUMIFS('[2]Controle de Produção'!$K:$K,'[2]Controle de Produção'!$L:$L,D234,'[2]Controle de Produção'!$P:$P,C234,'[2]Controle de Produção'!$B:$B,"&gt;=" &amp; G234,'[2]Controle de Produção'!$C:$C,"&lt;=" &amp; N234, '[2]Controle de Produção'!$G:$G,B234), "")</f>
        <v>0</v>
      </c>
      <c r="W234" s="27" t="str">
        <f>IFERROR(SUMIFS([3]EXPEDIÇÃO!$K:$K,[3]EXPEDIÇÃO!$E:$E,D234,[3]EXPEDIÇÃO!$D:$D,C234,[3]EXPEDIÇÃO!$N:$N,"&gt;=" &amp; G234,[3]EXPEDIÇÃO!$N:$N,"&lt;="&amp;N234), "")</f>
        <v/>
      </c>
      <c r="X234" s="27">
        <f>COUNTIFS('[2]Controle de Produção'!$P:$P,C234,'[2]Controle de Produção'!$L:$L,D234,'[2]Controle de Produção'!$B:$B,"&gt;=" &amp; G234)</f>
        <v>0</v>
      </c>
      <c r="Y234" s="27" t="str">
        <f t="shared" si="41"/>
        <v>-</v>
      </c>
      <c r="Z234" s="27">
        <f>IFERROR(COUNTIFS('[2]Controle de Produção'!$L:$L,D234,'[2]Controle de Produção'!$P:$P,C234,'[2]Controle de Produção'!$B:$B,"&gt;=" &amp; G234,'[2]Controle de Produção'!$C:$C,"&lt;=" &amp; N234, '[2]Controle de Produção'!$G:$G,B234), "")</f>
        <v>0</v>
      </c>
      <c r="AA234" s="108" t="str">
        <f t="shared" si="42"/>
        <v/>
      </c>
      <c r="AB234" s="41" t="str" cm="1">
        <f t="array" ref="AB234">_xlfn.IFS((H234*0.95)&lt;=V234,"Concluído",AND(V234 =0, J234&lt;&gt;""),"Programado",AND(V234=0,D234=""),"Desenvolv.",V234=0,"Não Iniciado",AND(V234&gt;0,V234&lt;H234,AO234=TRUE),"Em Produção",AND(V234&gt;0,V234&lt;H234,AO234=FALSE),"Produção Parcial")</f>
        <v>Não Iniciado</v>
      </c>
      <c r="AC234" s="42" t="b">
        <v>1</v>
      </c>
      <c r="AD234" s="42" t="b">
        <v>1</v>
      </c>
      <c r="AE234" s="42" t="b">
        <v>1</v>
      </c>
      <c r="AF234" s="42" t="b">
        <v>1</v>
      </c>
      <c r="AG234" s="42" t="s">
        <v>38</v>
      </c>
      <c r="AH234" s="42" t="s">
        <v>38</v>
      </c>
      <c r="AI234" s="42" t="b">
        <v>1</v>
      </c>
      <c r="AJ234" s="42" t="b">
        <v>0</v>
      </c>
      <c r="AK234" s="42" t="s">
        <v>38</v>
      </c>
      <c r="AL234" s="42" t="b">
        <v>0</v>
      </c>
      <c r="AM234" s="42" t="b">
        <v>0</v>
      </c>
      <c r="AN234" s="42" t="b">
        <v>0</v>
      </c>
      <c r="AO234" s="45" t="b" cm="1">
        <f t="array" ref="AO234">AND(COUNTIF(AC234:AN234,FALSE)=0,SUMPRODUCT(ISNUMBER(AC234:AN234)*1)=0)</f>
        <v>0</v>
      </c>
      <c r="AP234" s="59"/>
      <c r="AQ234" s="111">
        <f>IF(AB234="",99999999999,IFERROR(MATCH(AB234,{"Produção Parcial","Em Produção","Programado","Não Iniciado","Desenvolv.","Concluído"},0),7)*100000000+IF(ISNUMBER(J234),J234-46000,9999)*10000+IF(A234="",99,A234)*100+IF(C234="",99,CODE(LEFT(C234,1))))</f>
        <v>499990568</v>
      </c>
    </row>
    <row r="235" spans="1:43" s="36" customFormat="1" ht="25.15" hidden="1" customHeight="1" x14ac:dyDescent="0.25">
      <c r="A235" s="36">
        <v>5</v>
      </c>
      <c r="B235" s="112" t="s">
        <v>437</v>
      </c>
      <c r="C235" s="70" t="str">
        <f>INDEX([1]Produtos!$G:$G,MATCH($D235,[1]Produtos!$B:$B,0))</f>
        <v>DAPOP</v>
      </c>
      <c r="D235" s="24" t="s">
        <v>249</v>
      </c>
      <c r="E235" s="70" t="str">
        <f>INDEX([1]Produtos!$C:$C,MATCH($D235,[1]Produtos!$B:$B,0))&amp;IF($F235&lt;&gt;"-"," - "&amp;LEFT($F235,1),"")&amp;" &gt; "&amp;$B235</f>
        <v>BODY SPLASH GLOW PAIXÃO IRRESISTÍVEL &gt; 0007</v>
      </c>
      <c r="F235" s="51" t="s">
        <v>38</v>
      </c>
      <c r="G235" s="38">
        <v>46013</v>
      </c>
      <c r="H235" s="39">
        <v>14400</v>
      </c>
      <c r="I235" s="24" t="s">
        <v>42</v>
      </c>
      <c r="J235" s="68" t="str" cm="1">
        <f t="array" ref="J235">IFERROR(INDEX('[2]Previsão Envase'!$D$5:$D$4867, MATCH(1,('[2]Previsão Envase'!$F$5:$F$4867=$E235)+('[2]Previsão Envase'!$G$5:$G$4867=$E235)+('[2]Previsão Envase'!$H$5:$H$4867=$E235),0)),"")</f>
        <v/>
      </c>
      <c r="K235" s="68" t="str">
        <f>IF(COUNTIF('[2]Previsão Envase'!$F:$F,E235)&gt;0,"Linha 1",
IF(COUNTIF('[2]Previsão Envase'!$G:$G,E235)&gt;0,"Linha 2",
IF(COUNTIF('[2]Previsão Envase'!$H:$H,E235)&gt;0,"Linha 3","")))</f>
        <v/>
      </c>
      <c r="L235" s="96">
        <f>COUNTIF('[2]Previsão Envase'!$F:$H,E235)-COUNTIF('[2]Previsão Envase'!$F$1:$H$4,E235)</f>
        <v>0</v>
      </c>
      <c r="M235" s="35">
        <f t="shared" si="37"/>
        <v>0</v>
      </c>
      <c r="N235" s="68" t="str">
        <f>IFERROR(MAX(_xlfn.MAXIFS('[2]Controle de Produção'!$C:$C,'[2]Controle de Produção'!$L:$L,$D235,'[2]Controle de Produção'!$P:$P,$C235,'[2]Controle de Produção'!$G:$G,$B235),_xlfn.MAXIFS([3]EXPEDIÇÃO!$N:$N,[3]EXPEDIÇÃO!$E:$E,$D235,[3]EXPEDIÇÃO!$D:$D,$C235,[3]EXPEDIÇÃO!$N:$N,"&gt;="&amp;$G235)),"")</f>
        <v/>
      </c>
      <c r="O235" s="70">
        <f>INDEX([1]Produtos!$E:$E,MATCH($D235,[1]Produtos!$B:$B,0))</f>
        <v>120</v>
      </c>
      <c r="P235" s="70" t="str">
        <f>INDEX([1]Produtos!$F:$F,MATCH($D235,[1]Produtos!$B:$B,0))</f>
        <v>ml</v>
      </c>
      <c r="Q235" s="105">
        <f>INDEX([1]Produtos!$Y:$Y,MATCH($D235,[1]Produtos!$B:$B,0))</f>
        <v>0</v>
      </c>
      <c r="R235" s="35">
        <f t="shared" si="38"/>
        <v>7999.1637743312976</v>
      </c>
      <c r="S235" s="27">
        <f>IFERROR(INDEX([1]Produtos!$L:$L,MATCH(D235,[1]Produtos!$B:$B,0)), "")</f>
        <v>888.79597492569974</v>
      </c>
      <c r="T235" s="28">
        <f t="shared" si="39"/>
        <v>16.3</v>
      </c>
      <c r="U235" s="28" t="str">
        <f t="shared" si="40"/>
        <v>1D e 8h</v>
      </c>
      <c r="V235" s="27">
        <f>IFERROR(SUMIFS('[2]Controle de Produção'!$K:$K,'[2]Controle de Produção'!$L:$L,D235,'[2]Controle de Produção'!$P:$P,C235,'[2]Controle de Produção'!$B:$B,"&gt;=" &amp; G235,'[2]Controle de Produção'!$C:$C,"&lt;=" &amp; N235, '[2]Controle de Produção'!$G:$G,B235), "")</f>
        <v>0</v>
      </c>
      <c r="W235" s="27" t="str">
        <f>IFERROR(SUMIFS([3]EXPEDIÇÃO!$K:$K,[3]EXPEDIÇÃO!$E:$E,D235,[3]EXPEDIÇÃO!$D:$D,C235,[3]EXPEDIÇÃO!$N:$N,"&gt;=" &amp; G235,[3]EXPEDIÇÃO!$N:$N,"&lt;="&amp;N235), "")</f>
        <v/>
      </c>
      <c r="X235" s="27">
        <f>COUNTIFS('[2]Controle de Produção'!$P:$P,C235,'[2]Controle de Produção'!$L:$L,D235,'[2]Controle de Produção'!$B:$B,"&gt;=" &amp; G235)</f>
        <v>0</v>
      </c>
      <c r="Y235" s="27" t="str">
        <f t="shared" si="41"/>
        <v>-</v>
      </c>
      <c r="Z235" s="27">
        <f>IFERROR(COUNTIFS('[2]Controle de Produção'!$L:$L,D235,'[2]Controle de Produção'!$P:$P,C235,'[2]Controle de Produção'!$B:$B,"&gt;=" &amp; G235,'[2]Controle de Produção'!$C:$C,"&lt;=" &amp; N235, '[2]Controle de Produção'!$G:$G,B235), "")</f>
        <v>0</v>
      </c>
      <c r="AA235" s="108" t="str">
        <f t="shared" si="42"/>
        <v/>
      </c>
      <c r="AB235" s="41" t="str" cm="1">
        <f t="array" ref="AB235">_xlfn.IFS((H235*0.95)&lt;=V235,"Concluído",AND(V235 =0, J235&lt;&gt;""),"Programado",AND(V235=0,D235=""),"Desenvolv.",V235=0,"Não Iniciado",AND(V235&gt;0,V235&lt;H235,AO235=TRUE),"Em Produção",AND(V235&gt;0,V235&lt;H235,AO235=FALSE),"Produção Parcial")</f>
        <v>Não Iniciado</v>
      </c>
      <c r="AC235" s="42" t="b">
        <v>1</v>
      </c>
      <c r="AD235" s="42" t="b">
        <v>1</v>
      </c>
      <c r="AE235" s="42" t="b">
        <v>1</v>
      </c>
      <c r="AF235" s="42" t="b">
        <v>1</v>
      </c>
      <c r="AG235" s="42" t="s">
        <v>38</v>
      </c>
      <c r="AH235" s="42" t="s">
        <v>38</v>
      </c>
      <c r="AI235" s="42" t="b">
        <v>0</v>
      </c>
      <c r="AJ235" s="42" t="b">
        <v>0</v>
      </c>
      <c r="AK235" s="42" t="s">
        <v>38</v>
      </c>
      <c r="AL235" s="42" t="b">
        <v>0</v>
      </c>
      <c r="AM235" s="42" t="b">
        <v>0</v>
      </c>
      <c r="AN235" s="42" t="b">
        <v>0</v>
      </c>
      <c r="AO235" s="45" t="b" cm="1">
        <f t="array" ref="AO235">AND(COUNTIF(AC235:AN235,FALSE)=0,SUMPRODUCT(ISNUMBER(AC235:AN235)*1)=0)</f>
        <v>0</v>
      </c>
      <c r="AP235" s="59"/>
      <c r="AQ235" s="111">
        <f>IF(AB235="",99999999999,IFERROR(MATCH(AB235,{"Produção Parcial","Em Produção","Programado","Não Iniciado","Desenvolv.","Concluído"},0),7)*100000000+IF(ISNUMBER(J235),J235-46000,9999)*10000+IF(A235="",99,A235)*100+IF(C235="",99,CODE(LEFT(C235,1))))</f>
        <v>499990568</v>
      </c>
    </row>
    <row r="236" spans="1:43" s="36" customFormat="1" ht="25.15" hidden="1" customHeight="1" x14ac:dyDescent="0.25">
      <c r="A236" s="36">
        <v>5</v>
      </c>
      <c r="B236" s="115" t="s">
        <v>440</v>
      </c>
      <c r="C236" s="70" t="str">
        <f>INDEX([1]Produtos!$G:$G,MATCH($D236,[1]Produtos!$B:$B,0))</f>
        <v>FEBELLA BEAUTY</v>
      </c>
      <c r="D236" s="24" t="s">
        <v>446</v>
      </c>
      <c r="E236" s="70" t="str">
        <f>INDEX([1]Produtos!$C:$C,MATCH($D236,[1]Produtos!$B:$B,0))&amp;IF($F236&lt;&gt;"-"," - "&amp;LEFT($F236,1),"")&amp;" &gt; "&amp;$B236</f>
        <v>HIDRATANTE SORVETE DE MORANGO 120ML -  &gt; 05</v>
      </c>
      <c r="F236" s="51"/>
      <c r="G236" s="38">
        <v>46142</v>
      </c>
      <c r="H236" s="39">
        <v>10000</v>
      </c>
      <c r="I236" s="24" t="s">
        <v>39</v>
      </c>
      <c r="J236" s="68"/>
      <c r="K236" s="68"/>
      <c r="L236" s="96">
        <f>COUNTIF('[2]Previsão Envase'!$F:$H,E236)-COUNTIF('[2]Previsão Envase'!$F$1:$H$4,E236)</f>
        <v>17</v>
      </c>
      <c r="M236" s="35">
        <f t="shared" si="37"/>
        <v>10427.780625978046</v>
      </c>
      <c r="N236" s="68" t="str">
        <f>IFERROR(MAX(_xlfn.MAXIFS('[2]Controle de Produção'!$C:$C,'[2]Controle de Produção'!$L:$L,$D236,'[2]Controle de Produção'!$P:$P,$C236,'[2]Controle de Produção'!$G:$G,$B236),_xlfn.MAXIFS([3]EXPEDIÇÃO!$N:$N,[3]EXPEDIÇÃO!$E:$E,$D236,[3]EXPEDIÇÃO!$D:$D,$C236,[3]EXPEDIÇÃO!$N:$N,"&gt;="&amp;$G236)),"")</f>
        <v/>
      </c>
      <c r="O236" s="70">
        <f>INDEX([1]Produtos!$E:$E,MATCH($D236,[1]Produtos!$B:$B,0))</f>
        <v>120</v>
      </c>
      <c r="P236" s="70" t="str">
        <f>INDEX([1]Produtos!$F:$F,MATCH($D236,[1]Produtos!$B:$B,0))</f>
        <v>ml</v>
      </c>
      <c r="Q236" s="105">
        <f>INDEX([1]Produtos!$Y:$Y,MATCH($D236,[1]Produtos!$B:$B,0))</f>
        <v>1.2</v>
      </c>
      <c r="R236" s="35">
        <f t="shared" si="38"/>
        <v>5520.5897431648482</v>
      </c>
      <c r="S236" s="27">
        <f>IFERROR(INDEX([1]Produtos!$L:$L,MATCH(D236,[1]Produtos!$B:$B,0)), "")</f>
        <v>613.39886035164977</v>
      </c>
      <c r="T236" s="28">
        <f t="shared" si="39"/>
        <v>16.400000000000002</v>
      </c>
      <c r="U236" s="28" t="str">
        <f t="shared" si="40"/>
        <v>1D e 8h</v>
      </c>
      <c r="V236" s="27">
        <f>IFERROR(SUMIFS('[2]Controle de Produção'!$K:$K,'[2]Controle de Produção'!$L:$L,D236,'[2]Controle de Produção'!$P:$P,C236,'[2]Controle de Produção'!$B:$B,"&gt;=" &amp; G236,'[2]Controle de Produção'!$C:$C,"&lt;=" &amp; N236, '[2]Controle de Produção'!$G:$G,B236), "")</f>
        <v>0</v>
      </c>
      <c r="W236" s="27" t="str">
        <f>IFERROR(SUMIFS([3]EXPEDIÇÃO!$K:$K,[3]EXPEDIÇÃO!$E:$E,D236,[3]EXPEDIÇÃO!$D:$D,C236,[3]EXPEDIÇÃO!$N:$N,"&gt;=" &amp; G236,[3]EXPEDIÇÃO!$N:$N,"&lt;="&amp;N236), "")</f>
        <v/>
      </c>
      <c r="X236" s="27">
        <f>COUNTIFS('[2]Controle de Produção'!$P:$P,C236,'[2]Controle de Produção'!$L:$L,D236,'[2]Controle de Produção'!$B:$B,"&gt;=" &amp; G236)</f>
        <v>0</v>
      </c>
      <c r="Y236" s="27" t="str">
        <f t="shared" si="41"/>
        <v>-</v>
      </c>
      <c r="Z236" s="27"/>
      <c r="AA236" s="108"/>
      <c r="AB236" s="41" t="str" cm="1">
        <f t="array" ref="AB236">_xlfn.IFS((H236*0.95)&lt;=V236,"Concluído",AND(V236 =0, J236&lt;&gt;""),"Programado",AND(V236=0,D236=""),"Desenvolv.",V236=0,"Não Iniciado",AND(V236&gt;0,V236&lt;H236,AO236=TRUE),"Em Produção",AND(V236&gt;0,V236&lt;H236,AO236=FALSE),"Produção Parcial")</f>
        <v>Não Iniciado</v>
      </c>
      <c r="AC236" s="42" t="b">
        <v>1</v>
      </c>
      <c r="AD236" s="42" t="b">
        <v>1</v>
      </c>
      <c r="AE236" s="42" t="b">
        <v>1</v>
      </c>
      <c r="AF236" s="42" t="b">
        <v>0</v>
      </c>
      <c r="AG236" s="42" t="s">
        <v>38</v>
      </c>
      <c r="AH236" s="42" t="s">
        <v>38</v>
      </c>
      <c r="AI236" s="42" t="b">
        <v>0</v>
      </c>
      <c r="AJ236" s="42" t="s">
        <v>38</v>
      </c>
      <c r="AK236" s="42" t="s">
        <v>38</v>
      </c>
      <c r="AL236" s="42" t="b">
        <v>1</v>
      </c>
      <c r="AM236" s="42" t="b">
        <v>1</v>
      </c>
      <c r="AN236" s="42" t="b">
        <v>0</v>
      </c>
      <c r="AO236" s="45" t="b" cm="1">
        <f t="array" ref="AO236">AND(COUNTIF(AC236:AN236,FALSE)=0,SUMPRODUCT(ISNUMBER(AC236:AN236)*1)=0)</f>
        <v>0</v>
      </c>
      <c r="AP236" s="59"/>
      <c r="AQ236" s="111">
        <f>IF(AB236="",99999999999,IFERROR(MATCH(AB236,{"Produção Parcial","Em Produção","Programado","Não Iniciado","Desenvolv.","Concluído"},0),7)*100000000+IF(ISNUMBER(J236),J236-46000,9999)*10000+IF(A236="",99,A236)*100+IF(C236="",99,CODE(LEFT(C236,1))))</f>
        <v>499990570</v>
      </c>
    </row>
    <row r="237" spans="1:43" s="36" customFormat="1" ht="25.15" hidden="1" customHeight="1" x14ac:dyDescent="0.25">
      <c r="A237" s="36">
        <v>5</v>
      </c>
      <c r="B237" s="115" t="s">
        <v>440</v>
      </c>
      <c r="C237" s="70" t="str">
        <f>INDEX([1]Produtos!$G:$G,MATCH($D237,[1]Produtos!$B:$B,0))</f>
        <v>FEBELLA BEAUTY</v>
      </c>
      <c r="D237" s="24" t="s">
        <v>447</v>
      </c>
      <c r="E237" s="70" t="str">
        <f>INDEX([1]Produtos!$C:$C,MATCH($D237,[1]Produtos!$B:$B,0))&amp;IF($F237&lt;&gt;"-"," - "&amp;LEFT($F237,1),"")&amp;" &gt; "&amp;$B237</f>
        <v>OLEO CORPORAL SORVETE DE MORANGO 120ML -  &gt; 05</v>
      </c>
      <c r="F237" s="51"/>
      <c r="G237" s="38">
        <v>46142</v>
      </c>
      <c r="H237" s="39">
        <v>10000</v>
      </c>
      <c r="I237" s="24" t="s">
        <v>39</v>
      </c>
      <c r="J237" s="68"/>
      <c r="K237" s="68"/>
      <c r="L237" s="96">
        <f>COUNTIF('[2]Previsão Envase'!$F:$H,E237)-COUNTIF('[2]Previsão Envase'!$F$1:$H$4,E237)</f>
        <v>16</v>
      </c>
      <c r="M237" s="35">
        <f t="shared" si="37"/>
        <v>10163.543084815336</v>
      </c>
      <c r="N237" s="68" t="str">
        <f>IFERROR(MAX(_xlfn.MAXIFS('[2]Controle de Produção'!$C:$C,'[2]Controle de Produção'!$L:$L,$D237,'[2]Controle de Produção'!$P:$P,$C237,'[2]Controle de Produção'!$G:$G,$B237),_xlfn.MAXIFS([3]EXPEDIÇÃO!$N:$N,[3]EXPEDIÇÃO!$E:$E,$D237,[3]EXPEDIÇÃO!$D:$D,$C237,[3]EXPEDIÇÃO!$N:$N,"&gt;="&amp;$G237)),"")</f>
        <v/>
      </c>
      <c r="O237" s="70">
        <f>INDEX([1]Produtos!$E:$E,MATCH($D237,[1]Produtos!$B:$B,0))</f>
        <v>120</v>
      </c>
      <c r="P237" s="70" t="str">
        <f>INDEX([1]Produtos!$F:$F,MATCH($D237,[1]Produtos!$B:$B,0))</f>
        <v>ml</v>
      </c>
      <c r="Q237" s="105">
        <f>INDEX([1]Produtos!$Y:$Y,MATCH($D237,[1]Produtos!$B:$B,0))</f>
        <v>1.2</v>
      </c>
      <c r="R237" s="35">
        <f t="shared" si="38"/>
        <v>5716.9929852086261</v>
      </c>
      <c r="S237" s="27">
        <f>IFERROR(INDEX([1]Produtos!$L:$L,MATCH(D237,[1]Produtos!$B:$B,0)), "")</f>
        <v>635.22144280095847</v>
      </c>
      <c r="T237" s="28">
        <f t="shared" si="39"/>
        <v>15.799999999999999</v>
      </c>
      <c r="U237" s="28" t="str">
        <f t="shared" si="40"/>
        <v>1D e 7h</v>
      </c>
      <c r="V237" s="27">
        <f>IFERROR(SUMIFS('[2]Controle de Produção'!$K:$K,'[2]Controle de Produção'!$L:$L,D237,'[2]Controle de Produção'!$P:$P,C237,'[2]Controle de Produção'!$B:$B,"&gt;=" &amp; G237,'[2]Controle de Produção'!$C:$C,"&lt;=" &amp; N237, '[2]Controle de Produção'!$G:$G,B237), "")</f>
        <v>0</v>
      </c>
      <c r="W237" s="27" t="str">
        <f>IFERROR(SUMIFS([3]EXPEDIÇÃO!$K:$K,[3]EXPEDIÇÃO!$E:$E,D237,[3]EXPEDIÇÃO!$D:$D,C237,[3]EXPEDIÇÃO!$N:$N,"&gt;=" &amp; G237,[3]EXPEDIÇÃO!$N:$N,"&lt;="&amp;N237), "")</f>
        <v/>
      </c>
      <c r="X237" s="27">
        <f>COUNTIFS('[2]Controle de Produção'!$P:$P,C237,'[2]Controle de Produção'!$L:$L,D237,'[2]Controle de Produção'!$B:$B,"&gt;=" &amp; G237)</f>
        <v>0</v>
      </c>
      <c r="Y237" s="27" t="str">
        <f t="shared" si="41"/>
        <v>-</v>
      </c>
      <c r="Z237" s="27"/>
      <c r="AA237" s="108"/>
      <c r="AB237" s="41" t="str" cm="1">
        <f t="array" ref="AB237">_xlfn.IFS((H237*0.95)&lt;=V237,"Concluído",AND(V237 =0, J237&lt;&gt;""),"Programado",AND(V237=0,D237=""),"Desenvolv.",V237=0,"Não Iniciado",AND(V237&gt;0,V237&lt;H237,AO237=TRUE),"Em Produção",AND(V237&gt;0,V237&lt;H237,AO237=FALSE),"Produção Parcial")</f>
        <v>Não Iniciado</v>
      </c>
      <c r="AC237" s="42" t="b">
        <v>1</v>
      </c>
      <c r="AD237" s="42" t="b">
        <v>1</v>
      </c>
      <c r="AE237" s="42" t="b">
        <v>1</v>
      </c>
      <c r="AF237" s="42" t="b">
        <v>0</v>
      </c>
      <c r="AG237" s="42" t="b">
        <v>0</v>
      </c>
      <c r="AH237" s="42" t="s">
        <v>38</v>
      </c>
      <c r="AI237" s="42" t="s">
        <v>38</v>
      </c>
      <c r="AJ237" s="42" t="s">
        <v>38</v>
      </c>
      <c r="AK237" s="42" t="s">
        <v>38</v>
      </c>
      <c r="AL237" s="42" t="b">
        <v>1</v>
      </c>
      <c r="AM237" s="42" t="b">
        <v>1</v>
      </c>
      <c r="AN237" s="42" t="b">
        <v>0</v>
      </c>
      <c r="AO237" s="45" t="b" cm="1">
        <f t="array" ref="AO237">AND(COUNTIF(AC237:AN237,FALSE)=0,SUMPRODUCT(ISNUMBER(AC237:AN237)*1)=0)</f>
        <v>0</v>
      </c>
      <c r="AP237" s="59"/>
      <c r="AQ237" s="111">
        <f>IF(AB237="",99999999999,IFERROR(MATCH(AB237,{"Produção Parcial","Em Produção","Programado","Não Iniciado","Desenvolv.","Concluído"},0),7)*100000000+IF(ISNUMBER(J237),J237-46000,9999)*10000+IF(A237="",99,A237)*100+IF(C237="",99,CODE(LEFT(C237,1))))</f>
        <v>499990570</v>
      </c>
    </row>
    <row r="238" spans="1:43" s="36" customFormat="1" ht="25.15" hidden="1" customHeight="1" x14ac:dyDescent="0.25">
      <c r="A238" s="36">
        <v>5</v>
      </c>
      <c r="B238" s="115" t="s">
        <v>440</v>
      </c>
      <c r="C238" s="70" t="str">
        <f>INDEX([1]Produtos!$G:$G,MATCH($D238,[1]Produtos!$B:$B,0))</f>
        <v>FEBELLA BEAUTY</v>
      </c>
      <c r="D238" s="24" t="s">
        <v>448</v>
      </c>
      <c r="E238" s="70" t="str">
        <f>INDEX([1]Produtos!$C:$C,MATCH($D238,[1]Produtos!$B:$B,0))&amp;IF($F238&lt;&gt;"-"," - "&amp;LEFT($F238,1),"")&amp;" &gt; "&amp;$B238</f>
        <v>MOUSSE FACIAL SORVETE DE MORANGO 150ML -  &gt; 05</v>
      </c>
      <c r="F238" s="51"/>
      <c r="G238" s="38">
        <v>46142</v>
      </c>
      <c r="H238" s="39">
        <v>10000</v>
      </c>
      <c r="I238" s="24" t="s">
        <v>39</v>
      </c>
      <c r="J238" s="68"/>
      <c r="K238" s="68"/>
      <c r="L238" s="96">
        <f>COUNTIF('[2]Previsão Envase'!$F:$H,E238)-COUNTIF('[2]Previsão Envase'!$F$1:$H$4,E238)</f>
        <v>13</v>
      </c>
      <c r="M238" s="35">
        <f t="shared" si="37"/>
        <v>0</v>
      </c>
      <c r="N238" s="68" t="str">
        <f>IFERROR(MAX(_xlfn.MAXIFS('[2]Controle de Produção'!$C:$C,'[2]Controle de Produção'!$L:$L,$D238,'[2]Controle de Produção'!$P:$P,$C238,'[2]Controle de Produção'!$G:$G,$B238),_xlfn.MAXIFS([3]EXPEDIÇÃO!$N:$N,[3]EXPEDIÇÃO!$E:$E,$D238,[3]EXPEDIÇÃO!$D:$D,$C238,[3]EXPEDIÇÃO!$N:$N,"&gt;="&amp;$G238)),"")</f>
        <v/>
      </c>
      <c r="O238" s="70">
        <f>INDEX([1]Produtos!$E:$E,MATCH($D238,[1]Produtos!$B:$B,0))</f>
        <v>150</v>
      </c>
      <c r="P238" s="70" t="str">
        <f>INDEX([1]Produtos!$F:$F,MATCH($D238,[1]Produtos!$B:$B,0))</f>
        <v>ml</v>
      </c>
      <c r="Q238" s="105">
        <f>INDEX([1]Produtos!$Y:$Y,MATCH($D238,[1]Produtos!$B:$B,0))</f>
        <v>1.2</v>
      </c>
      <c r="R238" s="35">
        <f t="shared" si="38"/>
        <v>0</v>
      </c>
      <c r="S238" s="27">
        <f>IFERROR(INDEX([1]Produtos!$L:$L,MATCH(D238,[1]Produtos!$B:$B,0)), "")</f>
        <v>0</v>
      </c>
      <c r="T238" s="28" t="str">
        <f t="shared" si="39"/>
        <v>-</v>
      </c>
      <c r="U238" s="28" t="str">
        <f t="shared" si="40"/>
        <v>-</v>
      </c>
      <c r="V238" s="27">
        <f>IFERROR(SUMIFS('[2]Controle de Produção'!$K:$K,'[2]Controle de Produção'!$L:$L,D238,'[2]Controle de Produção'!$P:$P,C238,'[2]Controle de Produção'!$B:$B,"&gt;=" &amp; G238,'[2]Controle de Produção'!$C:$C,"&lt;=" &amp; N238, '[2]Controle de Produção'!$G:$G,B238), "")</f>
        <v>0</v>
      </c>
      <c r="W238" s="27" t="str">
        <f>IFERROR(SUMIFS([3]EXPEDIÇÃO!$K:$K,[3]EXPEDIÇÃO!$E:$E,D238,[3]EXPEDIÇÃO!$D:$D,C238,[3]EXPEDIÇÃO!$N:$N,"&gt;=" &amp; G238,[3]EXPEDIÇÃO!$N:$N,"&lt;="&amp;N238), "")</f>
        <v/>
      </c>
      <c r="X238" s="27">
        <f>COUNTIFS('[2]Controle de Produção'!$P:$P,C238,'[2]Controle de Produção'!$L:$L,D238,'[2]Controle de Produção'!$B:$B,"&gt;=" &amp; G238)</f>
        <v>0</v>
      </c>
      <c r="Y238" s="27" t="str">
        <f t="shared" si="41"/>
        <v>-</v>
      </c>
      <c r="Z238" s="27"/>
      <c r="AA238" s="108"/>
      <c r="AB238" s="41" t="str" cm="1">
        <f t="array" ref="AB238">_xlfn.IFS((H238*0.95)&lt;=V238,"Concluído",AND(V238 =0, J238&lt;&gt;""),"Programado",AND(V238=0,D238=""),"Desenvolv.",V238=0,"Não Iniciado",AND(V238&gt;0,V238&lt;H238,AO238=TRUE),"Em Produção",AND(V238&gt;0,V238&lt;H238,AO238=FALSE),"Produção Parcial")</f>
        <v>Não Iniciado</v>
      </c>
      <c r="AC238" s="42" t="b">
        <v>1</v>
      </c>
      <c r="AD238" s="42" t="b">
        <v>1</v>
      </c>
      <c r="AE238" s="42" t="b">
        <v>1</v>
      </c>
      <c r="AF238" s="42" t="b">
        <v>1</v>
      </c>
      <c r="AG238" s="42" t="s">
        <v>38</v>
      </c>
      <c r="AH238" s="42" t="s">
        <v>38</v>
      </c>
      <c r="AI238" s="42" t="b">
        <v>1</v>
      </c>
      <c r="AJ238" s="42" t="s">
        <v>38</v>
      </c>
      <c r="AK238" s="42" t="s">
        <v>38</v>
      </c>
      <c r="AL238" s="42" t="b">
        <v>1</v>
      </c>
      <c r="AM238" s="42" t="b">
        <v>1</v>
      </c>
      <c r="AN238" s="42" t="b">
        <v>1</v>
      </c>
      <c r="AO238" s="45" t="b" cm="1">
        <f t="array" ref="AO238">AND(COUNTIF(AC238:AN238,FALSE)=0,SUMPRODUCT(ISNUMBER(AC238:AN238)*1)=0)</f>
        <v>1</v>
      </c>
      <c r="AP238" s="59"/>
      <c r="AQ238" s="111">
        <f>IF(AB238="",99999999999,IFERROR(MATCH(AB238,{"Produção Parcial","Em Produção","Programado","Não Iniciado","Desenvolv.","Concluído"},0),7)*100000000+IF(ISNUMBER(J238),J238-46000,9999)*10000+IF(A238="",99,A238)*100+IF(C238="",99,CODE(LEFT(C238,1))))</f>
        <v>499990570</v>
      </c>
    </row>
    <row r="239" spans="1:43" s="36" customFormat="1" ht="25.15" hidden="1" customHeight="1" x14ac:dyDescent="0.25">
      <c r="A239" s="36">
        <v>5</v>
      </c>
      <c r="B239" s="115" t="s">
        <v>440</v>
      </c>
      <c r="C239" s="70" t="str">
        <f>INDEX([1]Produtos!$G:$G,MATCH($D239,[1]Produtos!$B:$B,0))</f>
        <v>FEBELLA BEAUTY</v>
      </c>
      <c r="D239" s="24" t="s">
        <v>449</v>
      </c>
      <c r="E239" s="70" t="str">
        <f>INDEX([1]Produtos!$C:$C,MATCH($D239,[1]Produtos!$B:$B,0))&amp;IF($F239&lt;&gt;"-"," - "&amp;LEFT($F239,1),"")&amp;" &gt; "&amp;$B239</f>
        <v>BODY SPLASH SORVETE DE MORANGO 120ML -  &gt; 05</v>
      </c>
      <c r="F239" s="51"/>
      <c r="G239" s="38">
        <v>46142</v>
      </c>
      <c r="H239" s="39">
        <v>10000</v>
      </c>
      <c r="I239" s="24" t="s">
        <v>39</v>
      </c>
      <c r="J239" s="68"/>
      <c r="K239" s="68"/>
      <c r="L239" s="96">
        <f>COUNTIF('[2]Previsão Envase'!$F:$H,E239)-COUNTIF('[2]Previsão Envase'!$F$1:$H$4,E239)</f>
        <v>0</v>
      </c>
      <c r="M239" s="35">
        <f t="shared" si="37"/>
        <v>0</v>
      </c>
      <c r="N239" s="68" t="str">
        <f>IFERROR(MAX(_xlfn.MAXIFS('[2]Controle de Produção'!$C:$C,'[2]Controle de Produção'!$L:$L,$D239,'[2]Controle de Produção'!$P:$P,$C239,'[2]Controle de Produção'!$G:$G,$B239),_xlfn.MAXIFS([3]EXPEDIÇÃO!$N:$N,[3]EXPEDIÇÃO!$E:$E,$D239,[3]EXPEDIÇÃO!$D:$D,$C239,[3]EXPEDIÇÃO!$N:$N,"&gt;="&amp;$G239)),"")</f>
        <v/>
      </c>
      <c r="O239" s="70">
        <f>INDEX([1]Produtos!$E:$E,MATCH($D239,[1]Produtos!$B:$B,0))</f>
        <v>120</v>
      </c>
      <c r="P239" s="70" t="str">
        <f>INDEX([1]Produtos!$F:$F,MATCH($D239,[1]Produtos!$B:$B,0))</f>
        <v>ml</v>
      </c>
      <c r="Q239" s="105">
        <f>INDEX([1]Produtos!$Y:$Y,MATCH($D239,[1]Produtos!$B:$B,0))</f>
        <v>1.2</v>
      </c>
      <c r="R239" s="35">
        <f t="shared" si="38"/>
        <v>7592.2902086267013</v>
      </c>
      <c r="S239" s="27">
        <f>IFERROR(INDEX([1]Produtos!$L:$L,MATCH(D239,[1]Produtos!$B:$B,0)), "")</f>
        <v>843.58780095852239</v>
      </c>
      <c r="T239" s="28">
        <f t="shared" si="39"/>
        <v>11.9</v>
      </c>
      <c r="U239" s="28" t="str">
        <f t="shared" si="40"/>
        <v>1D e 4h</v>
      </c>
      <c r="V239" s="27">
        <f>IFERROR(SUMIFS('[2]Controle de Produção'!$K:$K,'[2]Controle de Produção'!$L:$L,D239,'[2]Controle de Produção'!$P:$P,C239,'[2]Controle de Produção'!$B:$B,"&gt;=" &amp; G239,'[2]Controle de Produção'!$C:$C,"&lt;=" &amp; N239, '[2]Controle de Produção'!$G:$G,B239), "")</f>
        <v>0</v>
      </c>
      <c r="W239" s="27" t="str">
        <f>IFERROR(SUMIFS([3]EXPEDIÇÃO!$K:$K,[3]EXPEDIÇÃO!$E:$E,D239,[3]EXPEDIÇÃO!$D:$D,C239,[3]EXPEDIÇÃO!$N:$N,"&gt;=" &amp; G239,[3]EXPEDIÇÃO!$N:$N,"&lt;="&amp;N239), "")</f>
        <v/>
      </c>
      <c r="X239" s="27">
        <f>COUNTIFS('[2]Controle de Produção'!$P:$P,C239,'[2]Controle de Produção'!$L:$L,D239,'[2]Controle de Produção'!$B:$B,"&gt;=" &amp; G239)</f>
        <v>3</v>
      </c>
      <c r="Y239" s="27">
        <f t="shared" si="41"/>
        <v>0</v>
      </c>
      <c r="Z239" s="27"/>
      <c r="AA239" s="108"/>
      <c r="AB239" s="41" t="str" cm="1">
        <f t="array" ref="AB239">_xlfn.IFS((H239*0.95)&lt;=V239,"Concluído",AND(V239 =0, J239&lt;&gt;""),"Programado",AND(V239=0,D239=""),"Desenvolv.",V239=0,"Não Iniciado",AND(V239&gt;0,V239&lt;H239,AO239=TRUE),"Em Produção",AND(V239&gt;0,V239&lt;H239,AO239=FALSE),"Produção Parcial")</f>
        <v>Não Iniciado</v>
      </c>
      <c r="AC239" s="42" t="b">
        <v>1</v>
      </c>
      <c r="AD239" s="42" t="b">
        <v>1</v>
      </c>
      <c r="AE239" s="42" t="b">
        <v>1</v>
      </c>
      <c r="AF239" s="42" t="b">
        <v>1</v>
      </c>
      <c r="AG239" s="42" t="s">
        <v>38</v>
      </c>
      <c r="AH239" s="42" t="s">
        <v>38</v>
      </c>
      <c r="AI239" s="42" t="b">
        <v>1</v>
      </c>
      <c r="AJ239" s="42" t="s">
        <v>38</v>
      </c>
      <c r="AK239" s="42" t="s">
        <v>38</v>
      </c>
      <c r="AL239" s="42" t="b">
        <v>1</v>
      </c>
      <c r="AM239" s="42" t="b">
        <v>1</v>
      </c>
      <c r="AN239" s="42" t="b">
        <v>1</v>
      </c>
      <c r="AO239" s="45" t="b" cm="1">
        <f t="array" ref="AO239">AND(COUNTIF(AC239:AN239,FALSE)=0,SUMPRODUCT(ISNUMBER(AC239:AN239)*1)=0)</f>
        <v>1</v>
      </c>
      <c r="AP239" s="59"/>
      <c r="AQ239" s="111">
        <f>IF(AB239="",99999999999,IFERROR(MATCH(AB239,{"Produção Parcial","Em Produção","Programado","Não Iniciado","Desenvolv.","Concluído"},0),7)*100000000+IF(ISNUMBER(J239),J239-46000,9999)*10000+IF(A239="",99,A239)*100+IF(C239="",99,CODE(LEFT(C239,1))))</f>
        <v>499990570</v>
      </c>
    </row>
    <row r="240" spans="1:43" s="36" customFormat="1" ht="25.15" hidden="1" customHeight="1" x14ac:dyDescent="0.25">
      <c r="A240" s="36">
        <v>5</v>
      </c>
      <c r="B240" s="38" t="s">
        <v>121</v>
      </c>
      <c r="C240" s="70" t="str">
        <f>INDEX([1]Produtos!$G:$G,MATCH($D240,[1]Produtos!$B:$B,0))</f>
        <v>HABIBI PERFUMES</v>
      </c>
      <c r="D240" s="24" t="s">
        <v>421</v>
      </c>
      <c r="E240" s="70" t="str">
        <f>INDEX([1]Produtos!$C:$C,MATCH($D240,[1]Produtos!$B:$B,0))&amp;IF($F240&lt;&gt;"-"," - "&amp;LEFT($F240,1),"")&amp;" &gt; "&amp;$B240</f>
        <v>PERFUME CAPILAR CELESTIA 57ml &gt; HABIBI 01</v>
      </c>
      <c r="F240" s="51" t="s">
        <v>38</v>
      </c>
      <c r="G240" s="38">
        <v>46009</v>
      </c>
      <c r="H240" s="39">
        <v>16000</v>
      </c>
      <c r="I240" s="24" t="s">
        <v>39</v>
      </c>
      <c r="J240" s="68" t="str" cm="1">
        <f t="array" ref="J240">IFERROR(INDEX('[2]Previsão Envase'!$D$5:$D$4867, MATCH(1,('[2]Previsão Envase'!$F$5:$F$4867=$E240)+('[2]Previsão Envase'!$G$5:$G$4867=$E240)+('[2]Previsão Envase'!$H$5:$H$4867=$E240),0)),"")</f>
        <v/>
      </c>
      <c r="K240" s="68" t="str">
        <f>IF(COUNTIF('[2]Previsão Envase'!$F:$F,E240)&gt;0,"Linha 1",
IF(COUNTIF('[2]Previsão Envase'!$G:$G,E240)&gt;0,"Linha 2",
IF(COUNTIF('[2]Previsão Envase'!$H:$H,E240)&gt;0,"Linha 3","")))</f>
        <v/>
      </c>
      <c r="L240" s="96">
        <f>COUNTIF('[2]Previsão Envase'!$F:$H,E240)-COUNTIF('[2]Previsão Envase'!$F$1:$H$4,E240)</f>
        <v>0</v>
      </c>
      <c r="M240" s="35">
        <f t="shared" si="37"/>
        <v>0</v>
      </c>
      <c r="N240" s="68" t="str">
        <f>IFERROR(MAX(_xlfn.MAXIFS('[2]Controle de Produção'!$C:$C,'[2]Controle de Produção'!$L:$L,$D240,'[2]Controle de Produção'!$P:$P,$C240,'[2]Controle de Produção'!$G:$G,$B240),_xlfn.MAXIFS([3]EXPEDIÇÃO!$N:$N,[3]EXPEDIÇÃO!$E:$E,$D240,[3]EXPEDIÇÃO!$D:$D,$C240,[3]EXPEDIÇÃO!$N:$N,"&gt;="&amp;$G240)),"")</f>
        <v/>
      </c>
      <c r="O240" s="70">
        <f>INDEX([1]Produtos!$E:$E,MATCH($D240,[1]Produtos!$B:$B,0))</f>
        <v>57</v>
      </c>
      <c r="P240" s="70" t="str">
        <f>INDEX([1]Produtos!$F:$F,MATCH($D240,[1]Produtos!$B:$B,0))</f>
        <v>ml</v>
      </c>
      <c r="Q240" s="105">
        <f>INDEX([1]Produtos!$Y:$Y,MATCH($D240,[1]Produtos!$B:$B,0))</f>
        <v>3</v>
      </c>
      <c r="R240" s="35">
        <f t="shared" si="38"/>
        <v>0</v>
      </c>
      <c r="S240" s="27">
        <f>IFERROR(INDEX([1]Produtos!$L:$L,MATCH(D240,[1]Produtos!$B:$B,0)), "")</f>
        <v>0</v>
      </c>
      <c r="T240" s="28" t="str">
        <f t="shared" si="39"/>
        <v>-</v>
      </c>
      <c r="U240" s="28" t="str">
        <f t="shared" si="40"/>
        <v>-</v>
      </c>
      <c r="V240" s="27">
        <f>IFERROR(SUMIFS('[2]Controle de Produção'!$K:$K,'[2]Controle de Produção'!$L:$L,D240,'[2]Controle de Produção'!$P:$P,C240,'[2]Controle de Produção'!$B:$B,"&gt;=" &amp; G240,'[2]Controle de Produção'!$C:$C,"&lt;=" &amp; N240, '[2]Controle de Produção'!$G:$G,B240), "")</f>
        <v>0</v>
      </c>
      <c r="W240" s="27" t="str">
        <f>IFERROR(SUMIFS([3]EXPEDIÇÃO!$K:$K,[3]EXPEDIÇÃO!$E:$E,D240,[3]EXPEDIÇÃO!$D:$D,C240,[3]EXPEDIÇÃO!$N:$N,"&gt;=" &amp; G240,[3]EXPEDIÇÃO!$N:$N,"&lt;="&amp;N240), "")</f>
        <v/>
      </c>
      <c r="X240" s="27">
        <f>COUNTIFS('[2]Controle de Produção'!$P:$P,C240,'[2]Controle de Produção'!$L:$L,D240,'[2]Controle de Produção'!$B:$B,"&gt;=" &amp; G240)</f>
        <v>0</v>
      </c>
      <c r="Y240" s="27" t="str">
        <f t="shared" si="41"/>
        <v>-</v>
      </c>
      <c r="Z240" s="27">
        <f>IFERROR(COUNTIFS('[2]Controle de Produção'!$L:$L,D240,'[2]Controle de Produção'!$P:$P,C240,'[2]Controle de Produção'!$B:$B,"&gt;=" &amp; G240,'[2]Controle de Produção'!$C:$C,"&lt;=" &amp; N240, '[2]Controle de Produção'!$G:$G,B240), "")</f>
        <v>0</v>
      </c>
      <c r="AA240" s="108" t="str">
        <f t="shared" ref="AA240:AA271" si="43">IF(OR(V240=0,H240=0),"",IF(V240="","",(V240-H240)/H240))</f>
        <v/>
      </c>
      <c r="AB240" s="41" t="str" cm="1">
        <f t="array" ref="AB240">_xlfn.IFS((H240*0.95)&lt;=V240,"Concluído",AND(V240 =0, J240&lt;&gt;""),"Programado",AND(V240=0,D240=""),"Desenvolv.",V240=0,"Não Iniciado",AND(V240&gt;0,V240&lt;H240,AO240=TRUE),"Em Produção",AND(V240&gt;0,V240&lt;H240,AO240=FALSE),"Produção Parcial")</f>
        <v>Não Iniciado</v>
      </c>
      <c r="AC240" s="42" t="b">
        <v>1</v>
      </c>
      <c r="AD240" s="42" t="b">
        <v>1</v>
      </c>
      <c r="AE240" s="42" t="b">
        <v>1</v>
      </c>
      <c r="AF240" s="42" t="b">
        <v>1</v>
      </c>
      <c r="AG240" s="42" t="b">
        <v>1</v>
      </c>
      <c r="AH240" s="42" t="b">
        <v>1</v>
      </c>
      <c r="AI240" s="42" t="b">
        <v>1</v>
      </c>
      <c r="AJ240" s="42" t="b">
        <v>1</v>
      </c>
      <c r="AK240" s="42" t="s">
        <v>38</v>
      </c>
      <c r="AL240" s="42" t="b">
        <v>1</v>
      </c>
      <c r="AM240" s="42" t="b">
        <v>1</v>
      </c>
      <c r="AN240" s="42" t="b">
        <v>1</v>
      </c>
      <c r="AO240" s="45" t="b" cm="1">
        <f t="array" ref="AO240">AND(COUNTIF(AC240:AN240,FALSE)=0,SUMPRODUCT(ISNUMBER(AC240:AN240)*1)=0)</f>
        <v>1</v>
      </c>
      <c r="AP240" s="59"/>
      <c r="AQ240" s="111">
        <f>IF(AB240="",99999999999,IFERROR(MATCH(AB240,{"Produção Parcial","Em Produção","Programado","Não Iniciado","Desenvolv.","Concluído"},0),7)*100000000+IF(ISNUMBER(J240),J240-46000,9999)*10000+IF(A240="",99,A240)*100+IF(C240="",99,CODE(LEFT(C240,1))))</f>
        <v>499990572</v>
      </c>
    </row>
    <row r="241" spans="1:43" s="36" customFormat="1" ht="25.15" hidden="1" customHeight="1" x14ac:dyDescent="0.25">
      <c r="A241" s="36">
        <v>5</v>
      </c>
      <c r="B241" s="38" t="s">
        <v>430</v>
      </c>
      <c r="C241" s="70" t="str">
        <f>INDEX([1]Produtos!$G:$G,MATCH($D241,[1]Produtos!$B:$B,0))</f>
        <v>MISS RÔSE</v>
      </c>
      <c r="D241" s="24" t="s">
        <v>70</v>
      </c>
      <c r="E241" s="70" t="str">
        <f>INDEX([1]Produtos!$C:$C,MATCH($D241,[1]Produtos!$B:$B,0))&amp;IF($F241&lt;&gt;"-"," - "&amp;LEFT($F241,1),"")&amp;" &gt; "&amp;$B241</f>
        <v>BODY SPLASH ECLIPSE DOURADO &gt; PROG 01 25/03/26</v>
      </c>
      <c r="F241" s="51" t="s">
        <v>38</v>
      </c>
      <c r="G241" s="38">
        <v>46106</v>
      </c>
      <c r="H241" s="39">
        <v>30000</v>
      </c>
      <c r="I241" s="24" t="s">
        <v>42</v>
      </c>
      <c r="J241" s="68" t="str" cm="1">
        <f t="array" ref="J241">IFERROR(INDEX('[2]Previsão Envase'!$D$5:$D$4867, MATCH(1,('[2]Previsão Envase'!$F$5:$F$4867=$E241)+('[2]Previsão Envase'!$G$5:$G$4867=$E241)+('[2]Previsão Envase'!$H$5:$H$4867=$E241),0)),"")</f>
        <v/>
      </c>
      <c r="K241" s="68" t="str">
        <f>IF(COUNTIF('[2]Previsão Envase'!$F:$F,E241)&gt;0,"Linha 1",
IF(COUNTIF('[2]Previsão Envase'!$G:$G,E241)&gt;0,"Linha 2",
IF(COUNTIF('[2]Previsão Envase'!$H:$H,E241)&gt;0,"Linha 3","")))</f>
        <v/>
      </c>
      <c r="L241" s="96">
        <f>COUNTIF('[2]Previsão Envase'!$F:$H,E241)-COUNTIF('[2]Previsão Envase'!$F$1:$H$4,E241)</f>
        <v>0</v>
      </c>
      <c r="M241" s="35">
        <f t="shared" si="37"/>
        <v>0</v>
      </c>
      <c r="N241" s="68" t="str">
        <f>IFERROR(MAX(_xlfn.MAXIFS('[2]Controle de Produção'!$C:$C,'[2]Controle de Produção'!$L:$L,$D241,'[2]Controle de Produção'!$P:$P,$C241,'[2]Controle de Produção'!$G:$G,$B241),_xlfn.MAXIFS([3]EXPEDIÇÃO!$N:$N,[3]EXPEDIÇÃO!$E:$E,$D241,[3]EXPEDIÇÃO!$D:$D,$C241,[3]EXPEDIÇÃO!$N:$N,"&gt;="&amp;$G241)),"")</f>
        <v/>
      </c>
      <c r="O241" s="70">
        <f>INDEX([1]Produtos!$E:$E,MATCH($D241,[1]Produtos!$B:$B,0))</f>
        <v>220</v>
      </c>
      <c r="P241" s="70" t="str">
        <f>INDEX([1]Produtos!$F:$F,MATCH($D241,[1]Produtos!$B:$B,0))</f>
        <v>ml</v>
      </c>
      <c r="Q241" s="105">
        <f>INDEX([1]Produtos!$Y:$Y,MATCH($D241,[1]Produtos!$B:$B,0))</f>
        <v>0.51</v>
      </c>
      <c r="R241" s="35">
        <f t="shared" si="38"/>
        <v>7592.2902086267013</v>
      </c>
      <c r="S241" s="27">
        <f>IFERROR(INDEX([1]Produtos!$L:$L,MATCH(D241,[1]Produtos!$B:$B,0)), "")</f>
        <v>843.58780095852239</v>
      </c>
      <c r="T241" s="28">
        <f t="shared" si="39"/>
        <v>35.6</v>
      </c>
      <c r="U241" s="28" t="str">
        <f t="shared" si="40"/>
        <v>4D e 1h</v>
      </c>
      <c r="V241" s="27">
        <f>IFERROR(SUMIFS('[2]Controle de Produção'!$K:$K,'[2]Controle de Produção'!$L:$L,D241,'[2]Controle de Produção'!$P:$P,C241,'[2]Controle de Produção'!$B:$B,"&gt;=" &amp; G241,'[2]Controle de Produção'!$C:$C,"&lt;=" &amp; N241, '[2]Controle de Produção'!$G:$G,B241), "")</f>
        <v>0</v>
      </c>
      <c r="W241" s="27" t="str">
        <f>IFERROR(SUMIFS([3]EXPEDIÇÃO!$K:$K,[3]EXPEDIÇÃO!$E:$E,D241,[3]EXPEDIÇÃO!$D:$D,C241,[3]EXPEDIÇÃO!$N:$N,"&gt;=" &amp; G241,[3]EXPEDIÇÃO!$N:$N,"&lt;="&amp;N241), "")</f>
        <v/>
      </c>
      <c r="X241" s="27">
        <f>COUNTIFS('[2]Controle de Produção'!$P:$P,C241,'[2]Controle de Produção'!$L:$L,D241,'[2]Controle de Produção'!$B:$B,"&gt;=" &amp; G241)</f>
        <v>10</v>
      </c>
      <c r="Y241" s="27">
        <f t="shared" si="41"/>
        <v>0</v>
      </c>
      <c r="Z241" s="27">
        <f>IFERROR(COUNTIFS('[2]Controle de Produção'!$L:$L,D241,'[2]Controle de Produção'!$P:$P,C241,'[2]Controle de Produção'!$B:$B,"&gt;=" &amp; G241,'[2]Controle de Produção'!$C:$C,"&lt;=" &amp; N241, '[2]Controle de Produção'!$G:$G,B241), "")</f>
        <v>0</v>
      </c>
      <c r="AA241" s="108" t="str">
        <f t="shared" si="43"/>
        <v/>
      </c>
      <c r="AB241" s="41" t="str" cm="1">
        <f t="array" ref="AB241">_xlfn.IFS((H241*0.95)&lt;=V241,"Concluído",AND(V241 =0, J241&lt;&gt;""),"Programado",AND(V241=0,D241=""),"Desenvolv.",V241=0,"Não Iniciado",AND(V241&gt;0,V241&lt;H241,AO241=TRUE),"Em Produção",AND(V241&gt;0,V241&lt;H241,AO241=FALSE),"Produção Parcial")</f>
        <v>Não Iniciado</v>
      </c>
      <c r="AC241" s="42" t="b">
        <v>1</v>
      </c>
      <c r="AD241" s="42" t="b">
        <v>1</v>
      </c>
      <c r="AE241" s="42" t="b">
        <v>1</v>
      </c>
      <c r="AF241" s="42" t="b">
        <v>0</v>
      </c>
      <c r="AG241" s="42" t="s">
        <v>38</v>
      </c>
      <c r="AH241" s="42" t="s">
        <v>38</v>
      </c>
      <c r="AI241" s="42" t="b">
        <v>0</v>
      </c>
      <c r="AJ241" s="42" t="s">
        <v>38</v>
      </c>
      <c r="AK241" s="42" t="s">
        <v>38</v>
      </c>
      <c r="AL241" s="42" t="b">
        <v>1</v>
      </c>
      <c r="AM241" s="42" t="b">
        <v>0</v>
      </c>
      <c r="AN241" s="42" t="b">
        <v>1</v>
      </c>
      <c r="AO241" s="45" t="b" cm="1">
        <f t="array" ref="AO241">AND(COUNTIF(AC241:AN241,FALSE)=0,SUMPRODUCT(ISNUMBER(AC241:AN241)*1)=0)</f>
        <v>0</v>
      </c>
      <c r="AP241" s="59"/>
      <c r="AQ241" s="111">
        <f>IF(AB241="",99999999999,IFERROR(MATCH(AB241,{"Produção Parcial","Em Produção","Programado","Não Iniciado","Desenvolv.","Concluído"},0),7)*100000000+IF(ISNUMBER(J241),J241-46000,9999)*10000+IF(A241="",99,A241)*100+IF(C241="",99,CODE(LEFT(C241,1))))</f>
        <v>499990577</v>
      </c>
    </row>
    <row r="242" spans="1:43" s="36" customFormat="1" ht="25.15" hidden="1" customHeight="1" x14ac:dyDescent="0.25">
      <c r="A242" s="36">
        <v>5</v>
      </c>
      <c r="B242" s="38" t="s">
        <v>36</v>
      </c>
      <c r="C242" s="70" t="str">
        <f>INDEX([1]Produtos!$G:$G,MATCH($D242,[1]Produtos!$B:$B,0))</f>
        <v>MISS RÔSE</v>
      </c>
      <c r="D242" s="24" t="s">
        <v>75</v>
      </c>
      <c r="E242" s="70" t="str">
        <f>INDEX([1]Produtos!$C:$C,MATCH($D242,[1]Produtos!$B:$B,0))&amp;IF($F242&lt;&gt;"-"," - "&amp;LEFT($F242,1),"")&amp;" &gt; "&amp;$B242</f>
        <v>BODY SPLASH CEU INFINITO 200ml &gt; FABIANO 09/12</v>
      </c>
      <c r="F242" s="51" t="s">
        <v>38</v>
      </c>
      <c r="G242" s="38">
        <v>46000</v>
      </c>
      <c r="H242" s="39">
        <v>15000</v>
      </c>
      <c r="I242" s="24" t="s">
        <v>39</v>
      </c>
      <c r="J242" s="68" t="str" cm="1">
        <f t="array" ref="J242">IFERROR(INDEX('[2]Previsão Envase'!$D$5:$D$4867, MATCH(1,('[2]Previsão Envase'!$F$5:$F$4867=$E242)+('[2]Previsão Envase'!$G$5:$G$4867=$E242)+('[2]Previsão Envase'!$H$5:$H$4867=$E242),0)),"")</f>
        <v/>
      </c>
      <c r="K242" s="68" t="str">
        <f>IF(COUNTIF('[2]Previsão Envase'!$F:$F,E242)&gt;0,"Linha 1",
IF(COUNTIF('[2]Previsão Envase'!$G:$G,E242)&gt;0,"Linha 2",
IF(COUNTIF('[2]Previsão Envase'!$H:$H,E242)&gt;0,"Linha 3","")))</f>
        <v/>
      </c>
      <c r="L242" s="96">
        <f>COUNTIF('[2]Previsão Envase'!$F:$H,E242)-COUNTIF('[2]Previsão Envase'!$F$1:$H$4,E242)</f>
        <v>0</v>
      </c>
      <c r="M242" s="35">
        <f t="shared" si="37"/>
        <v>0</v>
      </c>
      <c r="N242" s="68" t="str">
        <f>IFERROR(MAX(_xlfn.MAXIFS('[2]Controle de Produção'!$C:$C,'[2]Controle de Produção'!$L:$L,$D242,'[2]Controle de Produção'!$P:$P,$C242,'[2]Controle de Produção'!$G:$G,$B242),_xlfn.MAXIFS([3]EXPEDIÇÃO!$N:$N,[3]EXPEDIÇÃO!$E:$E,$D242,[3]EXPEDIÇÃO!$D:$D,$C242,[3]EXPEDIÇÃO!$N:$N,"&gt;="&amp;$G242)),"")</f>
        <v/>
      </c>
      <c r="O242" s="70">
        <f>INDEX([1]Produtos!$E:$E,MATCH($D242,[1]Produtos!$B:$B,0))</f>
        <v>215</v>
      </c>
      <c r="P242" s="70" t="str">
        <f>INDEX([1]Produtos!$F:$F,MATCH($D242,[1]Produtos!$B:$B,0))</f>
        <v>ml</v>
      </c>
      <c r="Q242" s="105">
        <f>INDEX([1]Produtos!$Y:$Y,MATCH($D242,[1]Produtos!$B:$B,0))</f>
        <v>0.85</v>
      </c>
      <c r="R242" s="35">
        <f t="shared" si="38"/>
        <v>7592.2902086267013</v>
      </c>
      <c r="S242" s="27">
        <f>IFERROR(INDEX([1]Produtos!$L:$L,MATCH(D242,[1]Produtos!$B:$B,0)), "")</f>
        <v>843.58780095852239</v>
      </c>
      <c r="T242" s="28">
        <f t="shared" si="39"/>
        <v>17.8</v>
      </c>
      <c r="U242" s="28" t="str">
        <f t="shared" si="40"/>
        <v>2D e 1h</v>
      </c>
      <c r="V242" s="27">
        <f>IFERROR(SUMIFS('[2]Controle de Produção'!$K:$K,'[2]Controle de Produção'!$L:$L,D242,'[2]Controle de Produção'!$P:$P,C242,'[2]Controle de Produção'!$B:$B,"&gt;=" &amp; G242,'[2]Controle de Produção'!$C:$C,"&lt;=" &amp; N242, '[2]Controle de Produção'!$G:$G,B242), "")</f>
        <v>0</v>
      </c>
      <c r="W242" s="27" t="str">
        <f>IFERROR(SUMIFS([3]EXPEDIÇÃO!$K:$K,[3]EXPEDIÇÃO!$E:$E,D242,[3]EXPEDIÇÃO!$D:$D,C242,[3]EXPEDIÇÃO!$N:$N,"&gt;=" &amp; G242,[3]EXPEDIÇÃO!$N:$N,"&lt;="&amp;N242), "")</f>
        <v/>
      </c>
      <c r="X242" s="27">
        <f>COUNTIFS('[2]Controle de Produção'!$P:$P,C242,'[2]Controle de Produção'!$L:$L,D242,'[2]Controle de Produção'!$B:$B,"&gt;=" &amp; G242)</f>
        <v>10</v>
      </c>
      <c r="Y242" s="27">
        <f t="shared" si="41"/>
        <v>0</v>
      </c>
      <c r="Z242" s="27">
        <f>IFERROR(COUNTIFS('[2]Controle de Produção'!$L:$L,D242,'[2]Controle de Produção'!$P:$P,C242,'[2]Controle de Produção'!$B:$B,"&gt;=" &amp; G242,'[2]Controle de Produção'!$C:$C,"&lt;=" &amp; N242, '[2]Controle de Produção'!$G:$G,B242), "")</f>
        <v>0</v>
      </c>
      <c r="AA242" s="108" t="str">
        <f t="shared" si="43"/>
        <v/>
      </c>
      <c r="AB242" s="41" t="str" cm="1">
        <f t="array" ref="AB242">_xlfn.IFS((H242*0.95)&lt;=V242,"Concluído",AND(V242 =0, J242&lt;&gt;""),"Programado",AND(V242=0,D242=""),"Desenvolv.",V242=0,"Não Iniciado",AND(V242&gt;0,V242&lt;H242,AO242=TRUE),"Em Produção",AND(V242&gt;0,V242&lt;H242,AO242=FALSE),"Produção Parcial")</f>
        <v>Não Iniciado</v>
      </c>
      <c r="AC242" s="42" t="b">
        <v>1</v>
      </c>
      <c r="AD242" s="42" t="b">
        <v>1</v>
      </c>
      <c r="AE242" s="42" t="b">
        <v>1</v>
      </c>
      <c r="AF242" s="42" t="b">
        <v>1</v>
      </c>
      <c r="AG242" s="42" t="b">
        <v>1</v>
      </c>
      <c r="AH242" s="42" t="s">
        <v>38</v>
      </c>
      <c r="AI242" s="42" t="b">
        <v>1</v>
      </c>
      <c r="AJ242" s="42" t="s">
        <v>38</v>
      </c>
      <c r="AK242" s="42" t="b">
        <v>0</v>
      </c>
      <c r="AL242" s="42" t="b">
        <v>1</v>
      </c>
      <c r="AM242" s="42" t="b">
        <v>1</v>
      </c>
      <c r="AN242" s="42" t="b">
        <v>1</v>
      </c>
      <c r="AO242" s="45" t="b" cm="1">
        <f t="array" ref="AO242">AND(COUNTIF(AC242:AN242,FALSE)=0,SUMPRODUCT(ISNUMBER(AC242:AN242)*1)=0)</f>
        <v>0</v>
      </c>
      <c r="AP242" s="59"/>
      <c r="AQ242" s="111">
        <f>IF(AB242="",99999999999,IFERROR(MATCH(AB242,{"Produção Parcial","Em Produção","Programado","Não Iniciado","Desenvolv.","Concluído"},0),7)*100000000+IF(ISNUMBER(J242),J242-46000,9999)*10000+IF(A242="",99,A242)*100+IF(C242="",99,CODE(LEFT(C242,1))))</f>
        <v>499990577</v>
      </c>
    </row>
    <row r="243" spans="1:43" s="36" customFormat="1" ht="25.15" hidden="1" customHeight="1" x14ac:dyDescent="0.25">
      <c r="A243" s="36">
        <v>5</v>
      </c>
      <c r="B243" s="38" t="s">
        <v>36</v>
      </c>
      <c r="C243" s="70" t="str">
        <f>INDEX([1]Produtos!$G:$G,MATCH($D243,[1]Produtos!$B:$B,0))</f>
        <v>MISS RÔSE</v>
      </c>
      <c r="D243" s="24" t="s">
        <v>73</v>
      </c>
      <c r="E243" s="70" t="str">
        <f>INDEX([1]Produtos!$C:$C,MATCH($D243,[1]Produtos!$B:$B,0))&amp;IF($F243&lt;&gt;"-"," - "&amp;LEFT($F243,1),"")&amp;" &gt; "&amp;$B243</f>
        <v>BODY SPLASH CEU CELESTE 200ml &gt; FABIANO 09/12</v>
      </c>
      <c r="F243" s="51" t="s">
        <v>38</v>
      </c>
      <c r="G243" s="38">
        <v>46000</v>
      </c>
      <c r="H243" s="39">
        <v>15000</v>
      </c>
      <c r="I243" s="24" t="s">
        <v>39</v>
      </c>
      <c r="J243" s="68" t="str" cm="1">
        <f t="array" ref="J243">IFERROR(INDEX('[2]Previsão Envase'!$D$5:$D$4867, MATCH(1,('[2]Previsão Envase'!$F$5:$F$4867=$E243)+('[2]Previsão Envase'!$G$5:$G$4867=$E243)+('[2]Previsão Envase'!$H$5:$H$4867=$E243),0)),"")</f>
        <v/>
      </c>
      <c r="K243" s="68" t="str">
        <f>IF(COUNTIF('[2]Previsão Envase'!$F:$F,E243)&gt;0,"Linha 1",
IF(COUNTIF('[2]Previsão Envase'!$G:$G,E243)&gt;0,"Linha 2",
IF(COUNTIF('[2]Previsão Envase'!$H:$H,E243)&gt;0,"Linha 3","")))</f>
        <v/>
      </c>
      <c r="L243" s="96">
        <f>COUNTIF('[2]Previsão Envase'!$F:$H,E243)-COUNTIF('[2]Previsão Envase'!$F$1:$H$4,E243)</f>
        <v>0</v>
      </c>
      <c r="M243" s="35">
        <f t="shared" si="37"/>
        <v>0</v>
      </c>
      <c r="N243" s="68" t="str">
        <f>IFERROR(MAX(_xlfn.MAXIFS('[2]Controle de Produção'!$C:$C,'[2]Controle de Produção'!$L:$L,$D243,'[2]Controle de Produção'!$P:$P,$C243,'[2]Controle de Produção'!$G:$G,$B243),_xlfn.MAXIFS([3]EXPEDIÇÃO!$N:$N,[3]EXPEDIÇÃO!$E:$E,$D243,[3]EXPEDIÇÃO!$D:$D,$C243,[3]EXPEDIÇÃO!$N:$N,"&gt;="&amp;$G243)),"")</f>
        <v/>
      </c>
      <c r="O243" s="70">
        <f>INDEX([1]Produtos!$E:$E,MATCH($D243,[1]Produtos!$B:$B,0))</f>
        <v>215</v>
      </c>
      <c r="P243" s="70" t="str">
        <f>INDEX([1]Produtos!$F:$F,MATCH($D243,[1]Produtos!$B:$B,0))</f>
        <v>ml</v>
      </c>
      <c r="Q243" s="105">
        <f>INDEX([1]Produtos!$Y:$Y,MATCH($D243,[1]Produtos!$B:$B,0))</f>
        <v>0.85</v>
      </c>
      <c r="R243" s="35">
        <f t="shared" si="38"/>
        <v>7592.2902086267013</v>
      </c>
      <c r="S243" s="27">
        <f>IFERROR(INDEX([1]Produtos!$L:$L,MATCH(D243,[1]Produtos!$B:$B,0)), "")</f>
        <v>843.58780095852239</v>
      </c>
      <c r="T243" s="28">
        <f t="shared" si="39"/>
        <v>17.8</v>
      </c>
      <c r="U243" s="28" t="str">
        <f t="shared" si="40"/>
        <v>2D e 1h</v>
      </c>
      <c r="V243" s="27">
        <f>IFERROR(SUMIFS('[2]Controle de Produção'!$K:$K,'[2]Controle de Produção'!$L:$L,D243,'[2]Controle de Produção'!$P:$P,C243,'[2]Controle de Produção'!$B:$B,"&gt;=" &amp; G243,'[2]Controle de Produção'!$C:$C,"&lt;=" &amp; N243, '[2]Controle de Produção'!$G:$G,B243), "")</f>
        <v>0</v>
      </c>
      <c r="W243" s="27" t="str">
        <f>IFERROR(SUMIFS([3]EXPEDIÇÃO!$K:$K,[3]EXPEDIÇÃO!$E:$E,D243,[3]EXPEDIÇÃO!$D:$D,C243,[3]EXPEDIÇÃO!$N:$N,"&gt;=" &amp; G243,[3]EXPEDIÇÃO!$N:$N,"&lt;="&amp;N243), "")</f>
        <v/>
      </c>
      <c r="X243" s="27">
        <f>COUNTIFS('[2]Controle de Produção'!$P:$P,C243,'[2]Controle de Produção'!$L:$L,D243,'[2]Controle de Produção'!$B:$B,"&gt;=" &amp; G243)</f>
        <v>9</v>
      </c>
      <c r="Y243" s="27">
        <f t="shared" si="41"/>
        <v>0</v>
      </c>
      <c r="Z243" s="27">
        <f>IFERROR(COUNTIFS('[2]Controle de Produção'!$L:$L,D243,'[2]Controle de Produção'!$P:$P,C243,'[2]Controle de Produção'!$B:$B,"&gt;=" &amp; G243,'[2]Controle de Produção'!$C:$C,"&lt;=" &amp; N243, '[2]Controle de Produção'!$G:$G,B243), "")</f>
        <v>0</v>
      </c>
      <c r="AA243" s="108" t="str">
        <f t="shared" si="43"/>
        <v/>
      </c>
      <c r="AB243" s="41" t="str" cm="1">
        <f t="array" ref="AB243">_xlfn.IFS((H243*0.95)&lt;=V243,"Concluído",AND(V243 =0, J243&lt;&gt;""),"Programado",AND(V243=0,D243=""),"Desenvolv.",V243=0,"Não Iniciado",AND(V243&gt;0,V243&lt;H243,AO243=TRUE),"Em Produção",AND(V243&gt;0,V243&lt;H243,AO243=FALSE),"Produção Parcial")</f>
        <v>Não Iniciado</v>
      </c>
      <c r="AC243" s="42" t="b">
        <v>1</v>
      </c>
      <c r="AD243" s="42" t="b">
        <v>1</v>
      </c>
      <c r="AE243" s="42" t="b">
        <v>1</v>
      </c>
      <c r="AF243" s="42" t="b">
        <v>1</v>
      </c>
      <c r="AG243" s="42" t="b">
        <v>1</v>
      </c>
      <c r="AH243" s="42" t="s">
        <v>38</v>
      </c>
      <c r="AI243" s="42" t="b">
        <v>1</v>
      </c>
      <c r="AJ243" s="42" t="s">
        <v>38</v>
      </c>
      <c r="AK243" s="42" t="b">
        <v>0</v>
      </c>
      <c r="AL243" s="42" t="b">
        <v>1</v>
      </c>
      <c r="AM243" s="42" t="b">
        <v>1</v>
      </c>
      <c r="AN243" s="42" t="b">
        <v>1</v>
      </c>
      <c r="AO243" s="45" t="b" cm="1">
        <f t="array" ref="AO243">AND(COUNTIF(AC243:AN243,FALSE)=0,SUMPRODUCT(ISNUMBER(AC243:AN243)*1)=0)</f>
        <v>0</v>
      </c>
      <c r="AP243" s="59"/>
      <c r="AQ243" s="111">
        <f>IF(AB243="",99999999999,IFERROR(MATCH(AB243,{"Produção Parcial","Em Produção","Programado","Não Iniciado","Desenvolv.","Concluído"},0),7)*100000000+IF(ISNUMBER(J243),J243-46000,9999)*10000+IF(A243="",99,A243)*100+IF(C243="",99,CODE(LEFT(C243,1))))</f>
        <v>499990577</v>
      </c>
    </row>
    <row r="244" spans="1:43" s="36" customFormat="1" ht="25.15" hidden="1" customHeight="1" x14ac:dyDescent="0.25">
      <c r="A244" s="36">
        <v>5</v>
      </c>
      <c r="B244" s="38" t="s">
        <v>36</v>
      </c>
      <c r="C244" s="70" t="str">
        <f>INDEX([1]Produtos!$G:$G,MATCH($D244,[1]Produtos!$B:$B,0))</f>
        <v>MISS RÔSE</v>
      </c>
      <c r="D244" s="24" t="s">
        <v>69</v>
      </c>
      <c r="E244" s="70" t="str">
        <f>INDEX([1]Produtos!$C:$C,MATCH($D244,[1]Produtos!$B:$B,0))&amp;IF($F244&lt;&gt;"-"," - "&amp;LEFT($F244,1),"")&amp;" &gt; "&amp;$B244</f>
        <v>BODY SPLASH FLOR D AURA 200ml &gt; FABIANO 09/12</v>
      </c>
      <c r="F244" s="51" t="s">
        <v>38</v>
      </c>
      <c r="G244" s="38">
        <v>46000</v>
      </c>
      <c r="H244" s="39">
        <v>15000</v>
      </c>
      <c r="I244" s="24" t="s">
        <v>39</v>
      </c>
      <c r="J244" s="68" t="str" cm="1">
        <f t="array" ref="J244">IFERROR(INDEX('[2]Previsão Envase'!$D$5:$D$4867, MATCH(1,('[2]Previsão Envase'!$F$5:$F$4867=$E244)+('[2]Previsão Envase'!$G$5:$G$4867=$E244)+('[2]Previsão Envase'!$H$5:$H$4867=$E244),0)),"")</f>
        <v/>
      </c>
      <c r="K244" s="68" t="str">
        <f>IF(COUNTIF('[2]Previsão Envase'!$F:$F,E244)&gt;0,"Linha 1",
IF(COUNTIF('[2]Previsão Envase'!$G:$G,E244)&gt;0,"Linha 2",
IF(COUNTIF('[2]Previsão Envase'!$H:$H,E244)&gt;0,"Linha 3","")))</f>
        <v/>
      </c>
      <c r="L244" s="96">
        <f>COUNTIF('[2]Previsão Envase'!$F:$H,E244)-COUNTIF('[2]Previsão Envase'!$F$1:$H$4,E244)</f>
        <v>0</v>
      </c>
      <c r="M244" s="35">
        <f t="shared" si="37"/>
        <v>0</v>
      </c>
      <c r="N244" s="68" t="str">
        <f>IFERROR(MAX(_xlfn.MAXIFS('[2]Controle de Produção'!$C:$C,'[2]Controle de Produção'!$L:$L,$D244,'[2]Controle de Produção'!$P:$P,$C244,'[2]Controle de Produção'!$G:$G,$B244),_xlfn.MAXIFS([3]EXPEDIÇÃO!$N:$N,[3]EXPEDIÇÃO!$E:$E,$D244,[3]EXPEDIÇÃO!$D:$D,$C244,[3]EXPEDIÇÃO!$N:$N,"&gt;="&amp;$G244)),"")</f>
        <v/>
      </c>
      <c r="O244" s="70">
        <f>INDEX([1]Produtos!$E:$E,MATCH($D244,[1]Produtos!$B:$B,0))</f>
        <v>215</v>
      </c>
      <c r="P244" s="70" t="str">
        <f>INDEX([1]Produtos!$F:$F,MATCH($D244,[1]Produtos!$B:$B,0))</f>
        <v>ml</v>
      </c>
      <c r="Q244" s="105">
        <f>INDEX([1]Produtos!$Y:$Y,MATCH($D244,[1]Produtos!$B:$B,0))</f>
        <v>0.85</v>
      </c>
      <c r="R244" s="35">
        <f t="shared" si="38"/>
        <v>7592.2902086267013</v>
      </c>
      <c r="S244" s="27">
        <f>IFERROR(INDEX([1]Produtos!$L:$L,MATCH(D244,[1]Produtos!$B:$B,0)), "")</f>
        <v>843.58780095852239</v>
      </c>
      <c r="T244" s="28">
        <f t="shared" si="39"/>
        <v>17.8</v>
      </c>
      <c r="U244" s="28" t="str">
        <f t="shared" si="40"/>
        <v>2D e 1h</v>
      </c>
      <c r="V244" s="27">
        <f>IFERROR(SUMIFS('[2]Controle de Produção'!$K:$K,'[2]Controle de Produção'!$L:$L,D244,'[2]Controle de Produção'!$P:$P,C244,'[2]Controle de Produção'!$B:$B,"&gt;=" &amp; G244,'[2]Controle de Produção'!$C:$C,"&lt;=" &amp; N244, '[2]Controle de Produção'!$G:$G,B244), "")</f>
        <v>0</v>
      </c>
      <c r="W244" s="27" t="str">
        <f>IFERROR(SUMIFS([3]EXPEDIÇÃO!$K:$K,[3]EXPEDIÇÃO!$E:$E,D244,[3]EXPEDIÇÃO!$D:$D,C244,[3]EXPEDIÇÃO!$N:$N,"&gt;=" &amp; G244,[3]EXPEDIÇÃO!$N:$N,"&lt;="&amp;N244), "")</f>
        <v/>
      </c>
      <c r="X244" s="27">
        <f>COUNTIFS('[2]Controle de Produção'!$P:$P,C244,'[2]Controle de Produção'!$L:$L,D244,'[2]Controle de Produção'!$B:$B,"&gt;=" &amp; G244)</f>
        <v>10</v>
      </c>
      <c r="Y244" s="27">
        <f t="shared" si="41"/>
        <v>0</v>
      </c>
      <c r="Z244" s="27">
        <f>IFERROR(COUNTIFS('[2]Controle de Produção'!$L:$L,D244,'[2]Controle de Produção'!$P:$P,C244,'[2]Controle de Produção'!$B:$B,"&gt;=" &amp; G244,'[2]Controle de Produção'!$C:$C,"&lt;=" &amp; N244, '[2]Controle de Produção'!$G:$G,B244), "")</f>
        <v>0</v>
      </c>
      <c r="AA244" s="108" t="str">
        <f t="shared" si="43"/>
        <v/>
      </c>
      <c r="AB244" s="41" t="str" cm="1">
        <f t="array" ref="AB244">_xlfn.IFS((H244*0.95)&lt;=V244,"Concluído",AND(V244 =0, J244&lt;&gt;""),"Programado",AND(V244=0,D244=""),"Desenvolv.",V244=0,"Não Iniciado",AND(V244&gt;0,V244&lt;H244,AO244=TRUE),"Em Produção",AND(V244&gt;0,V244&lt;H244,AO244=FALSE),"Produção Parcial")</f>
        <v>Não Iniciado</v>
      </c>
      <c r="AC244" s="42" t="b">
        <v>1</v>
      </c>
      <c r="AD244" s="42" t="b">
        <v>1</v>
      </c>
      <c r="AE244" s="42" t="b">
        <v>1</v>
      </c>
      <c r="AF244" s="42" t="b">
        <v>1</v>
      </c>
      <c r="AG244" s="42" t="b">
        <v>1</v>
      </c>
      <c r="AH244" s="42" t="s">
        <v>38</v>
      </c>
      <c r="AI244" s="42" t="b">
        <v>1</v>
      </c>
      <c r="AJ244" s="42" t="s">
        <v>38</v>
      </c>
      <c r="AK244" s="42" t="b">
        <v>0</v>
      </c>
      <c r="AL244" s="42" t="b">
        <v>1</v>
      </c>
      <c r="AM244" s="42" t="b">
        <v>1</v>
      </c>
      <c r="AN244" s="42" t="b">
        <v>0</v>
      </c>
      <c r="AO244" s="45" t="b" cm="1">
        <f t="array" ref="AO244">AND(COUNTIF(AC244:AN244,FALSE)=0,SUMPRODUCT(ISNUMBER(AC244:AN244)*1)=0)</f>
        <v>0</v>
      </c>
      <c r="AP244" s="59"/>
      <c r="AQ244" s="111">
        <f>IF(AB244="",99999999999,IFERROR(MATCH(AB244,{"Produção Parcial","Em Produção","Programado","Não Iniciado","Desenvolv.","Concluído"},0),7)*100000000+IF(ISNUMBER(J244),J244-46000,9999)*10000+IF(A244="",99,A244)*100+IF(C244="",99,CODE(LEFT(C244,1))))</f>
        <v>499990577</v>
      </c>
    </row>
    <row r="245" spans="1:43" s="36" customFormat="1" ht="25.15" hidden="1" customHeight="1" x14ac:dyDescent="0.25">
      <c r="A245" s="36">
        <v>6</v>
      </c>
      <c r="B245" s="38" t="s">
        <v>151</v>
      </c>
      <c r="C245" s="70" t="str">
        <f>INDEX([1]Produtos!$G:$G,MATCH($D245,[1]Produtos!$B:$B,0))</f>
        <v>DYNASTY</v>
      </c>
      <c r="D245" s="24" t="s">
        <v>152</v>
      </c>
      <c r="E245" s="70" t="str">
        <f>INDEX([1]Produtos!$C:$C,MATCH($D245,[1]Produtos!$B:$B,0))&amp;IF($F245&lt;&gt;"-"," - "&amp;LEFT($F245,1),"")&amp;" &gt; "&amp;$B245</f>
        <v>PERFUME IRON - 2 &gt; SMAYKEL 01</v>
      </c>
      <c r="F245" s="51">
        <v>2</v>
      </c>
      <c r="G245" s="38">
        <v>45989</v>
      </c>
      <c r="H245" s="39">
        <v>1000</v>
      </c>
      <c r="I245" s="24" t="s">
        <v>39</v>
      </c>
      <c r="J245" s="68" t="str" cm="1">
        <f t="array" ref="J245">IFERROR(INDEX('[2]Previsão Envase'!$D$5:$D$4867, MATCH(1,('[2]Previsão Envase'!$F$5:$F$4867=$E245)+('[2]Previsão Envase'!$G$5:$G$4867=$E245)+('[2]Previsão Envase'!$H$5:$H$4867=$E245),0)),"")</f>
        <v/>
      </c>
      <c r="K245" s="68" t="str">
        <f>IF(COUNTIF('[2]Previsão Envase'!$F:$F,E245)&gt;0,"Linha 1",
IF(COUNTIF('[2]Previsão Envase'!$G:$G,E245)&gt;0,"Linha 2",
IF(COUNTIF('[2]Previsão Envase'!$H:$H,E245)&gt;0,"Linha 3","")))</f>
        <v/>
      </c>
      <c r="L245" s="96">
        <f>COUNTIF('[2]Previsão Envase'!$F:$H,E245)-COUNTIF('[2]Previsão Envase'!$F$1:$H$4,E245)</f>
        <v>0</v>
      </c>
      <c r="M245" s="35">
        <f t="shared" si="37"/>
        <v>0</v>
      </c>
      <c r="N245" s="68" t="str">
        <f>IFERROR(MAX(_xlfn.MAXIFS('[2]Controle de Produção'!$C:$C,'[2]Controle de Produção'!$L:$L,$D245,'[2]Controle de Produção'!$P:$P,$C245,'[2]Controle de Produção'!$G:$G,$B245),_xlfn.MAXIFS([3]EXPEDIÇÃO!$N:$N,[3]EXPEDIÇÃO!$E:$E,$D245,[3]EXPEDIÇÃO!$D:$D,$C245,[3]EXPEDIÇÃO!$N:$N,"&gt;="&amp;$G245)),"")</f>
        <v/>
      </c>
      <c r="O245" s="70">
        <f>INDEX([1]Produtos!$E:$E,MATCH($D245,[1]Produtos!$B:$B,0))</f>
        <v>50</v>
      </c>
      <c r="P245" s="70" t="str">
        <f>INDEX([1]Produtos!$F:$F,MATCH($D245,[1]Produtos!$B:$B,0))</f>
        <v>ml</v>
      </c>
      <c r="Q245" s="105">
        <f>INDEX([1]Produtos!$Y:$Y,MATCH($D245,[1]Produtos!$B:$B,0))</f>
        <v>0</v>
      </c>
      <c r="R245" s="35">
        <f t="shared" si="38"/>
        <v>1577.3766463727152</v>
      </c>
      <c r="S245" s="27">
        <f>IFERROR(INDEX([1]Produtos!$L:$L,MATCH(D245,[1]Produtos!$B:$B,0)), "")</f>
        <v>175.26407181919058</v>
      </c>
      <c r="T245" s="28">
        <f t="shared" si="39"/>
        <v>5.8</v>
      </c>
      <c r="U245" s="28" t="str">
        <f t="shared" si="40"/>
        <v>0D e 6h</v>
      </c>
      <c r="V245" s="27">
        <f>IFERROR(SUMIFS('[2]Controle de Produção'!$K:$K,'[2]Controle de Produção'!$L:$L,D245,'[2]Controle de Produção'!$P:$P,C245,'[2]Controle de Produção'!$B:$B,"&gt;=" &amp; G245,'[2]Controle de Produção'!$C:$C,"&lt;=" &amp; N245, '[2]Controle de Produção'!$G:$G,B245), "")</f>
        <v>0</v>
      </c>
      <c r="W245" s="27" t="str">
        <f>IFERROR(SUMIFS([3]EXPEDIÇÃO!$K:$K,[3]EXPEDIÇÃO!$E:$E,D245,[3]EXPEDIÇÃO!$D:$D,C245,[3]EXPEDIÇÃO!$N:$N,"&gt;=" &amp; G245,[3]EXPEDIÇÃO!$N:$N,"&lt;="&amp;N245), "")</f>
        <v/>
      </c>
      <c r="X245" s="27">
        <f>COUNTIFS('[2]Controle de Produção'!$P:$P,C245,'[2]Controle de Produção'!$L:$L,D245,'[2]Controle de Produção'!$B:$B,"&gt;=" &amp; G245)</f>
        <v>0</v>
      </c>
      <c r="Y245" s="27" t="str">
        <f t="shared" si="41"/>
        <v>-</v>
      </c>
      <c r="Z245" s="27">
        <f>IFERROR(COUNTIFS('[2]Controle de Produção'!$L:$L,D245,'[2]Controle de Produção'!$P:$P,C245,'[2]Controle de Produção'!$B:$B,"&gt;=" &amp; G245,'[2]Controle de Produção'!$C:$C,"&lt;=" &amp; N245, '[2]Controle de Produção'!$G:$G,B245), "")</f>
        <v>0</v>
      </c>
      <c r="AA245" s="108" t="str">
        <f t="shared" si="43"/>
        <v/>
      </c>
      <c r="AB245" s="41" t="str" cm="1">
        <f t="array" ref="AB245">_xlfn.IFS((H245*0.95)&lt;=V245,"Concluído",AND(V245 =0, J245&lt;&gt;""),"Programado",AND(V245=0,D245=""),"Desenvolv.",V245=0,"Não Iniciado",AND(V245&gt;0,V245&lt;H245,AO245=TRUE),"Em Produção",AND(V245&gt;0,V245&lt;H245,AO245=FALSE),"Produção Parcial")</f>
        <v>Não Iniciado</v>
      </c>
      <c r="AC245" s="42" t="b">
        <v>1</v>
      </c>
      <c r="AD245" s="42" t="b">
        <v>1</v>
      </c>
      <c r="AE245" s="42" t="b">
        <v>1</v>
      </c>
      <c r="AF245" s="42" t="b">
        <v>1</v>
      </c>
      <c r="AG245" s="42" t="b">
        <v>1</v>
      </c>
      <c r="AH245" s="42" t="b">
        <v>1</v>
      </c>
      <c r="AI245" s="42" t="b">
        <v>1</v>
      </c>
      <c r="AJ245" s="42" t="b">
        <v>1</v>
      </c>
      <c r="AK245" s="42" t="s">
        <v>38</v>
      </c>
      <c r="AL245" s="42" t="b">
        <v>1</v>
      </c>
      <c r="AM245" s="42" t="b">
        <v>1</v>
      </c>
      <c r="AN245" s="42" t="b">
        <v>1</v>
      </c>
      <c r="AO245" s="45" t="b" cm="1">
        <f t="array" ref="AO245">AND(COUNTIF(AC245:AN245,FALSE)=0,SUMPRODUCT(ISNUMBER(AC245:AN245)*1)=0)</f>
        <v>1</v>
      </c>
      <c r="AP245" s="59"/>
      <c r="AQ245" s="111">
        <f>IF(AB245="",99999999999,IFERROR(MATCH(AB245,{"Produção Parcial","Em Produção","Programado","Não Iniciado","Desenvolv.","Concluído"},0),7)*100000000+IF(ISNUMBER(J245),J245-46000,9999)*10000+IF(A245="",99,A245)*100+IF(C245="",99,CODE(LEFT(C245,1))))</f>
        <v>499990668</v>
      </c>
    </row>
    <row r="246" spans="1:43" s="36" customFormat="1" ht="25.15" hidden="1" customHeight="1" x14ac:dyDescent="0.25">
      <c r="A246" s="36">
        <v>6</v>
      </c>
      <c r="B246" s="38" t="s">
        <v>121</v>
      </c>
      <c r="C246" s="70" t="str">
        <f>INDEX([1]Produtos!$G:$G,MATCH($D246,[1]Produtos!$B:$B,0))</f>
        <v>HABIBI PERFUMES</v>
      </c>
      <c r="D246" s="24" t="s">
        <v>135</v>
      </c>
      <c r="E246" s="70" t="str">
        <f>INDEX([1]Produtos!$C:$C,MATCH($D246,[1]Produtos!$B:$B,0))&amp;IF($F246&lt;&gt;"-"," - "&amp;LEFT($F246,1),"")&amp;" &gt; "&amp;$B246</f>
        <v>HIDRATANTE BISNAGA CELESTIA 200g - 3 &gt; HABIBI 01</v>
      </c>
      <c r="F246" s="51" t="s">
        <v>85</v>
      </c>
      <c r="G246" s="38">
        <v>46160</v>
      </c>
      <c r="H246" s="120">
        <v>4000</v>
      </c>
      <c r="I246" s="24" t="s">
        <v>39</v>
      </c>
      <c r="J246" s="68" t="str" cm="1">
        <f t="array" ref="J246">IFERROR(INDEX('[2]Previsão Envase'!$D$5:$D$4867, MATCH(1,('[2]Previsão Envase'!$F$5:$F$4867=$E246)+('[2]Previsão Envase'!$G$5:$G$4867=$E246)+('[2]Previsão Envase'!$H$5:$H$4867=$E246),0)),"")</f>
        <v/>
      </c>
      <c r="K246" s="68" t="str">
        <f>IF(COUNTIF('[2]Previsão Envase'!$F:$F,E246)&gt;0,"Linha 1",
IF(COUNTIF('[2]Previsão Envase'!$G:$G,E246)&gt;0,"Linha 2",
IF(COUNTIF('[2]Previsão Envase'!$H:$H,E246)&gt;0,"Linha 3","")))</f>
        <v/>
      </c>
      <c r="L246" s="96">
        <f>COUNTIF('[2]Previsão Envase'!$F:$H,E246)-COUNTIF('[2]Previsão Envase'!$F$1:$H$4,E246)</f>
        <v>0</v>
      </c>
      <c r="M246" s="35">
        <f t="shared" si="37"/>
        <v>0</v>
      </c>
      <c r="N246" s="68" t="str">
        <f>IFERROR(MAX(_xlfn.MAXIFS('[2]Controle de Produção'!$C:$C,'[2]Controle de Produção'!$L:$L,$D246,'[2]Controle de Produção'!$P:$P,$C246,'[2]Controle de Produção'!$G:$G,$B246),_xlfn.MAXIFS([3]EXPEDIÇÃO!$N:$N,[3]EXPEDIÇÃO!$E:$E,$D246,[3]EXPEDIÇÃO!$D:$D,$C246,[3]EXPEDIÇÃO!$N:$N,"&gt;="&amp;$G246)),"")</f>
        <v/>
      </c>
      <c r="O246" s="70">
        <f>INDEX([1]Produtos!$E:$E,MATCH($D246,[1]Produtos!$B:$B,0))</f>
        <v>200</v>
      </c>
      <c r="P246" s="70" t="str">
        <f>INDEX([1]Produtos!$F:$F,MATCH($D246,[1]Produtos!$B:$B,0))</f>
        <v>g</v>
      </c>
      <c r="Q246" s="105">
        <f>INDEX([1]Produtos!$Y:$Y,MATCH($D246,[1]Produtos!$B:$B,0))</f>
        <v>2</v>
      </c>
      <c r="R246" s="35">
        <f t="shared" si="38"/>
        <v>5520.5897431648482</v>
      </c>
      <c r="S246" s="27">
        <f>IFERROR(INDEX([1]Produtos!$L:$L,MATCH(D246,[1]Produtos!$B:$B,0)), "")</f>
        <v>613.39886035164977</v>
      </c>
      <c r="T246" s="28">
        <f t="shared" si="39"/>
        <v>6.6</v>
      </c>
      <c r="U246" s="28" t="str">
        <f t="shared" si="40"/>
        <v>0D e 7h</v>
      </c>
      <c r="V246" s="27">
        <f>IFERROR(SUMIFS('[2]Controle de Produção'!$K:$K,'[2]Controle de Produção'!$L:$L,D246,'[2]Controle de Produção'!$P:$P,C246,'[2]Controle de Produção'!$B:$B,"&gt;=" &amp; G246,'[2]Controle de Produção'!$C:$C,"&lt;=" &amp; N246, '[2]Controle de Produção'!$G:$G,B246), "")</f>
        <v>0</v>
      </c>
      <c r="W246" s="27" t="str">
        <f>IFERROR(SUMIFS([3]EXPEDIÇÃO!$K:$K,[3]EXPEDIÇÃO!$E:$E,D246,[3]EXPEDIÇÃO!$D:$D,C246,[3]EXPEDIÇÃO!$N:$N,"&gt;=" &amp; G246,[3]EXPEDIÇÃO!$N:$N,"&lt;="&amp;N246), "")</f>
        <v/>
      </c>
      <c r="X246" s="27">
        <f>COUNTIFS('[2]Controle de Produção'!$P:$P,C246,'[2]Controle de Produção'!$L:$L,D246,'[2]Controle de Produção'!$B:$B,"&gt;=" &amp; G246)</f>
        <v>0</v>
      </c>
      <c r="Y246" s="27" t="str">
        <f t="shared" si="41"/>
        <v>-</v>
      </c>
      <c r="Z246" s="27">
        <f>IFERROR(COUNTIFS('[2]Controle de Produção'!$L:$L,D246,'[2]Controle de Produção'!$P:$P,C246,'[2]Controle de Produção'!$B:$B,"&gt;=" &amp; G246,'[2]Controle de Produção'!$C:$C,"&lt;=" &amp; N246, '[2]Controle de Produção'!$G:$G,B246), "")</f>
        <v>0</v>
      </c>
      <c r="AA246" s="108" t="str">
        <f t="shared" si="43"/>
        <v/>
      </c>
      <c r="AB246" s="41" t="str" cm="1">
        <f t="array" ref="AB246">_xlfn.IFS((H246*0.95)&lt;=V246,"Concluído",AND(V246 =0, J246&lt;&gt;""),"Programado",AND(V246=0,D246=""),"Desenvolv.",V246=0,"Não Iniciado",AND(V246&gt;0,V246&lt;H246,AO246=TRUE),"Em Produção",AND(V246&gt;0,V246&lt;H246,AO246=FALSE),"Produção Parcial")</f>
        <v>Não Iniciado</v>
      </c>
      <c r="AC246" s="42" t="b">
        <v>1</v>
      </c>
      <c r="AD246" s="42" t="b">
        <v>1</v>
      </c>
      <c r="AE246" s="42" t="s">
        <v>38</v>
      </c>
      <c r="AF246" s="42" t="b">
        <v>0</v>
      </c>
      <c r="AG246" s="42" t="b">
        <v>0</v>
      </c>
      <c r="AH246" s="42" t="b">
        <v>0</v>
      </c>
      <c r="AI246" s="42" t="s">
        <v>38</v>
      </c>
      <c r="AJ246" s="42" t="b">
        <v>0</v>
      </c>
      <c r="AK246" s="42" t="s">
        <v>38</v>
      </c>
      <c r="AL246" s="42" t="b">
        <v>1</v>
      </c>
      <c r="AM246" s="42" t="b">
        <v>0</v>
      </c>
      <c r="AN246" s="42" t="s">
        <v>38</v>
      </c>
      <c r="AO246" s="45" t="b" cm="1">
        <f t="array" ref="AO246">AND(COUNTIF(AC246:AN246,FALSE)=0,SUMPRODUCT(ISNUMBER(AC246:AN246)*1)=0)</f>
        <v>0</v>
      </c>
      <c r="AP246" s="59"/>
      <c r="AQ246" s="111">
        <f>IF(AB246="",99999999999,IFERROR(MATCH(AB246,{"Produção Parcial","Em Produção","Programado","Não Iniciado","Desenvolv.","Concluído"},0),7)*100000000+IF(ISNUMBER(J246),J246-46000,9999)*10000+IF(A246="",99,A246)*100+IF(C246="",99,CODE(LEFT(C246,1))))</f>
        <v>499990672</v>
      </c>
    </row>
    <row r="247" spans="1:43" s="36" customFormat="1" ht="25.15" hidden="1" customHeight="1" x14ac:dyDescent="0.25">
      <c r="A247" s="36">
        <v>6</v>
      </c>
      <c r="B247" s="38" t="s">
        <v>153</v>
      </c>
      <c r="C247" s="70" t="str">
        <f>INDEX([1]Produtos!$G:$G,MATCH($D247,[1]Produtos!$B:$B,0))</f>
        <v>LUA &amp; NEVE</v>
      </c>
      <c r="D247" s="117" t="s">
        <v>273</v>
      </c>
      <c r="E247" s="70" t="str">
        <f>INDEX([1]Produtos!$C:$C,MATCH($D247,[1]Produtos!$B:$B,0))&amp;IF($F247&lt;&gt;"-"," - "&amp;LEFT($F247,1),"")&amp;" &gt; "&amp;$B247</f>
        <v>MÁSCARA HUBBA GUM TUTTI-FRUTTI - 2 &gt; JOKER</v>
      </c>
      <c r="F247" s="51" t="s">
        <v>141</v>
      </c>
      <c r="G247" s="38"/>
      <c r="H247" s="39">
        <v>4500</v>
      </c>
      <c r="I247" s="24" t="s">
        <v>39</v>
      </c>
      <c r="J247" s="68" t="str" cm="1">
        <f t="array" ref="J247">IFERROR(INDEX('[2]Previsão Envase'!$D$5:$D$4867, MATCH(1,('[2]Previsão Envase'!$F$5:$F$4867=$E247)+('[2]Previsão Envase'!$G$5:$G$4867=$E247)+('[2]Previsão Envase'!$H$5:$H$4867=$E247),0)),"")</f>
        <v/>
      </c>
      <c r="K247" s="68" t="str">
        <f>IF(COUNTIF('[2]Previsão Envase'!$F:$F,E247)&gt;0,"Linha 1",
IF(COUNTIF('[2]Previsão Envase'!$G:$G,E247)&gt;0,"Linha 2",
IF(COUNTIF('[2]Previsão Envase'!$H:$H,E247)&gt;0,"Linha 3","")))</f>
        <v/>
      </c>
      <c r="L247" s="96">
        <f>COUNTIF('[2]Previsão Envase'!$F:$H,E247)-COUNTIF('[2]Previsão Envase'!$F$1:$H$4,E247)</f>
        <v>0</v>
      </c>
      <c r="M247" s="35">
        <f t="shared" si="37"/>
        <v>0</v>
      </c>
      <c r="N247" s="68" t="str">
        <f>IFERROR(MAX(_xlfn.MAXIFS('[2]Controle de Produção'!$C:$C,'[2]Controle de Produção'!$L:$L,$D247,'[2]Controle de Produção'!$P:$P,$C247,'[2]Controle de Produção'!$G:$G,$B247),_xlfn.MAXIFS([3]EXPEDIÇÃO!$N:$N,[3]EXPEDIÇÃO!$E:$E,$D247,[3]EXPEDIÇÃO!$D:$D,$C247,[3]EXPEDIÇÃO!$N:$N,"&gt;="&amp;$G247)),"")</f>
        <v/>
      </c>
      <c r="O247" s="70">
        <f>INDEX([1]Produtos!$E:$E,MATCH($D247,[1]Produtos!$B:$B,0))</f>
        <v>250</v>
      </c>
      <c r="P247" s="70" t="str">
        <f>INDEX([1]Produtos!$F:$F,MATCH($D247,[1]Produtos!$B:$B,0))</f>
        <v>g</v>
      </c>
      <c r="Q247" s="105">
        <f>INDEX([1]Produtos!$Y:$Y,MATCH($D247,[1]Produtos!$B:$B,0))</f>
        <v>0</v>
      </c>
      <c r="R247" s="35">
        <f t="shared" si="38"/>
        <v>7741.4667420012156</v>
      </c>
      <c r="S247" s="27">
        <f>IFERROR(INDEX([1]Produtos!$L:$L,MATCH(D247,[1]Produtos!$B:$B,0)), "")</f>
        <v>860.16297133346836</v>
      </c>
      <c r="T247" s="28">
        <f t="shared" si="39"/>
        <v>5.3</v>
      </c>
      <c r="U247" s="28" t="str">
        <f t="shared" si="40"/>
        <v>0D e 6h</v>
      </c>
      <c r="V247" s="27">
        <f>IFERROR(SUMIFS('[2]Controle de Produção'!$K:$K,'[2]Controle de Produção'!$L:$L,D247,'[2]Controle de Produção'!$P:$P,C247,'[2]Controle de Produção'!$B:$B,"&gt;=" &amp; G247,'[2]Controle de Produção'!$C:$C,"&lt;=" &amp; N247, '[2]Controle de Produção'!$G:$G,B247), "")</f>
        <v>0</v>
      </c>
      <c r="W247" s="27" t="str">
        <f>IFERROR(SUMIFS([3]EXPEDIÇÃO!$K:$K,[3]EXPEDIÇÃO!$E:$E,D247,[3]EXPEDIÇÃO!$D:$D,C247,[3]EXPEDIÇÃO!$N:$N,"&gt;=" &amp; G247,[3]EXPEDIÇÃO!$N:$N,"&lt;="&amp;N247), "")</f>
        <v/>
      </c>
      <c r="X247" s="27">
        <f>COUNTIFS('[2]Controle de Produção'!$P:$P,C247,'[2]Controle de Produção'!$L:$L,D247,'[2]Controle de Produção'!$B:$B,"&gt;=" &amp; G247)</f>
        <v>0</v>
      </c>
      <c r="Y247" s="27" t="str">
        <f t="shared" si="41"/>
        <v>-</v>
      </c>
      <c r="Z247" s="27">
        <f>IFERROR(COUNTIFS('[2]Controle de Produção'!$L:$L,D247,'[2]Controle de Produção'!$P:$P,C247,'[2]Controle de Produção'!$B:$B,"&gt;=" &amp; G247,'[2]Controle de Produção'!$C:$C,"&lt;=" &amp; N247, '[2]Controle de Produção'!$G:$G,B247), "")</f>
        <v>0</v>
      </c>
      <c r="AA247" s="108" t="str">
        <f t="shared" si="43"/>
        <v/>
      </c>
      <c r="AB247" s="41" t="str" cm="1">
        <f t="array" ref="AB247">_xlfn.IFS((H247*0.95)&lt;=V247,"Concluído",AND(V247 =0, J247&lt;&gt;""),"Programado",AND(V247=0,D247=""),"Desenvolv.",V247=0,"Não Iniciado",AND(V247&gt;0,V247&lt;H247,AO247=TRUE),"Em Produção",AND(V247&gt;0,V247&lt;H247,AO247=FALSE),"Produção Parcial")</f>
        <v>Não Iniciado</v>
      </c>
      <c r="AC247" s="42" t="b">
        <v>1</v>
      </c>
      <c r="AD247" s="42" t="b">
        <v>1</v>
      </c>
      <c r="AE247" s="42" t="b">
        <v>0</v>
      </c>
      <c r="AF247" s="42" t="b">
        <v>0</v>
      </c>
      <c r="AG247" s="42" t="b">
        <v>0</v>
      </c>
      <c r="AH247" s="42" t="s">
        <v>38</v>
      </c>
      <c r="AI247" s="42" t="s">
        <v>38</v>
      </c>
      <c r="AJ247" s="42" t="s">
        <v>38</v>
      </c>
      <c r="AK247" s="42" t="s">
        <v>38</v>
      </c>
      <c r="AL247" s="42" t="b">
        <v>0</v>
      </c>
      <c r="AM247" s="42" t="b">
        <v>0</v>
      </c>
      <c r="AN247" s="42" t="b">
        <v>0</v>
      </c>
      <c r="AO247" s="45" t="b" cm="1">
        <f t="array" ref="AO247">AND(COUNTIF(AC247:AN247,FALSE)=0,SUMPRODUCT(ISNUMBER(AC247:AN247)*1)=0)</f>
        <v>0</v>
      </c>
      <c r="AP247" s="59"/>
      <c r="AQ247" s="111">
        <f>IF(AB247="",99999999999,IFERROR(MATCH(AB247,{"Produção Parcial","Em Produção","Programado","Não Iniciado","Desenvolv.","Concluído"},0),7)*100000000+IF(ISNUMBER(J247),J247-46000,9999)*10000+IF(A247="",99,A247)*100+IF(C247="",99,CODE(LEFT(C247,1))))</f>
        <v>499990676</v>
      </c>
    </row>
    <row r="248" spans="1:43" s="36" customFormat="1" ht="25.15" hidden="1" customHeight="1" x14ac:dyDescent="0.25">
      <c r="A248" s="36">
        <v>6</v>
      </c>
      <c r="B248" s="38" t="s">
        <v>153</v>
      </c>
      <c r="C248" s="70" t="str">
        <f>INDEX([1]Produtos!$G:$G,MATCH($D248,[1]Produtos!$B:$B,0))</f>
        <v>LUA &amp; NEVE</v>
      </c>
      <c r="D248" s="117" t="s">
        <v>271</v>
      </c>
      <c r="E248" s="70" t="str">
        <f>INDEX([1]Produtos!$C:$C,MATCH($D248,[1]Produtos!$B:$B,0))&amp;IF($F248&lt;&gt;"-"," - "&amp;LEFT($F248,1),"")&amp;" &gt; "&amp;$B248</f>
        <v>MÁSCARA HUBBA GUM UVA - 2 &gt; JOKER</v>
      </c>
      <c r="F248" s="51" t="s">
        <v>141</v>
      </c>
      <c r="G248" s="38"/>
      <c r="H248" s="39">
        <v>4500</v>
      </c>
      <c r="I248" s="24" t="s">
        <v>39</v>
      </c>
      <c r="J248" s="68" t="str" cm="1">
        <f t="array" ref="J248">IFERROR(INDEX('[2]Previsão Envase'!$D$5:$D$4867, MATCH(1,('[2]Previsão Envase'!$F$5:$F$4867=$E248)+('[2]Previsão Envase'!$G$5:$G$4867=$E248)+('[2]Previsão Envase'!$H$5:$H$4867=$E248),0)),"")</f>
        <v/>
      </c>
      <c r="K248" s="68" t="str">
        <f>IF(COUNTIF('[2]Previsão Envase'!$F:$F,E248)&gt;0,"Linha 1",
IF(COUNTIF('[2]Previsão Envase'!$G:$G,E248)&gt;0,"Linha 2",
IF(COUNTIF('[2]Previsão Envase'!$H:$H,E248)&gt;0,"Linha 3","")))</f>
        <v/>
      </c>
      <c r="L248" s="96">
        <f>COUNTIF('[2]Previsão Envase'!$F:$H,E248)-COUNTIF('[2]Previsão Envase'!$F$1:$H$4,E248)</f>
        <v>0</v>
      </c>
      <c r="M248" s="35">
        <f t="shared" si="37"/>
        <v>0</v>
      </c>
      <c r="N248" s="68" t="str">
        <f>IFERROR(MAX(_xlfn.MAXIFS('[2]Controle de Produção'!$C:$C,'[2]Controle de Produção'!$L:$L,$D248,'[2]Controle de Produção'!$P:$P,$C248,'[2]Controle de Produção'!$G:$G,$B248),_xlfn.MAXIFS([3]EXPEDIÇÃO!$N:$N,[3]EXPEDIÇÃO!$E:$E,$D248,[3]EXPEDIÇÃO!$D:$D,$C248,[3]EXPEDIÇÃO!$N:$N,"&gt;="&amp;$G248)),"")</f>
        <v/>
      </c>
      <c r="O248" s="70">
        <f>INDEX([1]Produtos!$E:$E,MATCH($D248,[1]Produtos!$B:$B,0))</f>
        <v>250</v>
      </c>
      <c r="P248" s="70" t="str">
        <f>INDEX([1]Produtos!$F:$F,MATCH($D248,[1]Produtos!$B:$B,0))</f>
        <v>g</v>
      </c>
      <c r="Q248" s="105">
        <f>INDEX([1]Produtos!$Y:$Y,MATCH($D248,[1]Produtos!$B:$B,0))</f>
        <v>0</v>
      </c>
      <c r="R248" s="35">
        <f t="shared" si="38"/>
        <v>7741.4667420012156</v>
      </c>
      <c r="S248" s="27">
        <f>IFERROR(INDEX([1]Produtos!$L:$L,MATCH(D248,[1]Produtos!$B:$B,0)), "")</f>
        <v>860.16297133346836</v>
      </c>
      <c r="T248" s="28">
        <f t="shared" si="39"/>
        <v>5.3</v>
      </c>
      <c r="U248" s="28" t="str">
        <f t="shared" si="40"/>
        <v>0D e 6h</v>
      </c>
      <c r="V248" s="27">
        <f>IFERROR(SUMIFS('[2]Controle de Produção'!$K:$K,'[2]Controle de Produção'!$L:$L,D248,'[2]Controle de Produção'!$P:$P,C248,'[2]Controle de Produção'!$B:$B,"&gt;=" &amp; G248,'[2]Controle de Produção'!$C:$C,"&lt;=" &amp; N248, '[2]Controle de Produção'!$G:$G,B248), "")</f>
        <v>0</v>
      </c>
      <c r="W248" s="27" t="str">
        <f>IFERROR(SUMIFS([3]EXPEDIÇÃO!$K:$K,[3]EXPEDIÇÃO!$E:$E,D248,[3]EXPEDIÇÃO!$D:$D,C248,[3]EXPEDIÇÃO!$N:$N,"&gt;=" &amp; G248,[3]EXPEDIÇÃO!$N:$N,"&lt;="&amp;N248), "")</f>
        <v/>
      </c>
      <c r="X248" s="27">
        <f>COUNTIFS('[2]Controle de Produção'!$P:$P,C248,'[2]Controle de Produção'!$L:$L,D248,'[2]Controle de Produção'!$B:$B,"&gt;=" &amp; G248)</f>
        <v>0</v>
      </c>
      <c r="Y248" s="27" t="str">
        <f t="shared" si="41"/>
        <v>-</v>
      </c>
      <c r="Z248" s="27">
        <f>IFERROR(COUNTIFS('[2]Controle de Produção'!$L:$L,D248,'[2]Controle de Produção'!$P:$P,C248,'[2]Controle de Produção'!$B:$B,"&gt;=" &amp; G248,'[2]Controle de Produção'!$C:$C,"&lt;=" &amp; N248, '[2]Controle de Produção'!$G:$G,B248), "")</f>
        <v>0</v>
      </c>
      <c r="AA248" s="108" t="str">
        <f t="shared" si="43"/>
        <v/>
      </c>
      <c r="AB248" s="41" t="str" cm="1">
        <f t="array" ref="AB248">_xlfn.IFS((H248*0.95)&lt;=V248,"Concluído",AND(V248 =0, J248&lt;&gt;""),"Programado",AND(V248=0,D248=""),"Desenvolv.",V248=0,"Não Iniciado",AND(V248&gt;0,V248&lt;H248,AO248=TRUE),"Em Produção",AND(V248&gt;0,V248&lt;H248,AO248=FALSE),"Produção Parcial")</f>
        <v>Não Iniciado</v>
      </c>
      <c r="AC248" s="42" t="b">
        <v>1</v>
      </c>
      <c r="AD248" s="42" t="b">
        <v>1</v>
      </c>
      <c r="AE248" s="42" t="b">
        <v>0</v>
      </c>
      <c r="AF248" s="42" t="b">
        <v>0</v>
      </c>
      <c r="AG248" s="42" t="b">
        <v>0</v>
      </c>
      <c r="AH248" s="42" t="s">
        <v>38</v>
      </c>
      <c r="AI248" s="42" t="s">
        <v>38</v>
      </c>
      <c r="AJ248" s="42" t="s">
        <v>38</v>
      </c>
      <c r="AK248" s="42" t="s">
        <v>38</v>
      </c>
      <c r="AL248" s="42" t="b">
        <v>0</v>
      </c>
      <c r="AM248" s="42" t="b">
        <v>0</v>
      </c>
      <c r="AN248" s="42" t="b">
        <v>0</v>
      </c>
      <c r="AO248" s="45" t="b" cm="1">
        <f t="array" ref="AO248">AND(COUNTIF(AC248:AN248,FALSE)=0,SUMPRODUCT(ISNUMBER(AC248:AN248)*1)=0)</f>
        <v>0</v>
      </c>
      <c r="AP248" s="59"/>
      <c r="AQ248" s="111">
        <f>IF(AB248="",99999999999,IFERROR(MATCH(AB248,{"Produção Parcial","Em Produção","Programado","Não Iniciado","Desenvolv.","Concluído"},0),7)*100000000+IF(ISNUMBER(J248),J248-46000,9999)*10000+IF(A248="",99,A248)*100+IF(C248="",99,CODE(LEFT(C248,1))))</f>
        <v>499990676</v>
      </c>
    </row>
    <row r="249" spans="1:43" s="36" customFormat="1" ht="25.15" hidden="1" customHeight="1" x14ac:dyDescent="0.25">
      <c r="A249" s="36">
        <v>6</v>
      </c>
      <c r="B249" s="38" t="s">
        <v>153</v>
      </c>
      <c r="C249" s="70" t="str">
        <f>INDEX([1]Produtos!$G:$G,MATCH($D249,[1]Produtos!$B:$B,0))</f>
        <v>LUA &amp; NEVE</v>
      </c>
      <c r="D249" s="117" t="s">
        <v>280</v>
      </c>
      <c r="E249" s="70" t="str">
        <f>INDEX([1]Produtos!$C:$C,MATCH($D249,[1]Produtos!$B:$B,0))&amp;IF($F249&lt;&gt;"-"," - "&amp;LEFT($F249,1),"")&amp;" &gt; "&amp;$B249</f>
        <v>CONDICIONADOR HUBBA GUM BANANA - 2 &gt; JOKER</v>
      </c>
      <c r="F249" s="51" t="s">
        <v>141</v>
      </c>
      <c r="G249" s="38"/>
      <c r="H249" s="39">
        <v>4500</v>
      </c>
      <c r="I249" s="24" t="s">
        <v>39</v>
      </c>
      <c r="J249" s="68" t="str" cm="1">
        <f t="array" ref="J249">IFERROR(INDEX('[2]Previsão Envase'!$D$5:$D$4867, MATCH(1,('[2]Previsão Envase'!$F$5:$F$4867=$E249)+('[2]Previsão Envase'!$G$5:$G$4867=$E249)+('[2]Previsão Envase'!$H$5:$H$4867=$E249),0)),"")</f>
        <v/>
      </c>
      <c r="K249" s="68" t="str">
        <f>IF(COUNTIF('[2]Previsão Envase'!$F:$F,E249)&gt;0,"Linha 1",
IF(COUNTIF('[2]Previsão Envase'!$G:$G,E249)&gt;0,"Linha 2",
IF(COUNTIF('[2]Previsão Envase'!$H:$H,E249)&gt;0,"Linha 3","")))</f>
        <v/>
      </c>
      <c r="L249" s="96">
        <f>COUNTIF('[2]Previsão Envase'!$F:$H,E249)-COUNTIF('[2]Previsão Envase'!$F$1:$H$4,E249)</f>
        <v>0</v>
      </c>
      <c r="M249" s="35">
        <f t="shared" si="37"/>
        <v>0</v>
      </c>
      <c r="N249" s="68" t="str">
        <f>IFERROR(MAX(_xlfn.MAXIFS('[2]Controle de Produção'!$C:$C,'[2]Controle de Produção'!$L:$L,$D249,'[2]Controle de Produção'!$P:$P,$C249,'[2]Controle de Produção'!$G:$G,$B249),_xlfn.MAXIFS([3]EXPEDIÇÃO!$N:$N,[3]EXPEDIÇÃO!$E:$E,$D249,[3]EXPEDIÇÃO!$D:$D,$C249,[3]EXPEDIÇÃO!$N:$N,"&gt;="&amp;$G249)),"")</f>
        <v/>
      </c>
      <c r="O249" s="70">
        <f>INDEX([1]Produtos!$E:$E,MATCH($D249,[1]Produtos!$B:$B,0))</f>
        <v>300</v>
      </c>
      <c r="P249" s="70" t="str">
        <f>INDEX([1]Produtos!$F:$F,MATCH($D249,[1]Produtos!$B:$B,0))</f>
        <v>ml</v>
      </c>
      <c r="Q249" s="105">
        <f>INDEX([1]Produtos!$Y:$Y,MATCH($D249,[1]Produtos!$B:$B,0))</f>
        <v>0</v>
      </c>
      <c r="R249" s="35">
        <f t="shared" si="38"/>
        <v>5098.9512615203585</v>
      </c>
      <c r="S249" s="27">
        <f>IFERROR(INDEX([1]Produtos!$L:$L,MATCH(D249,[1]Produtos!$B:$B,0)), "")</f>
        <v>566.55014016892869</v>
      </c>
      <c r="T249" s="28">
        <f t="shared" si="39"/>
        <v>8</v>
      </c>
      <c r="U249" s="28" t="str">
        <f t="shared" si="40"/>
        <v>0D e 8h</v>
      </c>
      <c r="V249" s="27">
        <f>IFERROR(SUMIFS('[2]Controle de Produção'!$K:$K,'[2]Controle de Produção'!$L:$L,D249,'[2]Controle de Produção'!$P:$P,C249,'[2]Controle de Produção'!$B:$B,"&gt;=" &amp; G249,'[2]Controle de Produção'!$C:$C,"&lt;=" &amp; N249, '[2]Controle de Produção'!$G:$G,B249), "")</f>
        <v>0</v>
      </c>
      <c r="W249" s="27" t="str">
        <f>IFERROR(SUMIFS([3]EXPEDIÇÃO!$K:$K,[3]EXPEDIÇÃO!$E:$E,D249,[3]EXPEDIÇÃO!$D:$D,C249,[3]EXPEDIÇÃO!$N:$N,"&gt;=" &amp; G249,[3]EXPEDIÇÃO!$N:$N,"&lt;="&amp;N249), "")</f>
        <v/>
      </c>
      <c r="X249" s="27">
        <f>COUNTIFS('[2]Controle de Produção'!$P:$P,C249,'[2]Controle de Produção'!$L:$L,D249,'[2]Controle de Produção'!$B:$B,"&gt;=" &amp; G249)</f>
        <v>0</v>
      </c>
      <c r="Y249" s="27" t="str">
        <f t="shared" si="41"/>
        <v>-</v>
      </c>
      <c r="Z249" s="27">
        <f>IFERROR(COUNTIFS('[2]Controle de Produção'!$L:$L,D249,'[2]Controle de Produção'!$P:$P,C249,'[2]Controle de Produção'!$B:$B,"&gt;=" &amp; G249,'[2]Controle de Produção'!$C:$C,"&lt;=" &amp; N249, '[2]Controle de Produção'!$G:$G,B249), "")</f>
        <v>0</v>
      </c>
      <c r="AA249" s="108" t="str">
        <f t="shared" si="43"/>
        <v/>
      </c>
      <c r="AB249" s="41" t="str" cm="1">
        <f t="array" ref="AB249">_xlfn.IFS((H249*0.95)&lt;=V249,"Concluído",AND(V249 =0, J249&lt;&gt;""),"Programado",AND(V249=0,D249=""),"Desenvolv.",V249=0,"Não Iniciado",AND(V249&gt;0,V249&lt;H249,AO249=TRUE),"Em Produção",AND(V249&gt;0,V249&lt;H249,AO249=FALSE),"Produção Parcial")</f>
        <v>Não Iniciado</v>
      </c>
      <c r="AC249" s="42" t="b">
        <v>1</v>
      </c>
      <c r="AD249" s="42" t="b">
        <v>1</v>
      </c>
      <c r="AE249" s="42" t="b">
        <v>0</v>
      </c>
      <c r="AF249" s="42" t="b">
        <v>0</v>
      </c>
      <c r="AG249" s="42" t="b">
        <v>0</v>
      </c>
      <c r="AH249" s="42" t="s">
        <v>38</v>
      </c>
      <c r="AI249" s="42" t="s">
        <v>38</v>
      </c>
      <c r="AJ249" s="42" t="s">
        <v>38</v>
      </c>
      <c r="AK249" s="42" t="s">
        <v>38</v>
      </c>
      <c r="AL249" s="42" t="b">
        <v>0</v>
      </c>
      <c r="AM249" s="42" t="b">
        <v>0</v>
      </c>
      <c r="AN249" s="42" t="b">
        <v>0</v>
      </c>
      <c r="AO249" s="45" t="b" cm="1">
        <f t="array" ref="AO249">AND(COUNTIF(AC249:AN249,FALSE)=0,SUMPRODUCT(ISNUMBER(AC249:AN249)*1)=0)</f>
        <v>0</v>
      </c>
      <c r="AP249" s="59"/>
      <c r="AQ249" s="111">
        <f>IF(AB249="",99999999999,IFERROR(MATCH(AB249,{"Produção Parcial","Em Produção","Programado","Não Iniciado","Desenvolv.","Concluído"},0),7)*100000000+IF(ISNUMBER(J249),J249-46000,9999)*10000+IF(A249="",99,A249)*100+IF(C249="",99,CODE(LEFT(C249,1))))</f>
        <v>499990676</v>
      </c>
    </row>
    <row r="250" spans="1:43" s="36" customFormat="1" ht="25.15" hidden="1" customHeight="1" x14ac:dyDescent="0.25">
      <c r="A250" s="36">
        <v>6</v>
      </c>
      <c r="B250" s="38" t="s">
        <v>153</v>
      </c>
      <c r="C250" s="70" t="str">
        <f>INDEX([1]Produtos!$G:$G,MATCH($D250,[1]Produtos!$B:$B,0))</f>
        <v>LUA &amp; NEVE</v>
      </c>
      <c r="D250" s="117" t="s">
        <v>279</v>
      </c>
      <c r="E250" s="70" t="str">
        <f>INDEX([1]Produtos!$C:$C,MATCH($D250,[1]Produtos!$B:$B,0))&amp;IF($F250&lt;&gt;"-"," - "&amp;LEFT($F250,1),"")&amp;" &gt; "&amp;$B250</f>
        <v>CONDICIONADOR HUBBA GUM TUTTI-FRUTTI - 2 &gt; JOKER</v>
      </c>
      <c r="F250" s="51" t="s">
        <v>141</v>
      </c>
      <c r="G250" s="38"/>
      <c r="H250" s="39">
        <v>4500</v>
      </c>
      <c r="I250" s="24" t="s">
        <v>39</v>
      </c>
      <c r="J250" s="68" t="str" cm="1">
        <f t="array" ref="J250">IFERROR(INDEX('[2]Previsão Envase'!$D$5:$D$4867, MATCH(1,('[2]Previsão Envase'!$F$5:$F$4867=$E250)+('[2]Previsão Envase'!$G$5:$G$4867=$E250)+('[2]Previsão Envase'!$H$5:$H$4867=$E250),0)),"")</f>
        <v/>
      </c>
      <c r="K250" s="68" t="str">
        <f>IF(COUNTIF('[2]Previsão Envase'!$F:$F,E250)&gt;0,"Linha 1",
IF(COUNTIF('[2]Previsão Envase'!$G:$G,E250)&gt;0,"Linha 2",
IF(COUNTIF('[2]Previsão Envase'!$H:$H,E250)&gt;0,"Linha 3","")))</f>
        <v/>
      </c>
      <c r="L250" s="96">
        <f>COUNTIF('[2]Previsão Envase'!$F:$H,E250)-COUNTIF('[2]Previsão Envase'!$F$1:$H$4,E250)</f>
        <v>0</v>
      </c>
      <c r="M250" s="35">
        <f t="shared" si="37"/>
        <v>0</v>
      </c>
      <c r="N250" s="68" t="str">
        <f>IFERROR(MAX(_xlfn.MAXIFS('[2]Controle de Produção'!$C:$C,'[2]Controle de Produção'!$L:$L,$D250,'[2]Controle de Produção'!$P:$P,$C250,'[2]Controle de Produção'!$G:$G,$B250),_xlfn.MAXIFS([3]EXPEDIÇÃO!$N:$N,[3]EXPEDIÇÃO!$E:$E,$D250,[3]EXPEDIÇÃO!$D:$D,$C250,[3]EXPEDIÇÃO!$N:$N,"&gt;="&amp;$G250)),"")</f>
        <v/>
      </c>
      <c r="O250" s="70">
        <f>INDEX([1]Produtos!$E:$E,MATCH($D250,[1]Produtos!$B:$B,0))</f>
        <v>300</v>
      </c>
      <c r="P250" s="70" t="str">
        <f>INDEX([1]Produtos!$F:$F,MATCH($D250,[1]Produtos!$B:$B,0))</f>
        <v>ml</v>
      </c>
      <c r="Q250" s="105">
        <f>INDEX([1]Produtos!$Y:$Y,MATCH($D250,[1]Produtos!$B:$B,0))</f>
        <v>0</v>
      </c>
      <c r="R250" s="35">
        <f t="shared" si="38"/>
        <v>5098.9512615203585</v>
      </c>
      <c r="S250" s="27">
        <f>IFERROR(INDEX([1]Produtos!$L:$L,MATCH(D250,[1]Produtos!$B:$B,0)), "")</f>
        <v>566.55014016892869</v>
      </c>
      <c r="T250" s="28">
        <f t="shared" si="39"/>
        <v>8</v>
      </c>
      <c r="U250" s="28" t="str">
        <f t="shared" si="40"/>
        <v>0D e 8h</v>
      </c>
      <c r="V250" s="27">
        <f>IFERROR(SUMIFS('[2]Controle de Produção'!$K:$K,'[2]Controle de Produção'!$L:$L,D250,'[2]Controle de Produção'!$P:$P,C250,'[2]Controle de Produção'!$B:$B,"&gt;=" &amp; G250,'[2]Controle de Produção'!$C:$C,"&lt;=" &amp; N250, '[2]Controle de Produção'!$G:$G,B250), "")</f>
        <v>0</v>
      </c>
      <c r="W250" s="27" t="str">
        <f>IFERROR(SUMIFS([3]EXPEDIÇÃO!$K:$K,[3]EXPEDIÇÃO!$E:$E,D250,[3]EXPEDIÇÃO!$D:$D,C250,[3]EXPEDIÇÃO!$N:$N,"&gt;=" &amp; G250,[3]EXPEDIÇÃO!$N:$N,"&lt;="&amp;N250), "")</f>
        <v/>
      </c>
      <c r="X250" s="27">
        <f>COUNTIFS('[2]Controle de Produção'!$P:$P,C250,'[2]Controle de Produção'!$L:$L,D250,'[2]Controle de Produção'!$B:$B,"&gt;=" &amp; G250)</f>
        <v>0</v>
      </c>
      <c r="Y250" s="27" t="str">
        <f t="shared" si="41"/>
        <v>-</v>
      </c>
      <c r="Z250" s="27">
        <f>IFERROR(COUNTIFS('[2]Controle de Produção'!$L:$L,D250,'[2]Controle de Produção'!$P:$P,C250,'[2]Controle de Produção'!$B:$B,"&gt;=" &amp; G250,'[2]Controle de Produção'!$C:$C,"&lt;=" &amp; N250, '[2]Controle de Produção'!$G:$G,B250), "")</f>
        <v>0</v>
      </c>
      <c r="AA250" s="108" t="str">
        <f t="shared" si="43"/>
        <v/>
      </c>
      <c r="AB250" s="41" t="str" cm="1">
        <f t="array" ref="AB250">_xlfn.IFS((H250*0.95)&lt;=V250,"Concluído",AND(V250 =0, J250&lt;&gt;""),"Programado",AND(V250=0,D250=""),"Desenvolv.",V250=0,"Não Iniciado",AND(V250&gt;0,V250&lt;H250,AO250=TRUE),"Em Produção",AND(V250&gt;0,V250&lt;H250,AO250=FALSE),"Produção Parcial")</f>
        <v>Não Iniciado</v>
      </c>
      <c r="AC250" s="42" t="b">
        <v>1</v>
      </c>
      <c r="AD250" s="42" t="b">
        <v>1</v>
      </c>
      <c r="AE250" s="42" t="b">
        <v>0</v>
      </c>
      <c r="AF250" s="42" t="b">
        <v>0</v>
      </c>
      <c r="AG250" s="42" t="b">
        <v>0</v>
      </c>
      <c r="AH250" s="42" t="s">
        <v>38</v>
      </c>
      <c r="AI250" s="42" t="s">
        <v>38</v>
      </c>
      <c r="AJ250" s="42" t="s">
        <v>38</v>
      </c>
      <c r="AK250" s="42" t="s">
        <v>38</v>
      </c>
      <c r="AL250" s="42" t="b">
        <v>0</v>
      </c>
      <c r="AM250" s="42" t="b">
        <v>0</v>
      </c>
      <c r="AN250" s="42" t="b">
        <v>0</v>
      </c>
      <c r="AO250" s="45" t="b" cm="1">
        <f t="array" ref="AO250">AND(COUNTIF(AC250:AN250,FALSE)=0,SUMPRODUCT(ISNUMBER(AC250:AN250)*1)=0)</f>
        <v>0</v>
      </c>
      <c r="AP250" s="59"/>
      <c r="AQ250" s="111">
        <f>IF(AB250="",99999999999,IFERROR(MATCH(AB250,{"Produção Parcial","Em Produção","Programado","Não Iniciado","Desenvolv.","Concluído"},0),7)*100000000+IF(ISNUMBER(J250),J250-46000,9999)*10000+IF(A250="",99,A250)*100+IF(C250="",99,CODE(LEFT(C250,1))))</f>
        <v>499990676</v>
      </c>
    </row>
    <row r="251" spans="1:43" s="36" customFormat="1" ht="25.15" hidden="1" customHeight="1" x14ac:dyDescent="0.25">
      <c r="A251" s="36">
        <v>6</v>
      </c>
      <c r="B251" s="38" t="s">
        <v>153</v>
      </c>
      <c r="C251" s="70" t="str">
        <f>INDEX([1]Produtos!$G:$G,MATCH($D251,[1]Produtos!$B:$B,0))</f>
        <v>LUA &amp; NEVE</v>
      </c>
      <c r="D251" s="117" t="s">
        <v>278</v>
      </c>
      <c r="E251" s="70" t="str">
        <f>INDEX([1]Produtos!$C:$C,MATCH($D251,[1]Produtos!$B:$B,0))&amp;IF($F251&lt;&gt;"-"," - "&amp;LEFT($F251,1),"")&amp;" &gt; "&amp;$B251</f>
        <v>CONDICIONADOR HUBBA GUM UVA - 2 &gt; JOKER</v>
      </c>
      <c r="F251" s="51" t="s">
        <v>141</v>
      </c>
      <c r="G251" s="38"/>
      <c r="H251" s="39">
        <v>4500</v>
      </c>
      <c r="I251" s="24" t="s">
        <v>39</v>
      </c>
      <c r="J251" s="68" t="str" cm="1">
        <f t="array" ref="J251">IFERROR(INDEX('[2]Previsão Envase'!$D$5:$D$4867, MATCH(1,('[2]Previsão Envase'!$F$5:$F$4867=$E251)+('[2]Previsão Envase'!$G$5:$G$4867=$E251)+('[2]Previsão Envase'!$H$5:$H$4867=$E251),0)),"")</f>
        <v/>
      </c>
      <c r="K251" s="68" t="str">
        <f>IF(COUNTIF('[2]Previsão Envase'!$F:$F,E251)&gt;0,"Linha 1",
IF(COUNTIF('[2]Previsão Envase'!$G:$G,E251)&gt;0,"Linha 2",
IF(COUNTIF('[2]Previsão Envase'!$H:$H,E251)&gt;0,"Linha 3","")))</f>
        <v/>
      </c>
      <c r="L251" s="96">
        <f>COUNTIF('[2]Previsão Envase'!$F:$H,E251)-COUNTIF('[2]Previsão Envase'!$F$1:$H$4,E251)</f>
        <v>0</v>
      </c>
      <c r="M251" s="35">
        <f t="shared" si="37"/>
        <v>0</v>
      </c>
      <c r="N251" s="68" t="str">
        <f>IFERROR(MAX(_xlfn.MAXIFS('[2]Controle de Produção'!$C:$C,'[2]Controle de Produção'!$L:$L,$D251,'[2]Controle de Produção'!$P:$P,$C251,'[2]Controle de Produção'!$G:$G,$B251),_xlfn.MAXIFS([3]EXPEDIÇÃO!$N:$N,[3]EXPEDIÇÃO!$E:$E,$D251,[3]EXPEDIÇÃO!$D:$D,$C251,[3]EXPEDIÇÃO!$N:$N,"&gt;="&amp;$G251)),"")</f>
        <v/>
      </c>
      <c r="O251" s="70">
        <f>INDEX([1]Produtos!$E:$E,MATCH($D251,[1]Produtos!$B:$B,0))</f>
        <v>300</v>
      </c>
      <c r="P251" s="70" t="str">
        <f>INDEX([1]Produtos!$F:$F,MATCH($D251,[1]Produtos!$B:$B,0))</f>
        <v>ml</v>
      </c>
      <c r="Q251" s="105">
        <f>INDEX([1]Produtos!$Y:$Y,MATCH($D251,[1]Produtos!$B:$B,0))</f>
        <v>0</v>
      </c>
      <c r="R251" s="35">
        <f t="shared" si="38"/>
        <v>5098.9512615203585</v>
      </c>
      <c r="S251" s="27">
        <f>IFERROR(INDEX([1]Produtos!$L:$L,MATCH(D251,[1]Produtos!$B:$B,0)), "")</f>
        <v>566.55014016892869</v>
      </c>
      <c r="T251" s="28">
        <f t="shared" si="39"/>
        <v>8</v>
      </c>
      <c r="U251" s="28" t="str">
        <f t="shared" si="40"/>
        <v>0D e 8h</v>
      </c>
      <c r="V251" s="27">
        <f>IFERROR(SUMIFS('[2]Controle de Produção'!$K:$K,'[2]Controle de Produção'!$L:$L,D251,'[2]Controle de Produção'!$P:$P,C251,'[2]Controle de Produção'!$B:$B,"&gt;=" &amp; G251,'[2]Controle de Produção'!$C:$C,"&lt;=" &amp; N251, '[2]Controle de Produção'!$G:$G,B251), "")</f>
        <v>0</v>
      </c>
      <c r="W251" s="27" t="str">
        <f>IFERROR(SUMIFS([3]EXPEDIÇÃO!$K:$K,[3]EXPEDIÇÃO!$E:$E,D251,[3]EXPEDIÇÃO!$D:$D,C251,[3]EXPEDIÇÃO!$N:$N,"&gt;=" &amp; G251,[3]EXPEDIÇÃO!$N:$N,"&lt;="&amp;N251), "")</f>
        <v/>
      </c>
      <c r="X251" s="27">
        <f>COUNTIFS('[2]Controle de Produção'!$P:$P,C251,'[2]Controle de Produção'!$L:$L,D251,'[2]Controle de Produção'!$B:$B,"&gt;=" &amp; G251)</f>
        <v>0</v>
      </c>
      <c r="Y251" s="27" t="str">
        <f t="shared" si="41"/>
        <v>-</v>
      </c>
      <c r="Z251" s="27">
        <f>IFERROR(COUNTIFS('[2]Controle de Produção'!$L:$L,D251,'[2]Controle de Produção'!$P:$P,C251,'[2]Controle de Produção'!$B:$B,"&gt;=" &amp; G251,'[2]Controle de Produção'!$C:$C,"&lt;=" &amp; N251, '[2]Controle de Produção'!$G:$G,B251), "")</f>
        <v>0</v>
      </c>
      <c r="AA251" s="108" t="str">
        <f t="shared" si="43"/>
        <v/>
      </c>
      <c r="AB251" s="41" t="str" cm="1">
        <f t="array" ref="AB251">_xlfn.IFS((H251*0.95)&lt;=V251,"Concluído",AND(V251 =0, J251&lt;&gt;""),"Programado",AND(V251=0,D251=""),"Desenvolv.",V251=0,"Não Iniciado",AND(V251&gt;0,V251&lt;H251,AO251=TRUE),"Em Produção",AND(V251&gt;0,V251&lt;H251,AO251=FALSE),"Produção Parcial")</f>
        <v>Não Iniciado</v>
      </c>
      <c r="AC251" s="42" t="b">
        <v>1</v>
      </c>
      <c r="AD251" s="42" t="b">
        <v>1</v>
      </c>
      <c r="AE251" s="42" t="b">
        <v>0</v>
      </c>
      <c r="AF251" s="42" t="b">
        <v>0</v>
      </c>
      <c r="AG251" s="42" t="b">
        <v>0</v>
      </c>
      <c r="AH251" s="42" t="s">
        <v>38</v>
      </c>
      <c r="AI251" s="42" t="s">
        <v>38</v>
      </c>
      <c r="AJ251" s="42" t="s">
        <v>38</v>
      </c>
      <c r="AK251" s="42" t="s">
        <v>38</v>
      </c>
      <c r="AL251" s="42" t="b">
        <v>0</v>
      </c>
      <c r="AM251" s="42" t="b">
        <v>0</v>
      </c>
      <c r="AN251" s="42" t="b">
        <v>0</v>
      </c>
      <c r="AO251" s="45" t="b" cm="1">
        <f t="array" ref="AO251">AND(COUNTIF(AC251:AN251,FALSE)=0,SUMPRODUCT(ISNUMBER(AC251:AN251)*1)=0)</f>
        <v>0</v>
      </c>
      <c r="AP251" s="59"/>
      <c r="AQ251" s="111">
        <f>IF(AB251="",99999999999,IFERROR(MATCH(AB251,{"Produção Parcial","Em Produção","Programado","Não Iniciado","Desenvolv.","Concluído"},0),7)*100000000+IF(ISNUMBER(J251),J251-46000,9999)*10000+IF(A251="",99,A251)*100+IF(C251="",99,CODE(LEFT(C251,1))))</f>
        <v>499990676</v>
      </c>
    </row>
    <row r="252" spans="1:43" s="36" customFormat="1" ht="25.15" hidden="1" customHeight="1" x14ac:dyDescent="0.25">
      <c r="A252" s="36">
        <v>6</v>
      </c>
      <c r="B252" s="38" t="s">
        <v>153</v>
      </c>
      <c r="C252" s="70" t="str">
        <f>INDEX([1]Produtos!$G:$G,MATCH($D252,[1]Produtos!$B:$B,0))</f>
        <v>LUA &amp; NEVE</v>
      </c>
      <c r="D252" s="117" t="s">
        <v>277</v>
      </c>
      <c r="E252" s="70" t="str">
        <f>INDEX([1]Produtos!$C:$C,MATCH($D252,[1]Produtos!$B:$B,0))&amp;IF($F252&lt;&gt;"-"," - "&amp;LEFT($F252,1),"")&amp;" &gt; "&amp;$B252</f>
        <v>FINALIZADOR HUBBA GUM BANANA - 2 &gt; JOKER</v>
      </c>
      <c r="F252" s="51" t="s">
        <v>141</v>
      </c>
      <c r="G252" s="38"/>
      <c r="H252" s="39">
        <v>4500</v>
      </c>
      <c r="I252" s="24" t="s">
        <v>39</v>
      </c>
      <c r="J252" s="68" t="str" cm="1">
        <f t="array" ref="J252">IFERROR(INDEX('[2]Previsão Envase'!$D$5:$D$4867, MATCH(1,('[2]Previsão Envase'!$F$5:$F$4867=$E252)+('[2]Previsão Envase'!$G$5:$G$4867=$E252)+('[2]Previsão Envase'!$H$5:$H$4867=$E252),0)),"")</f>
        <v/>
      </c>
      <c r="K252" s="68" t="str">
        <f>IF(COUNTIF('[2]Previsão Envase'!$F:$F,E252)&gt;0,"Linha 1",
IF(COUNTIF('[2]Previsão Envase'!$G:$G,E252)&gt;0,"Linha 2",
IF(COUNTIF('[2]Previsão Envase'!$H:$H,E252)&gt;0,"Linha 3","")))</f>
        <v/>
      </c>
      <c r="L252" s="96">
        <f>COUNTIF('[2]Previsão Envase'!$F:$H,E252)-COUNTIF('[2]Previsão Envase'!$F$1:$H$4,E252)</f>
        <v>0</v>
      </c>
      <c r="M252" s="35">
        <f t="shared" si="37"/>
        <v>0</v>
      </c>
      <c r="N252" s="68" t="str">
        <f>IFERROR(MAX(_xlfn.MAXIFS('[2]Controle de Produção'!$C:$C,'[2]Controle de Produção'!$L:$L,$D252,'[2]Controle de Produção'!$P:$P,$C252,'[2]Controle de Produção'!$G:$G,$B252),_xlfn.MAXIFS([3]EXPEDIÇÃO!$N:$N,[3]EXPEDIÇÃO!$E:$E,$D252,[3]EXPEDIÇÃO!$D:$D,$C252,[3]EXPEDIÇÃO!$N:$N,"&gt;="&amp;$G252)),"")</f>
        <v/>
      </c>
      <c r="O252" s="70">
        <f>INDEX([1]Produtos!$E:$E,MATCH($D252,[1]Produtos!$B:$B,0))</f>
        <v>250</v>
      </c>
      <c r="P252" s="70" t="str">
        <f>INDEX([1]Produtos!$F:$F,MATCH($D252,[1]Produtos!$B:$B,0))</f>
        <v>ml</v>
      </c>
      <c r="Q252" s="105">
        <f>INDEX([1]Produtos!$Y:$Y,MATCH($D252,[1]Produtos!$B:$B,0))</f>
        <v>0</v>
      </c>
      <c r="R252" s="35">
        <f t="shared" si="38"/>
        <v>5142.5873345845057</v>
      </c>
      <c r="S252" s="27">
        <f>IFERROR(INDEX([1]Produtos!$L:$L,MATCH(D252,[1]Produtos!$B:$B,0)), "")</f>
        <v>571.39859273161176</v>
      </c>
      <c r="T252" s="28">
        <f t="shared" si="39"/>
        <v>7.8999999999999995</v>
      </c>
      <c r="U252" s="28" t="str">
        <f t="shared" si="40"/>
        <v>0D e 8h</v>
      </c>
      <c r="V252" s="27">
        <f>IFERROR(SUMIFS('[2]Controle de Produção'!$K:$K,'[2]Controle de Produção'!$L:$L,D252,'[2]Controle de Produção'!$P:$P,C252,'[2]Controle de Produção'!$B:$B,"&gt;=" &amp; G252,'[2]Controle de Produção'!$C:$C,"&lt;=" &amp; N252, '[2]Controle de Produção'!$G:$G,B252), "")</f>
        <v>0</v>
      </c>
      <c r="W252" s="27" t="str">
        <f>IFERROR(SUMIFS([3]EXPEDIÇÃO!$K:$K,[3]EXPEDIÇÃO!$E:$E,D252,[3]EXPEDIÇÃO!$D:$D,C252,[3]EXPEDIÇÃO!$N:$N,"&gt;=" &amp; G252,[3]EXPEDIÇÃO!$N:$N,"&lt;="&amp;N252), "")</f>
        <v/>
      </c>
      <c r="X252" s="27">
        <f>COUNTIFS('[2]Controle de Produção'!$P:$P,C252,'[2]Controle de Produção'!$L:$L,D252,'[2]Controle de Produção'!$B:$B,"&gt;=" &amp; G252)</f>
        <v>0</v>
      </c>
      <c r="Y252" s="27" t="str">
        <f t="shared" si="41"/>
        <v>-</v>
      </c>
      <c r="Z252" s="27">
        <f>IFERROR(COUNTIFS('[2]Controle de Produção'!$L:$L,D252,'[2]Controle de Produção'!$P:$P,C252,'[2]Controle de Produção'!$B:$B,"&gt;=" &amp; G252,'[2]Controle de Produção'!$C:$C,"&lt;=" &amp; N252, '[2]Controle de Produção'!$G:$G,B252), "")</f>
        <v>0</v>
      </c>
      <c r="AA252" s="108" t="str">
        <f t="shared" si="43"/>
        <v/>
      </c>
      <c r="AB252" s="41" t="str" cm="1">
        <f t="array" ref="AB252">_xlfn.IFS((H252*0.95)&lt;=V252,"Concluído",AND(V252 =0, J252&lt;&gt;""),"Programado",AND(V252=0,D252=""),"Desenvolv.",V252=0,"Não Iniciado",AND(V252&gt;0,V252&lt;H252,AO252=TRUE),"Em Produção",AND(V252&gt;0,V252&lt;H252,AO252=FALSE),"Produção Parcial")</f>
        <v>Não Iniciado</v>
      </c>
      <c r="AC252" s="42" t="b">
        <v>1</v>
      </c>
      <c r="AD252" s="42" t="b">
        <v>1</v>
      </c>
      <c r="AE252" s="42" t="b">
        <v>0</v>
      </c>
      <c r="AF252" s="42" t="b">
        <v>0</v>
      </c>
      <c r="AG252" s="42" t="b">
        <v>0</v>
      </c>
      <c r="AH252" s="42" t="s">
        <v>38</v>
      </c>
      <c r="AI252" s="42" t="s">
        <v>38</v>
      </c>
      <c r="AJ252" s="42" t="s">
        <v>38</v>
      </c>
      <c r="AK252" s="42" t="s">
        <v>38</v>
      </c>
      <c r="AL252" s="42" t="b">
        <v>0</v>
      </c>
      <c r="AM252" s="42" t="b">
        <v>0</v>
      </c>
      <c r="AN252" s="42" t="b">
        <v>0</v>
      </c>
      <c r="AO252" s="45" t="b" cm="1">
        <f t="array" ref="AO252">AND(COUNTIF(AC252:AN252,FALSE)=0,SUMPRODUCT(ISNUMBER(AC252:AN252)*1)=0)</f>
        <v>0</v>
      </c>
      <c r="AP252" s="59"/>
      <c r="AQ252" s="111">
        <f>IF(AB252="",99999999999,IFERROR(MATCH(AB252,{"Produção Parcial","Em Produção","Programado","Não Iniciado","Desenvolv.","Concluído"},0),7)*100000000+IF(ISNUMBER(J252),J252-46000,9999)*10000+IF(A252="",99,A252)*100+IF(C252="",99,CODE(LEFT(C252,1))))</f>
        <v>499990676</v>
      </c>
    </row>
    <row r="253" spans="1:43" s="36" customFormat="1" ht="25.15" hidden="1" customHeight="1" x14ac:dyDescent="0.25">
      <c r="A253" s="36">
        <v>6</v>
      </c>
      <c r="B253" s="38" t="s">
        <v>153</v>
      </c>
      <c r="C253" s="70" t="str">
        <f>INDEX([1]Produtos!$G:$G,MATCH($D253,[1]Produtos!$B:$B,0))</f>
        <v>LUA &amp; NEVE</v>
      </c>
      <c r="D253" s="117" t="s">
        <v>276</v>
      </c>
      <c r="E253" s="70" t="str">
        <f>INDEX([1]Produtos!$C:$C,MATCH($D253,[1]Produtos!$B:$B,0))&amp;IF($F253&lt;&gt;"-"," - "&amp;LEFT($F253,1),"")&amp;" &gt; "&amp;$B253</f>
        <v>FINALIZADOR HUBBA GUM TUTTI-FRUTTI - 2 &gt; JOKER</v>
      </c>
      <c r="F253" s="51" t="s">
        <v>141</v>
      </c>
      <c r="G253" s="38"/>
      <c r="H253" s="39">
        <v>4500</v>
      </c>
      <c r="I253" s="24" t="s">
        <v>39</v>
      </c>
      <c r="J253" s="68" t="str" cm="1">
        <f t="array" ref="J253">IFERROR(INDEX('[2]Previsão Envase'!$D$5:$D$4867, MATCH(1,('[2]Previsão Envase'!$F$5:$F$4867=$E253)+('[2]Previsão Envase'!$G$5:$G$4867=$E253)+('[2]Previsão Envase'!$H$5:$H$4867=$E253),0)),"")</f>
        <v/>
      </c>
      <c r="K253" s="68" t="str">
        <f>IF(COUNTIF('[2]Previsão Envase'!$F:$F,E253)&gt;0,"Linha 1",
IF(COUNTIF('[2]Previsão Envase'!$G:$G,E253)&gt;0,"Linha 2",
IF(COUNTIF('[2]Previsão Envase'!$H:$H,E253)&gt;0,"Linha 3","")))</f>
        <v/>
      </c>
      <c r="L253" s="96">
        <f>COUNTIF('[2]Previsão Envase'!$F:$H,E253)-COUNTIF('[2]Previsão Envase'!$F$1:$H$4,E253)</f>
        <v>0</v>
      </c>
      <c r="M253" s="35">
        <f t="shared" si="37"/>
        <v>0</v>
      </c>
      <c r="N253" s="68" t="str">
        <f>IFERROR(MAX(_xlfn.MAXIFS('[2]Controle de Produção'!$C:$C,'[2]Controle de Produção'!$L:$L,$D253,'[2]Controle de Produção'!$P:$P,$C253,'[2]Controle de Produção'!$G:$G,$B253),_xlfn.MAXIFS([3]EXPEDIÇÃO!$N:$N,[3]EXPEDIÇÃO!$E:$E,$D253,[3]EXPEDIÇÃO!$D:$D,$C253,[3]EXPEDIÇÃO!$N:$N,"&gt;="&amp;$G253)),"")</f>
        <v/>
      </c>
      <c r="O253" s="70">
        <f>INDEX([1]Produtos!$E:$E,MATCH($D253,[1]Produtos!$B:$B,0))</f>
        <v>250</v>
      </c>
      <c r="P253" s="70" t="str">
        <f>INDEX([1]Produtos!$F:$F,MATCH($D253,[1]Produtos!$B:$B,0))</f>
        <v>ml</v>
      </c>
      <c r="Q253" s="105">
        <f>INDEX([1]Produtos!$Y:$Y,MATCH($D253,[1]Produtos!$B:$B,0))</f>
        <v>0</v>
      </c>
      <c r="R253" s="35">
        <f t="shared" si="38"/>
        <v>5142.5873345845057</v>
      </c>
      <c r="S253" s="27">
        <f>IFERROR(INDEX([1]Produtos!$L:$L,MATCH(D253,[1]Produtos!$B:$B,0)), "")</f>
        <v>571.39859273161176</v>
      </c>
      <c r="T253" s="28">
        <f t="shared" si="39"/>
        <v>7.8999999999999995</v>
      </c>
      <c r="U253" s="28" t="str">
        <f t="shared" si="40"/>
        <v>0D e 8h</v>
      </c>
      <c r="V253" s="27">
        <f>IFERROR(SUMIFS('[2]Controle de Produção'!$K:$K,'[2]Controle de Produção'!$L:$L,D253,'[2]Controle de Produção'!$P:$P,C253,'[2]Controle de Produção'!$B:$B,"&gt;=" &amp; G253,'[2]Controle de Produção'!$C:$C,"&lt;=" &amp; N253, '[2]Controle de Produção'!$G:$G,B253), "")</f>
        <v>0</v>
      </c>
      <c r="W253" s="27" t="str">
        <f>IFERROR(SUMIFS([3]EXPEDIÇÃO!$K:$K,[3]EXPEDIÇÃO!$E:$E,D253,[3]EXPEDIÇÃO!$D:$D,C253,[3]EXPEDIÇÃO!$N:$N,"&gt;=" &amp; G253,[3]EXPEDIÇÃO!$N:$N,"&lt;="&amp;N253), "")</f>
        <v/>
      </c>
      <c r="X253" s="27">
        <f>COUNTIFS('[2]Controle de Produção'!$P:$P,C253,'[2]Controle de Produção'!$L:$L,D253,'[2]Controle de Produção'!$B:$B,"&gt;=" &amp; G253)</f>
        <v>0</v>
      </c>
      <c r="Y253" s="27" t="str">
        <f t="shared" si="41"/>
        <v>-</v>
      </c>
      <c r="Z253" s="27">
        <f>IFERROR(COUNTIFS('[2]Controle de Produção'!$L:$L,D253,'[2]Controle de Produção'!$P:$P,C253,'[2]Controle de Produção'!$B:$B,"&gt;=" &amp; G253,'[2]Controle de Produção'!$C:$C,"&lt;=" &amp; N253, '[2]Controle de Produção'!$G:$G,B253), "")</f>
        <v>0</v>
      </c>
      <c r="AA253" s="108" t="str">
        <f t="shared" si="43"/>
        <v/>
      </c>
      <c r="AB253" s="41" t="str" cm="1">
        <f t="array" ref="AB253">_xlfn.IFS((H253*0.95)&lt;=V253,"Concluído",AND(V253 =0, J253&lt;&gt;""),"Programado",AND(V253=0,D253=""),"Desenvolv.",V253=0,"Não Iniciado",AND(V253&gt;0,V253&lt;H253,AO253=TRUE),"Em Produção",AND(V253&gt;0,V253&lt;H253,AO253=FALSE),"Produção Parcial")</f>
        <v>Não Iniciado</v>
      </c>
      <c r="AC253" s="42" t="b">
        <v>1</v>
      </c>
      <c r="AD253" s="42" t="b">
        <v>1</v>
      </c>
      <c r="AE253" s="42" t="b">
        <v>0</v>
      </c>
      <c r="AF253" s="42" t="b">
        <v>0</v>
      </c>
      <c r="AG253" s="42" t="b">
        <v>0</v>
      </c>
      <c r="AH253" s="42" t="s">
        <v>38</v>
      </c>
      <c r="AI253" s="42" t="s">
        <v>38</v>
      </c>
      <c r="AJ253" s="42" t="s">
        <v>38</v>
      </c>
      <c r="AK253" s="42" t="s">
        <v>38</v>
      </c>
      <c r="AL253" s="42" t="b">
        <v>0</v>
      </c>
      <c r="AM253" s="42" t="b">
        <v>0</v>
      </c>
      <c r="AN253" s="42" t="b">
        <v>0</v>
      </c>
      <c r="AO253" s="45" t="b" cm="1">
        <f t="array" ref="AO253">AND(COUNTIF(AC253:AN253,FALSE)=0,SUMPRODUCT(ISNUMBER(AC253:AN253)*1)=0)</f>
        <v>0</v>
      </c>
      <c r="AP253" s="59"/>
      <c r="AQ253" s="111">
        <f>IF(AB253="",99999999999,IFERROR(MATCH(AB253,{"Produção Parcial","Em Produção","Programado","Não Iniciado","Desenvolv.","Concluído"},0),7)*100000000+IF(ISNUMBER(J253),J253-46000,9999)*10000+IF(A253="",99,A253)*100+IF(C253="",99,CODE(LEFT(C253,1))))</f>
        <v>499990676</v>
      </c>
    </row>
    <row r="254" spans="1:43" s="36" customFormat="1" ht="25.15" hidden="1" customHeight="1" x14ac:dyDescent="0.25">
      <c r="A254" s="36">
        <v>6</v>
      </c>
      <c r="B254" s="38" t="s">
        <v>153</v>
      </c>
      <c r="C254" s="70" t="str">
        <f>INDEX([1]Produtos!$G:$G,MATCH($D254,[1]Produtos!$B:$B,0))</f>
        <v>LUA &amp; NEVE</v>
      </c>
      <c r="D254" s="117" t="s">
        <v>275</v>
      </c>
      <c r="E254" s="70" t="str">
        <f>INDEX([1]Produtos!$C:$C,MATCH($D254,[1]Produtos!$B:$B,0))&amp;IF($F254&lt;&gt;"-"," - "&amp;LEFT($F254,1),"")&amp;" &gt; "&amp;$B254</f>
        <v>FINALIZADOR HUBBA GUM UVA - 2 &gt; JOKER</v>
      </c>
      <c r="F254" s="51" t="s">
        <v>141</v>
      </c>
      <c r="G254" s="38"/>
      <c r="H254" s="39">
        <v>4500</v>
      </c>
      <c r="I254" s="24" t="s">
        <v>39</v>
      </c>
      <c r="J254" s="68" t="str" cm="1">
        <f t="array" ref="J254">IFERROR(INDEX('[2]Previsão Envase'!$D$5:$D$4867, MATCH(1,('[2]Previsão Envase'!$F$5:$F$4867=$E254)+('[2]Previsão Envase'!$G$5:$G$4867=$E254)+('[2]Previsão Envase'!$H$5:$H$4867=$E254),0)),"")</f>
        <v/>
      </c>
      <c r="K254" s="68" t="str">
        <f>IF(COUNTIF('[2]Previsão Envase'!$F:$F,E254)&gt;0,"Linha 1",
IF(COUNTIF('[2]Previsão Envase'!$G:$G,E254)&gt;0,"Linha 2",
IF(COUNTIF('[2]Previsão Envase'!$H:$H,E254)&gt;0,"Linha 3","")))</f>
        <v/>
      </c>
      <c r="L254" s="96">
        <f>COUNTIF('[2]Previsão Envase'!$F:$H,E254)-COUNTIF('[2]Previsão Envase'!$F$1:$H$4,E254)</f>
        <v>0</v>
      </c>
      <c r="M254" s="35">
        <f t="shared" si="37"/>
        <v>0</v>
      </c>
      <c r="N254" s="68" t="str">
        <f>IFERROR(MAX(_xlfn.MAXIFS('[2]Controle de Produção'!$C:$C,'[2]Controle de Produção'!$L:$L,$D254,'[2]Controle de Produção'!$P:$P,$C254,'[2]Controle de Produção'!$G:$G,$B254),_xlfn.MAXIFS([3]EXPEDIÇÃO!$N:$N,[3]EXPEDIÇÃO!$E:$E,$D254,[3]EXPEDIÇÃO!$D:$D,$C254,[3]EXPEDIÇÃO!$N:$N,"&gt;="&amp;$G254)),"")</f>
        <v/>
      </c>
      <c r="O254" s="70">
        <f>INDEX([1]Produtos!$E:$E,MATCH($D254,[1]Produtos!$B:$B,0))</f>
        <v>250</v>
      </c>
      <c r="P254" s="70" t="str">
        <f>INDEX([1]Produtos!$F:$F,MATCH($D254,[1]Produtos!$B:$B,0))</f>
        <v>ml</v>
      </c>
      <c r="Q254" s="105">
        <f>INDEX([1]Produtos!$Y:$Y,MATCH($D254,[1]Produtos!$B:$B,0))</f>
        <v>0</v>
      </c>
      <c r="R254" s="35">
        <f t="shared" si="38"/>
        <v>5142.5873345845057</v>
      </c>
      <c r="S254" s="27">
        <f>IFERROR(INDEX([1]Produtos!$L:$L,MATCH(D254,[1]Produtos!$B:$B,0)), "")</f>
        <v>571.39859273161176</v>
      </c>
      <c r="T254" s="28">
        <f t="shared" si="39"/>
        <v>7.8999999999999995</v>
      </c>
      <c r="U254" s="28" t="str">
        <f t="shared" si="40"/>
        <v>0D e 8h</v>
      </c>
      <c r="V254" s="27">
        <f>IFERROR(SUMIFS('[2]Controle de Produção'!$K:$K,'[2]Controle de Produção'!$L:$L,D254,'[2]Controle de Produção'!$P:$P,C254,'[2]Controle de Produção'!$B:$B,"&gt;=" &amp; G254,'[2]Controle de Produção'!$C:$C,"&lt;=" &amp; N254, '[2]Controle de Produção'!$G:$G,B254), "")</f>
        <v>0</v>
      </c>
      <c r="W254" s="27" t="str">
        <f>IFERROR(SUMIFS([3]EXPEDIÇÃO!$K:$K,[3]EXPEDIÇÃO!$E:$E,D254,[3]EXPEDIÇÃO!$D:$D,C254,[3]EXPEDIÇÃO!$N:$N,"&gt;=" &amp; G254,[3]EXPEDIÇÃO!$N:$N,"&lt;="&amp;N254), "")</f>
        <v/>
      </c>
      <c r="X254" s="27">
        <f>COUNTIFS('[2]Controle de Produção'!$P:$P,C254,'[2]Controle de Produção'!$L:$L,D254,'[2]Controle de Produção'!$B:$B,"&gt;=" &amp; G254)</f>
        <v>0</v>
      </c>
      <c r="Y254" s="27" t="str">
        <f t="shared" si="41"/>
        <v>-</v>
      </c>
      <c r="Z254" s="27">
        <f>IFERROR(COUNTIFS('[2]Controle de Produção'!$L:$L,D254,'[2]Controle de Produção'!$P:$P,C254,'[2]Controle de Produção'!$B:$B,"&gt;=" &amp; G254,'[2]Controle de Produção'!$C:$C,"&lt;=" &amp; N254, '[2]Controle de Produção'!$G:$G,B254), "")</f>
        <v>0</v>
      </c>
      <c r="AA254" s="108" t="str">
        <f t="shared" si="43"/>
        <v/>
      </c>
      <c r="AB254" s="41" t="str" cm="1">
        <f t="array" ref="AB254">_xlfn.IFS((H254*0.95)&lt;=V254,"Concluído",AND(V254 =0, J254&lt;&gt;""),"Programado",AND(V254=0,D254=""),"Desenvolv.",V254=0,"Não Iniciado",AND(V254&gt;0,V254&lt;H254,AO254=TRUE),"Em Produção",AND(V254&gt;0,V254&lt;H254,AO254=FALSE),"Produção Parcial")</f>
        <v>Não Iniciado</v>
      </c>
      <c r="AC254" s="42" t="b">
        <v>1</v>
      </c>
      <c r="AD254" s="42" t="b">
        <v>1</v>
      </c>
      <c r="AE254" s="42" t="b">
        <v>0</v>
      </c>
      <c r="AF254" s="42" t="b">
        <v>0</v>
      </c>
      <c r="AG254" s="42" t="b">
        <v>0</v>
      </c>
      <c r="AH254" s="42" t="s">
        <v>38</v>
      </c>
      <c r="AI254" s="42" t="s">
        <v>38</v>
      </c>
      <c r="AJ254" s="42" t="s">
        <v>38</v>
      </c>
      <c r="AK254" s="42" t="s">
        <v>38</v>
      </c>
      <c r="AL254" s="42" t="b">
        <v>0</v>
      </c>
      <c r="AM254" s="42" t="b">
        <v>0</v>
      </c>
      <c r="AN254" s="42" t="b">
        <v>0</v>
      </c>
      <c r="AO254" s="45" t="b" cm="1">
        <f t="array" ref="AO254">AND(COUNTIF(AC254:AN254,FALSE)=0,SUMPRODUCT(ISNUMBER(AC254:AN254)*1)=0)</f>
        <v>0</v>
      </c>
      <c r="AP254" s="59"/>
      <c r="AQ254" s="111">
        <f>IF(AB254="",99999999999,IFERROR(MATCH(AB254,{"Produção Parcial","Em Produção","Programado","Não Iniciado","Desenvolv.","Concluído"},0),7)*100000000+IF(ISNUMBER(J254),J254-46000,9999)*10000+IF(A254="",99,A254)*100+IF(C254="",99,CODE(LEFT(C254,1))))</f>
        <v>499990676</v>
      </c>
    </row>
    <row r="255" spans="1:43" s="36" customFormat="1" ht="25.15" hidden="1" customHeight="1" x14ac:dyDescent="0.25">
      <c r="A255" s="36">
        <v>6</v>
      </c>
      <c r="B255" s="38" t="s">
        <v>153</v>
      </c>
      <c r="C255" s="70" t="str">
        <f>INDEX([1]Produtos!$G:$G,MATCH($D255,[1]Produtos!$B:$B,0))</f>
        <v>LUA &amp; NEVE</v>
      </c>
      <c r="D255" s="117" t="s">
        <v>274</v>
      </c>
      <c r="E255" s="70" t="str">
        <f>INDEX([1]Produtos!$C:$C,MATCH($D255,[1]Produtos!$B:$B,0))&amp;IF($F255&lt;&gt;"-"," - "&amp;LEFT($F255,1),"")&amp;" &gt; "&amp;$B255</f>
        <v>MÁSCARA HUBBA GUM BANANA - 2 &gt; JOKER</v>
      </c>
      <c r="F255" s="51" t="s">
        <v>141</v>
      </c>
      <c r="G255" s="38"/>
      <c r="H255" s="39">
        <v>4500</v>
      </c>
      <c r="I255" s="24" t="s">
        <v>39</v>
      </c>
      <c r="J255" s="68" t="str" cm="1">
        <f t="array" ref="J255">IFERROR(INDEX('[2]Previsão Envase'!$D$5:$D$4867, MATCH(1,('[2]Previsão Envase'!$F$5:$F$4867=$E255)+('[2]Previsão Envase'!$G$5:$G$4867=$E255)+('[2]Previsão Envase'!$H$5:$H$4867=$E255),0)),"")</f>
        <v/>
      </c>
      <c r="K255" s="68" t="str">
        <f>IF(COUNTIF('[2]Previsão Envase'!$F:$F,E255)&gt;0,"Linha 1",
IF(COUNTIF('[2]Previsão Envase'!$G:$G,E255)&gt;0,"Linha 2",
IF(COUNTIF('[2]Previsão Envase'!$H:$H,E255)&gt;0,"Linha 3","")))</f>
        <v/>
      </c>
      <c r="L255" s="96">
        <f>COUNTIF('[2]Previsão Envase'!$F:$H,E255)-COUNTIF('[2]Previsão Envase'!$F$1:$H$4,E255)</f>
        <v>0</v>
      </c>
      <c r="M255" s="35">
        <f t="shared" si="37"/>
        <v>0</v>
      </c>
      <c r="N255" s="68" t="str">
        <f>IFERROR(MAX(_xlfn.MAXIFS('[2]Controle de Produção'!$C:$C,'[2]Controle de Produção'!$L:$L,$D255,'[2]Controle de Produção'!$P:$P,$C255,'[2]Controle de Produção'!$G:$G,$B255),_xlfn.MAXIFS([3]EXPEDIÇÃO!$N:$N,[3]EXPEDIÇÃO!$E:$E,$D255,[3]EXPEDIÇÃO!$D:$D,$C255,[3]EXPEDIÇÃO!$N:$N,"&gt;="&amp;$G255)),"")</f>
        <v/>
      </c>
      <c r="O255" s="70">
        <f>INDEX([1]Produtos!$E:$E,MATCH($D255,[1]Produtos!$B:$B,0))</f>
        <v>250</v>
      </c>
      <c r="P255" s="70" t="str">
        <f>INDEX([1]Produtos!$F:$F,MATCH($D255,[1]Produtos!$B:$B,0))</f>
        <v>g</v>
      </c>
      <c r="Q255" s="105">
        <f>INDEX([1]Produtos!$Y:$Y,MATCH($D255,[1]Produtos!$B:$B,0))</f>
        <v>0</v>
      </c>
      <c r="R255" s="35">
        <f t="shared" si="38"/>
        <v>7741.4667420012156</v>
      </c>
      <c r="S255" s="27">
        <f>IFERROR(INDEX([1]Produtos!$L:$L,MATCH(D255,[1]Produtos!$B:$B,0)), "")</f>
        <v>860.16297133346836</v>
      </c>
      <c r="T255" s="28">
        <f t="shared" si="39"/>
        <v>5.3</v>
      </c>
      <c r="U255" s="28" t="str">
        <f t="shared" si="40"/>
        <v>0D e 6h</v>
      </c>
      <c r="V255" s="27">
        <f>IFERROR(SUMIFS('[2]Controle de Produção'!$K:$K,'[2]Controle de Produção'!$L:$L,D255,'[2]Controle de Produção'!$P:$P,C255,'[2]Controle de Produção'!$B:$B,"&gt;=" &amp; G255,'[2]Controle de Produção'!$C:$C,"&lt;=" &amp; N255, '[2]Controle de Produção'!$G:$G,B255), "")</f>
        <v>0</v>
      </c>
      <c r="W255" s="27" t="str">
        <f>IFERROR(SUMIFS([3]EXPEDIÇÃO!$K:$K,[3]EXPEDIÇÃO!$E:$E,D255,[3]EXPEDIÇÃO!$D:$D,C255,[3]EXPEDIÇÃO!$N:$N,"&gt;=" &amp; G255,[3]EXPEDIÇÃO!$N:$N,"&lt;="&amp;N255), "")</f>
        <v/>
      </c>
      <c r="X255" s="27">
        <f>COUNTIFS('[2]Controle de Produção'!$P:$P,C255,'[2]Controle de Produção'!$L:$L,D255,'[2]Controle de Produção'!$B:$B,"&gt;=" &amp; G255)</f>
        <v>0</v>
      </c>
      <c r="Y255" s="27" t="str">
        <f t="shared" si="41"/>
        <v>-</v>
      </c>
      <c r="Z255" s="27">
        <f>IFERROR(COUNTIFS('[2]Controle de Produção'!$L:$L,D255,'[2]Controle de Produção'!$P:$P,C255,'[2]Controle de Produção'!$B:$B,"&gt;=" &amp; G255,'[2]Controle de Produção'!$C:$C,"&lt;=" &amp; N255, '[2]Controle de Produção'!$G:$G,B255), "")</f>
        <v>0</v>
      </c>
      <c r="AA255" s="108" t="str">
        <f t="shared" si="43"/>
        <v/>
      </c>
      <c r="AB255" s="41" t="str" cm="1">
        <f t="array" ref="AB255">_xlfn.IFS((H255*0.95)&lt;=V255,"Concluído",AND(V255 =0, J255&lt;&gt;""),"Programado",AND(V255=0,D255=""),"Desenvolv.",V255=0,"Não Iniciado",AND(V255&gt;0,V255&lt;H255,AO255=TRUE),"Em Produção",AND(V255&gt;0,V255&lt;H255,AO255=FALSE),"Produção Parcial")</f>
        <v>Não Iniciado</v>
      </c>
      <c r="AC255" s="42" t="b">
        <v>1</v>
      </c>
      <c r="AD255" s="42" t="b">
        <v>1</v>
      </c>
      <c r="AE255" s="42" t="b">
        <v>0</v>
      </c>
      <c r="AF255" s="42" t="b">
        <v>0</v>
      </c>
      <c r="AG255" s="42" t="b">
        <v>0</v>
      </c>
      <c r="AH255" s="42" t="s">
        <v>38</v>
      </c>
      <c r="AI255" s="42" t="s">
        <v>38</v>
      </c>
      <c r="AJ255" s="42" t="s">
        <v>38</v>
      </c>
      <c r="AK255" s="42" t="s">
        <v>38</v>
      </c>
      <c r="AL255" s="42" t="b">
        <v>0</v>
      </c>
      <c r="AM255" s="42" t="b">
        <v>0</v>
      </c>
      <c r="AN255" s="42" t="b">
        <v>0</v>
      </c>
      <c r="AO255" s="45" t="b" cm="1">
        <f t="array" ref="AO255">AND(COUNTIF(AC255:AN255,FALSE)=0,SUMPRODUCT(ISNUMBER(AC255:AN255)*1)=0)</f>
        <v>0</v>
      </c>
      <c r="AP255" s="59"/>
      <c r="AQ255" s="111">
        <f>IF(AB255="",99999999999,IFERROR(MATCH(AB255,{"Produção Parcial","Em Produção","Programado","Não Iniciado","Desenvolv.","Concluído"},0),7)*100000000+IF(ISNUMBER(J255),J255-46000,9999)*10000+IF(A255="",99,A255)*100+IF(C255="",99,CODE(LEFT(C255,1))))</f>
        <v>499990676</v>
      </c>
    </row>
    <row r="256" spans="1:43" s="36" customFormat="1" ht="25.15" hidden="1" customHeight="1" x14ac:dyDescent="0.25">
      <c r="A256" s="36">
        <v>6</v>
      </c>
      <c r="B256" s="38" t="s">
        <v>153</v>
      </c>
      <c r="C256" s="70" t="str">
        <f>INDEX([1]Produtos!$G:$G,MATCH($D256,[1]Produtos!$B:$B,0))</f>
        <v>LUA &amp; NEVE</v>
      </c>
      <c r="D256" s="117" t="s">
        <v>269</v>
      </c>
      <c r="E256" s="70" t="str">
        <f>INDEX([1]Produtos!$C:$C,MATCH($D256,[1]Produtos!$B:$B,0))&amp;IF($F256&lt;&gt;"-"," - "&amp;LEFT($F256,1),"")&amp;" &gt; "&amp;$B256</f>
        <v>SHAMPOO HUBBA GUM BANANA - 2 &gt; JOKER</v>
      </c>
      <c r="F256" s="51" t="s">
        <v>141</v>
      </c>
      <c r="G256" s="38"/>
      <c r="H256" s="39">
        <v>4500</v>
      </c>
      <c r="I256" s="24" t="s">
        <v>39</v>
      </c>
      <c r="J256" s="68" t="str" cm="1">
        <f t="array" ref="J256">IFERROR(INDEX('[2]Previsão Envase'!$D$5:$D$4867, MATCH(1,('[2]Previsão Envase'!$F$5:$F$4867=$E256)+('[2]Previsão Envase'!$G$5:$G$4867=$E256)+('[2]Previsão Envase'!$H$5:$H$4867=$E256),0)),"")</f>
        <v/>
      </c>
      <c r="K256" s="68" t="str">
        <f>IF(COUNTIF('[2]Previsão Envase'!$F:$F,E256)&gt;0,"Linha 1",
IF(COUNTIF('[2]Previsão Envase'!$G:$G,E256)&gt;0,"Linha 2",
IF(COUNTIF('[2]Previsão Envase'!$H:$H,E256)&gt;0,"Linha 3","")))</f>
        <v/>
      </c>
      <c r="L256" s="96">
        <f>COUNTIF('[2]Previsão Envase'!$F:$H,E256)-COUNTIF('[2]Previsão Envase'!$F$1:$H$4,E256)</f>
        <v>0</v>
      </c>
      <c r="M256" s="35">
        <f t="shared" si="37"/>
        <v>0</v>
      </c>
      <c r="N256" s="68" t="str">
        <f>IFERROR(MAX(_xlfn.MAXIFS('[2]Controle de Produção'!$C:$C,'[2]Controle de Produção'!$L:$L,$D256,'[2]Controle de Produção'!$P:$P,$C256,'[2]Controle de Produção'!$G:$G,$B256),_xlfn.MAXIFS([3]EXPEDIÇÃO!$N:$N,[3]EXPEDIÇÃO!$E:$E,$D256,[3]EXPEDIÇÃO!$D:$D,$C256,[3]EXPEDIÇÃO!$N:$N,"&gt;="&amp;$G256)),"")</f>
        <v/>
      </c>
      <c r="O256" s="70">
        <f>INDEX([1]Produtos!$E:$E,MATCH($D256,[1]Produtos!$B:$B,0))</f>
        <v>300</v>
      </c>
      <c r="P256" s="70" t="str">
        <f>INDEX([1]Produtos!$F:$F,MATCH($D256,[1]Produtos!$B:$B,0))</f>
        <v>ml</v>
      </c>
      <c r="Q256" s="105">
        <f>INDEX([1]Produtos!$Y:$Y,MATCH($D256,[1]Produtos!$B:$B,0))</f>
        <v>0</v>
      </c>
      <c r="R256" s="35">
        <f t="shared" si="38"/>
        <v>6144.3196513124785</v>
      </c>
      <c r="S256" s="27">
        <f>IFERROR(INDEX([1]Produtos!$L:$L,MATCH(D256,[1]Produtos!$B:$B,0)), "")</f>
        <v>682.70218347916432</v>
      </c>
      <c r="T256" s="28">
        <f t="shared" si="39"/>
        <v>6.6</v>
      </c>
      <c r="U256" s="28" t="str">
        <f t="shared" si="40"/>
        <v>0D e 7h</v>
      </c>
      <c r="V256" s="27">
        <f>IFERROR(SUMIFS('[2]Controle de Produção'!$K:$K,'[2]Controle de Produção'!$L:$L,D256,'[2]Controle de Produção'!$P:$P,C256,'[2]Controle de Produção'!$B:$B,"&gt;=" &amp; G256,'[2]Controle de Produção'!$C:$C,"&lt;=" &amp; N256, '[2]Controle de Produção'!$G:$G,B256), "")</f>
        <v>0</v>
      </c>
      <c r="W256" s="27" t="str">
        <f>IFERROR(SUMIFS([3]EXPEDIÇÃO!$K:$K,[3]EXPEDIÇÃO!$E:$E,D256,[3]EXPEDIÇÃO!$D:$D,C256,[3]EXPEDIÇÃO!$N:$N,"&gt;=" &amp; G256,[3]EXPEDIÇÃO!$N:$N,"&lt;="&amp;N256), "")</f>
        <v/>
      </c>
      <c r="X256" s="27">
        <f>COUNTIFS('[2]Controle de Produção'!$P:$P,C256,'[2]Controle de Produção'!$L:$L,D256,'[2]Controle de Produção'!$B:$B,"&gt;=" &amp; G256)</f>
        <v>0</v>
      </c>
      <c r="Y256" s="27" t="str">
        <f t="shared" si="41"/>
        <v>-</v>
      </c>
      <c r="Z256" s="27">
        <f>IFERROR(COUNTIFS('[2]Controle de Produção'!$L:$L,D256,'[2]Controle de Produção'!$P:$P,C256,'[2]Controle de Produção'!$B:$B,"&gt;=" &amp; G256,'[2]Controle de Produção'!$C:$C,"&lt;=" &amp; N256, '[2]Controle de Produção'!$G:$G,B256), "")</f>
        <v>0</v>
      </c>
      <c r="AA256" s="108" t="str">
        <f t="shared" si="43"/>
        <v/>
      </c>
      <c r="AB256" s="41" t="str" cm="1">
        <f t="array" ref="AB256">_xlfn.IFS((H256*0.95)&lt;=V256,"Concluído",AND(V256 =0, J256&lt;&gt;""),"Programado",AND(V256=0,D256=""),"Desenvolv.",V256=0,"Não Iniciado",AND(V256&gt;0,V256&lt;H256,AO256=TRUE),"Em Produção",AND(V256&gt;0,V256&lt;H256,AO256=FALSE),"Produção Parcial")</f>
        <v>Não Iniciado</v>
      </c>
      <c r="AC256" s="42" t="b">
        <v>1</v>
      </c>
      <c r="AD256" s="42" t="b">
        <v>1</v>
      </c>
      <c r="AE256" s="42" t="b">
        <v>0</v>
      </c>
      <c r="AF256" s="42" t="b">
        <v>0</v>
      </c>
      <c r="AG256" s="42" t="b">
        <v>0</v>
      </c>
      <c r="AH256" s="42" t="s">
        <v>38</v>
      </c>
      <c r="AI256" s="42" t="s">
        <v>38</v>
      </c>
      <c r="AJ256" s="42" t="s">
        <v>38</v>
      </c>
      <c r="AK256" s="42" t="s">
        <v>38</v>
      </c>
      <c r="AL256" s="42" t="b">
        <v>0</v>
      </c>
      <c r="AM256" s="42" t="b">
        <v>0</v>
      </c>
      <c r="AN256" s="42" t="b">
        <v>0</v>
      </c>
      <c r="AO256" s="45" t="b" cm="1">
        <f t="array" ref="AO256">AND(COUNTIF(AC256:AN256,FALSE)=0,SUMPRODUCT(ISNUMBER(AC256:AN256)*1)=0)</f>
        <v>0</v>
      </c>
      <c r="AP256" s="59"/>
      <c r="AQ256" s="111">
        <f>IF(AB256="",99999999999,IFERROR(MATCH(AB256,{"Produção Parcial","Em Produção","Programado","Não Iniciado","Desenvolv.","Concluído"},0),7)*100000000+IF(ISNUMBER(J256),J256-46000,9999)*10000+IF(A256="",99,A256)*100+IF(C256="",99,CODE(LEFT(C256,1))))</f>
        <v>499990676</v>
      </c>
    </row>
    <row r="257" spans="1:45" s="36" customFormat="1" ht="25.15" hidden="1" customHeight="1" x14ac:dyDescent="0.25">
      <c r="A257" s="36">
        <v>7</v>
      </c>
      <c r="B257" s="38" t="s">
        <v>153</v>
      </c>
      <c r="C257" s="70" t="str">
        <f>INDEX([1]Produtos!$G:$G,MATCH($D257,[1]Produtos!$B:$B,0))</f>
        <v>LUA &amp; NEVE</v>
      </c>
      <c r="D257" s="117" t="s">
        <v>267</v>
      </c>
      <c r="E257" s="70" t="str">
        <f>INDEX([1]Produtos!$C:$C,MATCH($D257,[1]Produtos!$B:$B,0))&amp;IF($F257&lt;&gt;"-"," - "&amp;LEFT($F257,1),"")&amp;" &gt; "&amp;$B257</f>
        <v>SHAMPOO HUBBA GUM UVA - 2 &gt; JOKER</v>
      </c>
      <c r="F257" s="51" t="s">
        <v>141</v>
      </c>
      <c r="G257" s="38"/>
      <c r="H257" s="39">
        <v>4500</v>
      </c>
      <c r="I257" s="24" t="s">
        <v>39</v>
      </c>
      <c r="J257" s="68" t="str" cm="1">
        <f t="array" ref="J257">IFERROR(INDEX('[2]Previsão Envase'!$D$5:$D$4867, MATCH(1,('[2]Previsão Envase'!$F$5:$F$4867=$E257)+('[2]Previsão Envase'!$G$5:$G$4867=$E257)+('[2]Previsão Envase'!$H$5:$H$4867=$E257),0)),"")</f>
        <v/>
      </c>
      <c r="K257" s="68" t="str">
        <f>IF(COUNTIF('[2]Previsão Envase'!$F:$F,E257)&gt;0,"Linha 1",
IF(COUNTIF('[2]Previsão Envase'!$G:$G,E257)&gt;0,"Linha 2",
IF(COUNTIF('[2]Previsão Envase'!$H:$H,E257)&gt;0,"Linha 3","")))</f>
        <v/>
      </c>
      <c r="L257" s="96">
        <f>COUNTIF('[2]Previsão Envase'!$F:$H,E257)-COUNTIF('[2]Previsão Envase'!$F$1:$H$4,E257)</f>
        <v>0</v>
      </c>
      <c r="M257" s="35">
        <f t="shared" si="37"/>
        <v>0</v>
      </c>
      <c r="N257" s="68" t="str">
        <f>IFERROR(MAX(_xlfn.MAXIFS('[2]Controle de Produção'!$C:$C,'[2]Controle de Produção'!$L:$L,$D257,'[2]Controle de Produção'!$P:$P,$C257,'[2]Controle de Produção'!$G:$G,$B257),_xlfn.MAXIFS([3]EXPEDIÇÃO!$N:$N,[3]EXPEDIÇÃO!$E:$E,$D257,[3]EXPEDIÇÃO!$D:$D,$C257,[3]EXPEDIÇÃO!$N:$N,"&gt;="&amp;$G257)),"")</f>
        <v/>
      </c>
      <c r="O257" s="70">
        <f>INDEX([1]Produtos!$E:$E,MATCH($D257,[1]Produtos!$B:$B,0))</f>
        <v>300</v>
      </c>
      <c r="P257" s="70" t="str">
        <f>INDEX([1]Produtos!$F:$F,MATCH($D257,[1]Produtos!$B:$B,0))</f>
        <v>ml</v>
      </c>
      <c r="Q257" s="105">
        <f>INDEX([1]Produtos!$Y:$Y,MATCH($D257,[1]Produtos!$B:$B,0))</f>
        <v>0</v>
      </c>
      <c r="R257" s="35">
        <f t="shared" si="38"/>
        <v>6144.3196513124785</v>
      </c>
      <c r="S257" s="27">
        <f>IFERROR(INDEX([1]Produtos!$L:$L,MATCH(D257,[1]Produtos!$B:$B,0)), "")</f>
        <v>682.70218347916432</v>
      </c>
      <c r="T257" s="28">
        <f t="shared" si="39"/>
        <v>6.6</v>
      </c>
      <c r="U257" s="28" t="str">
        <f t="shared" si="40"/>
        <v>0D e 7h</v>
      </c>
      <c r="V257" s="27">
        <f>IFERROR(SUMIFS('[2]Controle de Produção'!$K:$K,'[2]Controle de Produção'!$L:$L,D257,'[2]Controle de Produção'!$P:$P,C257,'[2]Controle de Produção'!$B:$B,"&gt;=" &amp; G257,'[2]Controle de Produção'!$C:$C,"&lt;=" &amp; N257, '[2]Controle de Produção'!$G:$G,B257), "")</f>
        <v>0</v>
      </c>
      <c r="W257" s="27" t="str">
        <f>IFERROR(SUMIFS([3]EXPEDIÇÃO!$K:$K,[3]EXPEDIÇÃO!$E:$E,D257,[3]EXPEDIÇÃO!$D:$D,C257,[3]EXPEDIÇÃO!$N:$N,"&gt;=" &amp; G257,[3]EXPEDIÇÃO!$N:$N,"&lt;="&amp;N257), "")</f>
        <v/>
      </c>
      <c r="X257" s="27">
        <f>COUNTIFS('[2]Controle de Produção'!$P:$P,C257,'[2]Controle de Produção'!$L:$L,D257,'[2]Controle de Produção'!$B:$B,"&gt;=" &amp; G257)</f>
        <v>0</v>
      </c>
      <c r="Y257" s="27" t="str">
        <f t="shared" si="41"/>
        <v>-</v>
      </c>
      <c r="Z257" s="27">
        <f>IFERROR(COUNTIFS('[2]Controle de Produção'!$L:$L,D257,'[2]Controle de Produção'!$P:$P,C257,'[2]Controle de Produção'!$B:$B,"&gt;=" &amp; G257,'[2]Controle de Produção'!$C:$C,"&lt;=" &amp; N257, '[2]Controle de Produção'!$G:$G,B257), "")</f>
        <v>0</v>
      </c>
      <c r="AA257" s="108" t="str">
        <f t="shared" si="43"/>
        <v/>
      </c>
      <c r="AB257" s="41" t="str" cm="1">
        <f t="array" ref="AB257">_xlfn.IFS((H257*0.95)&lt;=V257,"Concluído",AND(V257 =0, J257&lt;&gt;""),"Programado",AND(V257=0,D257=""),"Desenvolv.",V257=0,"Não Iniciado",AND(V257&gt;0,V257&lt;H257,AO257=TRUE),"Em Produção",AND(V257&gt;0,V257&lt;H257,AO257=FALSE),"Produção Parcial")</f>
        <v>Não Iniciado</v>
      </c>
      <c r="AC257" s="42" t="b">
        <v>1</v>
      </c>
      <c r="AD257" s="42" t="b">
        <v>1</v>
      </c>
      <c r="AE257" s="42" t="b">
        <v>0</v>
      </c>
      <c r="AF257" s="42" t="b">
        <v>0</v>
      </c>
      <c r="AG257" s="42" t="b">
        <v>0</v>
      </c>
      <c r="AH257" s="42" t="s">
        <v>38</v>
      </c>
      <c r="AI257" s="42" t="s">
        <v>38</v>
      </c>
      <c r="AJ257" s="42" t="s">
        <v>38</v>
      </c>
      <c r="AK257" s="42" t="s">
        <v>38</v>
      </c>
      <c r="AL257" s="42" t="b">
        <v>0</v>
      </c>
      <c r="AM257" s="42" t="b">
        <v>0</v>
      </c>
      <c r="AN257" s="42" t="b">
        <v>0</v>
      </c>
      <c r="AO257" s="45" t="b" cm="1">
        <f t="array" ref="AO257">AND(COUNTIF(AC257:AN257,FALSE)=0,SUMPRODUCT(ISNUMBER(AC257:AN257)*1)=0)</f>
        <v>0</v>
      </c>
      <c r="AP257" s="59"/>
      <c r="AQ257" s="111">
        <f>IF(AB257="",99999999999,IFERROR(MATCH(AB257,{"Produção Parcial","Em Produção","Programado","Não Iniciado","Desenvolv.","Concluído"},0),7)*100000000+IF(ISNUMBER(J257),J257-46000,9999)*10000+IF(A257="",99,A257)*100+IF(C257="",99,CODE(LEFT(C257,1))))</f>
        <v>499990776</v>
      </c>
    </row>
    <row r="258" spans="1:45" s="36" customFormat="1" ht="25.15" hidden="1" customHeight="1" x14ac:dyDescent="0.25">
      <c r="A258" s="36">
        <v>7</v>
      </c>
      <c r="B258" s="38" t="s">
        <v>153</v>
      </c>
      <c r="C258" s="70" t="str">
        <f>INDEX([1]Produtos!$G:$G,MATCH($D258,[1]Produtos!$B:$B,0))</f>
        <v>LUA &amp; NEVE</v>
      </c>
      <c r="D258" s="117" t="s">
        <v>268</v>
      </c>
      <c r="E258" s="70" t="str">
        <f>INDEX([1]Produtos!$C:$C,MATCH($D258,[1]Produtos!$B:$B,0))&amp;IF($F258&lt;&gt;"-"," - "&amp;LEFT($F258,1),"")&amp;" &gt; "&amp;$B258</f>
        <v>SHAMPOO HUBBA GUM TUTTI-FRUTTI - 2 &gt; JOKER</v>
      </c>
      <c r="F258" s="51" t="s">
        <v>141</v>
      </c>
      <c r="G258" s="38"/>
      <c r="H258" s="39">
        <v>4500</v>
      </c>
      <c r="I258" s="24" t="s">
        <v>39</v>
      </c>
      <c r="J258" s="68" t="str" cm="1">
        <f t="array" ref="J258">IFERROR(INDEX('[2]Previsão Envase'!$D$5:$D$4867, MATCH(1,('[2]Previsão Envase'!$F$5:$F$4867=$E258)+('[2]Previsão Envase'!$G$5:$G$4867=$E258)+('[2]Previsão Envase'!$H$5:$H$4867=$E258),0)),"")</f>
        <v/>
      </c>
      <c r="K258" s="68" t="str">
        <f>IF(COUNTIF('[2]Previsão Envase'!$F:$F,E258)&gt;0,"Linha 1",
IF(COUNTIF('[2]Previsão Envase'!$G:$G,E258)&gt;0,"Linha 2",
IF(COUNTIF('[2]Previsão Envase'!$H:$H,E258)&gt;0,"Linha 3","")))</f>
        <v/>
      </c>
      <c r="L258" s="96">
        <f>COUNTIF('[2]Previsão Envase'!$F:$H,E258)-COUNTIF('[2]Previsão Envase'!$F$1:$H$4,E258)</f>
        <v>0</v>
      </c>
      <c r="M258" s="35">
        <f t="shared" si="37"/>
        <v>0</v>
      </c>
      <c r="N258" s="68" t="str">
        <f>IFERROR(MAX(_xlfn.MAXIFS('[2]Controle de Produção'!$C:$C,'[2]Controle de Produção'!$L:$L,$D258,'[2]Controle de Produção'!$P:$P,$C258,'[2]Controle de Produção'!$G:$G,$B258),_xlfn.MAXIFS([3]EXPEDIÇÃO!$N:$N,[3]EXPEDIÇÃO!$E:$E,$D258,[3]EXPEDIÇÃO!$D:$D,$C258,[3]EXPEDIÇÃO!$N:$N,"&gt;="&amp;$G258)),"")</f>
        <v/>
      </c>
      <c r="O258" s="70">
        <f>INDEX([1]Produtos!$E:$E,MATCH($D258,[1]Produtos!$B:$B,0))</f>
        <v>300</v>
      </c>
      <c r="P258" s="70" t="str">
        <f>INDEX([1]Produtos!$F:$F,MATCH($D258,[1]Produtos!$B:$B,0))</f>
        <v>ml</v>
      </c>
      <c r="Q258" s="105">
        <f>INDEX([1]Produtos!$Y:$Y,MATCH($D258,[1]Produtos!$B:$B,0))</f>
        <v>0</v>
      </c>
      <c r="R258" s="35">
        <f t="shared" si="38"/>
        <v>6144.3196513124785</v>
      </c>
      <c r="S258" s="27">
        <f>IFERROR(INDEX([1]Produtos!$L:$L,MATCH(D258,[1]Produtos!$B:$B,0)), "")</f>
        <v>682.70218347916432</v>
      </c>
      <c r="T258" s="28">
        <f t="shared" si="39"/>
        <v>6.6</v>
      </c>
      <c r="U258" s="28" t="str">
        <f t="shared" si="40"/>
        <v>0D e 7h</v>
      </c>
      <c r="V258" s="27">
        <f>IFERROR(SUMIFS('[2]Controle de Produção'!$K:$K,'[2]Controle de Produção'!$L:$L,D258,'[2]Controle de Produção'!$P:$P,C258,'[2]Controle de Produção'!$B:$B,"&gt;=" &amp; G258,'[2]Controle de Produção'!$C:$C,"&lt;=" &amp; N258, '[2]Controle de Produção'!$G:$G,B258), "")</f>
        <v>0</v>
      </c>
      <c r="W258" s="27" t="str">
        <f>IFERROR(SUMIFS([3]EXPEDIÇÃO!$K:$K,[3]EXPEDIÇÃO!$E:$E,D258,[3]EXPEDIÇÃO!$D:$D,C258,[3]EXPEDIÇÃO!$N:$N,"&gt;=" &amp; G258,[3]EXPEDIÇÃO!$N:$N,"&lt;="&amp;N258), "")</f>
        <v/>
      </c>
      <c r="X258" s="27">
        <f>COUNTIFS('[2]Controle de Produção'!$P:$P,C258,'[2]Controle de Produção'!$L:$L,D258,'[2]Controle de Produção'!$B:$B,"&gt;=" &amp; G258)</f>
        <v>0</v>
      </c>
      <c r="Y258" s="27" t="str">
        <f t="shared" si="41"/>
        <v>-</v>
      </c>
      <c r="Z258" s="27">
        <f>IFERROR(COUNTIFS('[2]Controle de Produção'!$L:$L,D258,'[2]Controle de Produção'!$P:$P,C258,'[2]Controle de Produção'!$B:$B,"&gt;=" &amp; G258,'[2]Controle de Produção'!$C:$C,"&lt;=" &amp; N258, '[2]Controle de Produção'!$G:$G,B258), "")</f>
        <v>0</v>
      </c>
      <c r="AA258" s="108" t="str">
        <f t="shared" si="43"/>
        <v/>
      </c>
      <c r="AB258" s="41" t="str" cm="1">
        <f t="array" ref="AB258">_xlfn.IFS((H258*0.95)&lt;=V258,"Concluído",AND(V258 =0, J258&lt;&gt;""),"Programado",AND(V258=0,D258=""),"Desenvolv.",V258=0,"Não Iniciado",AND(V258&gt;0,V258&lt;H258,AO258=TRUE),"Em Produção",AND(V258&gt;0,V258&lt;H258,AO258=FALSE),"Produção Parcial")</f>
        <v>Não Iniciado</v>
      </c>
      <c r="AC258" s="42" t="b">
        <v>1</v>
      </c>
      <c r="AD258" s="42" t="b">
        <v>1</v>
      </c>
      <c r="AE258" s="42" t="b">
        <v>0</v>
      </c>
      <c r="AF258" s="42" t="b">
        <v>0</v>
      </c>
      <c r="AG258" s="42" t="b">
        <v>0</v>
      </c>
      <c r="AH258" s="42" t="s">
        <v>38</v>
      </c>
      <c r="AI258" s="42" t="s">
        <v>38</v>
      </c>
      <c r="AJ258" s="42" t="s">
        <v>38</v>
      </c>
      <c r="AK258" s="42" t="s">
        <v>38</v>
      </c>
      <c r="AL258" s="42" t="b">
        <v>0</v>
      </c>
      <c r="AM258" s="42" t="b">
        <v>0</v>
      </c>
      <c r="AN258" s="42" t="b">
        <v>0</v>
      </c>
      <c r="AO258" s="45" t="b" cm="1">
        <f t="array" ref="AO258">AND(COUNTIF(AC258:AN258,FALSE)=0,SUMPRODUCT(ISNUMBER(AC258:AN258)*1)=0)</f>
        <v>0</v>
      </c>
      <c r="AP258" s="59"/>
      <c r="AQ258" s="111">
        <f>IF(AB258="",99999999999,IFERROR(MATCH(AB258,{"Produção Parcial","Em Produção","Programado","Não Iniciado","Desenvolv.","Concluído"},0),7)*100000000+IF(ISNUMBER(J258),J258-46000,9999)*10000+IF(A258="",99,A258)*100+IF(C258="",99,CODE(LEFT(C258,1))))</f>
        <v>499990776</v>
      </c>
    </row>
    <row r="259" spans="1:45" s="36" customFormat="1" ht="25.15" hidden="1" customHeight="1" x14ac:dyDescent="0.25">
      <c r="A259" s="36">
        <v>9</v>
      </c>
      <c r="B259" s="38" t="s">
        <v>153</v>
      </c>
      <c r="C259" s="70" t="str">
        <f>INDEX([1]Produtos!$G:$G,MATCH($D259,[1]Produtos!$B:$B,0))</f>
        <v>MAAKE</v>
      </c>
      <c r="D259" s="117" t="s">
        <v>154</v>
      </c>
      <c r="E259" s="70" t="str">
        <f>INDEX([1]Produtos!$C:$C,MATCH($D259,[1]Produtos!$B:$B,0))&amp;IF($F259&lt;&gt;"-"," - "&amp;LEFT($F259,1),"")&amp;" &gt; "&amp;$B259</f>
        <v>ÓLEO CORPORAL AMENDÔAS - x &gt; JOKER</v>
      </c>
      <c r="F259" s="51" t="s">
        <v>309</v>
      </c>
      <c r="G259" s="38"/>
      <c r="H259" s="39">
        <v>46400</v>
      </c>
      <c r="I259" s="24" t="s">
        <v>39</v>
      </c>
      <c r="J259" s="68" t="str" cm="1">
        <f t="array" ref="J259">IFERROR(INDEX('[2]Previsão Envase'!$D$5:$D$4867, MATCH(1,('[2]Previsão Envase'!$F$5:$F$4867=$E259)+('[2]Previsão Envase'!$G$5:$G$4867=$E259)+('[2]Previsão Envase'!$H$5:$H$4867=$E259),0)),"")</f>
        <v/>
      </c>
      <c r="K259" s="68" t="str">
        <f>IF(COUNTIF('[2]Previsão Envase'!$F:$F,E259)&gt;0,"Linha 1",
IF(COUNTIF('[2]Previsão Envase'!$G:$G,E259)&gt;0,"Linha 2",
IF(COUNTIF('[2]Previsão Envase'!$H:$H,E259)&gt;0,"Linha 3","")))</f>
        <v/>
      </c>
      <c r="L259" s="96">
        <f>COUNTIF('[2]Previsão Envase'!$F:$H,E259)-COUNTIF('[2]Previsão Envase'!$F$1:$H$4,E259)</f>
        <v>0</v>
      </c>
      <c r="M259" s="35">
        <f t="shared" si="37"/>
        <v>0</v>
      </c>
      <c r="N259" s="68" t="str">
        <f>IFERROR(MAX(_xlfn.MAXIFS('[2]Controle de Produção'!$C:$C,'[2]Controle de Produção'!$L:$L,$D259,'[2]Controle de Produção'!$P:$P,$C259,'[2]Controle de Produção'!$G:$G,$B259),_xlfn.MAXIFS([3]EXPEDIÇÃO!$N:$N,[3]EXPEDIÇÃO!$E:$E,$D259,[3]EXPEDIÇÃO!$D:$D,$C259,[3]EXPEDIÇÃO!$N:$N,"&gt;="&amp;$G259)),"")</f>
        <v/>
      </c>
      <c r="O259" s="70">
        <f>INDEX([1]Produtos!$E:$E,MATCH($D259,[1]Produtos!$B:$B,0))</f>
        <v>150</v>
      </c>
      <c r="P259" s="70" t="str">
        <f>INDEX([1]Produtos!$F:$F,MATCH($D259,[1]Produtos!$B:$B,0))</f>
        <v>ml</v>
      </c>
      <c r="Q259" s="105">
        <f>INDEX([1]Produtos!$Y:$Y,MATCH($D259,[1]Produtos!$B:$B,0))</f>
        <v>1</v>
      </c>
      <c r="R259" s="35">
        <f t="shared" si="38"/>
        <v>5716.9929852086261</v>
      </c>
      <c r="S259" s="27">
        <f>IFERROR(INDEX([1]Produtos!$L:$L,MATCH(D259,[1]Produtos!$B:$B,0)), "")</f>
        <v>635.22144280095847</v>
      </c>
      <c r="T259" s="28">
        <f t="shared" si="39"/>
        <v>73.099999999999994</v>
      </c>
      <c r="U259" s="28" t="str">
        <f t="shared" si="40"/>
        <v>8D e 3h</v>
      </c>
      <c r="V259" s="27">
        <f>IFERROR(SUMIFS('[2]Controle de Produção'!$K:$K,'[2]Controle de Produção'!$L:$L,D259,'[2]Controle de Produção'!$P:$P,C259,'[2]Controle de Produção'!$B:$B,"&gt;=" &amp; G259,'[2]Controle de Produção'!$C:$C,"&lt;=" &amp; N259, '[2]Controle de Produção'!$G:$G,B259), "")</f>
        <v>0</v>
      </c>
      <c r="W259" s="27" t="str">
        <f>IFERROR(SUMIFS([3]EXPEDIÇÃO!$K:$K,[3]EXPEDIÇÃO!$E:$E,D259,[3]EXPEDIÇÃO!$D:$D,C259,[3]EXPEDIÇÃO!$N:$N,"&gt;=" &amp; G259,[3]EXPEDIÇÃO!$N:$N,"&lt;="&amp;N259), "")</f>
        <v/>
      </c>
      <c r="X259" s="27">
        <f>COUNTIFS('[2]Controle de Produção'!$P:$P,C259,'[2]Controle de Produção'!$L:$L,D259,'[2]Controle de Produção'!$B:$B,"&gt;=" &amp; G259)</f>
        <v>0</v>
      </c>
      <c r="Y259" s="27" t="str">
        <f t="shared" si="41"/>
        <v>-</v>
      </c>
      <c r="Z259" s="27">
        <f>IFERROR(COUNTIFS('[2]Controle de Produção'!$L:$L,D259,'[2]Controle de Produção'!$P:$P,C259,'[2]Controle de Produção'!$B:$B,"&gt;=" &amp; G259,'[2]Controle de Produção'!$C:$C,"&lt;=" &amp; N259, '[2]Controle de Produção'!$G:$G,B259), "")</f>
        <v>0</v>
      </c>
      <c r="AA259" s="108" t="str">
        <f t="shared" si="43"/>
        <v/>
      </c>
      <c r="AB259" s="41" t="str" cm="1">
        <f t="array" ref="AB259">_xlfn.IFS((H259*0.95)&lt;=V259,"Concluído",AND(V259 =0, J259&lt;&gt;""),"Programado",AND(V259=0,D259=""),"Desenvolv.",V259=0,"Não Iniciado",AND(V259&gt;0,V259&lt;H259,AO259=TRUE),"Em Produção",AND(V259&gt;0,V259&lt;H259,AO259=FALSE),"Produção Parcial")</f>
        <v>Não Iniciado</v>
      </c>
      <c r="AC259" s="42" t="b">
        <v>1</v>
      </c>
      <c r="AD259" s="42" t="b">
        <v>1</v>
      </c>
      <c r="AE259" s="42" t="b">
        <v>1</v>
      </c>
      <c r="AF259" s="42" t="b">
        <v>1</v>
      </c>
      <c r="AG259" s="42" t="b">
        <v>1</v>
      </c>
      <c r="AH259" s="42" t="s">
        <v>38</v>
      </c>
      <c r="AI259" s="42" t="s">
        <v>38</v>
      </c>
      <c r="AJ259" s="42" t="s">
        <v>38</v>
      </c>
      <c r="AK259" s="42" t="s">
        <v>38</v>
      </c>
      <c r="AL259" s="42" t="b">
        <v>1</v>
      </c>
      <c r="AM259" s="42" t="b">
        <v>0</v>
      </c>
      <c r="AN259" s="42" t="b">
        <v>0</v>
      </c>
      <c r="AO259" s="45" t="b" cm="1">
        <f t="array" ref="AO259">AND(COUNTIF(AC259:AN259,FALSE)=0,SUMPRODUCT(ISNUMBER(AC259:AN259)*1)=0)</f>
        <v>0</v>
      </c>
      <c r="AP259" s="59"/>
      <c r="AQ259" s="111">
        <f>IF(AB259="",99999999999,IFERROR(MATCH(AB259,{"Produção Parcial","Em Produção","Programado","Não Iniciado","Desenvolv.","Concluído"},0),7)*100000000+IF(ISNUMBER(J259),J259-46000,9999)*10000+IF(A259="",99,A259)*100+IF(C259="",99,CODE(LEFT(C259,1))))</f>
        <v>499990977</v>
      </c>
    </row>
    <row r="260" spans="1:45" s="36" customFormat="1" ht="25.15" hidden="1" customHeight="1" x14ac:dyDescent="0.25">
      <c r="B260" s="38" t="s">
        <v>149</v>
      </c>
      <c r="C260" s="70" t="str">
        <f>INDEX([1]Produtos!$G:$G,MATCH($D260,[1]Produtos!$B:$B,0))</f>
        <v>BRIA BEAUTY</v>
      </c>
      <c r="D260" s="24" t="s">
        <v>115</v>
      </c>
      <c r="E260" s="70" t="str">
        <f>INDEX([1]Produtos!$C:$C,MATCH($D260,[1]Produtos!$B:$B,0))&amp;IF($F260&lt;&gt;"-"," - "&amp;LEFT($F260,1),"")&amp;" &gt; "&amp;$B260</f>
        <v>BODY SPLASH SOL TROPICAL 86 120ml &gt; REPOSICAO BRIA 01</v>
      </c>
      <c r="F260" s="51" t="s">
        <v>38</v>
      </c>
      <c r="G260" s="38">
        <v>46052</v>
      </c>
      <c r="H260" s="39">
        <f>18000+2240</f>
        <v>20240</v>
      </c>
      <c r="I260" s="24" t="s">
        <v>42</v>
      </c>
      <c r="J260" s="68" t="str" cm="1">
        <f t="array" ref="J260">IFERROR(INDEX('[2]Previsão Envase'!$D$5:$D$4867, MATCH(1,('[2]Previsão Envase'!$F$5:$F$4867=$E260)+('[2]Previsão Envase'!$G$5:$G$4867=$E260)+('[2]Previsão Envase'!$H$5:$H$4867=$E260),0)),"")</f>
        <v/>
      </c>
      <c r="K260" s="68" t="str">
        <f>IF(COUNTIF('[2]Previsão Envase'!$F:$F,E260)&gt;0,"Linha 1",
IF(COUNTIF('[2]Previsão Envase'!$G:$G,E260)&gt;0,"Linha 2",
IF(COUNTIF('[2]Previsão Envase'!$H:$H,E260)&gt;0,"Linha 3","")))</f>
        <v/>
      </c>
      <c r="L260" s="96">
        <f>COUNTIF('[2]Previsão Envase'!$F:$H,E260)-COUNTIF('[2]Previsão Envase'!$F$1:$H$4,E260)</f>
        <v>0</v>
      </c>
      <c r="M260" s="35">
        <f t="shared" si="37"/>
        <v>0</v>
      </c>
      <c r="N260" s="68" t="str">
        <f>IFERROR(MAX(_xlfn.MAXIFS('[2]Controle de Produção'!$C:$C,'[2]Controle de Produção'!$L:$L,$D260,'[2]Controle de Produção'!$P:$P,$C260,'[2]Controle de Produção'!$G:$G,$B260),_xlfn.MAXIFS([3]EXPEDIÇÃO!$N:$N,[3]EXPEDIÇÃO!$E:$E,$D260,[3]EXPEDIÇÃO!$D:$D,$C260,[3]EXPEDIÇÃO!$N:$N,"&gt;="&amp;$G260)),"")</f>
        <v/>
      </c>
      <c r="O260" s="70">
        <f>INDEX([1]Produtos!$E:$E,MATCH($D260,[1]Produtos!$B:$B,0))</f>
        <v>120</v>
      </c>
      <c r="P260" s="70" t="str">
        <f>INDEX([1]Produtos!$F:$F,MATCH($D260,[1]Produtos!$B:$B,0))</f>
        <v>ml</v>
      </c>
      <c r="Q260" s="105">
        <f>INDEX([1]Produtos!$Y:$Y,MATCH($D260,[1]Produtos!$B:$B,0))</f>
        <v>1.08</v>
      </c>
      <c r="R260" s="35">
        <f t="shared" si="38"/>
        <v>7592.2902086267013</v>
      </c>
      <c r="S260" s="27">
        <f>IFERROR(INDEX([1]Produtos!$L:$L,MATCH(D260,[1]Produtos!$B:$B,0)), "")</f>
        <v>843.58780095852239</v>
      </c>
      <c r="T260" s="28">
        <f t="shared" si="39"/>
        <v>24</v>
      </c>
      <c r="U260" s="28" t="str">
        <f t="shared" si="40"/>
        <v>2D e 7h</v>
      </c>
      <c r="V260" s="27">
        <f>IFERROR(SUMIFS('[2]Controle de Produção'!$K:$K,'[2]Controle de Produção'!$L:$L,D260,'[2]Controle de Produção'!$P:$P,C260,'[2]Controle de Produção'!$B:$B,"&gt;=" &amp; G260,'[2]Controle de Produção'!$C:$C,"&lt;=" &amp; N260, '[2]Controle de Produção'!$G:$G,B260), "")</f>
        <v>0</v>
      </c>
      <c r="W260" s="27" t="str">
        <f>IFERROR(SUMIFS([3]EXPEDIÇÃO!$K:$K,[3]EXPEDIÇÃO!$E:$E,D260,[3]EXPEDIÇÃO!$D:$D,C260,[3]EXPEDIÇÃO!$N:$N,"&gt;=" &amp; G260,[3]EXPEDIÇÃO!$N:$N,"&lt;="&amp;N260), "")</f>
        <v/>
      </c>
      <c r="X260" s="27">
        <f>COUNTIFS('[2]Controle de Produção'!$P:$P,C260,'[2]Controle de Produção'!$L:$L,D260,'[2]Controle de Produção'!$B:$B,"&gt;=" &amp; G260)</f>
        <v>5</v>
      </c>
      <c r="Y260" s="27">
        <f t="shared" si="41"/>
        <v>0</v>
      </c>
      <c r="Z260" s="27">
        <f>IFERROR(COUNTIFS('[2]Controle de Produção'!$L:$L,D260,'[2]Controle de Produção'!$P:$P,C260,'[2]Controle de Produção'!$B:$B,"&gt;=" &amp; G260,'[2]Controle de Produção'!$C:$C,"&lt;=" &amp; N260, '[2]Controle de Produção'!$G:$G,B260), "")</f>
        <v>0</v>
      </c>
      <c r="AA260" s="108" t="str">
        <f t="shared" si="43"/>
        <v/>
      </c>
      <c r="AB260" s="41" t="str" cm="1">
        <f t="array" ref="AB260">_xlfn.IFS((H260*0.95)&lt;=V260,"Concluído",AND(V260 =0, J260&lt;&gt;""),"Programado",AND(V260=0,D260=""),"Desenvolv.",V260=0,"Não Iniciado",AND(V260&gt;0,V260&lt;H260,AO260=TRUE),"Em Produção",AND(V260&gt;0,V260&lt;H260,AO260=FALSE),"Produção Parcial")</f>
        <v>Não Iniciado</v>
      </c>
      <c r="AC260" s="42" t="b">
        <v>1</v>
      </c>
      <c r="AD260" s="42" t="b">
        <v>1</v>
      </c>
      <c r="AE260" s="42" t="b">
        <v>1</v>
      </c>
      <c r="AF260" s="42" t="b">
        <v>1</v>
      </c>
      <c r="AG260" s="42" t="s">
        <v>38</v>
      </c>
      <c r="AH260" s="42" t="s">
        <v>38</v>
      </c>
      <c r="AI260" s="42" t="b">
        <v>1</v>
      </c>
      <c r="AJ260" s="42" t="s">
        <v>38</v>
      </c>
      <c r="AK260" s="42" t="s">
        <v>38</v>
      </c>
      <c r="AL260" s="42" t="b">
        <v>1</v>
      </c>
      <c r="AM260" s="42" t="b">
        <v>1</v>
      </c>
      <c r="AN260" s="42" t="b">
        <v>1</v>
      </c>
      <c r="AO260" s="45" t="b" cm="1">
        <f t="array" ref="AO260">AND(COUNTIF(AC260:AN260,FALSE)=0,SUMPRODUCT(ISNUMBER(AC260:AN260)*1)=0)</f>
        <v>1</v>
      </c>
      <c r="AP260" s="59"/>
      <c r="AQ260" s="111">
        <f>IF(AB260="",99999999999,IFERROR(MATCH(AB260,{"Produção Parcial","Em Produção","Programado","Não Iniciado","Desenvolv.","Concluído"},0),7)*100000000+IF(ISNUMBER(J260),J260-46000,9999)*10000+IF(A260="",99,A260)*100+IF(C260="",99,CODE(LEFT(C260,1))))</f>
        <v>499999966</v>
      </c>
    </row>
    <row r="261" spans="1:45" s="36" customFormat="1" ht="25.15" hidden="1" customHeight="1" x14ac:dyDescent="0.25">
      <c r="B261" s="38" t="s">
        <v>217</v>
      </c>
      <c r="C261" s="24" t="str">
        <f>INDEX([1]Produtos!$G:$G,MATCH($D261,[1]Produtos!$B:$B,0))</f>
        <v>GLOW MAKE UP</v>
      </c>
      <c r="D261" s="24" t="s">
        <v>104</v>
      </c>
      <c r="E261" s="70" t="str">
        <f>INDEX([1]Produtos!$C:$C,MATCH($D261,[1]Produtos!$B:$B,0))&amp;IF($F261&lt;&gt;"-"," - "&amp;LEFT($F261,1),"")&amp;" &gt; "&amp;$B261</f>
        <v>ÁGUA MICELAR CARVÃO ATIVADO - 1 &gt; GLOW - Água Micelar</v>
      </c>
      <c r="F261" s="51" t="s">
        <v>94</v>
      </c>
      <c r="G261" s="38">
        <v>45824</v>
      </c>
      <c r="H261" s="39">
        <v>5000</v>
      </c>
      <c r="I261" s="24" t="s">
        <v>39</v>
      </c>
      <c r="J261" s="68" t="str" cm="1">
        <f t="array" ref="J261">IFERROR(INDEX('[2]Previsão Envase'!$D$5:$D$4867, MATCH(1,('[2]Previsão Envase'!$F$5:$F$4867=$E261)+('[2]Previsão Envase'!$G$5:$G$4867=$E261)+('[2]Previsão Envase'!$H$5:$H$4867=$E261),0)),"")</f>
        <v/>
      </c>
      <c r="K261" s="68" t="str">
        <f>IF(COUNTIF('[2]Previsão Envase'!$F:$F,E261)&gt;0,"Linha 1",
IF(COUNTIF('[2]Previsão Envase'!$G:$G,E261)&gt;0,"Linha 2",
IF(COUNTIF('[2]Previsão Envase'!$H:$H,E261)&gt;0,"Linha 3","")))</f>
        <v/>
      </c>
      <c r="L261" s="96">
        <f>COUNTIF('[2]Previsão Envase'!$F:$H,E261)-COUNTIF('[2]Previsão Envase'!$F$1:$H$4,E261)</f>
        <v>0</v>
      </c>
      <c r="M261" s="35">
        <f t="shared" ref="M261:M324" si="44">IFERROR(L261*S261,"-")</f>
        <v>0</v>
      </c>
      <c r="N261" s="68" t="str">
        <f>IFERROR(MAX(_xlfn.MAXIFS('[2]Controle de Produção'!$C:$C,'[2]Controle de Produção'!$L:$L,$D261,'[2]Controle de Produção'!$P:$P,$C261,'[2]Controle de Produção'!$G:$G,$B261),_xlfn.MAXIFS([3]EXPEDIÇÃO!$N:$N,[3]EXPEDIÇÃO!$E:$E,$D261,[3]EXPEDIÇÃO!$D:$D,$C261,[3]EXPEDIÇÃO!$N:$N,"&gt;="&amp;$G261)),"")</f>
        <v/>
      </c>
      <c r="O261" s="70">
        <f>INDEX([1]Produtos!$E:$E,MATCH($D261,[1]Produtos!$B:$B,0))</f>
        <v>325</v>
      </c>
      <c r="P261" s="70" t="str">
        <f>INDEX([1]Produtos!$F:$F,MATCH($D261,[1]Produtos!$B:$B,0))</f>
        <v>ml</v>
      </c>
      <c r="Q261" s="105">
        <f>INDEX([1]Produtos!$Y:$Y,MATCH($D261,[1]Produtos!$B:$B,0))</f>
        <v>0</v>
      </c>
      <c r="R261" s="35">
        <f t="shared" ref="R261:R324" si="45">IFERROR(S261*9, "-")</f>
        <v>7288.9063376861359</v>
      </c>
      <c r="S261" s="27">
        <f>IFERROR(INDEX([1]Produtos!$L:$L,MATCH(D261,[1]Produtos!$B:$B,0)), "")</f>
        <v>809.87848196512618</v>
      </c>
      <c r="T261" s="28">
        <f t="shared" ref="T261:T324" si="46">IFERROR(ROUNDUP(H261/S261,1),"-")</f>
        <v>6.1999999999999993</v>
      </c>
      <c r="U261" s="28" t="str">
        <f t="shared" ref="U261:U324" si="47">IFERROR(ROUNDDOWN(T261/8.8,0)&amp;"D e "&amp;ROUNDUP(MOD(T261,8.8),0)&amp;"h","-")</f>
        <v>0D e 7h</v>
      </c>
      <c r="V261" s="27">
        <f>IFERROR(SUMIFS('[2]Controle de Produção'!$K:$K,'[2]Controle de Produção'!$L:$L,D261,'[2]Controle de Produção'!$P:$P,C261,'[2]Controle de Produção'!$B:$B,"&gt;=" &amp; G261,'[2]Controle de Produção'!$C:$C,"&lt;=" &amp; N261, '[2]Controle de Produção'!$G:$G,B261), "")</f>
        <v>0</v>
      </c>
      <c r="W261" s="27" t="str">
        <f>IFERROR(SUMIFS([3]EXPEDIÇÃO!$K:$K,[3]EXPEDIÇÃO!$E:$E,D261,[3]EXPEDIÇÃO!$D:$D,C261,[3]EXPEDIÇÃO!$N:$N,"&gt;=" &amp; G261,[3]EXPEDIÇÃO!$N:$N,"&lt;="&amp;N261), "")</f>
        <v/>
      </c>
      <c r="X261" s="27">
        <f>COUNTIFS('[2]Controle de Produção'!$P:$P,C261,'[2]Controle de Produção'!$L:$L,D261,'[2]Controle de Produção'!$B:$B,"&gt;=" &amp; G261)</f>
        <v>22</v>
      </c>
      <c r="Y261" s="27">
        <f t="shared" ref="Y261:Y324" si="48">IFERROR(AVERAGE(V261/X261),"-")</f>
        <v>0</v>
      </c>
      <c r="Z261" s="27">
        <f>IFERROR(COUNTIFS('[2]Controle de Produção'!$L:$L,D261,'[2]Controle de Produção'!$P:$P,C261,'[2]Controle de Produção'!$B:$B,"&gt;=" &amp; G261,'[2]Controle de Produção'!$C:$C,"&lt;=" &amp; N261, '[2]Controle de Produção'!$G:$G,B261), "")</f>
        <v>0</v>
      </c>
      <c r="AA261" s="108" t="str">
        <f t="shared" si="43"/>
        <v/>
      </c>
      <c r="AB261" s="41" t="str" cm="1">
        <f t="array" ref="AB261">_xlfn.IFS((H261*0.95)&lt;=V261,"Concluído",AND(V261 =0, J261&lt;&gt;""),"Programado",AND(V261=0,D261=""),"Desenvolv.",V261=0,"Não Iniciado",AND(V261&gt;0,V261&lt;H261,AO261=TRUE),"Em Produção",AND(V261&gt;0,V261&lt;H261,AO261=FALSE),"Produção Parcial")</f>
        <v>Não Iniciado</v>
      </c>
      <c r="AC261" s="42" t="b">
        <v>1</v>
      </c>
      <c r="AD261" s="42" t="b">
        <v>1</v>
      </c>
      <c r="AE261" s="42" t="s">
        <v>38</v>
      </c>
      <c r="AF261" s="42" t="b">
        <v>1</v>
      </c>
      <c r="AG261" s="42" t="b">
        <v>1</v>
      </c>
      <c r="AH261" s="42" t="s">
        <v>38</v>
      </c>
      <c r="AI261" s="42" t="s">
        <v>38</v>
      </c>
      <c r="AJ261" s="42" t="s">
        <v>38</v>
      </c>
      <c r="AK261" s="42" t="b">
        <v>0</v>
      </c>
      <c r="AL261" s="42" t="b">
        <v>1</v>
      </c>
      <c r="AM261" s="42" t="b">
        <v>1</v>
      </c>
      <c r="AN261" s="86" t="b">
        <v>1</v>
      </c>
      <c r="AO261" s="45" t="b" cm="1">
        <f t="array" ref="AO261">AND(COUNTIF(AC261:AN261,FALSE)=0,SUMPRODUCT(ISNUMBER(AC261:AN261)*1)=0)</f>
        <v>0</v>
      </c>
      <c r="AP261" s="59"/>
      <c r="AQ261" s="111">
        <f>IF(AB261="",99999999999,IFERROR(MATCH(AB261,{"Produção Parcial","Em Produção","Programado","Não Iniciado","Desenvolv.","Concluído"},0),7)*100000000+IF(ISNUMBER(J261),J261-46000,9999)*10000+IF(A261="",99,A261)*100+IF(C261="",99,CODE(LEFT(C261,1))))</f>
        <v>499999971</v>
      </c>
    </row>
    <row r="262" spans="1:45" s="36" customFormat="1" ht="25.15" hidden="1" customHeight="1" x14ac:dyDescent="0.25">
      <c r="B262" s="38" t="s">
        <v>208</v>
      </c>
      <c r="C262" s="24" t="str">
        <f>INDEX([1]Produtos!$G:$G,MATCH($D262,[1]Produtos!$B:$B,0))</f>
        <v>GOTA ZEN</v>
      </c>
      <c r="D262" s="24" t="s">
        <v>212</v>
      </c>
      <c r="E262" s="70" t="str">
        <f>INDEX([1]Produtos!$C:$C,MATCH($D262,[1]Produtos!$B:$B,0))&amp;IF($F262&lt;&gt;"-"," - "&amp;LEFT($F262,1),"")&amp;" &gt; "&amp;$B262</f>
        <v>BODY SPLASH GOTA BELLE &gt; GOTA ZEN - Body Slash</v>
      </c>
      <c r="F262" s="38" t="s">
        <v>38</v>
      </c>
      <c r="G262" s="38">
        <v>45778</v>
      </c>
      <c r="H262" s="39">
        <v>2000</v>
      </c>
      <c r="I262" s="24" t="s">
        <v>39</v>
      </c>
      <c r="J262" s="68" t="str" cm="1">
        <f t="array" ref="J262">IFERROR(INDEX('[2]Previsão Envase'!$D$5:$D$4867, MATCH(1,('[2]Previsão Envase'!$F$5:$F$4867=$E262)+('[2]Previsão Envase'!$G$5:$G$4867=$E262)+('[2]Previsão Envase'!$H$5:$H$4867=$E262),0)),"")</f>
        <v/>
      </c>
      <c r="K262" s="68" t="str">
        <f>IF(COUNTIF('[2]Previsão Envase'!$F:$F,E262)&gt;0,"Linha 1",
IF(COUNTIF('[2]Previsão Envase'!$G:$G,E262)&gt;0,"Linha 2",
IF(COUNTIF('[2]Previsão Envase'!$H:$H,E262)&gt;0,"Linha 3","")))</f>
        <v/>
      </c>
      <c r="L262" s="96">
        <f>COUNTIF('[2]Previsão Envase'!$F:$H,E262)-COUNTIF('[2]Previsão Envase'!$F$1:$H$4,E262)</f>
        <v>0</v>
      </c>
      <c r="M262" s="35">
        <f t="shared" si="44"/>
        <v>0</v>
      </c>
      <c r="N262" s="68" t="str">
        <f>IFERROR(MAX(_xlfn.MAXIFS('[2]Controle de Produção'!$C:$C,'[2]Controle de Produção'!$L:$L,$D262,'[2]Controle de Produção'!$P:$P,$C262,'[2]Controle de Produção'!$G:$G,$B262),_xlfn.MAXIFS([3]EXPEDIÇÃO!$N:$N,[3]EXPEDIÇÃO!$E:$E,$D262,[3]EXPEDIÇÃO!$D:$D,$C262,[3]EXPEDIÇÃO!$N:$N,"&gt;="&amp;$G262)),"")</f>
        <v/>
      </c>
      <c r="O262" s="70">
        <f>INDEX([1]Produtos!$E:$E,MATCH($D262,[1]Produtos!$B:$B,0))</f>
        <v>210</v>
      </c>
      <c r="P262" s="70" t="str">
        <f>INDEX([1]Produtos!$F:$F,MATCH($D262,[1]Produtos!$B:$B,0))</f>
        <v>ml</v>
      </c>
      <c r="Q262" s="105">
        <f>INDEX([1]Produtos!$Y:$Y,MATCH($D262,[1]Produtos!$B:$B,0))</f>
        <v>2.0200000000000005</v>
      </c>
      <c r="R262" s="35">
        <f t="shared" si="45"/>
        <v>7592.2902086267013</v>
      </c>
      <c r="S262" s="27">
        <f>IFERROR(INDEX([1]Produtos!$L:$L,MATCH(D262,[1]Produtos!$B:$B,0)), "")</f>
        <v>843.58780095852239</v>
      </c>
      <c r="T262" s="28">
        <f t="shared" si="46"/>
        <v>2.4</v>
      </c>
      <c r="U262" s="28" t="str">
        <f t="shared" si="47"/>
        <v>0D e 3h</v>
      </c>
      <c r="V262" s="27">
        <f>IFERROR(SUMIFS('[2]Controle de Produção'!$K:$K,'[2]Controle de Produção'!$L:$L,D262,'[2]Controle de Produção'!$P:$P,C262,'[2]Controle de Produção'!$B:$B,"&gt;=" &amp; G262,'[2]Controle de Produção'!$C:$C,"&lt;=" &amp; N262, '[2]Controle de Produção'!$G:$G,B262), "")</f>
        <v>0</v>
      </c>
      <c r="W262" s="27" t="str">
        <f>IFERROR(SUMIFS([3]EXPEDIÇÃO!$K:$K,[3]EXPEDIÇÃO!$E:$E,D262,[3]EXPEDIÇÃO!$D:$D,C262,[3]EXPEDIÇÃO!$N:$N,"&gt;=" &amp; G262,[3]EXPEDIÇÃO!$N:$N,"&lt;="&amp;N262), "")</f>
        <v/>
      </c>
      <c r="X262" s="27">
        <f>COUNTIFS('[2]Controle de Produção'!$P:$P,C262,'[2]Controle de Produção'!$L:$L,D262,'[2]Controle de Produção'!$B:$B,"&gt;=" &amp; G262)</f>
        <v>2</v>
      </c>
      <c r="Y262" s="27">
        <f t="shared" si="48"/>
        <v>0</v>
      </c>
      <c r="Z262" s="27">
        <f>IFERROR(COUNTIFS('[2]Controle de Produção'!$L:$L,D262,'[2]Controle de Produção'!$P:$P,C262,'[2]Controle de Produção'!$B:$B,"&gt;=" &amp; G262,'[2]Controle de Produção'!$C:$C,"&lt;=" &amp; N262, '[2]Controle de Produção'!$G:$G,B262), "")</f>
        <v>0</v>
      </c>
      <c r="AA262" s="108" t="str">
        <f t="shared" si="43"/>
        <v/>
      </c>
      <c r="AB262" s="41" t="str" cm="1">
        <f t="array" ref="AB262">_xlfn.IFS((H262*0.95)&lt;=V262,"Concluído",AND(V262 =0, J262&lt;&gt;""),"Programado",AND(V262=0,D262=""),"Desenvolv.",V262=0,"Não Iniciado",AND(V262&gt;0,V262&lt;H262,AO262=TRUE),"Em Produção",AND(V262&gt;0,V262&lt;H262,AO262=FALSE),"Produção Parcial")</f>
        <v>Não Iniciado</v>
      </c>
      <c r="AC262" s="42" t="b">
        <v>1</v>
      </c>
      <c r="AD262" s="42" t="b">
        <v>1</v>
      </c>
      <c r="AE262" s="42" t="b">
        <v>1</v>
      </c>
      <c r="AF262" s="42" t="b">
        <v>1</v>
      </c>
      <c r="AG262" s="42" t="s">
        <v>38</v>
      </c>
      <c r="AH262" s="42" t="s">
        <v>38</v>
      </c>
      <c r="AI262" s="42" t="b">
        <v>1</v>
      </c>
      <c r="AJ262" s="50" t="s">
        <v>38</v>
      </c>
      <c r="AK262" s="50"/>
      <c r="AL262" s="42" t="b">
        <v>1</v>
      </c>
      <c r="AM262" s="42" t="b">
        <v>1</v>
      </c>
      <c r="AN262" s="42" t="b">
        <v>1</v>
      </c>
      <c r="AO262" s="45" t="b" cm="1">
        <f t="array" ref="AO262">AND(COUNTIF(AC262:AN262,FALSE)=0,SUMPRODUCT(ISNUMBER(AC262:AN262)*1)=0)</f>
        <v>1</v>
      </c>
      <c r="AP262" s="59"/>
      <c r="AQ262" s="111">
        <f>IF(AB262="",99999999999,IFERROR(MATCH(AB262,{"Produção Parcial","Em Produção","Programado","Não Iniciado","Desenvolv.","Concluído"},0),7)*100000000+IF(ISNUMBER(J262),J262-46000,9999)*10000+IF(A262="",99,A262)*100+IF(C262="",99,CODE(LEFT(C262,1))))</f>
        <v>499999971</v>
      </c>
      <c r="AR262"/>
      <c r="AS262"/>
    </row>
    <row r="263" spans="1:45" s="36" customFormat="1" ht="25.15" hidden="1" customHeight="1" x14ac:dyDescent="0.25">
      <c r="B263" s="38" t="s">
        <v>121</v>
      </c>
      <c r="C263" s="70" t="str">
        <f>INDEX([1]Produtos!$G:$G,MATCH($D263,[1]Produtos!$B:$B,0))</f>
        <v>HABIBI PERFUMES</v>
      </c>
      <c r="D263" s="24" t="s">
        <v>135</v>
      </c>
      <c r="E263" s="70" t="str">
        <f>INDEX([1]Produtos!$C:$C,MATCH($D263,[1]Produtos!$B:$B,0))&amp;IF($F263&lt;&gt;"-"," - "&amp;LEFT($F263,1),"")&amp;" &gt; "&amp;$B263</f>
        <v>HIDRATANTE BISNAGA CELESTIA 200g - 1 &gt; HABIBI 01</v>
      </c>
      <c r="F263" s="51" t="s">
        <v>441</v>
      </c>
      <c r="G263" s="38">
        <v>46009</v>
      </c>
      <c r="H263" s="39">
        <v>2000</v>
      </c>
      <c r="I263" s="24" t="s">
        <v>39</v>
      </c>
      <c r="J263" s="68" t="str" cm="1">
        <f t="array" ref="J263">IFERROR(INDEX('[2]Previsão Envase'!$D$5:$D$4867, MATCH(1,('[2]Previsão Envase'!$F$5:$F$4867=$E263)+('[2]Previsão Envase'!$G$5:$G$4867=$E263)+('[2]Previsão Envase'!$H$5:$H$4867=$E263),0)),"")</f>
        <v/>
      </c>
      <c r="K263" s="68" t="str">
        <f>IF(COUNTIF('[2]Previsão Envase'!$F:$F,E263)&gt;0,"Linha 1",
IF(COUNTIF('[2]Previsão Envase'!$G:$G,E263)&gt;0,"Linha 2",
IF(COUNTIF('[2]Previsão Envase'!$H:$H,E263)&gt;0,"Linha 3","")))</f>
        <v/>
      </c>
      <c r="L263" s="96">
        <f>COUNTIF('[2]Previsão Envase'!$F:$H,E263)-COUNTIF('[2]Previsão Envase'!$F$1:$H$4,E263)</f>
        <v>0</v>
      </c>
      <c r="M263" s="35">
        <f t="shared" si="44"/>
        <v>0</v>
      </c>
      <c r="N263" s="68" t="str">
        <f>IFERROR(MAX(_xlfn.MAXIFS('[2]Controle de Produção'!$C:$C,'[2]Controle de Produção'!$L:$L,$D263,'[2]Controle de Produção'!$P:$P,$C263,'[2]Controle de Produção'!$G:$G,$B263),_xlfn.MAXIFS([3]EXPEDIÇÃO!$N:$N,[3]EXPEDIÇÃO!$E:$E,$D263,[3]EXPEDIÇÃO!$D:$D,$C263,[3]EXPEDIÇÃO!$N:$N,"&gt;="&amp;$G263)),"")</f>
        <v/>
      </c>
      <c r="O263" s="70">
        <f>INDEX([1]Produtos!$E:$E,MATCH($D263,[1]Produtos!$B:$B,0))</f>
        <v>200</v>
      </c>
      <c r="P263" s="70" t="str">
        <f>INDEX([1]Produtos!$F:$F,MATCH($D263,[1]Produtos!$B:$B,0))</f>
        <v>g</v>
      </c>
      <c r="Q263" s="105">
        <f>INDEX([1]Produtos!$Y:$Y,MATCH($D263,[1]Produtos!$B:$B,0))</f>
        <v>2</v>
      </c>
      <c r="R263" s="35">
        <f t="shared" si="45"/>
        <v>5520.5897431648482</v>
      </c>
      <c r="S263" s="27">
        <f>IFERROR(INDEX([1]Produtos!$L:$L,MATCH(D263,[1]Produtos!$B:$B,0)), "")</f>
        <v>613.39886035164977</v>
      </c>
      <c r="T263" s="28">
        <f t="shared" si="46"/>
        <v>3.3000000000000003</v>
      </c>
      <c r="U263" s="28" t="str">
        <f t="shared" si="47"/>
        <v>0D e 4h</v>
      </c>
      <c r="V263" s="27">
        <f>IFERROR(SUMIFS('[2]Controle de Produção'!$K:$K,'[2]Controle de Produção'!$L:$L,D263,'[2]Controle de Produção'!$P:$P,C263,'[2]Controle de Produção'!$B:$B,"&gt;=" &amp; G263,'[2]Controle de Produção'!$C:$C,"&lt;=" &amp; N263, '[2]Controle de Produção'!$G:$G,B263), "")</f>
        <v>0</v>
      </c>
      <c r="W263" s="27" t="str">
        <f>IFERROR(SUMIFS([3]EXPEDIÇÃO!$K:$K,[3]EXPEDIÇÃO!$E:$E,D263,[3]EXPEDIÇÃO!$D:$D,C263,[3]EXPEDIÇÃO!$N:$N,"&gt;=" &amp; G263,[3]EXPEDIÇÃO!$N:$N,"&lt;="&amp;N263), "")</f>
        <v/>
      </c>
      <c r="X263" s="27">
        <f>COUNTIFS('[2]Controle de Produção'!$P:$P,C263,'[2]Controle de Produção'!$L:$L,D263,'[2]Controle de Produção'!$B:$B,"&gt;=" &amp; G263)</f>
        <v>4</v>
      </c>
      <c r="Y263" s="27">
        <f t="shared" si="48"/>
        <v>0</v>
      </c>
      <c r="Z263" s="27">
        <f>IFERROR(COUNTIFS('[2]Controle de Produção'!$L:$L,D263,'[2]Controle de Produção'!$P:$P,C263,'[2]Controle de Produção'!$B:$B,"&gt;=" &amp; G263,'[2]Controle de Produção'!$C:$C,"&lt;=" &amp; N263, '[2]Controle de Produção'!$G:$G,B263), "")</f>
        <v>0</v>
      </c>
      <c r="AA263" s="108" t="str">
        <f t="shared" si="43"/>
        <v/>
      </c>
      <c r="AB263" s="41" t="str" cm="1">
        <f t="array" ref="AB263">_xlfn.IFS((H263*0.95)&lt;=V263,"Concluído",AND(V263 =0, J263&lt;&gt;""),"Programado",AND(V263=0,D263=""),"Desenvolv.",V263=0,"Não Iniciado",AND(V263&gt;0,V263&lt;H263,AO263=TRUE),"Em Produção",AND(V263&gt;0,V263&lt;H263,AO263=FALSE),"Produção Parcial")</f>
        <v>Não Iniciado</v>
      </c>
      <c r="AC263" s="42" t="b">
        <v>1</v>
      </c>
      <c r="AD263" s="42" t="b">
        <v>1</v>
      </c>
      <c r="AE263" s="42" t="s">
        <v>38</v>
      </c>
      <c r="AF263" s="42" t="b">
        <v>1</v>
      </c>
      <c r="AG263" s="42" t="b">
        <v>1</v>
      </c>
      <c r="AH263" s="42" t="b">
        <v>1</v>
      </c>
      <c r="AI263" s="42" t="s">
        <v>38</v>
      </c>
      <c r="AJ263" s="42" t="b">
        <v>1</v>
      </c>
      <c r="AK263" s="42" t="s">
        <v>38</v>
      </c>
      <c r="AL263" s="42" t="b">
        <v>1</v>
      </c>
      <c r="AM263" s="42" t="b">
        <v>1</v>
      </c>
      <c r="AN263" s="42" t="b">
        <v>1</v>
      </c>
      <c r="AO263" s="45" t="b" cm="1">
        <f t="array" ref="AO263">AND(COUNTIF(AC263:AN263,FALSE)=0,SUMPRODUCT(ISNUMBER(AC263:AN263)*1)=0)</f>
        <v>1</v>
      </c>
      <c r="AP263" s="59"/>
      <c r="AQ263" s="111">
        <f>IF(AB263="",99999999999,IFERROR(MATCH(AB263,{"Produção Parcial","Em Produção","Programado","Não Iniciado","Desenvolv.","Concluído"},0),7)*100000000+IF(ISNUMBER(J263),J263-46000,9999)*10000+IF(A263="",99,A263)*100+IF(C263="",99,CODE(LEFT(C263,1))))</f>
        <v>499999972</v>
      </c>
      <c r="AR263"/>
      <c r="AS263"/>
    </row>
    <row r="264" spans="1:45" s="36" customFormat="1" ht="25.15" hidden="1" customHeight="1" x14ac:dyDescent="0.25">
      <c r="B264" s="38" t="s">
        <v>121</v>
      </c>
      <c r="C264" s="70" t="str">
        <f>INDEX([1]Produtos!$G:$G,MATCH($D264,[1]Produtos!$B:$B,0))</f>
        <v>HABIBI PERFUMES</v>
      </c>
      <c r="D264" s="24" t="s">
        <v>122</v>
      </c>
      <c r="E264" s="70" t="str">
        <f>INDEX([1]Produtos!$C:$C,MATCH($D264,[1]Produtos!$B:$B,0))&amp;IF($F264&lt;&gt;"-"," - "&amp;LEFT($F264,1),"")&amp;" &gt; "&amp;$B264</f>
        <v>HIDRATANTE BISNAGA DELICADA 200g - 1 &gt; HABIBI 01</v>
      </c>
      <c r="F264" s="51" t="s">
        <v>441</v>
      </c>
      <c r="G264" s="38">
        <v>46009</v>
      </c>
      <c r="H264" s="39">
        <v>2000</v>
      </c>
      <c r="I264" s="24" t="s">
        <v>39</v>
      </c>
      <c r="J264" s="68" t="str" cm="1">
        <f t="array" ref="J264">IFERROR(INDEX('[2]Previsão Envase'!$D$5:$D$4867, MATCH(1,('[2]Previsão Envase'!$F$5:$F$4867=$E264)+('[2]Previsão Envase'!$G$5:$G$4867=$E264)+('[2]Previsão Envase'!$H$5:$H$4867=$E264),0)),"")</f>
        <v/>
      </c>
      <c r="K264" s="68" t="str">
        <f>IF(COUNTIF('[2]Previsão Envase'!$F:$F,E264)&gt;0,"Linha 1",
IF(COUNTIF('[2]Previsão Envase'!$G:$G,E264)&gt;0,"Linha 2",
IF(COUNTIF('[2]Previsão Envase'!$H:$H,E264)&gt;0,"Linha 3","")))</f>
        <v/>
      </c>
      <c r="L264" s="96">
        <f>COUNTIF('[2]Previsão Envase'!$F:$H,E264)-COUNTIF('[2]Previsão Envase'!$F$1:$H$4,E264)</f>
        <v>0</v>
      </c>
      <c r="M264" s="35">
        <f t="shared" si="44"/>
        <v>0</v>
      </c>
      <c r="N264" s="68" t="str">
        <f>IFERROR(MAX(_xlfn.MAXIFS('[2]Controle de Produção'!$C:$C,'[2]Controle de Produção'!$L:$L,$D264,'[2]Controle de Produção'!$P:$P,$C264,'[2]Controle de Produção'!$G:$G,$B264),_xlfn.MAXIFS([3]EXPEDIÇÃO!$N:$N,[3]EXPEDIÇÃO!$E:$E,$D264,[3]EXPEDIÇÃO!$D:$D,$C264,[3]EXPEDIÇÃO!$N:$N,"&gt;="&amp;$G264)),"")</f>
        <v/>
      </c>
      <c r="O264" s="70">
        <f>INDEX([1]Produtos!$E:$E,MATCH($D264,[1]Produtos!$B:$B,0))</f>
        <v>200</v>
      </c>
      <c r="P264" s="70" t="str">
        <f>INDEX([1]Produtos!$F:$F,MATCH($D264,[1]Produtos!$B:$B,0))</f>
        <v>g</v>
      </c>
      <c r="Q264" s="105">
        <f>INDEX([1]Produtos!$Y:$Y,MATCH($D264,[1]Produtos!$B:$B,0))</f>
        <v>2</v>
      </c>
      <c r="R264" s="35">
        <f t="shared" si="45"/>
        <v>5520.5897431648482</v>
      </c>
      <c r="S264" s="27">
        <f>IFERROR(INDEX([1]Produtos!$L:$L,MATCH(D264,[1]Produtos!$B:$B,0)), "")</f>
        <v>613.39886035164977</v>
      </c>
      <c r="T264" s="28">
        <f t="shared" si="46"/>
        <v>3.3000000000000003</v>
      </c>
      <c r="U264" s="28" t="str">
        <f t="shared" si="47"/>
        <v>0D e 4h</v>
      </c>
      <c r="V264" s="27">
        <f>IFERROR(SUMIFS('[2]Controle de Produção'!$K:$K,'[2]Controle de Produção'!$L:$L,D264,'[2]Controle de Produção'!$P:$P,C264,'[2]Controle de Produção'!$B:$B,"&gt;=" &amp; G264,'[2]Controle de Produção'!$C:$C,"&lt;=" &amp; N264, '[2]Controle de Produção'!$G:$G,B264), "")</f>
        <v>0</v>
      </c>
      <c r="W264" s="27" t="str">
        <f>IFERROR(SUMIFS([3]EXPEDIÇÃO!$K:$K,[3]EXPEDIÇÃO!$E:$E,D264,[3]EXPEDIÇÃO!$D:$D,C264,[3]EXPEDIÇÃO!$N:$N,"&gt;=" &amp; G264,[3]EXPEDIÇÃO!$N:$N,"&lt;="&amp;N264), "")</f>
        <v/>
      </c>
      <c r="X264" s="27">
        <f>COUNTIFS('[2]Controle de Produção'!$P:$P,C264,'[2]Controle de Produção'!$L:$L,D264,'[2]Controle de Produção'!$B:$B,"&gt;=" &amp; G264)</f>
        <v>7</v>
      </c>
      <c r="Y264" s="27">
        <f t="shared" si="48"/>
        <v>0</v>
      </c>
      <c r="Z264" s="27">
        <f>IFERROR(COUNTIFS('[2]Controle de Produção'!$L:$L,D264,'[2]Controle de Produção'!$P:$P,C264,'[2]Controle de Produção'!$B:$B,"&gt;=" &amp; G264,'[2]Controle de Produção'!$C:$C,"&lt;=" &amp; N264, '[2]Controle de Produção'!$G:$G,B264), "")</f>
        <v>0</v>
      </c>
      <c r="AA264" s="108" t="str">
        <f t="shared" si="43"/>
        <v/>
      </c>
      <c r="AB264" s="41" t="str" cm="1">
        <f t="array" ref="AB264">_xlfn.IFS((H264*0.95)&lt;=V264,"Concluído",AND(V264 =0, J264&lt;&gt;""),"Programado",AND(V264=0,D264=""),"Desenvolv.",V264=0,"Não Iniciado",AND(V264&gt;0,V264&lt;H264,AO264=TRUE),"Em Produção",AND(V264&gt;0,V264&lt;H264,AO264=FALSE),"Produção Parcial")</f>
        <v>Não Iniciado</v>
      </c>
      <c r="AC264" s="42" t="b">
        <v>1</v>
      </c>
      <c r="AD264" s="42" t="b">
        <v>1</v>
      </c>
      <c r="AE264" s="42" t="s">
        <v>38</v>
      </c>
      <c r="AF264" s="42" t="b">
        <v>1</v>
      </c>
      <c r="AG264" s="42" t="b">
        <v>1</v>
      </c>
      <c r="AH264" s="42" t="b">
        <v>1</v>
      </c>
      <c r="AI264" s="42" t="s">
        <v>38</v>
      </c>
      <c r="AJ264" s="42" t="b">
        <v>1</v>
      </c>
      <c r="AK264" s="42" t="s">
        <v>38</v>
      </c>
      <c r="AL264" s="42" t="b">
        <v>1</v>
      </c>
      <c r="AM264" s="42" t="b">
        <v>1</v>
      </c>
      <c r="AN264" s="42" t="b">
        <v>1</v>
      </c>
      <c r="AO264" s="45" t="b" cm="1">
        <f t="array" ref="AO264">AND(COUNTIF(AC264:AN264,FALSE)=0,SUMPRODUCT(ISNUMBER(AC264:AN264)*1)=0)</f>
        <v>1</v>
      </c>
      <c r="AP264" s="59"/>
      <c r="AQ264" s="111">
        <f>IF(AB264="",99999999999,IFERROR(MATCH(AB264,{"Produção Parcial","Em Produção","Programado","Não Iniciado","Desenvolv.","Concluído"},0),7)*100000000+IF(ISNUMBER(J264),J264-46000,9999)*10000+IF(A264="",99,A264)*100+IF(C264="",99,CODE(LEFT(C264,1))))</f>
        <v>499999972</v>
      </c>
    </row>
    <row r="265" spans="1:45" s="36" customFormat="1" ht="25.15" hidden="1" customHeight="1" x14ac:dyDescent="0.25">
      <c r="B265" s="38" t="s">
        <v>121</v>
      </c>
      <c r="C265" s="70" t="str">
        <f>INDEX([1]Produtos!$G:$G,MATCH($D265,[1]Produtos!$B:$B,0))</f>
        <v>HABIBI PERFUMES</v>
      </c>
      <c r="D265" s="24" t="s">
        <v>122</v>
      </c>
      <c r="E265" s="70" t="str">
        <f>INDEX([1]Produtos!$C:$C,MATCH($D265,[1]Produtos!$B:$B,0))&amp;IF($F265&lt;&gt;"-"," - "&amp;LEFT($F265,1),"")&amp;" &gt; "&amp;$B265</f>
        <v>HIDRATANTE BISNAGA DELICADA 200g - 2 &gt; HABIBI 01</v>
      </c>
      <c r="F265" s="51" t="s">
        <v>84</v>
      </c>
      <c r="G265" s="38">
        <v>46127</v>
      </c>
      <c r="H265" s="39">
        <v>4000</v>
      </c>
      <c r="I265" s="24" t="s">
        <v>39</v>
      </c>
      <c r="J265" s="68" t="str" cm="1">
        <f t="array" ref="J265">IFERROR(INDEX('[2]Previsão Envase'!$D$5:$D$4867, MATCH(1,('[2]Previsão Envase'!$F$5:$F$4867=$E265)+('[2]Previsão Envase'!$G$5:$G$4867=$E265)+('[2]Previsão Envase'!$H$5:$H$4867=$E265),0)),"")</f>
        <v/>
      </c>
      <c r="K265" s="68" t="str">
        <f>IF(COUNTIF('[2]Previsão Envase'!$F:$F,E265)&gt;0,"Linha 1",
IF(COUNTIF('[2]Previsão Envase'!$G:$G,E265)&gt;0,"Linha 2",
IF(COUNTIF('[2]Previsão Envase'!$H:$H,E265)&gt;0,"Linha 3","")))</f>
        <v/>
      </c>
      <c r="L265" s="96">
        <f>COUNTIF('[2]Previsão Envase'!$F:$H,E265)-COUNTIF('[2]Previsão Envase'!$F$1:$H$4,E265)</f>
        <v>0</v>
      </c>
      <c r="M265" s="35">
        <f t="shared" si="44"/>
        <v>0</v>
      </c>
      <c r="N265" s="68" t="str">
        <f>IFERROR(MAX(_xlfn.MAXIFS('[2]Controle de Produção'!$C:$C,'[2]Controle de Produção'!$L:$L,$D265,'[2]Controle de Produção'!$P:$P,$C265,'[2]Controle de Produção'!$G:$G,$B265),_xlfn.MAXIFS([3]EXPEDIÇÃO!$N:$N,[3]EXPEDIÇÃO!$E:$E,$D265,[3]EXPEDIÇÃO!$D:$D,$C265,[3]EXPEDIÇÃO!$N:$N,"&gt;="&amp;$G265)),"")</f>
        <v/>
      </c>
      <c r="O265" s="70">
        <f>INDEX([1]Produtos!$E:$E,MATCH($D265,[1]Produtos!$B:$B,0))</f>
        <v>200</v>
      </c>
      <c r="P265" s="70" t="str">
        <f>INDEX([1]Produtos!$F:$F,MATCH($D265,[1]Produtos!$B:$B,0))</f>
        <v>g</v>
      </c>
      <c r="Q265" s="105">
        <f>INDEX([1]Produtos!$Y:$Y,MATCH($D265,[1]Produtos!$B:$B,0))</f>
        <v>2</v>
      </c>
      <c r="R265" s="35">
        <f t="shared" si="45"/>
        <v>5520.5897431648482</v>
      </c>
      <c r="S265" s="27">
        <f>IFERROR(INDEX([1]Produtos!$L:$L,MATCH(D265,[1]Produtos!$B:$B,0)), "")</f>
        <v>613.39886035164977</v>
      </c>
      <c r="T265" s="28">
        <f t="shared" si="46"/>
        <v>6.6</v>
      </c>
      <c r="U265" s="28" t="str">
        <f t="shared" si="47"/>
        <v>0D e 7h</v>
      </c>
      <c r="V265" s="27">
        <f>IFERROR(SUMIFS('[2]Controle de Produção'!$K:$K,'[2]Controle de Produção'!$L:$L,D265,'[2]Controle de Produção'!$P:$P,C265,'[2]Controle de Produção'!$B:$B,"&gt;=" &amp; G265,'[2]Controle de Produção'!$C:$C,"&lt;=" &amp; N265, '[2]Controle de Produção'!$G:$G,B265), "")</f>
        <v>0</v>
      </c>
      <c r="W265" s="27" t="str">
        <f>IFERROR(SUMIFS([3]EXPEDIÇÃO!$K:$K,[3]EXPEDIÇÃO!$E:$E,D265,[3]EXPEDIÇÃO!$D:$D,C265,[3]EXPEDIÇÃO!$N:$N,"&gt;=" &amp; G265,[3]EXPEDIÇÃO!$N:$N,"&lt;="&amp;N265), "")</f>
        <v/>
      </c>
      <c r="X265" s="27">
        <f>COUNTIFS('[2]Controle de Produção'!$P:$P,C265,'[2]Controle de Produção'!$L:$L,D265,'[2]Controle de Produção'!$B:$B,"&gt;=" &amp; G265)</f>
        <v>5</v>
      </c>
      <c r="Y265" s="27">
        <f t="shared" si="48"/>
        <v>0</v>
      </c>
      <c r="Z265" s="27">
        <f>IFERROR(COUNTIFS('[2]Controle de Produção'!$L:$L,D265,'[2]Controle de Produção'!$P:$P,C265,'[2]Controle de Produção'!$B:$B,"&gt;=" &amp; G265,'[2]Controle de Produção'!$C:$C,"&lt;=" &amp; N265, '[2]Controle de Produção'!$G:$G,B265), "")</f>
        <v>0</v>
      </c>
      <c r="AA265" s="108" t="str">
        <f t="shared" si="43"/>
        <v/>
      </c>
      <c r="AB265" s="41" t="str" cm="1">
        <f t="array" ref="AB265">_xlfn.IFS((H265*0.95)&lt;=V265,"Concluído",AND(V265 =0, J265&lt;&gt;""),"Programado",AND(V265=0,D265=""),"Desenvolv.",V265=0,"Não Iniciado",AND(V265&gt;0,V265&lt;H265,AO265=TRUE),"Em Produção",AND(V265&gt;0,V265&lt;H265,AO265=FALSE),"Produção Parcial")</f>
        <v>Não Iniciado</v>
      </c>
      <c r="AC265" s="42" t="b">
        <v>1</v>
      </c>
      <c r="AD265" s="42" t="b">
        <v>1</v>
      </c>
      <c r="AE265" s="42" t="s">
        <v>38</v>
      </c>
      <c r="AF265" s="42" t="b">
        <v>1</v>
      </c>
      <c r="AG265" s="42" t="b">
        <v>1</v>
      </c>
      <c r="AH265" s="42" t="b">
        <v>1</v>
      </c>
      <c r="AI265" s="42" t="s">
        <v>38</v>
      </c>
      <c r="AJ265" s="42" t="b">
        <v>1</v>
      </c>
      <c r="AK265" s="42" t="s">
        <v>38</v>
      </c>
      <c r="AL265" s="42" t="b">
        <v>1</v>
      </c>
      <c r="AM265" s="42" t="b">
        <v>1</v>
      </c>
      <c r="AN265" s="42" t="b">
        <v>1</v>
      </c>
      <c r="AO265" s="45" t="b" cm="1">
        <f t="array" ref="AO265">AND(COUNTIF(AC265:AN265,FALSE)=0,SUMPRODUCT(ISNUMBER(AC265:AN265)*1)=0)</f>
        <v>1</v>
      </c>
      <c r="AP265" s="59"/>
      <c r="AQ265" s="111">
        <f>IF(AB265="",99999999999,IFERROR(MATCH(AB265,{"Produção Parcial","Em Produção","Programado","Não Iniciado","Desenvolv.","Concluído"},0),7)*100000000+IF(ISNUMBER(J265),J265-46000,9999)*10000+IF(A265="",99,A265)*100+IF(C265="",99,CODE(LEFT(C265,1))))</f>
        <v>499999972</v>
      </c>
    </row>
    <row r="266" spans="1:45" s="36" customFormat="1" ht="25.15" hidden="1" customHeight="1" x14ac:dyDescent="0.25">
      <c r="B266" s="38" t="s">
        <v>121</v>
      </c>
      <c r="C266" s="70" t="str">
        <f>INDEX([1]Produtos!$G:$G,MATCH($D266,[1]Produtos!$B:$B,0))</f>
        <v>HABIBI PERFUMES</v>
      </c>
      <c r="D266" s="24" t="s">
        <v>128</v>
      </c>
      <c r="E266" s="70" t="str">
        <f>INDEX([1]Produtos!$C:$C,MATCH($D266,[1]Produtos!$B:$B,0))&amp;IF($F266&lt;&gt;"-"," - "&amp;LEFT($F266,1),"")&amp;" &gt; "&amp;$B266</f>
        <v>HIDRATANTE BISNAGA IMPERIUM 200g - 1 &gt; HABIBI 01</v>
      </c>
      <c r="F266" s="51" t="s">
        <v>441</v>
      </c>
      <c r="G266" s="38">
        <v>46009</v>
      </c>
      <c r="H266" s="39">
        <v>2000</v>
      </c>
      <c r="I266" s="24" t="s">
        <v>39</v>
      </c>
      <c r="J266" s="68" t="str" cm="1">
        <f t="array" ref="J266">IFERROR(INDEX('[2]Previsão Envase'!$D$5:$D$4867, MATCH(1,('[2]Previsão Envase'!$F$5:$F$4867=$E266)+('[2]Previsão Envase'!$G$5:$G$4867=$E266)+('[2]Previsão Envase'!$H$5:$H$4867=$E266),0)),"")</f>
        <v/>
      </c>
      <c r="K266" s="68" t="str">
        <f>IF(COUNTIF('[2]Previsão Envase'!$F:$F,E266)&gt;0,"Linha 1",
IF(COUNTIF('[2]Previsão Envase'!$G:$G,E266)&gt;0,"Linha 2",
IF(COUNTIF('[2]Previsão Envase'!$H:$H,E266)&gt;0,"Linha 3","")))</f>
        <v/>
      </c>
      <c r="L266" s="96">
        <f>COUNTIF('[2]Previsão Envase'!$F:$H,E266)-COUNTIF('[2]Previsão Envase'!$F$1:$H$4,E266)</f>
        <v>0</v>
      </c>
      <c r="M266" s="35">
        <f t="shared" si="44"/>
        <v>0</v>
      </c>
      <c r="N266" s="68" t="str">
        <f>IFERROR(MAX(_xlfn.MAXIFS('[2]Controle de Produção'!$C:$C,'[2]Controle de Produção'!$L:$L,$D266,'[2]Controle de Produção'!$P:$P,$C266,'[2]Controle de Produção'!$G:$G,$B266),_xlfn.MAXIFS([3]EXPEDIÇÃO!$N:$N,[3]EXPEDIÇÃO!$E:$E,$D266,[3]EXPEDIÇÃO!$D:$D,$C266,[3]EXPEDIÇÃO!$N:$N,"&gt;="&amp;$G266)),"")</f>
        <v/>
      </c>
      <c r="O266" s="70">
        <f>INDEX([1]Produtos!$E:$E,MATCH($D266,[1]Produtos!$B:$B,0))</f>
        <v>200</v>
      </c>
      <c r="P266" s="70" t="str">
        <f>INDEX([1]Produtos!$F:$F,MATCH($D266,[1]Produtos!$B:$B,0))</f>
        <v>g</v>
      </c>
      <c r="Q266" s="105">
        <f>INDEX([1]Produtos!$Y:$Y,MATCH($D266,[1]Produtos!$B:$B,0))</f>
        <v>2</v>
      </c>
      <c r="R266" s="35">
        <f t="shared" si="45"/>
        <v>5520.5897431648482</v>
      </c>
      <c r="S266" s="27">
        <f>IFERROR(INDEX([1]Produtos!$L:$L,MATCH(D266,[1]Produtos!$B:$B,0)), "")</f>
        <v>613.39886035164977</v>
      </c>
      <c r="T266" s="28">
        <f t="shared" si="46"/>
        <v>3.3000000000000003</v>
      </c>
      <c r="U266" s="28" t="str">
        <f t="shared" si="47"/>
        <v>0D e 4h</v>
      </c>
      <c r="V266" s="57">
        <f>IFERROR(SUMIFS('[2]Controle de Produção'!$K:$K,'[2]Controle de Produção'!$L:$L,D266,'[2]Controle de Produção'!$P:$P,C266,'[2]Controle de Produção'!$B:$B,"&gt;=" &amp; G266,'[2]Controle de Produção'!$C:$C,"&lt;=" &amp; N266, '[2]Controle de Produção'!$G:$G,B266), "")</f>
        <v>0</v>
      </c>
      <c r="W266" s="27" t="str">
        <f>IFERROR(SUMIFS([3]EXPEDIÇÃO!$K:$K,[3]EXPEDIÇÃO!$E:$E,D266,[3]EXPEDIÇÃO!$D:$D,C266,[3]EXPEDIÇÃO!$N:$N,"&gt;=" &amp; G266,[3]EXPEDIÇÃO!$N:$N,"&lt;="&amp;N266), "")</f>
        <v/>
      </c>
      <c r="X266" s="27">
        <f>COUNTIFS('[2]Controle de Produção'!$P:$P,C266,'[2]Controle de Produção'!$L:$L,D266,'[2]Controle de Produção'!$B:$B,"&gt;=" &amp; G266)</f>
        <v>8</v>
      </c>
      <c r="Y266" s="27">
        <f t="shared" si="48"/>
        <v>0</v>
      </c>
      <c r="Z266" s="27">
        <f>IFERROR(COUNTIFS('[2]Controle de Produção'!$L:$L,D266,'[2]Controle de Produção'!$P:$P,C266,'[2]Controle de Produção'!$B:$B,"&gt;=" &amp; G266,'[2]Controle de Produção'!$C:$C,"&lt;=" &amp; N266, '[2]Controle de Produção'!$G:$G,B266), "")</f>
        <v>0</v>
      </c>
      <c r="AA266" s="108" t="str">
        <f t="shared" si="43"/>
        <v/>
      </c>
      <c r="AB266" s="41" t="str" cm="1">
        <f t="array" ref="AB266">_xlfn.IFS((H266*0.95)&lt;=V266,"Concluído",AND(V266 =0, J266&lt;&gt;""),"Programado",AND(V266=0,D266=""),"Desenvolv.",V266=0,"Não Iniciado",AND(V266&gt;0,V266&lt;H266,AO266=TRUE),"Em Produção",AND(V266&gt;0,V266&lt;H266,AO266=FALSE),"Produção Parcial")</f>
        <v>Não Iniciado</v>
      </c>
      <c r="AC266" s="42" t="b">
        <v>1</v>
      </c>
      <c r="AD266" s="42" t="b">
        <v>1</v>
      </c>
      <c r="AE266" s="42" t="s">
        <v>38</v>
      </c>
      <c r="AF266" s="42" t="b">
        <v>1</v>
      </c>
      <c r="AG266" s="42" t="b">
        <v>1</v>
      </c>
      <c r="AH266" s="42" t="b">
        <v>1</v>
      </c>
      <c r="AI266" s="42" t="s">
        <v>38</v>
      </c>
      <c r="AJ266" s="42" t="b">
        <v>1</v>
      </c>
      <c r="AK266" s="42" t="s">
        <v>38</v>
      </c>
      <c r="AL266" s="42" t="b">
        <v>1</v>
      </c>
      <c r="AM266" s="42" t="b">
        <v>1</v>
      </c>
      <c r="AN266" s="42" t="b">
        <v>1</v>
      </c>
      <c r="AO266" s="45" t="b" cm="1">
        <f t="array" ref="AO266">AND(COUNTIF(AC266:AN266,FALSE)=0,SUMPRODUCT(ISNUMBER(AC266:AN266)*1)=0)</f>
        <v>1</v>
      </c>
      <c r="AP266" s="59"/>
      <c r="AQ266" s="111">
        <f>IF(AB266="",99999999999,IFERROR(MATCH(AB266,{"Produção Parcial","Em Produção","Programado","Não Iniciado","Desenvolv.","Concluído"},0),7)*100000000+IF(ISNUMBER(J266),J266-46000,9999)*10000+IF(A266="",99,A266)*100+IF(C266="",99,CODE(LEFT(C266,1))))</f>
        <v>499999972</v>
      </c>
    </row>
    <row r="267" spans="1:45" s="36" customFormat="1" ht="25.15" hidden="1" customHeight="1" x14ac:dyDescent="0.25">
      <c r="B267" s="38" t="s">
        <v>121</v>
      </c>
      <c r="C267" s="70" t="str">
        <f>INDEX([1]Produtos!$G:$G,MATCH($D267,[1]Produtos!$B:$B,0))</f>
        <v>HABIBI PERFUMES</v>
      </c>
      <c r="D267" s="24" t="s">
        <v>125</v>
      </c>
      <c r="E267" s="70" t="str">
        <f>INDEX([1]Produtos!$C:$C,MATCH($D267,[1]Produtos!$B:$B,0))&amp;IF($F267&lt;&gt;"-"," - "&amp;LEFT($F267,1),"")&amp;" &gt; "&amp;$B267</f>
        <v>HIDRATANTE BISNAGA LUX AMBER 200g - 2 &gt; HABIBI 01</v>
      </c>
      <c r="F267" s="51" t="s">
        <v>84</v>
      </c>
      <c r="G267" s="38">
        <v>46127</v>
      </c>
      <c r="H267" s="39">
        <v>4000</v>
      </c>
      <c r="I267" s="24" t="s">
        <v>39</v>
      </c>
      <c r="J267" s="68" t="str" cm="1">
        <f t="array" ref="J267">IFERROR(INDEX('[2]Previsão Envase'!$D$5:$D$4867, MATCH(1,('[2]Previsão Envase'!$F$5:$F$4867=$E267)+('[2]Previsão Envase'!$G$5:$G$4867=$E267)+('[2]Previsão Envase'!$H$5:$H$4867=$E267),0)),"")</f>
        <v/>
      </c>
      <c r="K267" s="68" t="str">
        <f>IF(COUNTIF('[2]Previsão Envase'!$F:$F,E267)&gt;0,"Linha 1",
IF(COUNTIF('[2]Previsão Envase'!$G:$G,E267)&gt;0,"Linha 2",
IF(COUNTIF('[2]Previsão Envase'!$H:$H,E267)&gt;0,"Linha 3","")))</f>
        <v/>
      </c>
      <c r="L267" s="96">
        <f>COUNTIF('[2]Previsão Envase'!$F:$H,E267)-COUNTIF('[2]Previsão Envase'!$F$1:$H$4,E267)</f>
        <v>0</v>
      </c>
      <c r="M267" s="35">
        <f t="shared" si="44"/>
        <v>0</v>
      </c>
      <c r="N267" s="68" t="str">
        <f>IFERROR(MAX(_xlfn.MAXIFS('[2]Controle de Produção'!$C:$C,'[2]Controle de Produção'!$L:$L,$D267,'[2]Controle de Produção'!$P:$P,$C267,'[2]Controle de Produção'!$G:$G,$B267),_xlfn.MAXIFS([3]EXPEDIÇÃO!$N:$N,[3]EXPEDIÇÃO!$E:$E,$D267,[3]EXPEDIÇÃO!$D:$D,$C267,[3]EXPEDIÇÃO!$N:$N,"&gt;="&amp;$G267)),"")</f>
        <v/>
      </c>
      <c r="O267" s="70">
        <f>INDEX([1]Produtos!$E:$E,MATCH($D267,[1]Produtos!$B:$B,0))</f>
        <v>200</v>
      </c>
      <c r="P267" s="70" t="str">
        <f>INDEX([1]Produtos!$F:$F,MATCH($D267,[1]Produtos!$B:$B,0))</f>
        <v>g</v>
      </c>
      <c r="Q267" s="105">
        <f>INDEX([1]Produtos!$Y:$Y,MATCH($D267,[1]Produtos!$B:$B,0))</f>
        <v>2</v>
      </c>
      <c r="R267" s="35">
        <f t="shared" si="45"/>
        <v>5520.5897431648482</v>
      </c>
      <c r="S267" s="27">
        <f>IFERROR(INDEX([1]Produtos!$L:$L,MATCH(D267,[1]Produtos!$B:$B,0)), "")</f>
        <v>613.39886035164977</v>
      </c>
      <c r="T267" s="28">
        <f t="shared" si="46"/>
        <v>6.6</v>
      </c>
      <c r="U267" s="28" t="str">
        <f t="shared" si="47"/>
        <v>0D e 7h</v>
      </c>
      <c r="V267" s="27">
        <f>IFERROR(SUMIFS('[2]Controle de Produção'!$K:$K,'[2]Controle de Produção'!$L:$L,D267,'[2]Controle de Produção'!$P:$P,C267,'[2]Controle de Produção'!$B:$B,"&gt;=" &amp; G267,'[2]Controle de Produção'!$C:$C,"&lt;=" &amp; N267, '[2]Controle de Produção'!$G:$G,B267), "")</f>
        <v>0</v>
      </c>
      <c r="W267" s="27" t="str">
        <f>IFERROR(SUMIFS([3]EXPEDIÇÃO!$K:$K,[3]EXPEDIÇÃO!$E:$E,D267,[3]EXPEDIÇÃO!$D:$D,C267,[3]EXPEDIÇÃO!$N:$N,"&gt;=" &amp; G267,[3]EXPEDIÇÃO!$N:$N,"&lt;="&amp;N267), "")</f>
        <v/>
      </c>
      <c r="X267" s="27">
        <f>COUNTIFS('[2]Controle de Produção'!$P:$P,C267,'[2]Controle de Produção'!$L:$L,D267,'[2]Controle de Produção'!$B:$B,"&gt;=" &amp; G267)</f>
        <v>5</v>
      </c>
      <c r="Y267" s="27">
        <f t="shared" si="48"/>
        <v>0</v>
      </c>
      <c r="Z267" s="27">
        <f>IFERROR(COUNTIFS('[2]Controle de Produção'!$L:$L,D267,'[2]Controle de Produção'!$P:$P,C267,'[2]Controle de Produção'!$B:$B,"&gt;=" &amp; G267,'[2]Controle de Produção'!$C:$C,"&lt;=" &amp; N267, '[2]Controle de Produção'!$G:$G,B267), "")</f>
        <v>0</v>
      </c>
      <c r="AA267" s="108" t="str">
        <f t="shared" si="43"/>
        <v/>
      </c>
      <c r="AB267" s="41" t="str" cm="1">
        <f t="array" ref="AB267">_xlfn.IFS((H267*0.95)&lt;=V267,"Concluído",AND(V267 =0, J267&lt;&gt;""),"Programado",AND(V267=0,D267=""),"Desenvolv.",V267=0,"Não Iniciado",AND(V267&gt;0,V267&lt;H267,AO267=TRUE),"Em Produção",AND(V267&gt;0,V267&lt;H267,AO267=FALSE),"Produção Parcial")</f>
        <v>Não Iniciado</v>
      </c>
      <c r="AC267" s="42" t="b">
        <v>1</v>
      </c>
      <c r="AD267" s="42" t="b">
        <v>1</v>
      </c>
      <c r="AE267" s="42" t="s">
        <v>38</v>
      </c>
      <c r="AF267" s="42" t="b">
        <v>1</v>
      </c>
      <c r="AG267" s="42" t="b">
        <v>1</v>
      </c>
      <c r="AH267" s="42" t="b">
        <v>1</v>
      </c>
      <c r="AI267" s="42" t="s">
        <v>38</v>
      </c>
      <c r="AJ267" s="42" t="b">
        <v>1</v>
      </c>
      <c r="AK267" s="42" t="s">
        <v>38</v>
      </c>
      <c r="AL267" s="42" t="b">
        <v>1</v>
      </c>
      <c r="AM267" s="42" t="b">
        <v>1</v>
      </c>
      <c r="AN267" s="42" t="b">
        <v>1</v>
      </c>
      <c r="AO267" s="45" t="b" cm="1">
        <f t="array" ref="AO267">AND(COUNTIF(AC267:AN267,FALSE)=0,SUMPRODUCT(ISNUMBER(AC267:AN267)*1)=0)</f>
        <v>1</v>
      </c>
      <c r="AP267" s="59"/>
      <c r="AQ267" s="111">
        <f>IF(AB267="",99999999999,IFERROR(MATCH(AB267,{"Produção Parcial","Em Produção","Programado","Não Iniciado","Desenvolv.","Concluído"},0),7)*100000000+IF(ISNUMBER(J267),J267-46000,9999)*10000+IF(A267="",99,A267)*100+IF(C267="",99,CODE(LEFT(C267,1))))</f>
        <v>499999972</v>
      </c>
    </row>
    <row r="268" spans="1:45" s="36" customFormat="1" ht="25.15" hidden="1" customHeight="1" x14ac:dyDescent="0.25">
      <c r="B268" s="38" t="s">
        <v>121</v>
      </c>
      <c r="C268" s="70" t="str">
        <f>INDEX([1]Produtos!$G:$G,MATCH($D268,[1]Produtos!$B:$B,0))</f>
        <v>HABIBI PERFUMES</v>
      </c>
      <c r="D268" s="24" t="s">
        <v>127</v>
      </c>
      <c r="E268" s="70" t="str">
        <f>INDEX([1]Produtos!$C:$C,MATCH($D268,[1]Produtos!$B:$B,0))&amp;IF($F268&lt;&gt;"-"," - "&amp;LEFT($F268,1),"")&amp;" &gt; "&amp;$B268</f>
        <v>HIDRATANTE BISNAGA ROSA SUBLIME 200g - 1 &gt; HABIBI 01</v>
      </c>
      <c r="F268" s="51" t="s">
        <v>441</v>
      </c>
      <c r="G268" s="38">
        <v>46009</v>
      </c>
      <c r="H268" s="39">
        <v>2000</v>
      </c>
      <c r="I268" s="24" t="s">
        <v>39</v>
      </c>
      <c r="J268" s="68" t="str" cm="1">
        <f t="array" ref="J268">IFERROR(INDEX('[2]Previsão Envase'!$D$5:$D$4867, MATCH(1,('[2]Previsão Envase'!$F$5:$F$4867=$E268)+('[2]Previsão Envase'!$G$5:$G$4867=$E268)+('[2]Previsão Envase'!$H$5:$H$4867=$E268),0)),"")</f>
        <v/>
      </c>
      <c r="K268" s="68" t="str">
        <f>IF(COUNTIF('[2]Previsão Envase'!$F:$F,E268)&gt;0,"Linha 1",
IF(COUNTIF('[2]Previsão Envase'!$G:$G,E268)&gt;0,"Linha 2",
IF(COUNTIF('[2]Previsão Envase'!$H:$H,E268)&gt;0,"Linha 3","")))</f>
        <v/>
      </c>
      <c r="L268" s="96">
        <f>COUNTIF('[2]Previsão Envase'!$F:$H,E268)-COUNTIF('[2]Previsão Envase'!$F$1:$H$4,E268)</f>
        <v>0</v>
      </c>
      <c r="M268" s="35">
        <f t="shared" si="44"/>
        <v>0</v>
      </c>
      <c r="N268" s="68" t="str">
        <f>IFERROR(MAX(_xlfn.MAXIFS('[2]Controle de Produção'!$C:$C,'[2]Controle de Produção'!$L:$L,$D268,'[2]Controle de Produção'!$P:$P,$C268,'[2]Controle de Produção'!$G:$G,$B268),_xlfn.MAXIFS([3]EXPEDIÇÃO!$N:$N,[3]EXPEDIÇÃO!$E:$E,$D268,[3]EXPEDIÇÃO!$D:$D,$C268,[3]EXPEDIÇÃO!$N:$N,"&gt;="&amp;$G268)),"")</f>
        <v/>
      </c>
      <c r="O268" s="70">
        <f>INDEX([1]Produtos!$E:$E,MATCH($D268,[1]Produtos!$B:$B,0))</f>
        <v>200</v>
      </c>
      <c r="P268" s="70" t="str">
        <f>INDEX([1]Produtos!$F:$F,MATCH($D268,[1]Produtos!$B:$B,0))</f>
        <v>g</v>
      </c>
      <c r="Q268" s="105">
        <f>INDEX([1]Produtos!$Y:$Y,MATCH($D268,[1]Produtos!$B:$B,0))</f>
        <v>2</v>
      </c>
      <c r="R268" s="35">
        <f t="shared" si="45"/>
        <v>5520.5897431648482</v>
      </c>
      <c r="S268" s="27">
        <f>IFERROR(INDEX([1]Produtos!$L:$L,MATCH(D268,[1]Produtos!$B:$B,0)), "")</f>
        <v>613.39886035164977</v>
      </c>
      <c r="T268" s="28">
        <f t="shared" si="46"/>
        <v>3.3000000000000003</v>
      </c>
      <c r="U268" s="28" t="str">
        <f t="shared" si="47"/>
        <v>0D e 4h</v>
      </c>
      <c r="V268" s="27">
        <f>IFERROR(SUMIFS('[2]Controle de Produção'!$K:$K,'[2]Controle de Produção'!$L:$L,D268,'[2]Controle de Produção'!$P:$P,C268,'[2]Controle de Produção'!$B:$B,"&gt;=" &amp; G268,'[2]Controle de Produção'!$C:$C,"&lt;=" &amp; N268, '[2]Controle de Produção'!$G:$G,B268), "")</f>
        <v>0</v>
      </c>
      <c r="W268" s="27" t="str">
        <f>IFERROR(SUMIFS([3]EXPEDIÇÃO!$K:$K,[3]EXPEDIÇÃO!$E:$E,D268,[3]EXPEDIÇÃO!$D:$D,C268,[3]EXPEDIÇÃO!$N:$N,"&gt;=" &amp; G268,[3]EXPEDIÇÃO!$N:$N,"&lt;="&amp;N268), "")</f>
        <v/>
      </c>
      <c r="X268" s="27">
        <f>COUNTIFS('[2]Controle de Produção'!$P:$P,C268,'[2]Controle de Produção'!$L:$L,D268,'[2]Controle de Produção'!$B:$B,"&gt;=" &amp; G268)</f>
        <v>7</v>
      </c>
      <c r="Y268" s="27">
        <f t="shared" si="48"/>
        <v>0</v>
      </c>
      <c r="Z268" s="27">
        <f>IFERROR(COUNTIFS('[2]Controle de Produção'!$L:$L,D268,'[2]Controle de Produção'!$P:$P,C268,'[2]Controle de Produção'!$B:$B,"&gt;=" &amp; G268,'[2]Controle de Produção'!$C:$C,"&lt;=" &amp; N268, '[2]Controle de Produção'!$G:$G,B268), "")</f>
        <v>0</v>
      </c>
      <c r="AA268" s="108" t="str">
        <f t="shared" si="43"/>
        <v/>
      </c>
      <c r="AB268" s="41" t="str" cm="1">
        <f t="array" ref="AB268">_xlfn.IFS((H268*0.95)&lt;=V268,"Concluído",AND(V268 =0, J268&lt;&gt;""),"Programado",AND(V268=0,D268=""),"Desenvolv.",V268=0,"Não Iniciado",AND(V268&gt;0,V268&lt;H268,AO268=TRUE),"Em Produção",AND(V268&gt;0,V268&lt;H268,AO268=FALSE),"Produção Parcial")</f>
        <v>Não Iniciado</v>
      </c>
      <c r="AC268" s="42" t="b">
        <v>1</v>
      </c>
      <c r="AD268" s="42" t="b">
        <v>1</v>
      </c>
      <c r="AE268" s="42" t="s">
        <v>38</v>
      </c>
      <c r="AF268" s="42" t="b">
        <v>1</v>
      </c>
      <c r="AG268" s="42" t="b">
        <v>1</v>
      </c>
      <c r="AH268" s="42" t="b">
        <v>1</v>
      </c>
      <c r="AI268" s="42" t="s">
        <v>38</v>
      </c>
      <c r="AJ268" s="42" t="b">
        <v>1</v>
      </c>
      <c r="AK268" s="42" t="s">
        <v>38</v>
      </c>
      <c r="AL268" s="42" t="b">
        <v>1</v>
      </c>
      <c r="AM268" s="42" t="b">
        <v>1</v>
      </c>
      <c r="AN268" s="42" t="b">
        <v>1</v>
      </c>
      <c r="AO268" s="45" t="b" cm="1">
        <f t="array" ref="AO268">AND(COUNTIF(AC268:AN268,FALSE)=0,SUMPRODUCT(ISNUMBER(AC268:AN268)*1)=0)</f>
        <v>1</v>
      </c>
      <c r="AP268" s="59"/>
      <c r="AQ268" s="111">
        <f>IF(AB268="",99999999999,IFERROR(MATCH(AB268,{"Produção Parcial","Em Produção","Programado","Não Iniciado","Desenvolv.","Concluído"},0),7)*100000000+IF(ISNUMBER(J268),J268-46000,9999)*10000+IF(A268="",99,A268)*100+IF(C268="",99,CODE(LEFT(C268,1))))</f>
        <v>499999972</v>
      </c>
    </row>
    <row r="269" spans="1:45" s="36" customFormat="1" ht="25.15" hidden="1" customHeight="1" x14ac:dyDescent="0.25">
      <c r="B269" s="38" t="s">
        <v>121</v>
      </c>
      <c r="C269" s="70" t="str">
        <f>INDEX([1]Produtos!$G:$G,MATCH($D269,[1]Produtos!$B:$B,0))</f>
        <v>HABIBI PERFUMES</v>
      </c>
      <c r="D269" s="24" t="s">
        <v>126</v>
      </c>
      <c r="E269" s="70" t="str">
        <f>INDEX([1]Produtos!$C:$C,MATCH($D269,[1]Produtos!$B:$B,0))&amp;IF($F269&lt;&gt;"-"," - "&amp;LEFT($F269,1),"")&amp;" &gt; "&amp;$B269</f>
        <v>HIDRATANTE BISNAGA ROSE AURORA 200g - 1 &gt; HABIBI 01</v>
      </c>
      <c r="F269" s="51" t="s">
        <v>441</v>
      </c>
      <c r="G269" s="38">
        <v>46009</v>
      </c>
      <c r="H269" s="39">
        <v>2000</v>
      </c>
      <c r="I269" s="24" t="s">
        <v>39</v>
      </c>
      <c r="J269" s="68" t="str" cm="1">
        <f t="array" ref="J269">IFERROR(INDEX('[2]Previsão Envase'!$D$5:$D$4867, MATCH(1,('[2]Previsão Envase'!$F$5:$F$4867=$E269)+('[2]Previsão Envase'!$G$5:$G$4867=$E269)+('[2]Previsão Envase'!$H$5:$H$4867=$E269),0)),"")</f>
        <v/>
      </c>
      <c r="K269" s="68" t="str">
        <f>IF(COUNTIF('[2]Previsão Envase'!$F:$F,E269)&gt;0,"Linha 1",
IF(COUNTIF('[2]Previsão Envase'!$G:$G,E269)&gt;0,"Linha 2",
IF(COUNTIF('[2]Previsão Envase'!$H:$H,E269)&gt;0,"Linha 3","")))</f>
        <v/>
      </c>
      <c r="L269" s="96">
        <f>COUNTIF('[2]Previsão Envase'!$F:$H,E269)-COUNTIF('[2]Previsão Envase'!$F$1:$H$4,E269)</f>
        <v>0</v>
      </c>
      <c r="M269" s="35">
        <f t="shared" si="44"/>
        <v>0</v>
      </c>
      <c r="N269" s="68" t="str">
        <f>IFERROR(MAX(_xlfn.MAXIFS('[2]Controle de Produção'!$C:$C,'[2]Controle de Produção'!$L:$L,$D269,'[2]Controle de Produção'!$P:$P,$C269,'[2]Controle de Produção'!$G:$G,$B269),_xlfn.MAXIFS([3]EXPEDIÇÃO!$N:$N,[3]EXPEDIÇÃO!$E:$E,$D269,[3]EXPEDIÇÃO!$D:$D,$C269,[3]EXPEDIÇÃO!$N:$N,"&gt;="&amp;$G269)),"")</f>
        <v/>
      </c>
      <c r="O269" s="70">
        <f>INDEX([1]Produtos!$E:$E,MATCH($D269,[1]Produtos!$B:$B,0))</f>
        <v>200</v>
      </c>
      <c r="P269" s="70" t="str">
        <f>INDEX([1]Produtos!$F:$F,MATCH($D269,[1]Produtos!$B:$B,0))</f>
        <v>g</v>
      </c>
      <c r="Q269" s="105">
        <f>INDEX([1]Produtos!$Y:$Y,MATCH($D269,[1]Produtos!$B:$B,0))</f>
        <v>2</v>
      </c>
      <c r="R269" s="35">
        <f t="shared" si="45"/>
        <v>5520.5897431648482</v>
      </c>
      <c r="S269" s="27">
        <f>IFERROR(INDEX([1]Produtos!$L:$L,MATCH(D269,[1]Produtos!$B:$B,0)), "")</f>
        <v>613.39886035164977</v>
      </c>
      <c r="T269" s="28">
        <f t="shared" si="46"/>
        <v>3.3000000000000003</v>
      </c>
      <c r="U269" s="28" t="str">
        <f t="shared" si="47"/>
        <v>0D e 4h</v>
      </c>
      <c r="V269" s="27">
        <f>IFERROR(SUMIFS('[2]Controle de Produção'!$K:$K,'[2]Controle de Produção'!$L:$L,D269,'[2]Controle de Produção'!$P:$P,C269,'[2]Controle de Produção'!$B:$B,"&gt;=" &amp; G269,'[2]Controle de Produção'!$C:$C,"&lt;=" &amp; N269, '[2]Controle de Produção'!$G:$G,B269), "")</f>
        <v>0</v>
      </c>
      <c r="W269" s="27" t="str">
        <f>IFERROR(SUMIFS([3]EXPEDIÇÃO!$K:$K,[3]EXPEDIÇÃO!$E:$E,D269,[3]EXPEDIÇÃO!$D:$D,C269,[3]EXPEDIÇÃO!$N:$N,"&gt;=" &amp; G269,[3]EXPEDIÇÃO!$N:$N,"&lt;="&amp;N269), "")</f>
        <v/>
      </c>
      <c r="X269" s="27">
        <f>COUNTIFS('[2]Controle de Produção'!$P:$P,C269,'[2]Controle de Produção'!$L:$L,D269,'[2]Controle de Produção'!$B:$B,"&gt;=" &amp; G269)</f>
        <v>7</v>
      </c>
      <c r="Y269" s="27">
        <f t="shared" si="48"/>
        <v>0</v>
      </c>
      <c r="Z269" s="27">
        <f>IFERROR(COUNTIFS('[2]Controle de Produção'!$L:$L,D269,'[2]Controle de Produção'!$P:$P,C269,'[2]Controle de Produção'!$B:$B,"&gt;=" &amp; G269,'[2]Controle de Produção'!$C:$C,"&lt;=" &amp; N269, '[2]Controle de Produção'!$G:$G,B269), "")</f>
        <v>0</v>
      </c>
      <c r="AA269" s="108" t="str">
        <f t="shared" si="43"/>
        <v/>
      </c>
      <c r="AB269" s="41" t="str" cm="1">
        <f t="array" ref="AB269">_xlfn.IFS((H269*0.95)&lt;=V269,"Concluído",AND(V269 =0, J269&lt;&gt;""),"Programado",AND(V269=0,D269=""),"Desenvolv.",V269=0,"Não Iniciado",AND(V269&gt;0,V269&lt;H269,AO269=TRUE),"Em Produção",AND(V269&gt;0,V269&lt;H269,AO269=FALSE),"Produção Parcial")</f>
        <v>Não Iniciado</v>
      </c>
      <c r="AC269" s="42" t="b">
        <v>1</v>
      </c>
      <c r="AD269" s="42" t="b">
        <v>1</v>
      </c>
      <c r="AE269" s="42" t="s">
        <v>38</v>
      </c>
      <c r="AF269" s="42" t="b">
        <v>1</v>
      </c>
      <c r="AG269" s="42" t="b">
        <v>1</v>
      </c>
      <c r="AH269" s="42" t="b">
        <v>1</v>
      </c>
      <c r="AI269" s="42" t="s">
        <v>38</v>
      </c>
      <c r="AJ269" s="42" t="b">
        <v>1</v>
      </c>
      <c r="AK269" s="42" t="s">
        <v>38</v>
      </c>
      <c r="AL269" s="42" t="b">
        <v>1</v>
      </c>
      <c r="AM269" s="67" t="b">
        <v>1</v>
      </c>
      <c r="AN269" s="42" t="b">
        <v>1</v>
      </c>
      <c r="AO269" s="45" t="b" cm="1">
        <f t="array" ref="AO269">AND(COUNTIF(AC269:AN269,FALSE)=0,SUMPRODUCT(ISNUMBER(AC269:AN269)*1)=0)</f>
        <v>1</v>
      </c>
      <c r="AP269" s="59"/>
      <c r="AQ269" s="111">
        <f>IF(AB269="",99999999999,IFERROR(MATCH(AB269,{"Produção Parcial","Em Produção","Programado","Não Iniciado","Desenvolv.","Concluído"},0),7)*100000000+IF(ISNUMBER(J269),J269-46000,9999)*10000+IF(A269="",99,A269)*100+IF(C269="",99,CODE(LEFT(C269,1))))</f>
        <v>499999972</v>
      </c>
      <c r="AR269"/>
      <c r="AS269"/>
    </row>
    <row r="270" spans="1:45" s="36" customFormat="1" ht="25.15" hidden="1" customHeight="1" x14ac:dyDescent="0.25">
      <c r="B270" s="38" t="s">
        <v>121</v>
      </c>
      <c r="C270" s="70" t="str">
        <f>INDEX([1]Produtos!$G:$G,MATCH($D270,[1]Produtos!$B:$B,0))</f>
        <v>HABIBI PERFUMES</v>
      </c>
      <c r="D270" s="24" t="s">
        <v>126</v>
      </c>
      <c r="E270" s="70" t="str">
        <f>INDEX([1]Produtos!$C:$C,MATCH($D270,[1]Produtos!$B:$B,0))&amp;IF($F270&lt;&gt;"-"," - "&amp;LEFT($F270,1),"")&amp;" &gt; "&amp;$B270</f>
        <v>HIDRATANTE BISNAGA ROSE AURORA 200g - 2 &gt; HABIBI 01</v>
      </c>
      <c r="F270" s="51" t="s">
        <v>84</v>
      </c>
      <c r="G270" s="38">
        <v>46127</v>
      </c>
      <c r="H270" s="39">
        <v>4000</v>
      </c>
      <c r="I270" s="24" t="s">
        <v>39</v>
      </c>
      <c r="J270" s="68" t="str" cm="1">
        <f t="array" ref="J270">IFERROR(INDEX('[2]Previsão Envase'!$D$5:$D$4867, MATCH(1,('[2]Previsão Envase'!$F$5:$F$4867=$E270)+('[2]Previsão Envase'!$G$5:$G$4867=$E270)+('[2]Previsão Envase'!$H$5:$H$4867=$E270),0)),"")</f>
        <v/>
      </c>
      <c r="K270" s="68" t="str">
        <f>IF(COUNTIF('[2]Previsão Envase'!$F:$F,E270)&gt;0,"Linha 1",
IF(COUNTIF('[2]Previsão Envase'!$G:$G,E270)&gt;0,"Linha 2",
IF(COUNTIF('[2]Previsão Envase'!$H:$H,E270)&gt;0,"Linha 3","")))</f>
        <v/>
      </c>
      <c r="L270" s="96">
        <f>COUNTIF('[2]Previsão Envase'!$F:$H,E270)-COUNTIF('[2]Previsão Envase'!$F$1:$H$4,E270)</f>
        <v>0</v>
      </c>
      <c r="M270" s="35">
        <f t="shared" si="44"/>
        <v>0</v>
      </c>
      <c r="N270" s="68" t="str">
        <f>IFERROR(MAX(_xlfn.MAXIFS('[2]Controle de Produção'!$C:$C,'[2]Controle de Produção'!$L:$L,$D270,'[2]Controle de Produção'!$P:$P,$C270,'[2]Controle de Produção'!$G:$G,$B270),_xlfn.MAXIFS([3]EXPEDIÇÃO!$N:$N,[3]EXPEDIÇÃO!$E:$E,$D270,[3]EXPEDIÇÃO!$D:$D,$C270,[3]EXPEDIÇÃO!$N:$N,"&gt;="&amp;$G270)),"")</f>
        <v/>
      </c>
      <c r="O270" s="70">
        <f>INDEX([1]Produtos!$E:$E,MATCH($D270,[1]Produtos!$B:$B,0))</f>
        <v>200</v>
      </c>
      <c r="P270" s="70" t="str">
        <f>INDEX([1]Produtos!$F:$F,MATCH($D270,[1]Produtos!$B:$B,0))</f>
        <v>g</v>
      </c>
      <c r="Q270" s="105">
        <f>INDEX([1]Produtos!$Y:$Y,MATCH($D270,[1]Produtos!$B:$B,0))</f>
        <v>2</v>
      </c>
      <c r="R270" s="35">
        <f t="shared" si="45"/>
        <v>5520.5897431648482</v>
      </c>
      <c r="S270" s="27">
        <f>IFERROR(INDEX([1]Produtos!$L:$L,MATCH(D270,[1]Produtos!$B:$B,0)), "")</f>
        <v>613.39886035164977</v>
      </c>
      <c r="T270" s="28">
        <f t="shared" si="46"/>
        <v>6.6</v>
      </c>
      <c r="U270" s="28" t="str">
        <f t="shared" si="47"/>
        <v>0D e 7h</v>
      </c>
      <c r="V270" s="27">
        <f>IFERROR(SUMIFS('[2]Controle de Produção'!$K:$K,'[2]Controle de Produção'!$L:$L,D270,'[2]Controle de Produção'!$P:$P,C270,'[2]Controle de Produção'!$B:$B,"&gt;=" &amp; G270,'[2]Controle de Produção'!$C:$C,"&lt;=" &amp; N270, '[2]Controle de Produção'!$G:$G,B270), "")</f>
        <v>0</v>
      </c>
      <c r="W270" s="27" t="str">
        <f>IFERROR(SUMIFS([3]EXPEDIÇÃO!$K:$K,[3]EXPEDIÇÃO!$E:$E,D270,[3]EXPEDIÇÃO!$D:$D,C270,[3]EXPEDIÇÃO!$N:$N,"&gt;=" &amp; G270,[3]EXPEDIÇÃO!$N:$N,"&lt;="&amp;N270), "")</f>
        <v/>
      </c>
      <c r="X270" s="27">
        <f>COUNTIFS('[2]Controle de Produção'!$P:$P,C270,'[2]Controle de Produção'!$L:$L,D270,'[2]Controle de Produção'!$B:$B,"&gt;=" &amp; G270)</f>
        <v>5</v>
      </c>
      <c r="Y270" s="27">
        <f t="shared" si="48"/>
        <v>0</v>
      </c>
      <c r="Z270" s="27">
        <f>IFERROR(COUNTIFS('[2]Controle de Produção'!$L:$L,D270,'[2]Controle de Produção'!$P:$P,C270,'[2]Controle de Produção'!$B:$B,"&gt;=" &amp; G270,'[2]Controle de Produção'!$C:$C,"&lt;=" &amp; N270, '[2]Controle de Produção'!$G:$G,B270), "")</f>
        <v>0</v>
      </c>
      <c r="AA270" s="108" t="str">
        <f t="shared" si="43"/>
        <v/>
      </c>
      <c r="AB270" s="41" t="str" cm="1">
        <f t="array" ref="AB270">_xlfn.IFS((H270*0.95)&lt;=V270,"Concluído",AND(V270 =0, J270&lt;&gt;""),"Programado",AND(V270=0,D270=""),"Desenvolv.",V270=0,"Não Iniciado",AND(V270&gt;0,V270&lt;H270,AO270=TRUE),"Em Produção",AND(V270&gt;0,V270&lt;H270,AO270=FALSE),"Produção Parcial")</f>
        <v>Não Iniciado</v>
      </c>
      <c r="AC270" s="42" t="b">
        <v>1</v>
      </c>
      <c r="AD270" s="42" t="b">
        <v>1</v>
      </c>
      <c r="AE270" s="42" t="s">
        <v>38</v>
      </c>
      <c r="AF270" s="42" t="b">
        <v>1</v>
      </c>
      <c r="AG270" s="42" t="b">
        <v>1</v>
      </c>
      <c r="AH270" s="42" t="b">
        <v>1</v>
      </c>
      <c r="AI270" s="42" t="s">
        <v>38</v>
      </c>
      <c r="AJ270" s="42" t="b">
        <v>1</v>
      </c>
      <c r="AK270" s="42" t="s">
        <v>38</v>
      </c>
      <c r="AL270" s="42" t="b">
        <v>1</v>
      </c>
      <c r="AM270" s="42" t="b">
        <v>1</v>
      </c>
      <c r="AN270" s="42" t="b">
        <v>1</v>
      </c>
      <c r="AO270" s="45" t="b" cm="1">
        <f t="array" ref="AO270">AND(COUNTIF(AC270:AN270,FALSE)=0,SUMPRODUCT(ISNUMBER(AC270:AN270)*1)=0)</f>
        <v>1</v>
      </c>
      <c r="AP270" s="61"/>
      <c r="AQ270" s="111">
        <f>IF(AB270="",99999999999,IFERROR(MATCH(AB270,{"Produção Parcial","Em Produção","Programado","Não Iniciado","Desenvolv.","Concluído"},0),7)*100000000+IF(ISNUMBER(J270),J270-46000,9999)*10000+IF(A270="",99,A270)*100+IF(C270="",99,CODE(LEFT(C270,1))))</f>
        <v>499999972</v>
      </c>
    </row>
    <row r="271" spans="1:45" s="36" customFormat="1" ht="25.15" hidden="1" customHeight="1" x14ac:dyDescent="0.25">
      <c r="B271" s="38" t="s">
        <v>121</v>
      </c>
      <c r="C271" s="70" t="str">
        <f>INDEX([1]Produtos!$G:$G,MATCH($D271,[1]Produtos!$B:$B,0))</f>
        <v>HABIBI PERFUMES</v>
      </c>
      <c r="D271" s="24" t="s">
        <v>123</v>
      </c>
      <c r="E271" s="70" t="str">
        <f>INDEX([1]Produtos!$C:$C,MATCH($D271,[1]Produtos!$B:$B,0))&amp;IF($F271&lt;&gt;"-"," - "&amp;LEFT($F271,1),"")&amp;" &gt; "&amp;$B271</f>
        <v>HIDRATANTE BISNAGA IMPERIUM BOURBON 200g - 1 &gt; HABIBI 01</v>
      </c>
      <c r="F271" s="51" t="s">
        <v>441</v>
      </c>
      <c r="G271" s="38">
        <v>46009</v>
      </c>
      <c r="H271" s="39">
        <v>2000</v>
      </c>
      <c r="I271" s="24" t="s">
        <v>39</v>
      </c>
      <c r="J271" s="68" t="str" cm="1">
        <f t="array" ref="J271">IFERROR(INDEX('[2]Previsão Envase'!$D$5:$D$4867, MATCH(1,('[2]Previsão Envase'!$F$5:$F$4867=$E271)+('[2]Previsão Envase'!$G$5:$G$4867=$E271)+('[2]Previsão Envase'!$H$5:$H$4867=$E271),0)),"")</f>
        <v/>
      </c>
      <c r="K271" s="68" t="str">
        <f>IF(COUNTIF('[2]Previsão Envase'!$F:$F,E271)&gt;0,"Linha 1",
IF(COUNTIF('[2]Previsão Envase'!$G:$G,E271)&gt;0,"Linha 2",
IF(COUNTIF('[2]Previsão Envase'!$H:$H,E271)&gt;0,"Linha 3","")))</f>
        <v/>
      </c>
      <c r="L271" s="96">
        <f>COUNTIF('[2]Previsão Envase'!$F:$H,E271)-COUNTIF('[2]Previsão Envase'!$F$1:$H$4,E271)</f>
        <v>0</v>
      </c>
      <c r="M271" s="35">
        <f t="shared" si="44"/>
        <v>0</v>
      </c>
      <c r="N271" s="68" t="str">
        <f>IFERROR(MAX(_xlfn.MAXIFS('[2]Controle de Produção'!$C:$C,'[2]Controle de Produção'!$L:$L,$D271,'[2]Controle de Produção'!$P:$P,$C271,'[2]Controle de Produção'!$G:$G,$B271),_xlfn.MAXIFS([3]EXPEDIÇÃO!$N:$N,[3]EXPEDIÇÃO!$E:$E,$D271,[3]EXPEDIÇÃO!$D:$D,$C271,[3]EXPEDIÇÃO!$N:$N,"&gt;="&amp;$G271)),"")</f>
        <v/>
      </c>
      <c r="O271" s="70">
        <f>INDEX([1]Produtos!$E:$E,MATCH($D271,[1]Produtos!$B:$B,0))</f>
        <v>200</v>
      </c>
      <c r="P271" s="70" t="str">
        <f>INDEX([1]Produtos!$F:$F,MATCH($D271,[1]Produtos!$B:$B,0))</f>
        <v>g</v>
      </c>
      <c r="Q271" s="105">
        <f>INDEX([1]Produtos!$Y:$Y,MATCH($D271,[1]Produtos!$B:$B,0))</f>
        <v>2</v>
      </c>
      <c r="R271" s="35">
        <f t="shared" si="45"/>
        <v>5520.5897431648482</v>
      </c>
      <c r="S271" s="27">
        <f>IFERROR(INDEX([1]Produtos!$L:$L,MATCH(D271,[1]Produtos!$B:$B,0)), "")</f>
        <v>613.39886035164977</v>
      </c>
      <c r="T271" s="28">
        <f t="shared" si="46"/>
        <v>3.3000000000000003</v>
      </c>
      <c r="U271" s="28" t="str">
        <f t="shared" si="47"/>
        <v>0D e 4h</v>
      </c>
      <c r="V271" s="27">
        <f>IFERROR(SUMIFS('[2]Controle de Produção'!$K:$K,'[2]Controle de Produção'!$L:$L,D271,'[2]Controle de Produção'!$P:$P,C271,'[2]Controle de Produção'!$B:$B,"&gt;=" &amp; G271,'[2]Controle de Produção'!$C:$C,"&lt;=" &amp; N271, '[2]Controle de Produção'!$G:$G,B271), "")</f>
        <v>0</v>
      </c>
      <c r="W271" s="27" t="str">
        <f>IFERROR(SUMIFS([3]EXPEDIÇÃO!$K:$K,[3]EXPEDIÇÃO!$E:$E,D271,[3]EXPEDIÇÃO!$D:$D,C271,[3]EXPEDIÇÃO!$N:$N,"&gt;=" &amp; G271,[3]EXPEDIÇÃO!$N:$N,"&lt;="&amp;N271), "")</f>
        <v/>
      </c>
      <c r="X271" s="27">
        <f>COUNTIFS('[2]Controle de Produção'!$P:$P,C271,'[2]Controle de Produção'!$L:$L,D271,'[2]Controle de Produção'!$B:$B,"&gt;=" &amp; G271)</f>
        <v>5</v>
      </c>
      <c r="Y271" s="27">
        <f t="shared" si="48"/>
        <v>0</v>
      </c>
      <c r="Z271" s="27">
        <f>IFERROR(COUNTIFS('[2]Controle de Produção'!$L:$L,D271,'[2]Controle de Produção'!$P:$P,C271,'[2]Controle de Produção'!$B:$B,"&gt;=" &amp; G271,'[2]Controle de Produção'!$C:$C,"&lt;=" &amp; N271, '[2]Controle de Produção'!$G:$G,B271), "")</f>
        <v>0</v>
      </c>
      <c r="AA271" s="108" t="str">
        <f t="shared" si="43"/>
        <v/>
      </c>
      <c r="AB271" s="41" t="str" cm="1">
        <f t="array" ref="AB271">_xlfn.IFS((H271*0.95)&lt;=V271,"Concluído",AND(V271 =0, J271&lt;&gt;""),"Programado",AND(V271=0,D271=""),"Desenvolv.",V271=0,"Não Iniciado",AND(V271&gt;0,V271&lt;H271,AO271=TRUE),"Em Produção",AND(V271&gt;0,V271&lt;H271,AO271=FALSE),"Produção Parcial")</f>
        <v>Não Iniciado</v>
      </c>
      <c r="AC271" s="42" t="b">
        <v>1</v>
      </c>
      <c r="AD271" s="42" t="b">
        <v>1</v>
      </c>
      <c r="AE271" s="42" t="s">
        <v>38</v>
      </c>
      <c r="AF271" s="42" t="b">
        <v>1</v>
      </c>
      <c r="AG271" s="42" t="b">
        <v>1</v>
      </c>
      <c r="AH271" s="42" t="b">
        <v>1</v>
      </c>
      <c r="AI271" s="42" t="s">
        <v>38</v>
      </c>
      <c r="AJ271" s="42" t="b">
        <v>1</v>
      </c>
      <c r="AK271" s="42" t="s">
        <v>38</v>
      </c>
      <c r="AL271" s="42" t="b">
        <v>1</v>
      </c>
      <c r="AM271" s="42" t="b">
        <v>1</v>
      </c>
      <c r="AN271" s="42" t="b">
        <v>1</v>
      </c>
      <c r="AO271" s="45" t="b" cm="1">
        <f t="array" ref="AO271">AND(COUNTIF(AC271:AN271,FALSE)=0,SUMPRODUCT(ISNUMBER(AC271:AN271)*1)=0)</f>
        <v>1</v>
      </c>
      <c r="AP271" s="59"/>
      <c r="AQ271" s="111">
        <f>IF(AB271="",99999999999,IFERROR(MATCH(AB271,{"Produção Parcial","Em Produção","Programado","Não Iniciado","Desenvolv.","Concluído"},0),7)*100000000+IF(ISNUMBER(J271),J271-46000,9999)*10000+IF(A271="",99,A271)*100+IF(C271="",99,CODE(LEFT(C271,1))))</f>
        <v>499999972</v>
      </c>
    </row>
    <row r="272" spans="1:45" s="36" customFormat="1" ht="25.15" hidden="1" customHeight="1" x14ac:dyDescent="0.25">
      <c r="B272" s="38" t="s">
        <v>121</v>
      </c>
      <c r="C272" s="70" t="str">
        <f>INDEX([1]Produtos!$G:$G,MATCH($D272,[1]Produtos!$B:$B,0))</f>
        <v>HABIBI PERFUMES</v>
      </c>
      <c r="D272" s="24" t="s">
        <v>123</v>
      </c>
      <c r="E272" s="70" t="str">
        <f>INDEX([1]Produtos!$C:$C,MATCH($D272,[1]Produtos!$B:$B,0))&amp;IF($F272&lt;&gt;"-"," - "&amp;LEFT($F272,1),"")&amp;" &gt; "&amp;$B272</f>
        <v>HIDRATANTE BISNAGA IMPERIUM BOURBON 200g - 2 &gt; HABIBI 01</v>
      </c>
      <c r="F272" s="51" t="s">
        <v>84</v>
      </c>
      <c r="G272" s="38">
        <v>46127</v>
      </c>
      <c r="H272" s="39">
        <v>4000</v>
      </c>
      <c r="I272" s="24" t="s">
        <v>39</v>
      </c>
      <c r="J272" s="68" t="str" cm="1">
        <f t="array" ref="J272">IFERROR(INDEX('[2]Previsão Envase'!$D$5:$D$4867, MATCH(1,('[2]Previsão Envase'!$F$5:$F$4867=$E272)+('[2]Previsão Envase'!$G$5:$G$4867=$E272)+('[2]Previsão Envase'!$H$5:$H$4867=$E272),0)),"")</f>
        <v/>
      </c>
      <c r="K272" s="68" t="str">
        <f>IF(COUNTIF('[2]Previsão Envase'!$F:$F,E272)&gt;0,"Linha 1",
IF(COUNTIF('[2]Previsão Envase'!$G:$G,E272)&gt;0,"Linha 2",
IF(COUNTIF('[2]Previsão Envase'!$H:$H,E272)&gt;0,"Linha 3","")))</f>
        <v/>
      </c>
      <c r="L272" s="96">
        <f>COUNTIF('[2]Previsão Envase'!$F:$H,E272)-COUNTIF('[2]Previsão Envase'!$F$1:$H$4,E272)</f>
        <v>0</v>
      </c>
      <c r="M272" s="35">
        <f t="shared" si="44"/>
        <v>0</v>
      </c>
      <c r="N272" s="68" t="str">
        <f>IFERROR(MAX(_xlfn.MAXIFS('[2]Controle de Produção'!$C:$C,'[2]Controle de Produção'!$L:$L,$D272,'[2]Controle de Produção'!$P:$P,$C272,'[2]Controle de Produção'!$G:$G,$B272),_xlfn.MAXIFS([3]EXPEDIÇÃO!$N:$N,[3]EXPEDIÇÃO!$E:$E,$D272,[3]EXPEDIÇÃO!$D:$D,$C272,[3]EXPEDIÇÃO!$N:$N,"&gt;="&amp;$G272)),"")</f>
        <v/>
      </c>
      <c r="O272" s="70">
        <f>INDEX([1]Produtos!$E:$E,MATCH($D272,[1]Produtos!$B:$B,0))</f>
        <v>200</v>
      </c>
      <c r="P272" s="70" t="str">
        <f>INDEX([1]Produtos!$F:$F,MATCH($D272,[1]Produtos!$B:$B,0))</f>
        <v>g</v>
      </c>
      <c r="Q272" s="105">
        <f>INDEX([1]Produtos!$Y:$Y,MATCH($D272,[1]Produtos!$B:$B,0))</f>
        <v>2</v>
      </c>
      <c r="R272" s="35">
        <f t="shared" si="45"/>
        <v>5520.5897431648482</v>
      </c>
      <c r="S272" s="27">
        <f>IFERROR(INDEX([1]Produtos!$L:$L,MATCH(D272,[1]Produtos!$B:$B,0)), "")</f>
        <v>613.39886035164977</v>
      </c>
      <c r="T272" s="28">
        <f t="shared" si="46"/>
        <v>6.6</v>
      </c>
      <c r="U272" s="28" t="str">
        <f t="shared" si="47"/>
        <v>0D e 7h</v>
      </c>
      <c r="V272" s="27">
        <f>IFERROR(SUMIFS('[2]Controle de Produção'!$K:$K,'[2]Controle de Produção'!$L:$L,D272,'[2]Controle de Produção'!$P:$P,C272,'[2]Controle de Produção'!$B:$B,"&gt;=" &amp; G272,'[2]Controle de Produção'!$C:$C,"&lt;=" &amp; N272, '[2]Controle de Produção'!$G:$G,B272), "")</f>
        <v>0</v>
      </c>
      <c r="W272" s="27" t="str">
        <f>IFERROR(SUMIFS([3]EXPEDIÇÃO!$K:$K,[3]EXPEDIÇÃO!$E:$E,D272,[3]EXPEDIÇÃO!$D:$D,C272,[3]EXPEDIÇÃO!$N:$N,"&gt;=" &amp; G272,[3]EXPEDIÇÃO!$N:$N,"&lt;="&amp;N272), "")</f>
        <v/>
      </c>
      <c r="X272" s="27">
        <f>COUNTIFS('[2]Controle de Produção'!$P:$P,C272,'[2]Controle de Produção'!$L:$L,D272,'[2]Controle de Produção'!$B:$B,"&gt;=" &amp; G272)</f>
        <v>3</v>
      </c>
      <c r="Y272" s="27">
        <f t="shared" si="48"/>
        <v>0</v>
      </c>
      <c r="Z272" s="27">
        <f>IFERROR(COUNTIFS('[2]Controle de Produção'!$L:$L,D272,'[2]Controle de Produção'!$P:$P,C272,'[2]Controle de Produção'!$B:$B,"&gt;=" &amp; G272,'[2]Controle de Produção'!$C:$C,"&lt;=" &amp; N272, '[2]Controle de Produção'!$G:$G,B272), "")</f>
        <v>0</v>
      </c>
      <c r="AA272" s="108" t="str">
        <f t="shared" ref="AA272:AA303" si="49">IF(OR(V272=0,H272=0),"",IF(V272="","",(V272-H272)/H272))</f>
        <v/>
      </c>
      <c r="AB272" s="41" t="str" cm="1">
        <f t="array" ref="AB272">_xlfn.IFS((H272*0.95)&lt;=V272,"Concluído",AND(V272 =0, J272&lt;&gt;""),"Programado",AND(V272=0,D272=""),"Desenvolv.",V272=0,"Não Iniciado",AND(V272&gt;0,V272&lt;H272,AO272=TRUE),"Em Produção",AND(V272&gt;0,V272&lt;H272,AO272=FALSE),"Produção Parcial")</f>
        <v>Não Iniciado</v>
      </c>
      <c r="AC272" s="42" t="b">
        <v>1</v>
      </c>
      <c r="AD272" s="42" t="b">
        <v>1</v>
      </c>
      <c r="AE272" s="42" t="s">
        <v>38</v>
      </c>
      <c r="AF272" s="42" t="b">
        <v>1</v>
      </c>
      <c r="AG272" s="42" t="b">
        <v>1</v>
      </c>
      <c r="AH272" s="42" t="b">
        <v>1</v>
      </c>
      <c r="AI272" s="42" t="s">
        <v>38</v>
      </c>
      <c r="AJ272" s="42" t="b">
        <v>1</v>
      </c>
      <c r="AK272" s="42" t="s">
        <v>38</v>
      </c>
      <c r="AL272" s="42" t="b">
        <v>1</v>
      </c>
      <c r="AM272" s="42" t="b">
        <v>1</v>
      </c>
      <c r="AN272" s="42" t="b">
        <v>1</v>
      </c>
      <c r="AO272" s="45" t="b" cm="1">
        <f t="array" ref="AO272">AND(COUNTIF(AC272:AN272,FALSE)=0,SUMPRODUCT(ISNUMBER(AC272:AN272)*1)=0)</f>
        <v>1</v>
      </c>
      <c r="AP272" s="59"/>
      <c r="AQ272" s="111">
        <f>IF(AB272="",99999999999,IFERROR(MATCH(AB272,{"Produção Parcial","Em Produção","Programado","Não Iniciado","Desenvolv.","Concluído"},0),7)*100000000+IF(ISNUMBER(J272),J272-46000,9999)*10000+IF(A272="",99,A272)*100+IF(C272="",99,CODE(LEFT(C272,1))))</f>
        <v>499999972</v>
      </c>
    </row>
    <row r="273" spans="1:45" s="36" customFormat="1" ht="25.15" hidden="1" customHeight="1" x14ac:dyDescent="0.25">
      <c r="B273" s="38" t="s">
        <v>121</v>
      </c>
      <c r="C273" s="70" t="str">
        <f>INDEX([1]Produtos!$G:$G,MATCH($D273,[1]Produtos!$B:$B,0))</f>
        <v>HABIBI PERFUMES</v>
      </c>
      <c r="D273" s="24" t="s">
        <v>125</v>
      </c>
      <c r="E273" s="70" t="str">
        <f>INDEX([1]Produtos!$C:$C,MATCH($D273,[1]Produtos!$B:$B,0))&amp;IF($F273&lt;&gt;"-"," - "&amp;LEFT($F273,1),"")&amp;" &gt; "&amp;$B273</f>
        <v>HIDRATANTE BISNAGA LUX AMBER 200g - 1 &gt; HABIBI 01</v>
      </c>
      <c r="F273" s="51" t="s">
        <v>441</v>
      </c>
      <c r="G273" s="38">
        <v>46009</v>
      </c>
      <c r="H273" s="39">
        <v>2000</v>
      </c>
      <c r="I273" s="24" t="s">
        <v>39</v>
      </c>
      <c r="J273" s="68" t="str" cm="1">
        <f t="array" ref="J273">IFERROR(INDEX('[2]Previsão Envase'!$D$5:$D$4867, MATCH(1,('[2]Previsão Envase'!$F$5:$F$4867=$E273)+('[2]Previsão Envase'!$G$5:$G$4867=$E273)+('[2]Previsão Envase'!$H$5:$H$4867=$E273),0)),"")</f>
        <v/>
      </c>
      <c r="K273" s="68" t="str">
        <f>IF(COUNTIF('[2]Previsão Envase'!$F:$F,E273)&gt;0,"Linha 1",
IF(COUNTIF('[2]Previsão Envase'!$G:$G,E273)&gt;0,"Linha 2",
IF(COUNTIF('[2]Previsão Envase'!$H:$H,E273)&gt;0,"Linha 3","")))</f>
        <v/>
      </c>
      <c r="L273" s="96">
        <f>COUNTIF('[2]Previsão Envase'!$F:$H,E273)-COUNTIF('[2]Previsão Envase'!$F$1:$H$4,E273)</f>
        <v>0</v>
      </c>
      <c r="M273" s="35">
        <f t="shared" si="44"/>
        <v>0</v>
      </c>
      <c r="N273" s="68" t="str">
        <f>IFERROR(MAX(_xlfn.MAXIFS('[2]Controle de Produção'!$C:$C,'[2]Controle de Produção'!$L:$L,$D273,'[2]Controle de Produção'!$P:$P,$C273,'[2]Controle de Produção'!$G:$G,$B273),_xlfn.MAXIFS([3]EXPEDIÇÃO!$N:$N,[3]EXPEDIÇÃO!$E:$E,$D273,[3]EXPEDIÇÃO!$D:$D,$C273,[3]EXPEDIÇÃO!$N:$N,"&gt;="&amp;$G273)),"")</f>
        <v/>
      </c>
      <c r="O273" s="70">
        <f>INDEX([1]Produtos!$E:$E,MATCH($D273,[1]Produtos!$B:$B,0))</f>
        <v>200</v>
      </c>
      <c r="P273" s="70" t="str">
        <f>INDEX([1]Produtos!$F:$F,MATCH($D273,[1]Produtos!$B:$B,0))</f>
        <v>g</v>
      </c>
      <c r="Q273" s="105">
        <f>INDEX([1]Produtos!$Y:$Y,MATCH($D273,[1]Produtos!$B:$B,0))</f>
        <v>2</v>
      </c>
      <c r="R273" s="35">
        <f t="shared" si="45"/>
        <v>5520.5897431648482</v>
      </c>
      <c r="S273" s="27">
        <f>IFERROR(INDEX([1]Produtos!$L:$L,MATCH(D273,[1]Produtos!$B:$B,0)), "")</f>
        <v>613.39886035164977</v>
      </c>
      <c r="T273" s="28">
        <f t="shared" si="46"/>
        <v>3.3000000000000003</v>
      </c>
      <c r="U273" s="28" t="str">
        <f t="shared" si="47"/>
        <v>0D e 4h</v>
      </c>
      <c r="V273" s="27">
        <f>IFERROR(SUMIFS('[2]Controle de Produção'!$K:$K,'[2]Controle de Produção'!$L:$L,D273,'[2]Controle de Produção'!$P:$P,C273,'[2]Controle de Produção'!$B:$B,"&gt;=" &amp; G273,'[2]Controle de Produção'!$C:$C,"&lt;=" &amp; N273, '[2]Controle de Produção'!$G:$G,B273), "")</f>
        <v>0</v>
      </c>
      <c r="W273" s="27" t="str">
        <f>IFERROR(SUMIFS([3]EXPEDIÇÃO!$K:$K,[3]EXPEDIÇÃO!$E:$E,D273,[3]EXPEDIÇÃO!$D:$D,C273,[3]EXPEDIÇÃO!$N:$N,"&gt;=" &amp; G273,[3]EXPEDIÇÃO!$N:$N,"&lt;="&amp;N273), "")</f>
        <v/>
      </c>
      <c r="X273" s="27">
        <f>COUNTIFS('[2]Controle de Produção'!$P:$P,C273,'[2]Controle de Produção'!$L:$L,D273,'[2]Controle de Produção'!$B:$B,"&gt;=" &amp; G273)</f>
        <v>7</v>
      </c>
      <c r="Y273" s="27">
        <f t="shared" si="48"/>
        <v>0</v>
      </c>
      <c r="Z273" s="27">
        <f>IFERROR(COUNTIFS('[2]Controle de Produção'!$L:$L,D273,'[2]Controle de Produção'!$P:$P,C273,'[2]Controle de Produção'!$B:$B,"&gt;=" &amp; G273,'[2]Controle de Produção'!$C:$C,"&lt;=" &amp; N273, '[2]Controle de Produção'!$G:$G,B273), "")</f>
        <v>0</v>
      </c>
      <c r="AA273" s="108" t="str">
        <f t="shared" si="49"/>
        <v/>
      </c>
      <c r="AB273" s="41" t="str" cm="1">
        <f t="array" ref="AB273">_xlfn.IFS((H273*0.95)&lt;=V273,"Concluído",AND(V273 =0, J273&lt;&gt;""),"Programado",AND(V273=0,D273=""),"Desenvolv.",V273=0,"Não Iniciado",AND(V273&gt;0,V273&lt;H273,AO273=TRUE),"Em Produção",AND(V273&gt;0,V273&lt;H273,AO273=FALSE),"Produção Parcial")</f>
        <v>Não Iniciado</v>
      </c>
      <c r="AC273" s="42" t="b">
        <v>1</v>
      </c>
      <c r="AD273" s="42" t="b">
        <v>1</v>
      </c>
      <c r="AE273" s="42" t="s">
        <v>38</v>
      </c>
      <c r="AF273" s="42" t="b">
        <v>1</v>
      </c>
      <c r="AG273" s="42" t="b">
        <v>1</v>
      </c>
      <c r="AH273" s="42" t="b">
        <v>1</v>
      </c>
      <c r="AI273" s="42" t="s">
        <v>38</v>
      </c>
      <c r="AJ273" s="42" t="b">
        <v>1</v>
      </c>
      <c r="AK273" s="42" t="s">
        <v>38</v>
      </c>
      <c r="AL273" s="42" t="b">
        <v>1</v>
      </c>
      <c r="AM273" s="42" t="b">
        <v>1</v>
      </c>
      <c r="AN273" s="42" t="b">
        <v>1</v>
      </c>
      <c r="AO273" s="45" t="b" cm="1">
        <f t="array" ref="AO273">AND(COUNTIF(AC273:AN273,FALSE)=0,SUMPRODUCT(ISNUMBER(AC273:AN273)*1)=0)</f>
        <v>1</v>
      </c>
      <c r="AP273" s="59"/>
      <c r="AQ273" s="111">
        <f>IF(AB273="",99999999999,IFERROR(MATCH(AB273,{"Produção Parcial","Em Produção","Programado","Não Iniciado","Desenvolv.","Concluído"},0),7)*100000000+IF(ISNUMBER(J273),J273-46000,9999)*10000+IF(A273="",99,A273)*100+IF(C273="",99,CODE(LEFT(C273,1))))</f>
        <v>499999972</v>
      </c>
    </row>
    <row r="274" spans="1:45" s="36" customFormat="1" ht="25.15" hidden="1" customHeight="1" x14ac:dyDescent="0.25">
      <c r="B274" s="38" t="s">
        <v>177</v>
      </c>
      <c r="C274" s="24" t="str">
        <f>INDEX([1]Produtos!$G:$G,MATCH($D274,[1]Produtos!$B:$B,0))</f>
        <v>ISA BEAUTY</v>
      </c>
      <c r="D274" s="24" t="s">
        <v>198</v>
      </c>
      <c r="E274" s="70" t="str">
        <f>INDEX([1]Produtos!$C:$C,MATCH($D274,[1]Produtos!$B:$B,0))&amp;IF($F274&lt;&gt;"-"," - "&amp;LEFT($F274,1),"")&amp;" &gt; "&amp;$B274</f>
        <v>BODY SPLASH ABDALLAH &gt; 03_07</v>
      </c>
      <c r="F274" s="51" t="s">
        <v>38</v>
      </c>
      <c r="G274" s="38">
        <v>45862</v>
      </c>
      <c r="H274" s="39">
        <v>5000</v>
      </c>
      <c r="I274" s="24" t="s">
        <v>39</v>
      </c>
      <c r="J274" s="68" t="str" cm="1">
        <f t="array" ref="J274">IFERROR(INDEX('[2]Previsão Envase'!$D$5:$D$4867, MATCH(1,('[2]Previsão Envase'!$F$5:$F$4867=$E274)+('[2]Previsão Envase'!$G$5:$G$4867=$E274)+('[2]Previsão Envase'!$H$5:$H$4867=$E274),0)),"")</f>
        <v/>
      </c>
      <c r="K274" s="68" t="str">
        <f>IF(COUNTIF('[2]Previsão Envase'!$F:$F,E274)&gt;0,"Linha 1",
IF(COUNTIF('[2]Previsão Envase'!$G:$G,E274)&gt;0,"Linha 2",
IF(COUNTIF('[2]Previsão Envase'!$H:$H,E274)&gt;0,"Linha 3","")))</f>
        <v/>
      </c>
      <c r="L274" s="96">
        <f>COUNTIF('[2]Previsão Envase'!$F:$H,E274)-COUNTIF('[2]Previsão Envase'!$F$1:$H$4,E274)</f>
        <v>0</v>
      </c>
      <c r="M274" s="35">
        <f t="shared" si="44"/>
        <v>0</v>
      </c>
      <c r="N274" s="68" t="str">
        <f>IFERROR(MAX(_xlfn.MAXIFS('[2]Controle de Produção'!$C:$C,'[2]Controle de Produção'!$L:$L,$D274,'[2]Controle de Produção'!$P:$P,$C274,'[2]Controle de Produção'!$G:$G,$B274),_xlfn.MAXIFS([3]EXPEDIÇÃO!$N:$N,[3]EXPEDIÇÃO!$E:$E,$D274,[3]EXPEDIÇÃO!$D:$D,$C274,[3]EXPEDIÇÃO!$N:$N,"&gt;="&amp;$G274)),"")</f>
        <v/>
      </c>
      <c r="O274" s="70">
        <f>INDEX([1]Produtos!$E:$E,MATCH($D274,[1]Produtos!$B:$B,0))</f>
        <v>120</v>
      </c>
      <c r="P274" s="70" t="str">
        <f>INDEX([1]Produtos!$F:$F,MATCH($D274,[1]Produtos!$B:$B,0))</f>
        <v>ml</v>
      </c>
      <c r="Q274" s="105">
        <f>INDEX([1]Produtos!$Y:$Y,MATCH($D274,[1]Produtos!$B:$B,0))</f>
        <v>0</v>
      </c>
      <c r="R274" s="35">
        <f t="shared" si="45"/>
        <v>7592.2902086267013</v>
      </c>
      <c r="S274" s="27">
        <f>IFERROR(INDEX([1]Produtos!$L:$L,MATCH(D274,[1]Produtos!$B:$B,0)), "")</f>
        <v>843.58780095852239</v>
      </c>
      <c r="T274" s="28">
        <f t="shared" si="46"/>
        <v>6</v>
      </c>
      <c r="U274" s="28" t="str">
        <f t="shared" si="47"/>
        <v>0D e 6h</v>
      </c>
      <c r="V274" s="27">
        <f>IFERROR(SUMIFS('[2]Controle de Produção'!$K:$K,'[2]Controle de Produção'!$L:$L,D274,'[2]Controle de Produção'!$P:$P,C274,'[2]Controle de Produção'!$B:$B,"&gt;=" &amp; G274,'[2]Controle de Produção'!$C:$C,"&lt;=" &amp; N274, '[2]Controle de Produção'!$G:$G,B274), "")</f>
        <v>0</v>
      </c>
      <c r="W274" s="27" t="str">
        <f>IFERROR(SUMIFS([3]EXPEDIÇÃO!$K:$K,[3]EXPEDIÇÃO!$E:$E,D274,[3]EXPEDIÇÃO!$D:$D,C274,[3]EXPEDIÇÃO!$N:$N,"&gt;=" &amp; G274,[3]EXPEDIÇÃO!$N:$N,"&lt;="&amp;N274), "")</f>
        <v/>
      </c>
      <c r="X274" s="27">
        <f>COUNTIFS('[2]Controle de Produção'!$P:$P,C274,'[2]Controle de Produção'!$L:$L,D274,'[2]Controle de Produção'!$B:$B,"&gt;=" &amp; G274)</f>
        <v>1</v>
      </c>
      <c r="Y274" s="27">
        <f t="shared" si="48"/>
        <v>0</v>
      </c>
      <c r="Z274" s="27">
        <f>IFERROR(COUNTIFS('[2]Controle de Produção'!$L:$L,D274,'[2]Controle de Produção'!$P:$P,C274,'[2]Controle de Produção'!$B:$B,"&gt;=" &amp; G274,'[2]Controle de Produção'!$C:$C,"&lt;=" &amp; N274, '[2]Controle de Produção'!$G:$G,B274), "")</f>
        <v>0</v>
      </c>
      <c r="AA274" s="108" t="str">
        <f t="shared" si="49"/>
        <v/>
      </c>
      <c r="AB274" s="41" t="str" cm="1">
        <f t="array" ref="AB274">_xlfn.IFS((H274*0.95)&lt;=V274,"Concluído",AND(V274 =0, J274&lt;&gt;""),"Programado",AND(V274=0,D274=""),"Desenvolv.",V274=0,"Não Iniciado",AND(V274&gt;0,V274&lt;H274,AO274=TRUE),"Em Produção",AND(V274&gt;0,V274&lt;H274,AO274=FALSE),"Produção Parcial")</f>
        <v>Não Iniciado</v>
      </c>
      <c r="AC274" s="42" t="b">
        <v>1</v>
      </c>
      <c r="AD274" s="42" t="b">
        <v>1</v>
      </c>
      <c r="AE274" s="42" t="b">
        <v>1</v>
      </c>
      <c r="AF274" s="42" t="b">
        <v>1</v>
      </c>
      <c r="AG274" s="42" t="b">
        <v>1</v>
      </c>
      <c r="AH274" s="42" t="s">
        <v>38</v>
      </c>
      <c r="AI274" s="42" t="b">
        <v>1</v>
      </c>
      <c r="AJ274" s="42" t="s">
        <v>38</v>
      </c>
      <c r="AK274" s="42" t="b">
        <v>0</v>
      </c>
      <c r="AL274" s="42" t="b">
        <v>1</v>
      </c>
      <c r="AM274" s="42" t="b">
        <v>0</v>
      </c>
      <c r="AN274" s="42">
        <f>3/3</f>
        <v>1</v>
      </c>
      <c r="AO274" s="45" t="b" cm="1">
        <f t="array" ref="AO274">AND(COUNTIF(AC274:AN274,FALSE)=0,SUMPRODUCT(ISNUMBER(AC274:AN274)*1)=0)</f>
        <v>0</v>
      </c>
      <c r="AP274" s="59"/>
      <c r="AQ274" s="111">
        <f>IF(AB274="",99999999999,IFERROR(MATCH(AB274,{"Produção Parcial","Em Produção","Programado","Não Iniciado","Desenvolv.","Concluído"},0),7)*100000000+IF(ISNUMBER(J274),J274-46000,9999)*10000+IF(A274="",99,A274)*100+IF(C274="",99,CODE(LEFT(C274,1))))</f>
        <v>499999973</v>
      </c>
    </row>
    <row r="275" spans="1:45" s="36" customFormat="1" ht="25.15" hidden="1" customHeight="1" x14ac:dyDescent="0.25">
      <c r="B275" s="38" t="s">
        <v>177</v>
      </c>
      <c r="C275" s="24" t="str">
        <f>INDEX([1]Produtos!$G:$G,MATCH($D275,[1]Produtos!$B:$B,0))</f>
        <v>ISA BEAUTY</v>
      </c>
      <c r="D275" s="24" t="s">
        <v>200</v>
      </c>
      <c r="E275" s="70" t="str">
        <f>INDEX([1]Produtos!$C:$C,MATCH($D275,[1]Produtos!$B:$B,0))&amp;IF($F275&lt;&gt;"-"," - "&amp;LEFT($F275,1),"")&amp;" &gt; "&amp;$B275</f>
        <v>BODY SPLASH ÁRABE &gt; 03_07</v>
      </c>
      <c r="F275" s="51" t="s">
        <v>38</v>
      </c>
      <c r="G275" s="38">
        <v>45862</v>
      </c>
      <c r="H275" s="39">
        <v>5000</v>
      </c>
      <c r="I275" s="24" t="s">
        <v>39</v>
      </c>
      <c r="J275" s="68" t="str" cm="1">
        <f t="array" ref="J275">IFERROR(INDEX('[2]Previsão Envase'!$D$5:$D$4867, MATCH(1,('[2]Previsão Envase'!$F$5:$F$4867=$E275)+('[2]Previsão Envase'!$G$5:$G$4867=$E275)+('[2]Previsão Envase'!$H$5:$H$4867=$E275),0)),"")</f>
        <v/>
      </c>
      <c r="K275" s="68" t="str">
        <f>IF(COUNTIF('[2]Previsão Envase'!$F:$F,E275)&gt;0,"Linha 1",
IF(COUNTIF('[2]Previsão Envase'!$G:$G,E275)&gt;0,"Linha 2",
IF(COUNTIF('[2]Previsão Envase'!$H:$H,E275)&gt;0,"Linha 3","")))</f>
        <v/>
      </c>
      <c r="L275" s="96">
        <f>COUNTIF('[2]Previsão Envase'!$F:$H,E275)-COUNTIF('[2]Previsão Envase'!$F$1:$H$4,E275)</f>
        <v>0</v>
      </c>
      <c r="M275" s="35">
        <f t="shared" si="44"/>
        <v>0</v>
      </c>
      <c r="N275" s="68" t="str">
        <f>IFERROR(MAX(_xlfn.MAXIFS('[2]Controle de Produção'!$C:$C,'[2]Controle de Produção'!$L:$L,$D275,'[2]Controle de Produção'!$P:$P,$C275,'[2]Controle de Produção'!$G:$G,$B275),_xlfn.MAXIFS([3]EXPEDIÇÃO!$N:$N,[3]EXPEDIÇÃO!$E:$E,$D275,[3]EXPEDIÇÃO!$D:$D,$C275,[3]EXPEDIÇÃO!$N:$N,"&gt;="&amp;$G275)),"")</f>
        <v/>
      </c>
      <c r="O275" s="70">
        <f>INDEX([1]Produtos!$E:$E,MATCH($D275,[1]Produtos!$B:$B,0))</f>
        <v>120</v>
      </c>
      <c r="P275" s="70" t="str">
        <f>INDEX([1]Produtos!$F:$F,MATCH($D275,[1]Produtos!$B:$B,0))</f>
        <v>ml</v>
      </c>
      <c r="Q275" s="105">
        <f>INDEX([1]Produtos!$Y:$Y,MATCH($D275,[1]Produtos!$B:$B,0))</f>
        <v>0</v>
      </c>
      <c r="R275" s="35">
        <f t="shared" si="45"/>
        <v>7592.2902086267013</v>
      </c>
      <c r="S275" s="27">
        <f>IFERROR(INDEX([1]Produtos!$L:$L,MATCH(D275,[1]Produtos!$B:$B,0)), "")</f>
        <v>843.58780095852239</v>
      </c>
      <c r="T275" s="28">
        <f t="shared" si="46"/>
        <v>6</v>
      </c>
      <c r="U275" s="28" t="str">
        <f t="shared" si="47"/>
        <v>0D e 6h</v>
      </c>
      <c r="V275" s="27">
        <f>IFERROR(SUMIFS('[2]Controle de Produção'!$K:$K,'[2]Controle de Produção'!$L:$L,D275,'[2]Controle de Produção'!$P:$P,C275,'[2]Controle de Produção'!$B:$B,"&gt;=" &amp; G275,'[2]Controle de Produção'!$C:$C,"&lt;=" &amp; N275, '[2]Controle de Produção'!$G:$G,B275), "")</f>
        <v>0</v>
      </c>
      <c r="W275" s="27" t="str">
        <f>IFERROR(SUMIFS([3]EXPEDIÇÃO!$K:$K,[3]EXPEDIÇÃO!$E:$E,D275,[3]EXPEDIÇÃO!$D:$D,C275,[3]EXPEDIÇÃO!$N:$N,"&gt;=" &amp; G275,[3]EXPEDIÇÃO!$N:$N,"&lt;="&amp;N275), "")</f>
        <v/>
      </c>
      <c r="X275" s="27">
        <f>COUNTIFS('[2]Controle de Produção'!$P:$P,C275,'[2]Controle de Produção'!$L:$L,D275,'[2]Controle de Produção'!$B:$B,"&gt;=" &amp; G275)</f>
        <v>1</v>
      </c>
      <c r="Y275" s="27">
        <f t="shared" si="48"/>
        <v>0</v>
      </c>
      <c r="Z275" s="27">
        <f>IFERROR(COUNTIFS('[2]Controle de Produção'!$L:$L,D275,'[2]Controle de Produção'!$P:$P,C275,'[2]Controle de Produção'!$B:$B,"&gt;=" &amp; G275,'[2]Controle de Produção'!$C:$C,"&lt;=" &amp; N275, '[2]Controle de Produção'!$G:$G,B275), "")</f>
        <v>0</v>
      </c>
      <c r="AA275" s="108" t="str">
        <f t="shared" si="49"/>
        <v/>
      </c>
      <c r="AB275" s="41" t="str" cm="1">
        <f t="array" ref="AB275">_xlfn.IFS((H275*0.95)&lt;=V275,"Concluído",AND(V275 =0, J275&lt;&gt;""),"Programado",AND(V275=0,D275=""),"Desenvolv.",V275=0,"Não Iniciado",AND(V275&gt;0,V275&lt;H275,AO275=TRUE),"Em Produção",AND(V275&gt;0,V275&lt;H275,AO275=FALSE),"Produção Parcial")</f>
        <v>Não Iniciado</v>
      </c>
      <c r="AC275" s="42" t="b">
        <v>1</v>
      </c>
      <c r="AD275" s="42" t="b">
        <v>1</v>
      </c>
      <c r="AE275" s="42" t="b">
        <v>1</v>
      </c>
      <c r="AF275" s="42" t="b">
        <v>1</v>
      </c>
      <c r="AG275" s="42" t="s">
        <v>38</v>
      </c>
      <c r="AH275" s="42" t="s">
        <v>38</v>
      </c>
      <c r="AI275" s="42" t="b">
        <v>1</v>
      </c>
      <c r="AJ275" s="42" t="s">
        <v>38</v>
      </c>
      <c r="AK275" s="42" t="b">
        <v>0</v>
      </c>
      <c r="AL275" s="42" t="b">
        <v>1</v>
      </c>
      <c r="AM275" s="42" t="b">
        <v>1</v>
      </c>
      <c r="AN275" s="42">
        <f>3/3</f>
        <v>1</v>
      </c>
      <c r="AO275" s="45" t="b" cm="1">
        <f t="array" ref="AO275">AND(COUNTIF(AC275:AN275,FALSE)=0,SUMPRODUCT(ISNUMBER(AC275:AN275)*1)=0)</f>
        <v>0</v>
      </c>
      <c r="AP275" s="59"/>
      <c r="AQ275" s="111">
        <f>IF(AB275="",99999999999,IFERROR(MATCH(AB275,{"Produção Parcial","Em Produção","Programado","Não Iniciado","Desenvolv.","Concluído"},0),7)*100000000+IF(ISNUMBER(J275),J275-46000,9999)*10000+IF(A275="",99,A275)*100+IF(C275="",99,CODE(LEFT(C275,1))))</f>
        <v>499999973</v>
      </c>
    </row>
    <row r="276" spans="1:45" s="36" customFormat="1" ht="25.15" hidden="1" customHeight="1" x14ac:dyDescent="0.25">
      <c r="B276" s="38" t="s">
        <v>177</v>
      </c>
      <c r="C276" s="24" t="str">
        <f>INDEX([1]Produtos!$G:$G,MATCH($D276,[1]Produtos!$B:$B,0))</f>
        <v>ISA BEAUTY</v>
      </c>
      <c r="D276" s="24" t="s">
        <v>199</v>
      </c>
      <c r="E276" s="70" t="str">
        <f>INDEX([1]Produtos!$C:$C,MATCH($D276,[1]Produtos!$B:$B,0))&amp;IF($F276&lt;&gt;"-"," - "&amp;LEFT($F276,1),"")&amp;" &gt; "&amp;$B276</f>
        <v>BODY SPLASH HABIB &gt; 03_07</v>
      </c>
      <c r="F276" s="51" t="s">
        <v>38</v>
      </c>
      <c r="G276" s="38">
        <v>45862</v>
      </c>
      <c r="H276" s="39">
        <v>5000</v>
      </c>
      <c r="I276" s="24" t="s">
        <v>39</v>
      </c>
      <c r="J276" s="68" t="str" cm="1">
        <f t="array" ref="J276">IFERROR(INDEX('[2]Previsão Envase'!$D$5:$D$4867, MATCH(1,('[2]Previsão Envase'!$F$5:$F$4867=$E276)+('[2]Previsão Envase'!$G$5:$G$4867=$E276)+('[2]Previsão Envase'!$H$5:$H$4867=$E276),0)),"")</f>
        <v/>
      </c>
      <c r="K276" s="68" t="str">
        <f>IF(COUNTIF('[2]Previsão Envase'!$F:$F,E276)&gt;0,"Linha 1",
IF(COUNTIF('[2]Previsão Envase'!$G:$G,E276)&gt;0,"Linha 2",
IF(COUNTIF('[2]Previsão Envase'!$H:$H,E276)&gt;0,"Linha 3","")))</f>
        <v/>
      </c>
      <c r="L276" s="96">
        <f>COUNTIF('[2]Previsão Envase'!$F:$H,E276)-COUNTIF('[2]Previsão Envase'!$F$1:$H$4,E276)</f>
        <v>0</v>
      </c>
      <c r="M276" s="35">
        <f t="shared" si="44"/>
        <v>0</v>
      </c>
      <c r="N276" s="68" t="str">
        <f>IFERROR(MAX(_xlfn.MAXIFS('[2]Controle de Produção'!$C:$C,'[2]Controle de Produção'!$L:$L,$D276,'[2]Controle de Produção'!$P:$P,$C276,'[2]Controle de Produção'!$G:$G,$B276),_xlfn.MAXIFS([3]EXPEDIÇÃO!$N:$N,[3]EXPEDIÇÃO!$E:$E,$D276,[3]EXPEDIÇÃO!$D:$D,$C276,[3]EXPEDIÇÃO!$N:$N,"&gt;="&amp;$G276)),"")</f>
        <v/>
      </c>
      <c r="O276" s="70">
        <f>INDEX([1]Produtos!$E:$E,MATCH($D276,[1]Produtos!$B:$B,0))</f>
        <v>120</v>
      </c>
      <c r="P276" s="70" t="str">
        <f>INDEX([1]Produtos!$F:$F,MATCH($D276,[1]Produtos!$B:$B,0))</f>
        <v>ml</v>
      </c>
      <c r="Q276" s="105">
        <f>INDEX([1]Produtos!$Y:$Y,MATCH($D276,[1]Produtos!$B:$B,0))</f>
        <v>0</v>
      </c>
      <c r="R276" s="35">
        <f t="shared" si="45"/>
        <v>7592.2902086267013</v>
      </c>
      <c r="S276" s="27">
        <f>IFERROR(INDEX([1]Produtos!$L:$L,MATCH(D276,[1]Produtos!$B:$B,0)), "")</f>
        <v>843.58780095852239</v>
      </c>
      <c r="T276" s="28">
        <f t="shared" si="46"/>
        <v>6</v>
      </c>
      <c r="U276" s="28" t="str">
        <f t="shared" si="47"/>
        <v>0D e 6h</v>
      </c>
      <c r="V276" s="27">
        <f>IFERROR(SUMIFS('[2]Controle de Produção'!$K:$K,'[2]Controle de Produção'!$L:$L,D276,'[2]Controle de Produção'!$P:$P,C276,'[2]Controle de Produção'!$B:$B,"&gt;=" &amp; G276,'[2]Controle de Produção'!$C:$C,"&lt;=" &amp; N276, '[2]Controle de Produção'!$G:$G,B276), "")</f>
        <v>0</v>
      </c>
      <c r="W276" s="27" t="str">
        <f>IFERROR(SUMIFS([3]EXPEDIÇÃO!$K:$K,[3]EXPEDIÇÃO!$E:$E,D276,[3]EXPEDIÇÃO!$D:$D,C276,[3]EXPEDIÇÃO!$N:$N,"&gt;=" &amp; G276,[3]EXPEDIÇÃO!$N:$N,"&lt;="&amp;N276), "")</f>
        <v/>
      </c>
      <c r="X276" s="27">
        <f>COUNTIFS('[2]Controle de Produção'!$P:$P,C276,'[2]Controle de Produção'!$L:$L,D276,'[2]Controle de Produção'!$B:$B,"&gt;=" &amp; G276)</f>
        <v>1</v>
      </c>
      <c r="Y276" s="27">
        <f t="shared" si="48"/>
        <v>0</v>
      </c>
      <c r="Z276" s="27">
        <f>IFERROR(COUNTIFS('[2]Controle de Produção'!$L:$L,D276,'[2]Controle de Produção'!$P:$P,C276,'[2]Controle de Produção'!$B:$B,"&gt;=" &amp; G276,'[2]Controle de Produção'!$C:$C,"&lt;=" &amp; N276, '[2]Controle de Produção'!$G:$G,B276), "")</f>
        <v>0</v>
      </c>
      <c r="AA276" s="108" t="str">
        <f t="shared" si="49"/>
        <v/>
      </c>
      <c r="AB276" s="41" t="str" cm="1">
        <f t="array" ref="AB276">_xlfn.IFS((H276*0.95)&lt;=V276,"Concluído",AND(V276 =0, J276&lt;&gt;""),"Programado",AND(V276=0,D276=""),"Desenvolv.",V276=0,"Não Iniciado",AND(V276&gt;0,V276&lt;H276,AO276=TRUE),"Em Produção",AND(V276&gt;0,V276&lt;H276,AO276=FALSE),"Produção Parcial")</f>
        <v>Não Iniciado</v>
      </c>
      <c r="AC276" s="42" t="b">
        <v>1</v>
      </c>
      <c r="AD276" s="42" t="b">
        <v>1</v>
      </c>
      <c r="AE276" s="42" t="b">
        <v>1</v>
      </c>
      <c r="AF276" s="42" t="b">
        <v>1</v>
      </c>
      <c r="AG276" s="42" t="s">
        <v>38</v>
      </c>
      <c r="AH276" s="42" t="s">
        <v>38</v>
      </c>
      <c r="AI276" s="42" t="b">
        <v>1</v>
      </c>
      <c r="AJ276" s="42" t="s">
        <v>38</v>
      </c>
      <c r="AK276" s="42" t="b">
        <v>0</v>
      </c>
      <c r="AL276" s="42" t="b">
        <v>1</v>
      </c>
      <c r="AM276" s="42" t="b">
        <v>1</v>
      </c>
      <c r="AN276" s="42">
        <f>3/3</f>
        <v>1</v>
      </c>
      <c r="AO276" s="45" t="b" cm="1">
        <f t="array" ref="AO276">AND(COUNTIF(AC276:AN276,FALSE)=0,SUMPRODUCT(ISNUMBER(AC276:AN276)*1)=0)</f>
        <v>0</v>
      </c>
      <c r="AP276" s="59"/>
      <c r="AQ276" s="111">
        <f>IF(AB276="",99999999999,IFERROR(MATCH(AB276,{"Produção Parcial","Em Produção","Programado","Não Iniciado","Desenvolv.","Concluído"},0),7)*100000000+IF(ISNUMBER(J276),J276-46000,9999)*10000+IF(A276="",99,A276)*100+IF(C276="",99,CODE(LEFT(C276,1))))</f>
        <v>499999973</v>
      </c>
    </row>
    <row r="277" spans="1:45" s="36" customFormat="1" ht="25.15" hidden="1" customHeight="1" x14ac:dyDescent="0.25">
      <c r="B277" s="38" t="s">
        <v>177</v>
      </c>
      <c r="C277" s="24" t="str">
        <f>INDEX([1]Produtos!$G:$G,MATCH($D277,[1]Produtos!$B:$B,0))</f>
        <v>ISA BEAUTY</v>
      </c>
      <c r="D277" s="24" t="s">
        <v>201</v>
      </c>
      <c r="E277" s="70" t="str">
        <f>INDEX([1]Produtos!$C:$C,MATCH($D277,[1]Produtos!$B:$B,0))&amp;IF($F277&lt;&gt;"-"," - "&amp;LEFT($F277,1),"")&amp;" &gt; "&amp;$B277</f>
        <v>BODY SPLASH JADE &gt; 03_07</v>
      </c>
      <c r="F277" s="51" t="s">
        <v>38</v>
      </c>
      <c r="G277" s="38">
        <v>45862</v>
      </c>
      <c r="H277" s="39">
        <v>5000</v>
      </c>
      <c r="I277" s="24" t="s">
        <v>39</v>
      </c>
      <c r="J277" s="68" t="str" cm="1">
        <f t="array" ref="J277">IFERROR(INDEX('[2]Previsão Envase'!$D$5:$D$4867, MATCH(1,('[2]Previsão Envase'!$F$5:$F$4867=$E277)+('[2]Previsão Envase'!$G$5:$G$4867=$E277)+('[2]Previsão Envase'!$H$5:$H$4867=$E277),0)),"")</f>
        <v/>
      </c>
      <c r="K277" s="68" t="str">
        <f>IF(COUNTIF('[2]Previsão Envase'!$F:$F,E277)&gt;0,"Linha 1",
IF(COUNTIF('[2]Previsão Envase'!$G:$G,E277)&gt;0,"Linha 2",
IF(COUNTIF('[2]Previsão Envase'!$H:$H,E277)&gt;0,"Linha 3","")))</f>
        <v/>
      </c>
      <c r="L277" s="96">
        <f>COUNTIF('[2]Previsão Envase'!$F:$H,E277)-COUNTIF('[2]Previsão Envase'!$F$1:$H$4,E277)</f>
        <v>0</v>
      </c>
      <c r="M277" s="35">
        <f t="shared" si="44"/>
        <v>0</v>
      </c>
      <c r="N277" s="68" t="str">
        <f>IFERROR(MAX(_xlfn.MAXIFS('[2]Controle de Produção'!$C:$C,'[2]Controle de Produção'!$L:$L,$D277,'[2]Controle de Produção'!$P:$P,$C277,'[2]Controle de Produção'!$G:$G,$B277),_xlfn.MAXIFS([3]EXPEDIÇÃO!$N:$N,[3]EXPEDIÇÃO!$E:$E,$D277,[3]EXPEDIÇÃO!$D:$D,$C277,[3]EXPEDIÇÃO!$N:$N,"&gt;="&amp;$G277)),"")</f>
        <v/>
      </c>
      <c r="O277" s="70">
        <f>INDEX([1]Produtos!$E:$E,MATCH($D277,[1]Produtos!$B:$B,0))</f>
        <v>120</v>
      </c>
      <c r="P277" s="70" t="str">
        <f>INDEX([1]Produtos!$F:$F,MATCH($D277,[1]Produtos!$B:$B,0))</f>
        <v>ml</v>
      </c>
      <c r="Q277" s="105">
        <f>INDEX([1]Produtos!$Y:$Y,MATCH($D277,[1]Produtos!$B:$B,0))</f>
        <v>0</v>
      </c>
      <c r="R277" s="35">
        <f t="shared" si="45"/>
        <v>7592.2902086267013</v>
      </c>
      <c r="S277" s="27">
        <f>IFERROR(INDEX([1]Produtos!$L:$L,MATCH(D277,[1]Produtos!$B:$B,0)), "")</f>
        <v>843.58780095852239</v>
      </c>
      <c r="T277" s="28">
        <f t="shared" si="46"/>
        <v>6</v>
      </c>
      <c r="U277" s="28" t="str">
        <f t="shared" si="47"/>
        <v>0D e 6h</v>
      </c>
      <c r="V277" s="27">
        <f>IFERROR(SUMIFS('[2]Controle de Produção'!$K:$K,'[2]Controle de Produção'!$L:$L,D277,'[2]Controle de Produção'!$P:$P,C277,'[2]Controle de Produção'!$B:$B,"&gt;=" &amp; G277,'[2]Controle de Produção'!$C:$C,"&lt;=" &amp; N277, '[2]Controle de Produção'!$G:$G,B277), "")</f>
        <v>0</v>
      </c>
      <c r="W277" s="27" t="str">
        <f>IFERROR(SUMIFS([3]EXPEDIÇÃO!$K:$K,[3]EXPEDIÇÃO!$E:$E,D277,[3]EXPEDIÇÃO!$D:$D,C277,[3]EXPEDIÇÃO!$N:$N,"&gt;=" &amp; G277,[3]EXPEDIÇÃO!$N:$N,"&lt;="&amp;N277), "")</f>
        <v/>
      </c>
      <c r="X277" s="27">
        <f>COUNTIFS('[2]Controle de Produção'!$P:$P,C277,'[2]Controle de Produção'!$L:$L,D277,'[2]Controle de Produção'!$B:$B,"&gt;=" &amp; G277)</f>
        <v>1</v>
      </c>
      <c r="Y277" s="27">
        <f t="shared" si="48"/>
        <v>0</v>
      </c>
      <c r="Z277" s="27">
        <f>IFERROR(COUNTIFS('[2]Controle de Produção'!$L:$L,D277,'[2]Controle de Produção'!$P:$P,C277,'[2]Controle de Produção'!$B:$B,"&gt;=" &amp; G277,'[2]Controle de Produção'!$C:$C,"&lt;=" &amp; N277, '[2]Controle de Produção'!$G:$G,B277), "")</f>
        <v>0</v>
      </c>
      <c r="AA277" s="108" t="str">
        <f t="shared" si="49"/>
        <v/>
      </c>
      <c r="AB277" s="41" t="str" cm="1">
        <f t="array" ref="AB277">_xlfn.IFS((H277*0.95)&lt;=V277,"Concluído",AND(V277 =0, J277&lt;&gt;""),"Programado",AND(V277=0,D277=""),"Desenvolv.",V277=0,"Não Iniciado",AND(V277&gt;0,V277&lt;H277,AO277=TRUE),"Em Produção",AND(V277&gt;0,V277&lt;H277,AO277=FALSE),"Produção Parcial")</f>
        <v>Não Iniciado</v>
      </c>
      <c r="AC277" s="42" t="b">
        <v>1</v>
      </c>
      <c r="AD277" s="42" t="b">
        <v>1</v>
      </c>
      <c r="AE277" s="42" t="b">
        <v>1</v>
      </c>
      <c r="AF277" s="42" t="b">
        <v>1</v>
      </c>
      <c r="AG277" s="42" t="s">
        <v>38</v>
      </c>
      <c r="AH277" s="42" t="s">
        <v>38</v>
      </c>
      <c r="AI277" s="42" t="b">
        <v>1</v>
      </c>
      <c r="AJ277" s="42" t="s">
        <v>38</v>
      </c>
      <c r="AK277" s="42" t="b">
        <v>0</v>
      </c>
      <c r="AL277" s="42" t="b">
        <v>1</v>
      </c>
      <c r="AM277" s="42" t="b">
        <v>1</v>
      </c>
      <c r="AN277" s="42">
        <f>3/3</f>
        <v>1</v>
      </c>
      <c r="AO277" s="45" t="b" cm="1">
        <f t="array" ref="AO277">AND(COUNTIF(AC277:AN277,FALSE)=0,SUMPRODUCT(ISNUMBER(AC277:AN277)*1)=0)</f>
        <v>0</v>
      </c>
      <c r="AP277" s="59"/>
      <c r="AQ277" s="111">
        <f>IF(AB277="",99999999999,IFERROR(MATCH(AB277,{"Produção Parcial","Em Produção","Programado","Não Iniciado","Desenvolv.","Concluído"},0),7)*100000000+IF(ISNUMBER(J277),J277-46000,9999)*10000+IF(A277="",99,A277)*100+IF(C277="",99,CODE(LEFT(C277,1))))</f>
        <v>499999973</v>
      </c>
      <c r="AR277"/>
      <c r="AS277"/>
    </row>
    <row r="278" spans="1:45" s="36" customFormat="1" ht="25.15" hidden="1" customHeight="1" x14ac:dyDescent="0.25">
      <c r="B278" s="38" t="s">
        <v>177</v>
      </c>
      <c r="C278" s="24" t="str">
        <f>INDEX([1]Produtos!$G:$G,MATCH($D278,[1]Produtos!$B:$B,0))</f>
        <v>ISA BEAUTY</v>
      </c>
      <c r="D278" s="24" t="s">
        <v>203</v>
      </c>
      <c r="E278" s="70" t="str">
        <f>INDEX([1]Produtos!$C:$C,MATCH($D278,[1]Produtos!$B:$B,0))&amp;IF($F278&lt;&gt;"-"," - "&amp;LEFT($F278,1),"")&amp;" &gt; "&amp;$B278</f>
        <v>BODY SPLASH SAIND &gt; 03_07</v>
      </c>
      <c r="F278" s="51" t="s">
        <v>38</v>
      </c>
      <c r="G278" s="38">
        <v>45862</v>
      </c>
      <c r="H278" s="39">
        <v>5000</v>
      </c>
      <c r="I278" s="24" t="s">
        <v>39</v>
      </c>
      <c r="J278" s="68" t="str" cm="1">
        <f t="array" ref="J278">IFERROR(INDEX('[2]Previsão Envase'!$D$5:$D$4867, MATCH(1,('[2]Previsão Envase'!$F$5:$F$4867=$E278)+('[2]Previsão Envase'!$G$5:$G$4867=$E278)+('[2]Previsão Envase'!$H$5:$H$4867=$E278),0)),"")</f>
        <v/>
      </c>
      <c r="K278" s="68" t="str">
        <f>IF(COUNTIF('[2]Previsão Envase'!$F:$F,E278)&gt;0,"Linha 1",
IF(COUNTIF('[2]Previsão Envase'!$G:$G,E278)&gt;0,"Linha 2",
IF(COUNTIF('[2]Previsão Envase'!$H:$H,E278)&gt;0,"Linha 3","")))</f>
        <v/>
      </c>
      <c r="L278" s="96">
        <f>COUNTIF('[2]Previsão Envase'!$F:$H,E278)-COUNTIF('[2]Previsão Envase'!$F$1:$H$4,E278)</f>
        <v>0</v>
      </c>
      <c r="M278" s="35">
        <f t="shared" si="44"/>
        <v>0</v>
      </c>
      <c r="N278" s="68" t="str">
        <f>IFERROR(MAX(_xlfn.MAXIFS('[2]Controle de Produção'!$C:$C,'[2]Controle de Produção'!$L:$L,$D278,'[2]Controle de Produção'!$P:$P,$C278,'[2]Controle de Produção'!$G:$G,$B278),_xlfn.MAXIFS([3]EXPEDIÇÃO!$N:$N,[3]EXPEDIÇÃO!$E:$E,$D278,[3]EXPEDIÇÃO!$D:$D,$C278,[3]EXPEDIÇÃO!$N:$N,"&gt;="&amp;$G278)),"")</f>
        <v/>
      </c>
      <c r="O278" s="70">
        <f>INDEX([1]Produtos!$E:$E,MATCH($D278,[1]Produtos!$B:$B,0))</f>
        <v>120</v>
      </c>
      <c r="P278" s="70" t="str">
        <f>INDEX([1]Produtos!$F:$F,MATCH($D278,[1]Produtos!$B:$B,0))</f>
        <v>ml</v>
      </c>
      <c r="Q278" s="105">
        <f>INDEX([1]Produtos!$Y:$Y,MATCH($D278,[1]Produtos!$B:$B,0))</f>
        <v>0</v>
      </c>
      <c r="R278" s="35">
        <f t="shared" si="45"/>
        <v>7592.2902086267013</v>
      </c>
      <c r="S278" s="27">
        <f>IFERROR(INDEX([1]Produtos!$L:$L,MATCH(D278,[1]Produtos!$B:$B,0)), "")</f>
        <v>843.58780095852239</v>
      </c>
      <c r="T278" s="28">
        <f t="shared" si="46"/>
        <v>6</v>
      </c>
      <c r="U278" s="28" t="str">
        <f t="shared" si="47"/>
        <v>0D e 6h</v>
      </c>
      <c r="V278" s="27">
        <f>IFERROR(SUMIFS('[2]Controle de Produção'!$K:$K,'[2]Controle de Produção'!$L:$L,D278,'[2]Controle de Produção'!$P:$P,C278,'[2]Controle de Produção'!$B:$B,"&gt;=" &amp; G278,'[2]Controle de Produção'!$C:$C,"&lt;=" &amp; N278, '[2]Controle de Produção'!$G:$G,B278), "")</f>
        <v>0</v>
      </c>
      <c r="W278" s="27" t="str">
        <f>IFERROR(SUMIFS([3]EXPEDIÇÃO!$K:$K,[3]EXPEDIÇÃO!$E:$E,D278,[3]EXPEDIÇÃO!$D:$D,C278,[3]EXPEDIÇÃO!$N:$N,"&gt;=" &amp; G278,[3]EXPEDIÇÃO!$N:$N,"&lt;="&amp;N278), "")</f>
        <v/>
      </c>
      <c r="X278" s="27">
        <f>COUNTIFS('[2]Controle de Produção'!$P:$P,C278,'[2]Controle de Produção'!$L:$L,D278,'[2]Controle de Produção'!$B:$B,"&gt;=" &amp; G278)</f>
        <v>2</v>
      </c>
      <c r="Y278" s="27">
        <f t="shared" si="48"/>
        <v>0</v>
      </c>
      <c r="Z278" s="27">
        <f>IFERROR(COUNTIFS('[2]Controle de Produção'!$L:$L,D278,'[2]Controle de Produção'!$P:$P,C278,'[2]Controle de Produção'!$B:$B,"&gt;=" &amp; G278,'[2]Controle de Produção'!$C:$C,"&lt;=" &amp; N278, '[2]Controle de Produção'!$G:$G,B278), "")</f>
        <v>0</v>
      </c>
      <c r="AA278" s="108" t="str">
        <f t="shared" si="49"/>
        <v/>
      </c>
      <c r="AB278" s="41" t="str" cm="1">
        <f t="array" ref="AB278">_xlfn.IFS((H278*0.95)&lt;=V278,"Concluído",AND(V278 =0, J278&lt;&gt;""),"Programado",AND(V278=0,D278=""),"Desenvolv.",V278=0,"Não Iniciado",AND(V278&gt;0,V278&lt;H278,AO278=TRUE),"Em Produção",AND(V278&gt;0,V278&lt;H278,AO278=FALSE),"Produção Parcial")</f>
        <v>Não Iniciado</v>
      </c>
      <c r="AC278" s="42" t="b">
        <v>1</v>
      </c>
      <c r="AD278" s="42" t="b">
        <v>1</v>
      </c>
      <c r="AE278" s="42" t="b">
        <v>1</v>
      </c>
      <c r="AF278" s="42" t="b">
        <v>1</v>
      </c>
      <c r="AG278" s="42" t="s">
        <v>38</v>
      </c>
      <c r="AH278" s="42" t="s">
        <v>38</v>
      </c>
      <c r="AI278" s="42" t="b">
        <v>1</v>
      </c>
      <c r="AJ278" s="42" t="s">
        <v>38</v>
      </c>
      <c r="AK278" s="42" t="b">
        <v>0</v>
      </c>
      <c r="AL278" s="42" t="b">
        <v>1</v>
      </c>
      <c r="AM278" s="42" t="b">
        <v>1</v>
      </c>
      <c r="AN278" s="42">
        <f>3/3</f>
        <v>1</v>
      </c>
      <c r="AO278" s="45" t="b" cm="1">
        <f t="array" ref="AO278">AND(COUNTIF(AC278:AN278,FALSE)=0,SUMPRODUCT(ISNUMBER(AC278:AN278)*1)=0)</f>
        <v>0</v>
      </c>
      <c r="AP278" s="59"/>
      <c r="AQ278" s="111">
        <f>IF(AB278="",99999999999,IFERROR(MATCH(AB278,{"Produção Parcial","Em Produção","Programado","Não Iniciado","Desenvolv.","Concluído"},0),7)*100000000+IF(ISNUMBER(J278),J278-46000,9999)*10000+IF(A278="",99,A278)*100+IF(C278="",99,CODE(LEFT(C278,1))))</f>
        <v>499999973</v>
      </c>
    </row>
    <row r="279" spans="1:45" s="36" customFormat="1" ht="25.15" hidden="1" customHeight="1" x14ac:dyDescent="0.25">
      <c r="A279" s="36">
        <v>100</v>
      </c>
      <c r="B279" s="38" t="s">
        <v>301</v>
      </c>
      <c r="C279" s="70" t="str">
        <f>INDEX([1]Produtos!$G:$G,MATCH($D279,[1]Produtos!$B:$B,0))</f>
        <v>AMEERATI</v>
      </c>
      <c r="D279" s="24" t="s">
        <v>285</v>
      </c>
      <c r="E279" s="70" t="str">
        <f>INDEX([1]Produtos!$C:$C,MATCH($D279,[1]Produtos!$B:$B,0))&amp;IF($F279&lt;&gt;"-"," - "&amp;LEFT($F279,1),"")&amp;" &gt; "&amp;$B279</f>
        <v>BODY CREAM  INTENSA PAIXAO &gt; ON-HOLD</v>
      </c>
      <c r="F279" s="51" t="s">
        <v>38</v>
      </c>
      <c r="G279" s="38">
        <v>45959</v>
      </c>
      <c r="H279" s="39">
        <f>3360</f>
        <v>3360</v>
      </c>
      <c r="I279" s="24" t="s">
        <v>39</v>
      </c>
      <c r="J279" s="68" t="str" cm="1">
        <f t="array" ref="J279">IFERROR(INDEX('[2]Previsão Envase'!$D$5:$D$4867, MATCH(1,('[2]Previsão Envase'!$F$5:$F$4867=$E279)+('[2]Previsão Envase'!$G$5:$G$4867=$E279)+('[2]Previsão Envase'!$H$5:$H$4867=$E279),0)),"")</f>
        <v/>
      </c>
      <c r="K279" s="68" t="str">
        <f>IF(COUNTIF('[2]Previsão Envase'!$F:$F,E279)&gt;0,"Linha 1",
IF(COUNTIF('[2]Previsão Envase'!$G:$G,E279)&gt;0,"Linha 2",
IF(COUNTIF('[2]Previsão Envase'!$H:$H,E279)&gt;0,"Linha 3","")))</f>
        <v/>
      </c>
      <c r="L279" s="96">
        <f>COUNTIF('[2]Previsão Envase'!$F:$H,E279)-COUNTIF('[2]Previsão Envase'!$F$1:$H$4,E279)</f>
        <v>0</v>
      </c>
      <c r="M279" s="35">
        <f t="shared" si="44"/>
        <v>0</v>
      </c>
      <c r="N279" s="68" t="str">
        <f>IFERROR(MAX(_xlfn.MAXIFS('[2]Controle de Produção'!$C:$C,'[2]Controle de Produção'!$L:$L,$D279,'[2]Controle de Produção'!$P:$P,$C279,'[2]Controle de Produção'!$G:$G,$B279),_xlfn.MAXIFS([3]EXPEDIÇÃO!$N:$N,[3]EXPEDIÇÃO!$E:$E,$D279,[3]EXPEDIÇÃO!$D:$D,$C279,[3]EXPEDIÇÃO!$N:$N,"&gt;="&amp;$G279)),"")</f>
        <v/>
      </c>
      <c r="O279" s="70">
        <f>INDEX([1]Produtos!$E:$E,MATCH($D279,[1]Produtos!$B:$B,0))</f>
        <v>240</v>
      </c>
      <c r="P279" s="70" t="str">
        <f>INDEX([1]Produtos!$F:$F,MATCH($D279,[1]Produtos!$B:$B,0))</f>
        <v>ml</v>
      </c>
      <c r="Q279" s="105">
        <f>INDEX([1]Produtos!$Y:$Y,MATCH($D279,[1]Produtos!$B:$B,0))</f>
        <v>1.48</v>
      </c>
      <c r="R279" s="35">
        <f t="shared" si="45"/>
        <v>5520.5897431648482</v>
      </c>
      <c r="S279" s="27">
        <f>IFERROR(INDEX([1]Produtos!$L:$L,MATCH(D279,[1]Produtos!$B:$B,0)), "")</f>
        <v>613.39886035164977</v>
      </c>
      <c r="T279" s="28">
        <f t="shared" si="46"/>
        <v>5.5</v>
      </c>
      <c r="U279" s="28" t="str">
        <f t="shared" si="47"/>
        <v>0D e 6h</v>
      </c>
      <c r="V279" s="27">
        <f>IFERROR(SUMIFS('[2]Controle de Produção'!$K:$K,'[2]Controle de Produção'!$L:$L,D279,'[2]Controle de Produção'!$P:$P,C279,'[2]Controle de Produção'!$B:$B,"&gt;=" &amp; G279,'[2]Controle de Produção'!$C:$C,"&lt;=" &amp; N279, '[2]Controle de Produção'!$G:$G,B279), "")</f>
        <v>0</v>
      </c>
      <c r="W279" s="27" t="str">
        <f>IFERROR(SUMIFS([3]EXPEDIÇÃO!$K:$K,[3]EXPEDIÇÃO!$E:$E,D279,[3]EXPEDIÇÃO!$D:$D,C279,[3]EXPEDIÇÃO!$N:$N,"&gt;=" &amp; G279,[3]EXPEDIÇÃO!$N:$N,"&lt;="&amp;N279), "")</f>
        <v/>
      </c>
      <c r="X279" s="27">
        <f>COUNTIFS('[2]Controle de Produção'!$P:$P,C279,'[2]Controle de Produção'!$L:$L,D279,'[2]Controle de Produção'!$B:$B,"&gt;=" &amp; G279)</f>
        <v>0</v>
      </c>
      <c r="Y279" s="27" t="str">
        <f t="shared" si="48"/>
        <v>-</v>
      </c>
      <c r="Z279" s="27">
        <f>IFERROR(COUNTIFS('[2]Controle de Produção'!$L:$L,D279,'[2]Controle de Produção'!$P:$P,C279,'[2]Controle de Produção'!$B:$B,"&gt;=" &amp; G279,'[2]Controle de Produção'!$C:$C,"&lt;=" &amp; N279, '[2]Controle de Produção'!$G:$G,B279), "")</f>
        <v>0</v>
      </c>
      <c r="AA279" s="108" t="str">
        <f t="shared" si="49"/>
        <v/>
      </c>
      <c r="AB279" s="41" t="str" cm="1">
        <f t="array" ref="AB279">_xlfn.IFS((H279*0.95)&lt;=V279,"Concluído",AND(V279 =0, J279&lt;&gt;""),"Programado",AND(V279=0,D279=""),"Desenvolv.",V279=0,"Não Iniciado",AND(V279&gt;0,V279&lt;H279,AO279=TRUE),"Em Produção",AND(V279&gt;0,V279&lt;H279,AO279=FALSE),"Produção Parcial")</f>
        <v>Não Iniciado</v>
      </c>
      <c r="AC279" s="42" t="b">
        <v>1</v>
      </c>
      <c r="AD279" s="42" t="b">
        <v>1</v>
      </c>
      <c r="AE279" s="42" t="b">
        <v>0</v>
      </c>
      <c r="AF279" s="42" t="b">
        <v>0</v>
      </c>
      <c r="AG279" s="42" t="b">
        <v>0</v>
      </c>
      <c r="AH279" s="42" t="s">
        <v>38</v>
      </c>
      <c r="AI279" s="42" t="b">
        <v>0</v>
      </c>
      <c r="AJ279" s="42" t="s">
        <v>38</v>
      </c>
      <c r="AK279" s="42" t="s">
        <v>38</v>
      </c>
      <c r="AL279" s="42" t="b">
        <v>0</v>
      </c>
      <c r="AM279" s="42" t="b">
        <v>0</v>
      </c>
      <c r="AN279" s="42" t="b">
        <v>0</v>
      </c>
      <c r="AO279" s="45" t="b" cm="1">
        <f t="array" ref="AO279">AND(COUNTIF(AC279:AN279,FALSE)=0,SUMPRODUCT(ISNUMBER(AC279:AN279)*1)=0)</f>
        <v>0</v>
      </c>
      <c r="AP279" s="59"/>
      <c r="AQ279" s="111">
        <f>IF(AB279="",99999999999,IFERROR(MATCH(AB279,{"Produção Parcial","Em Produção","Programado","Não Iniciado","Desenvolv.","Concluído"},0),7)*100000000+IF(ISNUMBER(J279),J279-46000,9999)*10000+IF(A279="",99,A279)*100+IF(C279="",99,CODE(LEFT(C279,1))))</f>
        <v>500000065</v>
      </c>
    </row>
    <row r="280" spans="1:45" s="36" customFormat="1" ht="25.15" hidden="1" customHeight="1" x14ac:dyDescent="0.25">
      <c r="A280" s="36">
        <v>100</v>
      </c>
      <c r="B280" s="38" t="s">
        <v>301</v>
      </c>
      <c r="C280" s="70" t="str">
        <f>INDEX([1]Produtos!$G:$G,MATCH($D280,[1]Produtos!$B:$B,0))</f>
        <v>AMEERATI</v>
      </c>
      <c r="D280" s="24" t="s">
        <v>292</v>
      </c>
      <c r="E280" s="70" t="str">
        <f>INDEX([1]Produtos!$C:$C,MATCH($D280,[1]Produtos!$B:$B,0))&amp;IF($F280&lt;&gt;"-"," - "&amp;LEFT($F280,1),"")&amp;" &gt; "&amp;$B280</f>
        <v>BODY CREAM BELISSIMA ESSENZA &gt; ON-HOLD</v>
      </c>
      <c r="F280" s="51" t="s">
        <v>38</v>
      </c>
      <c r="G280" s="38">
        <v>45959</v>
      </c>
      <c r="H280" s="39">
        <f>3360</f>
        <v>3360</v>
      </c>
      <c r="I280" s="24" t="s">
        <v>39</v>
      </c>
      <c r="J280" s="68" t="str" cm="1">
        <f t="array" ref="J280">IFERROR(INDEX('[2]Previsão Envase'!$D$5:$D$4867, MATCH(1,('[2]Previsão Envase'!$F$5:$F$4867=$E280)+('[2]Previsão Envase'!$G$5:$G$4867=$E280)+('[2]Previsão Envase'!$H$5:$H$4867=$E280),0)),"")</f>
        <v/>
      </c>
      <c r="K280" s="68" t="str">
        <f>IF(COUNTIF('[2]Previsão Envase'!$F:$F,E280)&gt;0,"Linha 1",
IF(COUNTIF('[2]Previsão Envase'!$G:$G,E280)&gt;0,"Linha 2",
IF(COUNTIF('[2]Previsão Envase'!$H:$H,E280)&gt;0,"Linha 3","")))</f>
        <v/>
      </c>
      <c r="L280" s="96">
        <f>COUNTIF('[2]Previsão Envase'!$F:$H,E280)-COUNTIF('[2]Previsão Envase'!$F$1:$H$4,E280)</f>
        <v>0</v>
      </c>
      <c r="M280" s="35">
        <f t="shared" si="44"/>
        <v>0</v>
      </c>
      <c r="N280" s="68" t="str">
        <f>IFERROR(MAX(_xlfn.MAXIFS('[2]Controle de Produção'!$C:$C,'[2]Controle de Produção'!$L:$L,$D280,'[2]Controle de Produção'!$P:$P,$C280,'[2]Controle de Produção'!$G:$G,$B280),_xlfn.MAXIFS([3]EXPEDIÇÃO!$N:$N,[3]EXPEDIÇÃO!$E:$E,$D280,[3]EXPEDIÇÃO!$D:$D,$C280,[3]EXPEDIÇÃO!$N:$N,"&gt;="&amp;$G280)),"")</f>
        <v/>
      </c>
      <c r="O280" s="70">
        <f>INDEX([1]Produtos!$E:$E,MATCH($D280,[1]Produtos!$B:$B,0))</f>
        <v>240</v>
      </c>
      <c r="P280" s="70" t="str">
        <f>INDEX([1]Produtos!$F:$F,MATCH($D280,[1]Produtos!$B:$B,0))</f>
        <v>ml</v>
      </c>
      <c r="Q280" s="105">
        <f>INDEX([1]Produtos!$Y:$Y,MATCH($D280,[1]Produtos!$B:$B,0))</f>
        <v>1.48</v>
      </c>
      <c r="R280" s="35">
        <f t="shared" si="45"/>
        <v>5520.5897431648482</v>
      </c>
      <c r="S280" s="27">
        <f>IFERROR(INDEX([1]Produtos!$L:$L,MATCH(D280,[1]Produtos!$B:$B,0)), "")</f>
        <v>613.39886035164977</v>
      </c>
      <c r="T280" s="28">
        <f t="shared" si="46"/>
        <v>5.5</v>
      </c>
      <c r="U280" s="28" t="str">
        <f t="shared" si="47"/>
        <v>0D e 6h</v>
      </c>
      <c r="V280" s="27">
        <f>IFERROR(SUMIFS('[2]Controle de Produção'!$K:$K,'[2]Controle de Produção'!$L:$L,D280,'[2]Controle de Produção'!$P:$P,C280,'[2]Controle de Produção'!$B:$B,"&gt;=" &amp; G280,'[2]Controle de Produção'!$C:$C,"&lt;=" &amp; N280, '[2]Controle de Produção'!$G:$G,B280), "")</f>
        <v>0</v>
      </c>
      <c r="W280" s="27" t="str">
        <f>IFERROR(SUMIFS([3]EXPEDIÇÃO!$K:$K,[3]EXPEDIÇÃO!$E:$E,D280,[3]EXPEDIÇÃO!$D:$D,C280,[3]EXPEDIÇÃO!$N:$N,"&gt;=" &amp; G280,[3]EXPEDIÇÃO!$N:$N,"&lt;="&amp;N280), "")</f>
        <v/>
      </c>
      <c r="X280" s="27">
        <f>COUNTIFS('[2]Controle de Produção'!$P:$P,C280,'[2]Controle de Produção'!$L:$L,D280,'[2]Controle de Produção'!$B:$B,"&gt;=" &amp; G280)</f>
        <v>0</v>
      </c>
      <c r="Y280" s="27" t="str">
        <f t="shared" si="48"/>
        <v>-</v>
      </c>
      <c r="Z280" s="27">
        <f>IFERROR(COUNTIFS('[2]Controle de Produção'!$L:$L,D280,'[2]Controle de Produção'!$P:$P,C280,'[2]Controle de Produção'!$B:$B,"&gt;=" &amp; G280,'[2]Controle de Produção'!$C:$C,"&lt;=" &amp; N280, '[2]Controle de Produção'!$G:$G,B280), "")</f>
        <v>0</v>
      </c>
      <c r="AA280" s="108" t="str">
        <f t="shared" si="49"/>
        <v/>
      </c>
      <c r="AB280" s="41" t="str" cm="1">
        <f t="array" ref="AB280">_xlfn.IFS((H280*0.95)&lt;=V280,"Concluído",AND(V280 =0, J280&lt;&gt;""),"Programado",AND(V280=0,D280=""),"Desenvolv.",V280=0,"Não Iniciado",AND(V280&gt;0,V280&lt;H280,AO280=TRUE),"Em Produção",AND(V280&gt;0,V280&lt;H280,AO280=FALSE),"Produção Parcial")</f>
        <v>Não Iniciado</v>
      </c>
      <c r="AC280" s="42" t="b">
        <v>1</v>
      </c>
      <c r="AD280" s="42" t="b">
        <v>1</v>
      </c>
      <c r="AE280" s="42" t="b">
        <v>0</v>
      </c>
      <c r="AF280" s="42" t="b">
        <v>0</v>
      </c>
      <c r="AG280" s="42" t="b">
        <v>0</v>
      </c>
      <c r="AH280" s="42" t="s">
        <v>38</v>
      </c>
      <c r="AI280" s="42" t="b">
        <v>0</v>
      </c>
      <c r="AJ280" s="42" t="s">
        <v>38</v>
      </c>
      <c r="AK280" s="42" t="s">
        <v>38</v>
      </c>
      <c r="AL280" s="42" t="b">
        <v>0</v>
      </c>
      <c r="AM280" s="42" t="b">
        <v>0</v>
      </c>
      <c r="AN280" s="42" t="b">
        <v>0</v>
      </c>
      <c r="AO280" s="45" t="b" cm="1">
        <f t="array" ref="AO280">AND(COUNTIF(AC280:AN280,FALSE)=0,SUMPRODUCT(ISNUMBER(AC280:AN280)*1)=0)</f>
        <v>0</v>
      </c>
      <c r="AP280" s="59"/>
      <c r="AQ280" s="111">
        <f>IF(AB280="",99999999999,IFERROR(MATCH(AB280,{"Produção Parcial","Em Produção","Programado","Não Iniciado","Desenvolv.","Concluído"},0),7)*100000000+IF(ISNUMBER(J280),J280-46000,9999)*10000+IF(A280="",99,A280)*100+IF(C280="",99,CODE(LEFT(C280,1))))</f>
        <v>500000065</v>
      </c>
      <c r="AR280"/>
      <c r="AS280"/>
    </row>
    <row r="281" spans="1:45" s="36" customFormat="1" ht="25.15" hidden="1" customHeight="1" x14ac:dyDescent="0.25">
      <c r="A281" s="36">
        <v>100</v>
      </c>
      <c r="B281" s="38" t="s">
        <v>301</v>
      </c>
      <c r="C281" s="70" t="str">
        <f>INDEX([1]Produtos!$G:$G,MATCH($D281,[1]Produtos!$B:$B,0))</f>
        <v>AMEERATI</v>
      </c>
      <c r="D281" s="24" t="s">
        <v>291</v>
      </c>
      <c r="E281" s="70" t="str">
        <f>INDEX([1]Produtos!$C:$C,MATCH($D281,[1]Produtos!$B:$B,0))&amp;IF($F281&lt;&gt;"-"," - "&amp;LEFT($F281,1),"")&amp;" &gt; "&amp;$B281</f>
        <v>BODY CREAM CHARME FATAL &gt; ON-HOLD</v>
      </c>
      <c r="F281" s="51" t="s">
        <v>38</v>
      </c>
      <c r="G281" s="38">
        <v>45959</v>
      </c>
      <c r="H281" s="39">
        <f>3360</f>
        <v>3360</v>
      </c>
      <c r="I281" s="24" t="s">
        <v>39</v>
      </c>
      <c r="J281" s="68" t="str" cm="1">
        <f t="array" ref="J281">IFERROR(INDEX('[2]Previsão Envase'!$D$5:$D$4867, MATCH(1,('[2]Previsão Envase'!$F$5:$F$4867=$E281)+('[2]Previsão Envase'!$G$5:$G$4867=$E281)+('[2]Previsão Envase'!$H$5:$H$4867=$E281),0)),"")</f>
        <v/>
      </c>
      <c r="K281" s="68" t="str">
        <f>IF(COUNTIF('[2]Previsão Envase'!$F:$F,E281)&gt;0,"Linha 1",
IF(COUNTIF('[2]Previsão Envase'!$G:$G,E281)&gt;0,"Linha 2",
IF(COUNTIF('[2]Previsão Envase'!$H:$H,E281)&gt;0,"Linha 3","")))</f>
        <v/>
      </c>
      <c r="L281" s="96">
        <f>COUNTIF('[2]Previsão Envase'!$F:$H,E281)-COUNTIF('[2]Previsão Envase'!$F$1:$H$4,E281)</f>
        <v>0</v>
      </c>
      <c r="M281" s="35">
        <f t="shared" si="44"/>
        <v>0</v>
      </c>
      <c r="N281" s="68" t="str">
        <f>IFERROR(MAX(_xlfn.MAXIFS('[2]Controle de Produção'!$C:$C,'[2]Controle de Produção'!$L:$L,$D281,'[2]Controle de Produção'!$P:$P,$C281,'[2]Controle de Produção'!$G:$G,$B281),_xlfn.MAXIFS([3]EXPEDIÇÃO!$N:$N,[3]EXPEDIÇÃO!$E:$E,$D281,[3]EXPEDIÇÃO!$D:$D,$C281,[3]EXPEDIÇÃO!$N:$N,"&gt;="&amp;$G281)),"")</f>
        <v/>
      </c>
      <c r="O281" s="70">
        <f>INDEX([1]Produtos!$E:$E,MATCH($D281,[1]Produtos!$B:$B,0))</f>
        <v>240</v>
      </c>
      <c r="P281" s="70" t="str">
        <f>INDEX([1]Produtos!$F:$F,MATCH($D281,[1]Produtos!$B:$B,0))</f>
        <v>ml</v>
      </c>
      <c r="Q281" s="105">
        <f>INDEX([1]Produtos!$Y:$Y,MATCH($D281,[1]Produtos!$B:$B,0))</f>
        <v>1.48</v>
      </c>
      <c r="R281" s="35">
        <f t="shared" si="45"/>
        <v>5520.5897431648482</v>
      </c>
      <c r="S281" s="27">
        <f>IFERROR(INDEX([1]Produtos!$L:$L,MATCH(D281,[1]Produtos!$B:$B,0)), "")</f>
        <v>613.39886035164977</v>
      </c>
      <c r="T281" s="28">
        <f t="shared" si="46"/>
        <v>5.5</v>
      </c>
      <c r="U281" s="28" t="str">
        <f t="shared" si="47"/>
        <v>0D e 6h</v>
      </c>
      <c r="V281" s="27">
        <f>IFERROR(SUMIFS('[2]Controle de Produção'!$K:$K,'[2]Controle de Produção'!$L:$L,D281,'[2]Controle de Produção'!$P:$P,C281,'[2]Controle de Produção'!$B:$B,"&gt;=" &amp; G281,'[2]Controle de Produção'!$C:$C,"&lt;=" &amp; N281, '[2]Controle de Produção'!$G:$G,B281), "")</f>
        <v>0</v>
      </c>
      <c r="W281" s="27" t="str">
        <f>IFERROR(SUMIFS([3]EXPEDIÇÃO!$K:$K,[3]EXPEDIÇÃO!$E:$E,D281,[3]EXPEDIÇÃO!$D:$D,C281,[3]EXPEDIÇÃO!$N:$N,"&gt;=" &amp; G281,[3]EXPEDIÇÃO!$N:$N,"&lt;="&amp;N281), "")</f>
        <v/>
      </c>
      <c r="X281" s="27">
        <f>COUNTIFS('[2]Controle de Produção'!$P:$P,C281,'[2]Controle de Produção'!$L:$L,D281,'[2]Controle de Produção'!$B:$B,"&gt;=" &amp; G281)</f>
        <v>0</v>
      </c>
      <c r="Y281" s="27" t="str">
        <f t="shared" si="48"/>
        <v>-</v>
      </c>
      <c r="Z281" s="27">
        <f>IFERROR(COUNTIFS('[2]Controle de Produção'!$L:$L,D281,'[2]Controle de Produção'!$P:$P,C281,'[2]Controle de Produção'!$B:$B,"&gt;=" &amp; G281,'[2]Controle de Produção'!$C:$C,"&lt;=" &amp; N281, '[2]Controle de Produção'!$G:$G,B281), "")</f>
        <v>0</v>
      </c>
      <c r="AA281" s="108" t="str">
        <f t="shared" si="49"/>
        <v/>
      </c>
      <c r="AB281" s="41" t="str" cm="1">
        <f t="array" ref="AB281">_xlfn.IFS((H281*0.95)&lt;=V281,"Concluído",AND(V281 =0, J281&lt;&gt;""),"Programado",AND(V281=0,D281=""),"Desenvolv.",V281=0,"Não Iniciado",AND(V281&gt;0,V281&lt;H281,AO281=TRUE),"Em Produção",AND(V281&gt;0,V281&lt;H281,AO281=FALSE),"Produção Parcial")</f>
        <v>Não Iniciado</v>
      </c>
      <c r="AC281" s="42" t="b">
        <v>1</v>
      </c>
      <c r="AD281" s="42" t="b">
        <v>1</v>
      </c>
      <c r="AE281" s="42" t="b">
        <v>0</v>
      </c>
      <c r="AF281" s="42" t="b">
        <v>0</v>
      </c>
      <c r="AG281" s="42" t="b">
        <v>0</v>
      </c>
      <c r="AH281" s="42" t="s">
        <v>38</v>
      </c>
      <c r="AI281" s="42" t="b">
        <v>0</v>
      </c>
      <c r="AJ281" s="42" t="s">
        <v>38</v>
      </c>
      <c r="AK281" s="42" t="s">
        <v>38</v>
      </c>
      <c r="AL281" s="42" t="b">
        <v>0</v>
      </c>
      <c r="AM281" s="42" t="b">
        <v>0</v>
      </c>
      <c r="AN281" s="42" t="b">
        <v>0</v>
      </c>
      <c r="AO281" s="45" t="b" cm="1">
        <f t="array" ref="AO281">AND(COUNTIF(AC281:AN281,FALSE)=0,SUMPRODUCT(ISNUMBER(AC281:AN281)*1)=0)</f>
        <v>0</v>
      </c>
      <c r="AP281" s="59"/>
      <c r="AQ281" s="111">
        <f>IF(AB281="",99999999999,IFERROR(MATCH(AB281,{"Produção Parcial","Em Produção","Programado","Não Iniciado","Desenvolv.","Concluído"},0),7)*100000000+IF(ISNUMBER(J281),J281-46000,9999)*10000+IF(A281="",99,A281)*100+IF(C281="",99,CODE(LEFT(C281,1))))</f>
        <v>500000065</v>
      </c>
    </row>
    <row r="282" spans="1:45" s="36" customFormat="1" ht="25.15" hidden="1" customHeight="1" x14ac:dyDescent="0.25">
      <c r="A282" s="36">
        <v>100</v>
      </c>
      <c r="B282" s="38" t="s">
        <v>301</v>
      </c>
      <c r="C282" s="70" t="str">
        <f>INDEX([1]Produtos!$G:$G,MATCH($D282,[1]Produtos!$B:$B,0))</f>
        <v>AMEERATI</v>
      </c>
      <c r="D282" s="24" t="s">
        <v>290</v>
      </c>
      <c r="E282" s="70" t="str">
        <f>INDEX([1]Produtos!$C:$C,MATCH($D282,[1]Produtos!$B:$B,0))&amp;IF($F282&lt;&gt;"-"," - "&amp;LEFT($F282,1),"")&amp;" &gt; "&amp;$B282</f>
        <v>BODY CREAM DOCE BRISA &gt; ON-HOLD</v>
      </c>
      <c r="F282" s="51" t="s">
        <v>38</v>
      </c>
      <c r="G282" s="38">
        <v>45959</v>
      </c>
      <c r="H282" s="39">
        <f>3360</f>
        <v>3360</v>
      </c>
      <c r="I282" s="24" t="s">
        <v>39</v>
      </c>
      <c r="J282" s="68" t="str" cm="1">
        <f t="array" ref="J282">IFERROR(INDEX('[2]Previsão Envase'!$D$5:$D$4867, MATCH(1,('[2]Previsão Envase'!$F$5:$F$4867=$E282)+('[2]Previsão Envase'!$G$5:$G$4867=$E282)+('[2]Previsão Envase'!$H$5:$H$4867=$E282),0)),"")</f>
        <v/>
      </c>
      <c r="K282" s="68" t="str">
        <f>IF(COUNTIF('[2]Previsão Envase'!$F:$F,E282)&gt;0,"Linha 1",
IF(COUNTIF('[2]Previsão Envase'!$G:$G,E282)&gt;0,"Linha 2",
IF(COUNTIF('[2]Previsão Envase'!$H:$H,E282)&gt;0,"Linha 3","")))</f>
        <v/>
      </c>
      <c r="L282" s="96">
        <f>COUNTIF('[2]Previsão Envase'!$F:$H,E282)-COUNTIF('[2]Previsão Envase'!$F$1:$H$4,E282)</f>
        <v>0</v>
      </c>
      <c r="M282" s="35">
        <f t="shared" si="44"/>
        <v>0</v>
      </c>
      <c r="N282" s="68" t="str">
        <f>IFERROR(MAX(_xlfn.MAXIFS('[2]Controle de Produção'!$C:$C,'[2]Controle de Produção'!$L:$L,$D282,'[2]Controle de Produção'!$P:$P,$C282,'[2]Controle de Produção'!$G:$G,$B282),_xlfn.MAXIFS([3]EXPEDIÇÃO!$N:$N,[3]EXPEDIÇÃO!$E:$E,$D282,[3]EXPEDIÇÃO!$D:$D,$C282,[3]EXPEDIÇÃO!$N:$N,"&gt;="&amp;$G282)),"")</f>
        <v/>
      </c>
      <c r="O282" s="70">
        <f>INDEX([1]Produtos!$E:$E,MATCH($D282,[1]Produtos!$B:$B,0))</f>
        <v>240</v>
      </c>
      <c r="P282" s="70" t="str">
        <f>INDEX([1]Produtos!$F:$F,MATCH($D282,[1]Produtos!$B:$B,0))</f>
        <v>ml</v>
      </c>
      <c r="Q282" s="105">
        <f>INDEX([1]Produtos!$Y:$Y,MATCH($D282,[1]Produtos!$B:$B,0))</f>
        <v>1.48</v>
      </c>
      <c r="R282" s="35">
        <f t="shared" si="45"/>
        <v>5520.5897431648482</v>
      </c>
      <c r="S282" s="27">
        <f>IFERROR(INDEX([1]Produtos!$L:$L,MATCH(D282,[1]Produtos!$B:$B,0)), "")</f>
        <v>613.39886035164977</v>
      </c>
      <c r="T282" s="28">
        <f t="shared" si="46"/>
        <v>5.5</v>
      </c>
      <c r="U282" s="28" t="str">
        <f t="shared" si="47"/>
        <v>0D e 6h</v>
      </c>
      <c r="V282" s="27">
        <f>IFERROR(SUMIFS('[2]Controle de Produção'!$K:$K,'[2]Controle de Produção'!$L:$L,D282,'[2]Controle de Produção'!$P:$P,C282,'[2]Controle de Produção'!$B:$B,"&gt;=" &amp; G282,'[2]Controle de Produção'!$C:$C,"&lt;=" &amp; N282, '[2]Controle de Produção'!$G:$G,B282), "")</f>
        <v>0</v>
      </c>
      <c r="W282" s="27" t="str">
        <f>IFERROR(SUMIFS([3]EXPEDIÇÃO!$K:$K,[3]EXPEDIÇÃO!$E:$E,D282,[3]EXPEDIÇÃO!$D:$D,C282,[3]EXPEDIÇÃO!$N:$N,"&gt;=" &amp; G282,[3]EXPEDIÇÃO!$N:$N,"&lt;="&amp;N282), "")</f>
        <v/>
      </c>
      <c r="X282" s="27">
        <f>COUNTIFS('[2]Controle de Produção'!$P:$P,C282,'[2]Controle de Produção'!$L:$L,D282,'[2]Controle de Produção'!$B:$B,"&gt;=" &amp; G282)</f>
        <v>0</v>
      </c>
      <c r="Y282" s="27" t="str">
        <f t="shared" si="48"/>
        <v>-</v>
      </c>
      <c r="Z282" s="27">
        <f>IFERROR(COUNTIFS('[2]Controle de Produção'!$L:$L,D282,'[2]Controle de Produção'!$P:$P,C282,'[2]Controle de Produção'!$B:$B,"&gt;=" &amp; G282,'[2]Controle de Produção'!$C:$C,"&lt;=" &amp; N282, '[2]Controle de Produção'!$G:$G,B282), "")</f>
        <v>0</v>
      </c>
      <c r="AA282" s="108" t="str">
        <f t="shared" si="49"/>
        <v/>
      </c>
      <c r="AB282" s="41" t="str" cm="1">
        <f t="array" ref="AB282">_xlfn.IFS((H282*0.95)&lt;=V282,"Concluído",AND(V282 =0, J282&lt;&gt;""),"Programado",AND(V282=0,D282=""),"Desenvolv.",V282=0,"Não Iniciado",AND(V282&gt;0,V282&lt;H282,AO282=TRUE),"Em Produção",AND(V282&gt;0,V282&lt;H282,AO282=FALSE),"Produção Parcial")</f>
        <v>Não Iniciado</v>
      </c>
      <c r="AC282" s="42" t="b">
        <v>1</v>
      </c>
      <c r="AD282" s="42" t="b">
        <v>1</v>
      </c>
      <c r="AE282" s="42" t="b">
        <v>0</v>
      </c>
      <c r="AF282" s="42" t="b">
        <v>0</v>
      </c>
      <c r="AG282" s="42" t="b">
        <v>0</v>
      </c>
      <c r="AH282" s="42" t="s">
        <v>38</v>
      </c>
      <c r="AI282" s="42" t="b">
        <v>0</v>
      </c>
      <c r="AJ282" s="42" t="s">
        <v>38</v>
      </c>
      <c r="AK282" s="42" t="s">
        <v>38</v>
      </c>
      <c r="AL282" s="42" t="b">
        <v>0</v>
      </c>
      <c r="AM282" s="42" t="b">
        <v>0</v>
      </c>
      <c r="AN282" s="42" t="b">
        <v>0</v>
      </c>
      <c r="AO282" s="45" t="b" cm="1">
        <f t="array" ref="AO282">AND(COUNTIF(AC282:AN282,FALSE)=0,SUMPRODUCT(ISNUMBER(AC282:AN282)*1)=0)</f>
        <v>0</v>
      </c>
      <c r="AP282" s="59"/>
      <c r="AQ282" s="111">
        <f>IF(AB282="",99999999999,IFERROR(MATCH(AB282,{"Produção Parcial","Em Produção","Programado","Não Iniciado","Desenvolv.","Concluído"},0),7)*100000000+IF(ISNUMBER(J282),J282-46000,9999)*10000+IF(A282="",99,A282)*100+IF(C282="",99,CODE(LEFT(C282,1))))</f>
        <v>500000065</v>
      </c>
    </row>
    <row r="283" spans="1:45" s="36" customFormat="1" ht="15" hidden="1" customHeight="1" x14ac:dyDescent="0.25">
      <c r="A283" s="36">
        <v>100</v>
      </c>
      <c r="B283" s="38" t="s">
        <v>301</v>
      </c>
      <c r="C283" s="70" t="str">
        <f>INDEX([1]Produtos!$G:$G,MATCH($D283,[1]Produtos!$B:$B,0))</f>
        <v>AMEERATI</v>
      </c>
      <c r="D283" s="24" t="s">
        <v>281</v>
      </c>
      <c r="E283" s="70" t="str">
        <f>INDEX([1]Produtos!$C:$C,MATCH($D283,[1]Produtos!$B:$B,0))&amp;IF($F283&lt;&gt;"-"," - "&amp;LEFT($F283,1),"")&amp;" &gt; "&amp;$B283</f>
        <v>BODY CREAM ESTRELA RADIANTE &gt; ON-HOLD</v>
      </c>
      <c r="F283" s="51" t="s">
        <v>38</v>
      </c>
      <c r="G283" s="38">
        <v>45959</v>
      </c>
      <c r="H283" s="39">
        <f>3360</f>
        <v>3360</v>
      </c>
      <c r="I283" s="24" t="s">
        <v>39</v>
      </c>
      <c r="J283" s="68" t="str" cm="1">
        <f t="array" ref="J283">IFERROR(INDEX('[2]Previsão Envase'!$D$5:$D$4867, MATCH(1,('[2]Previsão Envase'!$F$5:$F$4867=$E283)+('[2]Previsão Envase'!$G$5:$G$4867=$E283)+('[2]Previsão Envase'!$H$5:$H$4867=$E283),0)),"")</f>
        <v/>
      </c>
      <c r="K283" s="68" t="str">
        <f>IF(COUNTIF('[2]Previsão Envase'!$F:$F,E283)&gt;0,"Linha 1",
IF(COUNTIF('[2]Previsão Envase'!$G:$G,E283)&gt;0,"Linha 2",
IF(COUNTIF('[2]Previsão Envase'!$H:$H,E283)&gt;0,"Linha 3","")))</f>
        <v/>
      </c>
      <c r="L283" s="96">
        <f>COUNTIF('[2]Previsão Envase'!$F:$H,E283)-COUNTIF('[2]Previsão Envase'!$F$1:$H$4,E283)</f>
        <v>0</v>
      </c>
      <c r="M283" s="35">
        <f t="shared" si="44"/>
        <v>0</v>
      </c>
      <c r="N283" s="68" t="str">
        <f>IFERROR(MAX(_xlfn.MAXIFS('[2]Controle de Produção'!$C:$C,'[2]Controle de Produção'!$L:$L,$D283,'[2]Controle de Produção'!$P:$P,$C283,'[2]Controle de Produção'!$G:$G,$B283),_xlfn.MAXIFS([3]EXPEDIÇÃO!$N:$N,[3]EXPEDIÇÃO!$E:$E,$D283,[3]EXPEDIÇÃO!$D:$D,$C283,[3]EXPEDIÇÃO!$N:$N,"&gt;="&amp;$G283)),"")</f>
        <v/>
      </c>
      <c r="O283" s="70">
        <f>INDEX([1]Produtos!$E:$E,MATCH($D283,[1]Produtos!$B:$B,0))</f>
        <v>240</v>
      </c>
      <c r="P283" s="70" t="str">
        <f>INDEX([1]Produtos!$F:$F,MATCH($D283,[1]Produtos!$B:$B,0))</f>
        <v>ml</v>
      </c>
      <c r="Q283" s="105">
        <f>INDEX([1]Produtos!$Y:$Y,MATCH($D283,[1]Produtos!$B:$B,0))</f>
        <v>1.48</v>
      </c>
      <c r="R283" s="35">
        <f t="shared" si="45"/>
        <v>5520.5897431648482</v>
      </c>
      <c r="S283" s="27">
        <f>IFERROR(INDEX([1]Produtos!$L:$L,MATCH(D283,[1]Produtos!$B:$B,0)), "")</f>
        <v>613.39886035164977</v>
      </c>
      <c r="T283" s="28">
        <f t="shared" si="46"/>
        <v>5.5</v>
      </c>
      <c r="U283" s="28" t="str">
        <f t="shared" si="47"/>
        <v>0D e 6h</v>
      </c>
      <c r="V283" s="27">
        <f>IFERROR(SUMIFS('[2]Controle de Produção'!$K:$K,'[2]Controle de Produção'!$L:$L,D283,'[2]Controle de Produção'!$P:$P,C283,'[2]Controle de Produção'!$B:$B,"&gt;=" &amp; G283,'[2]Controle de Produção'!$C:$C,"&lt;=" &amp; N283, '[2]Controle de Produção'!$G:$G,B283), "")</f>
        <v>0</v>
      </c>
      <c r="W283" s="27" t="str">
        <f>IFERROR(SUMIFS([3]EXPEDIÇÃO!$K:$K,[3]EXPEDIÇÃO!$E:$E,D283,[3]EXPEDIÇÃO!$D:$D,C283,[3]EXPEDIÇÃO!$N:$N,"&gt;=" &amp; G283,[3]EXPEDIÇÃO!$N:$N,"&lt;="&amp;N283), "")</f>
        <v/>
      </c>
      <c r="X283" s="27">
        <f>COUNTIFS('[2]Controle de Produção'!$P:$P,C283,'[2]Controle de Produção'!$L:$L,D283,'[2]Controle de Produção'!$B:$B,"&gt;=" &amp; G283)</f>
        <v>0</v>
      </c>
      <c r="Y283" s="27" t="str">
        <f t="shared" si="48"/>
        <v>-</v>
      </c>
      <c r="Z283" s="27">
        <f>IFERROR(COUNTIFS('[2]Controle de Produção'!$L:$L,D283,'[2]Controle de Produção'!$P:$P,C283,'[2]Controle de Produção'!$B:$B,"&gt;=" &amp; G283,'[2]Controle de Produção'!$C:$C,"&lt;=" &amp; N283, '[2]Controle de Produção'!$G:$G,B283), "")</f>
        <v>0</v>
      </c>
      <c r="AA283" s="108" t="str">
        <f t="shared" si="49"/>
        <v/>
      </c>
      <c r="AB283" s="41" t="str" cm="1">
        <f t="array" ref="AB283">_xlfn.IFS((H283*0.95)&lt;=V283,"Concluído",AND(V283 =0, J283&lt;&gt;""),"Programado",AND(V283=0,D283=""),"Desenvolv.",V283=0,"Não Iniciado",AND(V283&gt;0,V283&lt;H283,AO283=TRUE),"Em Produção",AND(V283&gt;0,V283&lt;H283,AO283=FALSE),"Produção Parcial")</f>
        <v>Não Iniciado</v>
      </c>
      <c r="AC283" s="42" t="b">
        <v>1</v>
      </c>
      <c r="AD283" s="42" t="b">
        <v>1</v>
      </c>
      <c r="AE283" s="42" t="b">
        <v>0</v>
      </c>
      <c r="AF283" s="42" t="b">
        <v>0</v>
      </c>
      <c r="AG283" s="42" t="b">
        <v>0</v>
      </c>
      <c r="AH283" s="42" t="s">
        <v>38</v>
      </c>
      <c r="AI283" s="42" t="b">
        <v>0</v>
      </c>
      <c r="AJ283" s="42" t="s">
        <v>38</v>
      </c>
      <c r="AK283" s="42" t="s">
        <v>38</v>
      </c>
      <c r="AL283" s="42" t="b">
        <v>0</v>
      </c>
      <c r="AM283" s="42" t="b">
        <v>0</v>
      </c>
      <c r="AN283" s="42" t="b">
        <v>0</v>
      </c>
      <c r="AO283" s="45" t="b" cm="1">
        <f t="array" ref="AO283">AND(COUNTIF(AC283:AN283,FALSE)=0,SUMPRODUCT(ISNUMBER(AC283:AN283)*1)=0)</f>
        <v>0</v>
      </c>
      <c r="AP283" s="59"/>
      <c r="AQ283" s="111">
        <f>IF(AB283="",99999999999,IFERROR(MATCH(AB283,{"Produção Parcial","Em Produção","Programado","Não Iniciado","Desenvolv.","Concluído"},0),7)*100000000+IF(ISNUMBER(J283),J283-46000,9999)*10000+IF(A283="",99,A283)*100+IF(C283="",99,CODE(LEFT(C283,1))))</f>
        <v>500000065</v>
      </c>
    </row>
    <row r="284" spans="1:45" s="36" customFormat="1" ht="25.15" hidden="1" customHeight="1" x14ac:dyDescent="0.25">
      <c r="A284" s="36">
        <v>100</v>
      </c>
      <c r="B284" s="38" t="s">
        <v>301</v>
      </c>
      <c r="C284" s="70" t="str">
        <f>INDEX([1]Produtos!$G:$G,MATCH($D284,[1]Produtos!$B:$B,0))</f>
        <v>AMEERATI</v>
      </c>
      <c r="D284" s="24" t="s">
        <v>282</v>
      </c>
      <c r="E284" s="70" t="str">
        <f>INDEX([1]Produtos!$C:$C,MATCH($D284,[1]Produtos!$B:$B,0))&amp;IF($F284&lt;&gt;"-"," - "&amp;LEFT($F284,1),"")&amp;" &gt; "&amp;$B284</f>
        <v>BODY CREAM FLOR DE CRISTAL &gt; ON-HOLD</v>
      </c>
      <c r="F284" s="51" t="s">
        <v>38</v>
      </c>
      <c r="G284" s="38">
        <v>45959</v>
      </c>
      <c r="H284" s="39">
        <f>3360</f>
        <v>3360</v>
      </c>
      <c r="I284" s="24" t="s">
        <v>39</v>
      </c>
      <c r="J284" s="68" t="str" cm="1">
        <f t="array" ref="J284">IFERROR(INDEX('[2]Previsão Envase'!$D$5:$D$4867, MATCH(1,('[2]Previsão Envase'!$F$5:$F$4867=$E284)+('[2]Previsão Envase'!$G$5:$G$4867=$E284)+('[2]Previsão Envase'!$H$5:$H$4867=$E284),0)),"")</f>
        <v/>
      </c>
      <c r="K284" s="68" t="str">
        <f>IF(COUNTIF('[2]Previsão Envase'!$F:$F,E284)&gt;0,"Linha 1",
IF(COUNTIF('[2]Previsão Envase'!$G:$G,E284)&gt;0,"Linha 2",
IF(COUNTIF('[2]Previsão Envase'!$H:$H,E284)&gt;0,"Linha 3","")))</f>
        <v/>
      </c>
      <c r="L284" s="96">
        <f>COUNTIF('[2]Previsão Envase'!$F:$H,E284)-COUNTIF('[2]Previsão Envase'!$F$1:$H$4,E284)</f>
        <v>0</v>
      </c>
      <c r="M284" s="35">
        <f t="shared" si="44"/>
        <v>0</v>
      </c>
      <c r="N284" s="68" t="str">
        <f>IFERROR(MAX(_xlfn.MAXIFS('[2]Controle de Produção'!$C:$C,'[2]Controle de Produção'!$L:$L,$D284,'[2]Controle de Produção'!$P:$P,$C284,'[2]Controle de Produção'!$G:$G,$B284),_xlfn.MAXIFS([3]EXPEDIÇÃO!$N:$N,[3]EXPEDIÇÃO!$E:$E,$D284,[3]EXPEDIÇÃO!$D:$D,$C284,[3]EXPEDIÇÃO!$N:$N,"&gt;="&amp;$G284)),"")</f>
        <v/>
      </c>
      <c r="O284" s="70">
        <f>INDEX([1]Produtos!$E:$E,MATCH($D284,[1]Produtos!$B:$B,0))</f>
        <v>240</v>
      </c>
      <c r="P284" s="70" t="str">
        <f>INDEX([1]Produtos!$F:$F,MATCH($D284,[1]Produtos!$B:$B,0))</f>
        <v>ml</v>
      </c>
      <c r="Q284" s="105">
        <f>INDEX([1]Produtos!$Y:$Y,MATCH($D284,[1]Produtos!$B:$B,0))</f>
        <v>1.48</v>
      </c>
      <c r="R284" s="35">
        <f t="shared" si="45"/>
        <v>5520.5897431648482</v>
      </c>
      <c r="S284" s="27">
        <f>IFERROR(INDEX([1]Produtos!$L:$L,MATCH(D284,[1]Produtos!$B:$B,0)), "")</f>
        <v>613.39886035164977</v>
      </c>
      <c r="T284" s="28">
        <f t="shared" si="46"/>
        <v>5.5</v>
      </c>
      <c r="U284" s="28" t="str">
        <f t="shared" si="47"/>
        <v>0D e 6h</v>
      </c>
      <c r="V284" s="27">
        <f>IFERROR(SUMIFS('[2]Controle de Produção'!$K:$K,'[2]Controle de Produção'!$L:$L,D284,'[2]Controle de Produção'!$P:$P,C284,'[2]Controle de Produção'!$B:$B,"&gt;=" &amp; G284,'[2]Controle de Produção'!$C:$C,"&lt;=" &amp; N284, '[2]Controle de Produção'!$G:$G,B284), "")</f>
        <v>0</v>
      </c>
      <c r="W284" s="27" t="str">
        <f>IFERROR(SUMIFS([3]EXPEDIÇÃO!$K:$K,[3]EXPEDIÇÃO!$E:$E,D284,[3]EXPEDIÇÃO!$D:$D,C284,[3]EXPEDIÇÃO!$N:$N,"&gt;=" &amp; G284,[3]EXPEDIÇÃO!$N:$N,"&lt;="&amp;N284), "")</f>
        <v/>
      </c>
      <c r="X284" s="27">
        <f>COUNTIFS('[2]Controle de Produção'!$P:$P,C284,'[2]Controle de Produção'!$L:$L,D284,'[2]Controle de Produção'!$B:$B,"&gt;=" &amp; G284)</f>
        <v>0</v>
      </c>
      <c r="Y284" s="27" t="str">
        <f t="shared" si="48"/>
        <v>-</v>
      </c>
      <c r="Z284" s="27">
        <f>IFERROR(COUNTIFS('[2]Controle de Produção'!$L:$L,D284,'[2]Controle de Produção'!$P:$P,C284,'[2]Controle de Produção'!$B:$B,"&gt;=" &amp; G284,'[2]Controle de Produção'!$C:$C,"&lt;=" &amp; N284, '[2]Controle de Produção'!$G:$G,B284), "")</f>
        <v>0</v>
      </c>
      <c r="AA284" s="108" t="str">
        <f t="shared" si="49"/>
        <v/>
      </c>
      <c r="AB284" s="41" t="str" cm="1">
        <f t="array" ref="AB284">_xlfn.IFS((H284*0.95)&lt;=V284,"Concluído",AND(V284 =0, J284&lt;&gt;""),"Programado",AND(V284=0,D284=""),"Desenvolv.",V284=0,"Não Iniciado",AND(V284&gt;0,V284&lt;H284,AO284=TRUE),"Em Produção",AND(V284&gt;0,V284&lt;H284,AO284=FALSE),"Produção Parcial")</f>
        <v>Não Iniciado</v>
      </c>
      <c r="AC284" s="42" t="b">
        <v>1</v>
      </c>
      <c r="AD284" s="42" t="b">
        <v>1</v>
      </c>
      <c r="AE284" s="42" t="b">
        <v>0</v>
      </c>
      <c r="AF284" s="42" t="b">
        <v>0</v>
      </c>
      <c r="AG284" s="42" t="b">
        <v>0</v>
      </c>
      <c r="AH284" s="42" t="s">
        <v>38</v>
      </c>
      <c r="AI284" s="42" t="b">
        <v>0</v>
      </c>
      <c r="AJ284" s="42" t="s">
        <v>38</v>
      </c>
      <c r="AK284" s="42" t="s">
        <v>38</v>
      </c>
      <c r="AL284" s="42" t="b">
        <v>0</v>
      </c>
      <c r="AM284" s="42" t="b">
        <v>0</v>
      </c>
      <c r="AN284" s="42" t="b">
        <v>0</v>
      </c>
      <c r="AO284" s="45" t="b" cm="1">
        <f t="array" ref="AO284">AND(COUNTIF(AC284:AN284,FALSE)=0,SUMPRODUCT(ISNUMBER(AC284:AN284)*1)=0)</f>
        <v>0</v>
      </c>
      <c r="AP284" s="59"/>
      <c r="AQ284" s="111">
        <f>IF(AB284="",99999999999,IFERROR(MATCH(AB284,{"Produção Parcial","Em Produção","Programado","Não Iniciado","Desenvolv.","Concluído"},0),7)*100000000+IF(ISNUMBER(J284),J284-46000,9999)*10000+IF(A284="",99,A284)*100+IF(C284="",99,CODE(LEFT(C284,1))))</f>
        <v>500000065</v>
      </c>
    </row>
    <row r="285" spans="1:45" s="36" customFormat="1" ht="25.15" hidden="1" customHeight="1" x14ac:dyDescent="0.25">
      <c r="A285" s="36">
        <v>100</v>
      </c>
      <c r="B285" s="38" t="s">
        <v>301</v>
      </c>
      <c r="C285" s="70" t="str">
        <f>INDEX([1]Produtos!$G:$G,MATCH($D285,[1]Produtos!$B:$B,0))</f>
        <v>AMEERATI</v>
      </c>
      <c r="D285" s="24" t="s">
        <v>289</v>
      </c>
      <c r="E285" s="70" t="str">
        <f>INDEX([1]Produtos!$C:$C,MATCH($D285,[1]Produtos!$B:$B,0))&amp;IF($F285&lt;&gt;"-"," - "&amp;LEFT($F285,1),"")&amp;" &gt; "&amp;$B285</f>
        <v>BODY CREAM MISTERIO INFINITO &gt; ON-HOLD</v>
      </c>
      <c r="F285" s="51" t="s">
        <v>38</v>
      </c>
      <c r="G285" s="38">
        <v>45959</v>
      </c>
      <c r="H285" s="39">
        <f>3360</f>
        <v>3360</v>
      </c>
      <c r="I285" s="24" t="s">
        <v>39</v>
      </c>
      <c r="J285" s="68" t="str" cm="1">
        <f t="array" ref="J285">IFERROR(INDEX('[2]Previsão Envase'!$D$5:$D$4867, MATCH(1,('[2]Previsão Envase'!$F$5:$F$4867=$E285)+('[2]Previsão Envase'!$G$5:$G$4867=$E285)+('[2]Previsão Envase'!$H$5:$H$4867=$E285),0)),"")</f>
        <v/>
      </c>
      <c r="K285" s="68" t="str">
        <f>IF(COUNTIF('[2]Previsão Envase'!$F:$F,E285)&gt;0,"Linha 1",
IF(COUNTIF('[2]Previsão Envase'!$G:$G,E285)&gt;0,"Linha 2",
IF(COUNTIF('[2]Previsão Envase'!$H:$H,E285)&gt;0,"Linha 3","")))</f>
        <v/>
      </c>
      <c r="L285" s="96">
        <f>COUNTIF('[2]Previsão Envase'!$F:$H,E285)-COUNTIF('[2]Previsão Envase'!$F$1:$H$4,E285)</f>
        <v>0</v>
      </c>
      <c r="M285" s="35">
        <f t="shared" si="44"/>
        <v>0</v>
      </c>
      <c r="N285" s="68" t="str">
        <f>IFERROR(MAX(_xlfn.MAXIFS('[2]Controle de Produção'!$C:$C,'[2]Controle de Produção'!$L:$L,$D285,'[2]Controle de Produção'!$P:$P,$C285,'[2]Controle de Produção'!$G:$G,$B285),_xlfn.MAXIFS([3]EXPEDIÇÃO!$N:$N,[3]EXPEDIÇÃO!$E:$E,$D285,[3]EXPEDIÇÃO!$D:$D,$C285,[3]EXPEDIÇÃO!$N:$N,"&gt;="&amp;$G285)),"")</f>
        <v/>
      </c>
      <c r="O285" s="70">
        <f>INDEX([1]Produtos!$E:$E,MATCH($D285,[1]Produtos!$B:$B,0))</f>
        <v>240</v>
      </c>
      <c r="P285" s="70" t="str">
        <f>INDEX([1]Produtos!$F:$F,MATCH($D285,[1]Produtos!$B:$B,0))</f>
        <v>ml</v>
      </c>
      <c r="Q285" s="105">
        <f>INDEX([1]Produtos!$Y:$Y,MATCH($D285,[1]Produtos!$B:$B,0))</f>
        <v>1.48</v>
      </c>
      <c r="R285" s="35">
        <f t="shared" si="45"/>
        <v>5520.5897431648482</v>
      </c>
      <c r="S285" s="27">
        <f>IFERROR(INDEX([1]Produtos!$L:$L,MATCH(D285,[1]Produtos!$B:$B,0)), "")</f>
        <v>613.39886035164977</v>
      </c>
      <c r="T285" s="28">
        <f t="shared" si="46"/>
        <v>5.5</v>
      </c>
      <c r="U285" s="28" t="str">
        <f t="shared" si="47"/>
        <v>0D e 6h</v>
      </c>
      <c r="V285" s="27">
        <f>IFERROR(SUMIFS('[2]Controle de Produção'!$K:$K,'[2]Controle de Produção'!$L:$L,D285,'[2]Controle de Produção'!$P:$P,C285,'[2]Controle de Produção'!$B:$B,"&gt;=" &amp; G285,'[2]Controle de Produção'!$C:$C,"&lt;=" &amp; N285, '[2]Controle de Produção'!$G:$G,B285), "")</f>
        <v>0</v>
      </c>
      <c r="W285" s="27" t="str">
        <f>IFERROR(SUMIFS([3]EXPEDIÇÃO!$K:$K,[3]EXPEDIÇÃO!$E:$E,D285,[3]EXPEDIÇÃO!$D:$D,C285,[3]EXPEDIÇÃO!$N:$N,"&gt;=" &amp; G285,[3]EXPEDIÇÃO!$N:$N,"&lt;="&amp;N285), "")</f>
        <v/>
      </c>
      <c r="X285" s="27">
        <f>COUNTIFS('[2]Controle de Produção'!$P:$P,C285,'[2]Controle de Produção'!$L:$L,D285,'[2]Controle de Produção'!$B:$B,"&gt;=" &amp; G285)</f>
        <v>0</v>
      </c>
      <c r="Y285" s="27" t="str">
        <f t="shared" si="48"/>
        <v>-</v>
      </c>
      <c r="Z285" s="27">
        <f>IFERROR(COUNTIFS('[2]Controle de Produção'!$L:$L,D285,'[2]Controle de Produção'!$P:$P,C285,'[2]Controle de Produção'!$B:$B,"&gt;=" &amp; G285,'[2]Controle de Produção'!$C:$C,"&lt;=" &amp; N285, '[2]Controle de Produção'!$G:$G,B285), "")</f>
        <v>0</v>
      </c>
      <c r="AA285" s="108" t="str">
        <f t="shared" si="49"/>
        <v/>
      </c>
      <c r="AB285" s="41" t="str" cm="1">
        <f t="array" ref="AB285">_xlfn.IFS((H285*0.95)&lt;=V285,"Concluído",AND(V285 =0, J285&lt;&gt;""),"Programado",AND(V285=0,D285=""),"Desenvolv.",V285=0,"Não Iniciado",AND(V285&gt;0,V285&lt;H285,AO285=TRUE),"Em Produção",AND(V285&gt;0,V285&lt;H285,AO285=FALSE),"Produção Parcial")</f>
        <v>Não Iniciado</v>
      </c>
      <c r="AC285" s="42" t="b">
        <v>1</v>
      </c>
      <c r="AD285" s="42" t="b">
        <v>1</v>
      </c>
      <c r="AE285" s="42" t="b">
        <v>0</v>
      </c>
      <c r="AF285" s="42" t="b">
        <v>0</v>
      </c>
      <c r="AG285" s="42" t="b">
        <v>0</v>
      </c>
      <c r="AH285" s="42" t="s">
        <v>38</v>
      </c>
      <c r="AI285" s="42" t="b">
        <v>0</v>
      </c>
      <c r="AJ285" s="42" t="s">
        <v>38</v>
      </c>
      <c r="AK285" s="42" t="s">
        <v>38</v>
      </c>
      <c r="AL285" s="42" t="b">
        <v>0</v>
      </c>
      <c r="AM285" s="42" t="b">
        <v>0</v>
      </c>
      <c r="AN285" s="42" t="b">
        <v>0</v>
      </c>
      <c r="AO285" s="45" t="b" cm="1">
        <f t="array" ref="AO285">AND(COUNTIF(AC285:AN285,FALSE)=0,SUMPRODUCT(ISNUMBER(AC285:AN285)*1)=0)</f>
        <v>0</v>
      </c>
      <c r="AP285" s="59"/>
      <c r="AQ285" s="111">
        <f>IF(AB285="",99999999999,IFERROR(MATCH(AB285,{"Produção Parcial","Em Produção","Programado","Não Iniciado","Desenvolv.","Concluído"},0),7)*100000000+IF(ISNUMBER(J285),J285-46000,9999)*10000+IF(A285="",99,A285)*100+IF(C285="",99,CODE(LEFT(C285,1))))</f>
        <v>500000065</v>
      </c>
    </row>
    <row r="286" spans="1:45" s="36" customFormat="1" ht="25.15" hidden="1" customHeight="1" x14ac:dyDescent="0.25">
      <c r="A286" s="36">
        <v>100</v>
      </c>
      <c r="B286" s="38" t="s">
        <v>301</v>
      </c>
      <c r="C286" s="70" t="str">
        <f>INDEX([1]Produtos!$G:$G,MATCH($D286,[1]Produtos!$B:$B,0))</f>
        <v>AMEERATI</v>
      </c>
      <c r="D286" s="24" t="s">
        <v>286</v>
      </c>
      <c r="E286" s="70" t="str">
        <f>INDEX([1]Produtos!$C:$C,MATCH($D286,[1]Produtos!$B:$B,0))&amp;IF($F286&lt;&gt;"-"," - "&amp;LEFT($F286,1),"")&amp;" &gt; "&amp;$B286</f>
        <v>BODY CREAM NEVOA ENCANTADA &gt; ON-HOLD</v>
      </c>
      <c r="F286" s="51" t="s">
        <v>38</v>
      </c>
      <c r="G286" s="38">
        <v>45959</v>
      </c>
      <c r="H286" s="39">
        <f>3360</f>
        <v>3360</v>
      </c>
      <c r="I286" s="24" t="s">
        <v>39</v>
      </c>
      <c r="J286" s="68" t="str" cm="1">
        <f t="array" ref="J286">IFERROR(INDEX('[2]Previsão Envase'!$D$5:$D$4867, MATCH(1,('[2]Previsão Envase'!$F$5:$F$4867=$E286)+('[2]Previsão Envase'!$G$5:$G$4867=$E286)+('[2]Previsão Envase'!$H$5:$H$4867=$E286),0)),"")</f>
        <v/>
      </c>
      <c r="K286" s="68" t="str">
        <f>IF(COUNTIF('[2]Previsão Envase'!$F:$F,E286)&gt;0,"Linha 1",
IF(COUNTIF('[2]Previsão Envase'!$G:$G,E286)&gt;0,"Linha 2",
IF(COUNTIF('[2]Previsão Envase'!$H:$H,E286)&gt;0,"Linha 3","")))</f>
        <v/>
      </c>
      <c r="L286" s="96">
        <f>COUNTIF('[2]Previsão Envase'!$F:$H,E286)-COUNTIF('[2]Previsão Envase'!$F$1:$H$4,E286)</f>
        <v>0</v>
      </c>
      <c r="M286" s="35">
        <f t="shared" si="44"/>
        <v>0</v>
      </c>
      <c r="N286" s="68" t="str">
        <f>IFERROR(MAX(_xlfn.MAXIFS('[2]Controle de Produção'!$C:$C,'[2]Controle de Produção'!$L:$L,$D286,'[2]Controle de Produção'!$P:$P,$C286,'[2]Controle de Produção'!$G:$G,$B286),_xlfn.MAXIFS([3]EXPEDIÇÃO!$N:$N,[3]EXPEDIÇÃO!$E:$E,$D286,[3]EXPEDIÇÃO!$D:$D,$C286,[3]EXPEDIÇÃO!$N:$N,"&gt;="&amp;$G286)),"")</f>
        <v/>
      </c>
      <c r="O286" s="70">
        <f>INDEX([1]Produtos!$E:$E,MATCH($D286,[1]Produtos!$B:$B,0))</f>
        <v>240</v>
      </c>
      <c r="P286" s="70" t="str">
        <f>INDEX([1]Produtos!$F:$F,MATCH($D286,[1]Produtos!$B:$B,0))</f>
        <v>ml</v>
      </c>
      <c r="Q286" s="105">
        <f>INDEX([1]Produtos!$Y:$Y,MATCH($D286,[1]Produtos!$B:$B,0))</f>
        <v>1.48</v>
      </c>
      <c r="R286" s="35">
        <f t="shared" si="45"/>
        <v>5520.5897431648482</v>
      </c>
      <c r="S286" s="27">
        <f>IFERROR(INDEX([1]Produtos!$L:$L,MATCH(D286,[1]Produtos!$B:$B,0)), "")</f>
        <v>613.39886035164977</v>
      </c>
      <c r="T286" s="28">
        <f t="shared" si="46"/>
        <v>5.5</v>
      </c>
      <c r="U286" s="28" t="str">
        <f t="shared" si="47"/>
        <v>0D e 6h</v>
      </c>
      <c r="V286" s="27">
        <f>IFERROR(SUMIFS('[2]Controle de Produção'!$K:$K,'[2]Controle de Produção'!$L:$L,D286,'[2]Controle de Produção'!$P:$P,C286,'[2]Controle de Produção'!$B:$B,"&gt;=" &amp; G286,'[2]Controle de Produção'!$C:$C,"&lt;=" &amp; N286, '[2]Controle de Produção'!$G:$G,B286), "")</f>
        <v>0</v>
      </c>
      <c r="W286" s="27" t="str">
        <f>IFERROR(SUMIFS([3]EXPEDIÇÃO!$K:$K,[3]EXPEDIÇÃO!$E:$E,D286,[3]EXPEDIÇÃO!$D:$D,C286,[3]EXPEDIÇÃO!$N:$N,"&gt;=" &amp; G286,[3]EXPEDIÇÃO!$N:$N,"&lt;="&amp;N286), "")</f>
        <v/>
      </c>
      <c r="X286" s="27">
        <f>COUNTIFS('[2]Controle de Produção'!$P:$P,C286,'[2]Controle de Produção'!$L:$L,D286,'[2]Controle de Produção'!$B:$B,"&gt;=" &amp; G286)</f>
        <v>0</v>
      </c>
      <c r="Y286" s="27" t="str">
        <f t="shared" si="48"/>
        <v>-</v>
      </c>
      <c r="Z286" s="27">
        <f>IFERROR(COUNTIFS('[2]Controle de Produção'!$L:$L,D286,'[2]Controle de Produção'!$P:$P,C286,'[2]Controle de Produção'!$B:$B,"&gt;=" &amp; G286,'[2]Controle de Produção'!$C:$C,"&lt;=" &amp; N286, '[2]Controle de Produção'!$G:$G,B286), "")</f>
        <v>0</v>
      </c>
      <c r="AA286" s="108" t="str">
        <f t="shared" si="49"/>
        <v/>
      </c>
      <c r="AB286" s="41" t="str" cm="1">
        <f t="array" ref="AB286">_xlfn.IFS((H286*0.95)&lt;=V286,"Concluído",AND(V286 =0, J286&lt;&gt;""),"Programado",AND(V286=0,D286=""),"Desenvolv.",V286=0,"Não Iniciado",AND(V286&gt;0,V286&lt;H286,AO286=TRUE),"Em Produção",AND(V286&gt;0,V286&lt;H286,AO286=FALSE),"Produção Parcial")</f>
        <v>Não Iniciado</v>
      </c>
      <c r="AC286" s="42" t="b">
        <v>1</v>
      </c>
      <c r="AD286" s="42" t="b">
        <v>1</v>
      </c>
      <c r="AE286" s="42" t="b">
        <v>0</v>
      </c>
      <c r="AF286" s="42" t="b">
        <v>0</v>
      </c>
      <c r="AG286" s="42" t="b">
        <v>0</v>
      </c>
      <c r="AH286" s="42" t="s">
        <v>38</v>
      </c>
      <c r="AI286" s="42" t="b">
        <v>0</v>
      </c>
      <c r="AJ286" s="42" t="s">
        <v>38</v>
      </c>
      <c r="AK286" s="42" t="s">
        <v>38</v>
      </c>
      <c r="AL286" s="42" t="b">
        <v>0</v>
      </c>
      <c r="AM286" s="42" t="b">
        <v>0</v>
      </c>
      <c r="AN286" s="42" t="b">
        <v>0</v>
      </c>
      <c r="AO286" s="45" t="b" cm="1">
        <f t="array" ref="AO286">AND(COUNTIF(AC286:AN286,FALSE)=0,SUMPRODUCT(ISNUMBER(AC286:AN286)*1)=0)</f>
        <v>0</v>
      </c>
      <c r="AP286" s="59"/>
      <c r="AQ286" s="111">
        <f>IF(AB286="",99999999999,IFERROR(MATCH(AB286,{"Produção Parcial","Em Produção","Programado","Não Iniciado","Desenvolv.","Concluído"},0),7)*100000000+IF(ISNUMBER(J286),J286-46000,9999)*10000+IF(A286="",99,A286)*100+IF(C286="",99,CODE(LEFT(C286,1))))</f>
        <v>500000065</v>
      </c>
    </row>
    <row r="287" spans="1:45" s="36" customFormat="1" ht="25.15" hidden="1" customHeight="1" x14ac:dyDescent="0.25">
      <c r="A287" s="36">
        <v>100</v>
      </c>
      <c r="B287" s="38" t="s">
        <v>301</v>
      </c>
      <c r="C287" s="70" t="str">
        <f>INDEX([1]Produtos!$G:$G,MATCH($D287,[1]Produtos!$B:$B,0))</f>
        <v>AMEERATI</v>
      </c>
      <c r="D287" s="24" t="s">
        <v>300</v>
      </c>
      <c r="E287" s="70" t="str">
        <f>INDEX([1]Produtos!$C:$C,MATCH($D287,[1]Produtos!$B:$B,0))&amp;IF($F287&lt;&gt;"-"," - "&amp;LEFT($F287,1),"")&amp;" &gt; "&amp;$B287</f>
        <v>BODY MIST BELISSIMA ESSENZA &gt; ON-HOLD</v>
      </c>
      <c r="F287" s="51" t="s">
        <v>38</v>
      </c>
      <c r="G287" s="38">
        <v>45959</v>
      </c>
      <c r="H287" s="39">
        <f>3360</f>
        <v>3360</v>
      </c>
      <c r="I287" s="24" t="s">
        <v>39</v>
      </c>
      <c r="J287" s="68" t="str" cm="1">
        <f t="array" ref="J287">IFERROR(INDEX('[2]Previsão Envase'!$D$5:$D$4867, MATCH(1,('[2]Previsão Envase'!$F$5:$F$4867=$E287)+('[2]Previsão Envase'!$G$5:$G$4867=$E287)+('[2]Previsão Envase'!$H$5:$H$4867=$E287),0)),"")</f>
        <v/>
      </c>
      <c r="K287" s="68" t="str">
        <f>IF(COUNTIF('[2]Previsão Envase'!$F:$F,E287)&gt;0,"Linha 1",
IF(COUNTIF('[2]Previsão Envase'!$G:$G,E287)&gt;0,"Linha 2",
IF(COUNTIF('[2]Previsão Envase'!$H:$H,E287)&gt;0,"Linha 3","")))</f>
        <v/>
      </c>
      <c r="L287" s="96">
        <f>COUNTIF('[2]Previsão Envase'!$F:$H,E287)-COUNTIF('[2]Previsão Envase'!$F$1:$H$4,E287)</f>
        <v>0</v>
      </c>
      <c r="M287" s="35">
        <f t="shared" si="44"/>
        <v>0</v>
      </c>
      <c r="N287" s="68" t="str">
        <f>IFERROR(MAX(_xlfn.MAXIFS('[2]Controle de Produção'!$C:$C,'[2]Controle de Produção'!$L:$L,$D287,'[2]Controle de Produção'!$P:$P,$C287,'[2]Controle de Produção'!$G:$G,$B287),_xlfn.MAXIFS([3]EXPEDIÇÃO!$N:$N,[3]EXPEDIÇÃO!$E:$E,$D287,[3]EXPEDIÇÃO!$D:$D,$C287,[3]EXPEDIÇÃO!$N:$N,"&gt;="&amp;$G287)),"")</f>
        <v/>
      </c>
      <c r="O287" s="70">
        <f>INDEX([1]Produtos!$E:$E,MATCH($D287,[1]Produtos!$B:$B,0))</f>
        <v>250</v>
      </c>
      <c r="P287" s="70" t="str">
        <f>INDEX([1]Produtos!$F:$F,MATCH($D287,[1]Produtos!$B:$B,0))</f>
        <v>ml</v>
      </c>
      <c r="Q287" s="105">
        <f>INDEX([1]Produtos!$Y:$Y,MATCH($D287,[1]Produtos!$B:$B,0))</f>
        <v>1.35</v>
      </c>
      <c r="R287" s="35">
        <f t="shared" si="45"/>
        <v>7592.2902086267013</v>
      </c>
      <c r="S287" s="27">
        <f>IFERROR(INDEX([1]Produtos!$L:$L,MATCH(D287,[1]Produtos!$B:$B,0)), "")</f>
        <v>843.58780095852239</v>
      </c>
      <c r="T287" s="28">
        <f t="shared" si="46"/>
        <v>4</v>
      </c>
      <c r="U287" s="28" t="str">
        <f t="shared" si="47"/>
        <v>0D e 4h</v>
      </c>
      <c r="V287" s="27">
        <f>IFERROR(SUMIFS('[2]Controle de Produção'!$K:$K,'[2]Controle de Produção'!$L:$L,D287,'[2]Controle de Produção'!$P:$P,C287,'[2]Controle de Produção'!$B:$B,"&gt;=" &amp; G287,'[2]Controle de Produção'!$C:$C,"&lt;=" &amp; N287, '[2]Controle de Produção'!$G:$G,B287), "")</f>
        <v>0</v>
      </c>
      <c r="W287" s="27" t="str">
        <f>IFERROR(SUMIFS([3]EXPEDIÇÃO!$K:$K,[3]EXPEDIÇÃO!$E:$E,D287,[3]EXPEDIÇÃO!$D:$D,C287,[3]EXPEDIÇÃO!$N:$N,"&gt;=" &amp; G287,[3]EXPEDIÇÃO!$N:$N,"&lt;="&amp;N287), "")</f>
        <v/>
      </c>
      <c r="X287" s="27">
        <f>COUNTIFS('[2]Controle de Produção'!$P:$P,C287,'[2]Controle de Produção'!$L:$L,D287,'[2]Controle de Produção'!$B:$B,"&gt;=" &amp; G287)</f>
        <v>0</v>
      </c>
      <c r="Y287" s="27" t="str">
        <f t="shared" si="48"/>
        <v>-</v>
      </c>
      <c r="Z287" s="27">
        <f>IFERROR(COUNTIFS('[2]Controle de Produção'!$L:$L,D287,'[2]Controle de Produção'!$P:$P,C287,'[2]Controle de Produção'!$B:$B,"&gt;=" &amp; G287,'[2]Controle de Produção'!$C:$C,"&lt;=" &amp; N287, '[2]Controle de Produção'!$G:$G,B287), "")</f>
        <v>0</v>
      </c>
      <c r="AA287" s="108" t="str">
        <f t="shared" si="49"/>
        <v/>
      </c>
      <c r="AB287" s="41" t="str" cm="1">
        <f t="array" ref="AB287">_xlfn.IFS((H287*0.95)&lt;=V287,"Concluído",AND(V287 =0, J287&lt;&gt;""),"Programado",AND(V287=0,D287=""),"Desenvolv.",V287=0,"Não Iniciado",AND(V287&gt;0,V287&lt;H287,AO287=TRUE),"Em Produção",AND(V287&gt;0,V287&lt;H287,AO287=FALSE),"Produção Parcial")</f>
        <v>Não Iniciado</v>
      </c>
      <c r="AC287" s="42" t="b">
        <v>1</v>
      </c>
      <c r="AD287" s="42" t="b">
        <v>1</v>
      </c>
      <c r="AE287" s="42" t="b">
        <v>0</v>
      </c>
      <c r="AF287" s="42" t="b">
        <v>0</v>
      </c>
      <c r="AG287" s="42" t="b">
        <v>0</v>
      </c>
      <c r="AH287" s="42" t="s">
        <v>38</v>
      </c>
      <c r="AI287" s="42" t="b">
        <v>0</v>
      </c>
      <c r="AJ287" s="42" t="b">
        <v>1</v>
      </c>
      <c r="AK287" s="42" t="s">
        <v>38</v>
      </c>
      <c r="AL287" s="42" t="b">
        <v>0</v>
      </c>
      <c r="AM287" s="42" t="b">
        <v>0</v>
      </c>
      <c r="AN287" s="42" t="b">
        <v>0</v>
      </c>
      <c r="AO287" s="45" t="b" cm="1">
        <f t="array" ref="AO287">AND(COUNTIF(AC287:AN287,FALSE)=0,SUMPRODUCT(ISNUMBER(AC287:AN287)*1)=0)</f>
        <v>0</v>
      </c>
      <c r="AP287" s="59"/>
      <c r="AQ287" s="111">
        <f>IF(AB287="",99999999999,IFERROR(MATCH(AB287,{"Produção Parcial","Em Produção","Programado","Não Iniciado","Desenvolv.","Concluído"},0),7)*100000000+IF(ISNUMBER(J287),J287-46000,9999)*10000+IF(A287="",99,A287)*100+IF(C287="",99,CODE(LEFT(C287,1))))</f>
        <v>500000065</v>
      </c>
    </row>
    <row r="288" spans="1:45" s="36" customFormat="1" ht="25.15" hidden="1" customHeight="1" x14ac:dyDescent="0.25">
      <c r="A288" s="36">
        <v>100</v>
      </c>
      <c r="B288" s="38" t="s">
        <v>301</v>
      </c>
      <c r="C288" s="70" t="str">
        <f>INDEX([1]Produtos!$G:$G,MATCH($D288,[1]Produtos!$B:$B,0))</f>
        <v>AMEERATI</v>
      </c>
      <c r="D288" s="24" t="s">
        <v>299</v>
      </c>
      <c r="E288" s="70" t="str">
        <f>INDEX([1]Produtos!$C:$C,MATCH($D288,[1]Produtos!$B:$B,0))&amp;IF($F288&lt;&gt;"-"," - "&amp;LEFT($F288,1),"")&amp;" &gt; "&amp;$B288</f>
        <v>BODY MIST CHARME FATAL &gt; ON-HOLD</v>
      </c>
      <c r="F288" s="51" t="s">
        <v>38</v>
      </c>
      <c r="G288" s="38">
        <v>45959</v>
      </c>
      <c r="H288" s="39">
        <f>3360</f>
        <v>3360</v>
      </c>
      <c r="I288" s="24" t="s">
        <v>39</v>
      </c>
      <c r="J288" s="68" t="str" cm="1">
        <f t="array" ref="J288">IFERROR(INDEX('[2]Previsão Envase'!$D$5:$D$4867, MATCH(1,('[2]Previsão Envase'!$F$5:$F$4867=$E288)+('[2]Previsão Envase'!$G$5:$G$4867=$E288)+('[2]Previsão Envase'!$H$5:$H$4867=$E288),0)),"")</f>
        <v/>
      </c>
      <c r="K288" s="68" t="str">
        <f>IF(COUNTIF('[2]Previsão Envase'!$F:$F,E288)&gt;0,"Linha 1",
IF(COUNTIF('[2]Previsão Envase'!$G:$G,E288)&gt;0,"Linha 2",
IF(COUNTIF('[2]Previsão Envase'!$H:$H,E288)&gt;0,"Linha 3","")))</f>
        <v/>
      </c>
      <c r="L288" s="96">
        <f>COUNTIF('[2]Previsão Envase'!$F:$H,E288)-COUNTIF('[2]Previsão Envase'!$F$1:$H$4,E288)</f>
        <v>0</v>
      </c>
      <c r="M288" s="35">
        <f t="shared" si="44"/>
        <v>0</v>
      </c>
      <c r="N288" s="68" t="str">
        <f>IFERROR(MAX(_xlfn.MAXIFS('[2]Controle de Produção'!$C:$C,'[2]Controle de Produção'!$L:$L,$D288,'[2]Controle de Produção'!$P:$P,$C288,'[2]Controle de Produção'!$G:$G,$B288),_xlfn.MAXIFS([3]EXPEDIÇÃO!$N:$N,[3]EXPEDIÇÃO!$E:$E,$D288,[3]EXPEDIÇÃO!$D:$D,$C288,[3]EXPEDIÇÃO!$N:$N,"&gt;="&amp;$G288)),"")</f>
        <v/>
      </c>
      <c r="O288" s="70">
        <f>INDEX([1]Produtos!$E:$E,MATCH($D288,[1]Produtos!$B:$B,0))</f>
        <v>250</v>
      </c>
      <c r="P288" s="70" t="str">
        <f>INDEX([1]Produtos!$F:$F,MATCH($D288,[1]Produtos!$B:$B,0))</f>
        <v>ml</v>
      </c>
      <c r="Q288" s="105">
        <f>INDEX([1]Produtos!$Y:$Y,MATCH($D288,[1]Produtos!$B:$B,0))</f>
        <v>1.35</v>
      </c>
      <c r="R288" s="35">
        <f t="shared" si="45"/>
        <v>7592.2902086267013</v>
      </c>
      <c r="S288" s="27">
        <f>IFERROR(INDEX([1]Produtos!$L:$L,MATCH(D288,[1]Produtos!$B:$B,0)), "")</f>
        <v>843.58780095852239</v>
      </c>
      <c r="T288" s="28">
        <f t="shared" si="46"/>
        <v>4</v>
      </c>
      <c r="U288" s="28" t="str">
        <f t="shared" si="47"/>
        <v>0D e 4h</v>
      </c>
      <c r="V288" s="27">
        <f>IFERROR(SUMIFS('[2]Controle de Produção'!$K:$K,'[2]Controle de Produção'!$L:$L,D288,'[2]Controle de Produção'!$P:$P,C288,'[2]Controle de Produção'!$B:$B,"&gt;=" &amp; G288,'[2]Controle de Produção'!$C:$C,"&lt;=" &amp; N288, '[2]Controle de Produção'!$G:$G,B288), "")</f>
        <v>0</v>
      </c>
      <c r="W288" s="27" t="str">
        <f>IFERROR(SUMIFS([3]EXPEDIÇÃO!$K:$K,[3]EXPEDIÇÃO!$E:$E,D288,[3]EXPEDIÇÃO!$D:$D,C288,[3]EXPEDIÇÃO!$N:$N,"&gt;=" &amp; G288,[3]EXPEDIÇÃO!$N:$N,"&lt;="&amp;N288), "")</f>
        <v/>
      </c>
      <c r="X288" s="27">
        <f>COUNTIFS('[2]Controle de Produção'!$P:$P,C288,'[2]Controle de Produção'!$L:$L,D288,'[2]Controle de Produção'!$B:$B,"&gt;=" &amp; G288)</f>
        <v>0</v>
      </c>
      <c r="Y288" s="27" t="str">
        <f t="shared" si="48"/>
        <v>-</v>
      </c>
      <c r="Z288" s="27">
        <f>IFERROR(COUNTIFS('[2]Controle de Produção'!$L:$L,D288,'[2]Controle de Produção'!$P:$P,C288,'[2]Controle de Produção'!$B:$B,"&gt;=" &amp; G288,'[2]Controle de Produção'!$C:$C,"&lt;=" &amp; N288, '[2]Controle de Produção'!$G:$G,B288), "")</f>
        <v>0</v>
      </c>
      <c r="AA288" s="108" t="str">
        <f t="shared" si="49"/>
        <v/>
      </c>
      <c r="AB288" s="41" t="str" cm="1">
        <f t="array" ref="AB288">_xlfn.IFS((H288*0.95)&lt;=V288,"Concluído",AND(V288 =0, J288&lt;&gt;""),"Programado",AND(V288=0,D288=""),"Desenvolv.",V288=0,"Não Iniciado",AND(V288&gt;0,V288&lt;H288,AO288=TRUE),"Em Produção",AND(V288&gt;0,V288&lt;H288,AO288=FALSE),"Produção Parcial")</f>
        <v>Não Iniciado</v>
      </c>
      <c r="AC288" s="42" t="b">
        <v>1</v>
      </c>
      <c r="AD288" s="42" t="b">
        <v>1</v>
      </c>
      <c r="AE288" s="42" t="b">
        <v>0</v>
      </c>
      <c r="AF288" s="42" t="b">
        <v>0</v>
      </c>
      <c r="AG288" s="42" t="b">
        <v>0</v>
      </c>
      <c r="AH288" s="42" t="s">
        <v>38</v>
      </c>
      <c r="AI288" s="42" t="b">
        <v>0</v>
      </c>
      <c r="AJ288" s="42" t="b">
        <v>1</v>
      </c>
      <c r="AK288" s="42" t="s">
        <v>38</v>
      </c>
      <c r="AL288" s="42" t="b">
        <v>0</v>
      </c>
      <c r="AM288" s="42" t="b">
        <v>0</v>
      </c>
      <c r="AN288" s="42" t="b">
        <v>0</v>
      </c>
      <c r="AO288" s="45" t="b" cm="1">
        <f t="array" ref="AO288">AND(COUNTIF(AC288:AN288,FALSE)=0,SUMPRODUCT(ISNUMBER(AC288:AN288)*1)=0)</f>
        <v>0</v>
      </c>
      <c r="AP288" s="59"/>
      <c r="AQ288" s="111">
        <f>IF(AB288="",99999999999,IFERROR(MATCH(AB288,{"Produção Parcial","Em Produção","Programado","Não Iniciado","Desenvolv.","Concluído"},0),7)*100000000+IF(ISNUMBER(J288),J288-46000,9999)*10000+IF(A288="",99,A288)*100+IF(C288="",99,CODE(LEFT(C288,1))))</f>
        <v>500000065</v>
      </c>
    </row>
    <row r="289" spans="1:45" s="36" customFormat="1" ht="25.15" hidden="1" customHeight="1" x14ac:dyDescent="0.25">
      <c r="A289" s="36">
        <v>100</v>
      </c>
      <c r="B289" s="38" t="s">
        <v>301</v>
      </c>
      <c r="C289" s="70" t="str">
        <f>INDEX([1]Produtos!$G:$G,MATCH($D289,[1]Produtos!$B:$B,0))</f>
        <v>AMEERATI</v>
      </c>
      <c r="D289" s="24" t="s">
        <v>298</v>
      </c>
      <c r="E289" s="70" t="str">
        <f>INDEX([1]Produtos!$C:$C,MATCH($D289,[1]Produtos!$B:$B,0))&amp;IF($F289&lt;&gt;"-"," - "&amp;LEFT($F289,1),"")&amp;" &gt; "&amp;$B289</f>
        <v>BODY MIST DOCE BRISA &gt; ON-HOLD</v>
      </c>
      <c r="F289" s="51" t="s">
        <v>38</v>
      </c>
      <c r="G289" s="38">
        <v>45959</v>
      </c>
      <c r="H289" s="39">
        <f>3360</f>
        <v>3360</v>
      </c>
      <c r="I289" s="24" t="s">
        <v>39</v>
      </c>
      <c r="J289" s="68" t="str" cm="1">
        <f t="array" ref="J289">IFERROR(INDEX('[2]Previsão Envase'!$D$5:$D$4867, MATCH(1,('[2]Previsão Envase'!$F$5:$F$4867=$E289)+('[2]Previsão Envase'!$G$5:$G$4867=$E289)+('[2]Previsão Envase'!$H$5:$H$4867=$E289),0)),"")</f>
        <v/>
      </c>
      <c r="K289" s="68" t="str">
        <f>IF(COUNTIF('[2]Previsão Envase'!$F:$F,E289)&gt;0,"Linha 1",
IF(COUNTIF('[2]Previsão Envase'!$G:$G,E289)&gt;0,"Linha 2",
IF(COUNTIF('[2]Previsão Envase'!$H:$H,E289)&gt;0,"Linha 3","")))</f>
        <v/>
      </c>
      <c r="L289" s="96">
        <f>COUNTIF('[2]Previsão Envase'!$F:$H,E289)-COUNTIF('[2]Previsão Envase'!$F$1:$H$4,E289)</f>
        <v>0</v>
      </c>
      <c r="M289" s="35">
        <f t="shared" si="44"/>
        <v>0</v>
      </c>
      <c r="N289" s="68" t="str">
        <f>IFERROR(MAX(_xlfn.MAXIFS('[2]Controle de Produção'!$C:$C,'[2]Controle de Produção'!$L:$L,$D289,'[2]Controle de Produção'!$P:$P,$C289,'[2]Controle de Produção'!$G:$G,$B289),_xlfn.MAXIFS([3]EXPEDIÇÃO!$N:$N,[3]EXPEDIÇÃO!$E:$E,$D289,[3]EXPEDIÇÃO!$D:$D,$C289,[3]EXPEDIÇÃO!$N:$N,"&gt;="&amp;$G289)),"")</f>
        <v/>
      </c>
      <c r="O289" s="70">
        <f>INDEX([1]Produtos!$E:$E,MATCH($D289,[1]Produtos!$B:$B,0))</f>
        <v>250</v>
      </c>
      <c r="P289" s="70" t="str">
        <f>INDEX([1]Produtos!$F:$F,MATCH($D289,[1]Produtos!$B:$B,0))</f>
        <v>ml</v>
      </c>
      <c r="Q289" s="105">
        <f>INDEX([1]Produtos!$Y:$Y,MATCH($D289,[1]Produtos!$B:$B,0))</f>
        <v>1.35</v>
      </c>
      <c r="R289" s="35">
        <f t="shared" si="45"/>
        <v>7592.2902086267013</v>
      </c>
      <c r="S289" s="27">
        <f>IFERROR(INDEX([1]Produtos!$L:$L,MATCH(D289,[1]Produtos!$B:$B,0)), "")</f>
        <v>843.58780095852239</v>
      </c>
      <c r="T289" s="28">
        <f t="shared" si="46"/>
        <v>4</v>
      </c>
      <c r="U289" s="28" t="str">
        <f t="shared" si="47"/>
        <v>0D e 4h</v>
      </c>
      <c r="V289" s="27">
        <f>IFERROR(SUMIFS('[2]Controle de Produção'!$K:$K,'[2]Controle de Produção'!$L:$L,D289,'[2]Controle de Produção'!$P:$P,C289,'[2]Controle de Produção'!$B:$B,"&gt;=" &amp; G289,'[2]Controle de Produção'!$C:$C,"&lt;=" &amp; N289, '[2]Controle de Produção'!$G:$G,B289), "")</f>
        <v>0</v>
      </c>
      <c r="W289" s="27" t="str">
        <f>IFERROR(SUMIFS([3]EXPEDIÇÃO!$K:$K,[3]EXPEDIÇÃO!$E:$E,D289,[3]EXPEDIÇÃO!$D:$D,C289,[3]EXPEDIÇÃO!$N:$N,"&gt;=" &amp; G289,[3]EXPEDIÇÃO!$N:$N,"&lt;="&amp;N289), "")</f>
        <v/>
      </c>
      <c r="X289" s="27">
        <f>COUNTIFS('[2]Controle de Produção'!$P:$P,C289,'[2]Controle de Produção'!$L:$L,D289,'[2]Controle de Produção'!$B:$B,"&gt;=" &amp; G289)</f>
        <v>0</v>
      </c>
      <c r="Y289" s="27" t="str">
        <f t="shared" si="48"/>
        <v>-</v>
      </c>
      <c r="Z289" s="27">
        <f>IFERROR(COUNTIFS('[2]Controle de Produção'!$L:$L,D289,'[2]Controle de Produção'!$P:$P,C289,'[2]Controle de Produção'!$B:$B,"&gt;=" &amp; G289,'[2]Controle de Produção'!$C:$C,"&lt;=" &amp; N289, '[2]Controle de Produção'!$G:$G,B289), "")</f>
        <v>0</v>
      </c>
      <c r="AA289" s="108" t="str">
        <f t="shared" si="49"/>
        <v/>
      </c>
      <c r="AB289" s="41" t="str" cm="1">
        <f t="array" ref="AB289">_xlfn.IFS((H289*0.95)&lt;=V289,"Concluído",AND(V289 =0, J289&lt;&gt;""),"Programado",AND(V289=0,D289=""),"Desenvolv.",V289=0,"Não Iniciado",AND(V289&gt;0,V289&lt;H289,AO289=TRUE),"Em Produção",AND(V289&gt;0,V289&lt;H289,AO289=FALSE),"Produção Parcial")</f>
        <v>Não Iniciado</v>
      </c>
      <c r="AC289" s="42" t="b">
        <v>1</v>
      </c>
      <c r="AD289" s="42" t="b">
        <v>1</v>
      </c>
      <c r="AE289" s="42" t="b">
        <v>0</v>
      </c>
      <c r="AF289" s="42" t="b">
        <v>0</v>
      </c>
      <c r="AG289" s="42" t="b">
        <v>0</v>
      </c>
      <c r="AH289" s="42" t="s">
        <v>38</v>
      </c>
      <c r="AI289" s="42" t="b">
        <v>0</v>
      </c>
      <c r="AJ289" s="42" t="b">
        <v>1</v>
      </c>
      <c r="AK289" s="42" t="s">
        <v>38</v>
      </c>
      <c r="AL289" s="42" t="b">
        <v>0</v>
      </c>
      <c r="AM289" s="42" t="b">
        <v>0</v>
      </c>
      <c r="AN289" s="42" t="b">
        <v>0</v>
      </c>
      <c r="AO289" s="45" t="b" cm="1">
        <f t="array" ref="AO289">AND(COUNTIF(AC289:AN289,FALSE)=0,SUMPRODUCT(ISNUMBER(AC289:AN289)*1)=0)</f>
        <v>0</v>
      </c>
      <c r="AP289" s="59"/>
      <c r="AQ289" s="111">
        <f>IF(AB289="",99999999999,IFERROR(MATCH(AB289,{"Produção Parcial","Em Produção","Programado","Não Iniciado","Desenvolv.","Concluído"},0),7)*100000000+IF(ISNUMBER(J289),J289-46000,9999)*10000+IF(A289="",99,A289)*100+IF(C289="",99,CODE(LEFT(C289,1))))</f>
        <v>500000065</v>
      </c>
    </row>
    <row r="290" spans="1:45" s="36" customFormat="1" ht="25.15" hidden="1" customHeight="1" x14ac:dyDescent="0.25">
      <c r="A290" s="36">
        <v>100</v>
      </c>
      <c r="B290" s="125" t="s">
        <v>301</v>
      </c>
      <c r="C290" s="70" t="str">
        <f>INDEX([1]Produtos!$G:$G,MATCH($D290,[1]Produtos!$B:$B,0))</f>
        <v>AMEERATI</v>
      </c>
      <c r="D290" s="24" t="s">
        <v>293</v>
      </c>
      <c r="E290" s="70" t="str">
        <f>INDEX([1]Produtos!$C:$C,MATCH($D290,[1]Produtos!$B:$B,0))&amp;IF($F290&lt;&gt;"-"," - "&amp;LEFT($F290,1),"")&amp;" &gt; "&amp;$B290</f>
        <v>BODY MIST ESTRELA RADIANTE &gt; ON-HOLD</v>
      </c>
      <c r="F290" s="51" t="s">
        <v>38</v>
      </c>
      <c r="G290" s="38">
        <v>45959</v>
      </c>
      <c r="H290" s="39">
        <f>3360</f>
        <v>3360</v>
      </c>
      <c r="I290" s="24" t="s">
        <v>39</v>
      </c>
      <c r="J290" s="68" t="str" cm="1">
        <f t="array" ref="J290">IFERROR(INDEX('[2]Previsão Envase'!$D$5:$D$4867, MATCH(1,('[2]Previsão Envase'!$F$5:$F$4867=$E290)+('[2]Previsão Envase'!$G$5:$G$4867=$E290)+('[2]Previsão Envase'!$H$5:$H$4867=$E290),0)),"")</f>
        <v/>
      </c>
      <c r="K290" s="68" t="str">
        <f>IF(COUNTIF('[2]Previsão Envase'!$F:$F,E290)&gt;0,"Linha 1",
IF(COUNTIF('[2]Previsão Envase'!$G:$G,E290)&gt;0,"Linha 2",
IF(COUNTIF('[2]Previsão Envase'!$H:$H,E290)&gt;0,"Linha 3","")))</f>
        <v/>
      </c>
      <c r="L290" s="96">
        <f>COUNTIF('[2]Previsão Envase'!$F:$H,E290)-COUNTIF('[2]Previsão Envase'!$F$1:$H$4,E290)</f>
        <v>0</v>
      </c>
      <c r="M290" s="35">
        <f t="shared" si="44"/>
        <v>0</v>
      </c>
      <c r="N290" s="68" t="str">
        <f>IFERROR(MAX(_xlfn.MAXIFS('[2]Controle de Produção'!$C:$C,'[2]Controle de Produção'!$L:$L,$D290,'[2]Controle de Produção'!$P:$P,$C290,'[2]Controle de Produção'!$G:$G,$B290),_xlfn.MAXIFS([3]EXPEDIÇÃO!$N:$N,[3]EXPEDIÇÃO!$E:$E,$D290,[3]EXPEDIÇÃO!$D:$D,$C290,[3]EXPEDIÇÃO!$N:$N,"&gt;="&amp;$G290)),"")</f>
        <v/>
      </c>
      <c r="O290" s="70">
        <f>INDEX([1]Produtos!$E:$E,MATCH($D290,[1]Produtos!$B:$B,0))</f>
        <v>250</v>
      </c>
      <c r="P290" s="70" t="str">
        <f>INDEX([1]Produtos!$F:$F,MATCH($D290,[1]Produtos!$B:$B,0))</f>
        <v>ml</v>
      </c>
      <c r="Q290" s="105">
        <f>INDEX([1]Produtos!$Y:$Y,MATCH($D290,[1]Produtos!$B:$B,0))</f>
        <v>1.35</v>
      </c>
      <c r="R290" s="35">
        <f t="shared" si="45"/>
        <v>7592.2902086267013</v>
      </c>
      <c r="S290" s="27">
        <f>IFERROR(INDEX([1]Produtos!$L:$L,MATCH(D290,[1]Produtos!$B:$B,0)), "")</f>
        <v>843.58780095852239</v>
      </c>
      <c r="T290" s="28">
        <f t="shared" si="46"/>
        <v>4</v>
      </c>
      <c r="U290" s="28" t="str">
        <f t="shared" si="47"/>
        <v>0D e 4h</v>
      </c>
      <c r="V290" s="27">
        <f>IFERROR(SUMIFS('[2]Controle de Produção'!$K:$K,'[2]Controle de Produção'!$L:$L,D290,'[2]Controle de Produção'!$P:$P,C290,'[2]Controle de Produção'!$B:$B,"&gt;=" &amp; G290,'[2]Controle de Produção'!$C:$C,"&lt;=" &amp; N290, '[2]Controle de Produção'!$G:$G,B290), "")</f>
        <v>0</v>
      </c>
      <c r="W290" s="27" t="str">
        <f>IFERROR(SUMIFS([3]EXPEDIÇÃO!$K:$K,[3]EXPEDIÇÃO!$E:$E,D290,[3]EXPEDIÇÃO!$D:$D,C290,[3]EXPEDIÇÃO!$N:$N,"&gt;=" &amp; G290,[3]EXPEDIÇÃO!$N:$N,"&lt;="&amp;N290), "")</f>
        <v/>
      </c>
      <c r="X290" s="27">
        <f>COUNTIFS('[2]Controle de Produção'!$P:$P,C290,'[2]Controle de Produção'!$L:$L,D290,'[2]Controle de Produção'!$B:$B,"&gt;=" &amp; G290)</f>
        <v>0</v>
      </c>
      <c r="Y290" s="27" t="str">
        <f t="shared" si="48"/>
        <v>-</v>
      </c>
      <c r="Z290" s="27">
        <f>IFERROR(COUNTIFS('[2]Controle de Produção'!$L:$L,D290,'[2]Controle de Produção'!$P:$P,C290,'[2]Controle de Produção'!$B:$B,"&gt;=" &amp; G290,'[2]Controle de Produção'!$C:$C,"&lt;=" &amp; N290, '[2]Controle de Produção'!$G:$G,B290), "")</f>
        <v>0</v>
      </c>
      <c r="AA290" s="108" t="str">
        <f t="shared" si="49"/>
        <v/>
      </c>
      <c r="AB290" s="41" t="str" cm="1">
        <f t="array" ref="AB290">_xlfn.IFS((H290*0.95)&lt;=V290,"Concluído",AND(V290 =0, J290&lt;&gt;""),"Programado",AND(V290=0,D290=""),"Desenvolv.",V290=0,"Não Iniciado",AND(V290&gt;0,V290&lt;H290,AO290=TRUE),"Em Produção",AND(V290&gt;0,V290&lt;H290,AO290=FALSE),"Produção Parcial")</f>
        <v>Não Iniciado</v>
      </c>
      <c r="AC290" s="42" t="b">
        <v>1</v>
      </c>
      <c r="AD290" s="42" t="b">
        <v>1</v>
      </c>
      <c r="AE290" s="42" t="b">
        <v>0</v>
      </c>
      <c r="AF290" s="42" t="b">
        <v>0</v>
      </c>
      <c r="AG290" s="42" t="b">
        <v>0</v>
      </c>
      <c r="AH290" s="42" t="s">
        <v>38</v>
      </c>
      <c r="AI290" s="42" t="b">
        <v>0</v>
      </c>
      <c r="AJ290" s="42" t="b">
        <v>1</v>
      </c>
      <c r="AK290" s="42" t="s">
        <v>38</v>
      </c>
      <c r="AL290" s="42" t="b">
        <v>0</v>
      </c>
      <c r="AM290" s="42" t="b">
        <v>0</v>
      </c>
      <c r="AN290" s="42" t="b">
        <v>0</v>
      </c>
      <c r="AO290" s="45" t="b" cm="1">
        <f t="array" ref="AO290">AND(COUNTIF(AC290:AN290,FALSE)=0,SUMPRODUCT(ISNUMBER(AC290:AN290)*1)=0)</f>
        <v>0</v>
      </c>
      <c r="AP290" s="59"/>
      <c r="AQ290" s="111">
        <f>IF(AB290="",99999999999,IFERROR(MATCH(AB290,{"Produção Parcial","Em Produção","Programado","Não Iniciado","Desenvolv.","Concluído"},0),7)*100000000+IF(ISNUMBER(J290),J290-46000,9999)*10000+IF(A290="",99,A290)*100+IF(C290="",99,CODE(LEFT(C290,1))))</f>
        <v>500000065</v>
      </c>
    </row>
    <row r="291" spans="1:45" s="36" customFormat="1" ht="25.15" hidden="1" customHeight="1" x14ac:dyDescent="0.25">
      <c r="A291" s="36">
        <v>100</v>
      </c>
      <c r="B291" s="38" t="s">
        <v>301</v>
      </c>
      <c r="C291" s="70" t="str">
        <f>INDEX([1]Produtos!$G:$G,MATCH($D291,[1]Produtos!$B:$B,0))</f>
        <v>AMEERATI</v>
      </c>
      <c r="D291" s="24" t="s">
        <v>294</v>
      </c>
      <c r="E291" s="70" t="str">
        <f>INDEX([1]Produtos!$C:$C,MATCH($D291,[1]Produtos!$B:$B,0))&amp;IF($F291&lt;&gt;"-"," - "&amp;LEFT($F291,1),"")&amp;" &gt; "&amp;$B291</f>
        <v>BODY MIST FLOR DE CRISTAL &gt; ON-HOLD</v>
      </c>
      <c r="F291" s="51" t="s">
        <v>38</v>
      </c>
      <c r="G291" s="38">
        <v>45959</v>
      </c>
      <c r="H291" s="39">
        <f>3360</f>
        <v>3360</v>
      </c>
      <c r="I291" s="24" t="s">
        <v>39</v>
      </c>
      <c r="J291" s="68" t="str" cm="1">
        <f t="array" ref="J291">IFERROR(INDEX('[2]Previsão Envase'!$D$5:$D$4867, MATCH(1,('[2]Previsão Envase'!$F$5:$F$4867=$E291)+('[2]Previsão Envase'!$G$5:$G$4867=$E291)+('[2]Previsão Envase'!$H$5:$H$4867=$E291),0)),"")</f>
        <v/>
      </c>
      <c r="K291" s="68" t="str">
        <f>IF(COUNTIF('[2]Previsão Envase'!$F:$F,E291)&gt;0,"Linha 1",
IF(COUNTIF('[2]Previsão Envase'!$G:$G,E291)&gt;0,"Linha 2",
IF(COUNTIF('[2]Previsão Envase'!$H:$H,E291)&gt;0,"Linha 3","")))</f>
        <v/>
      </c>
      <c r="L291" s="96">
        <f>COUNTIF('[2]Previsão Envase'!$F:$H,E291)-COUNTIF('[2]Previsão Envase'!$F$1:$H$4,E291)</f>
        <v>0</v>
      </c>
      <c r="M291" s="35">
        <f t="shared" si="44"/>
        <v>0</v>
      </c>
      <c r="N291" s="68" t="str">
        <f>IFERROR(MAX(_xlfn.MAXIFS('[2]Controle de Produção'!$C:$C,'[2]Controle de Produção'!$L:$L,$D291,'[2]Controle de Produção'!$P:$P,$C291,'[2]Controle de Produção'!$G:$G,$B291),_xlfn.MAXIFS([3]EXPEDIÇÃO!$N:$N,[3]EXPEDIÇÃO!$E:$E,$D291,[3]EXPEDIÇÃO!$D:$D,$C291,[3]EXPEDIÇÃO!$N:$N,"&gt;="&amp;$G291)),"")</f>
        <v/>
      </c>
      <c r="O291" s="70">
        <f>INDEX([1]Produtos!$E:$E,MATCH($D291,[1]Produtos!$B:$B,0))</f>
        <v>250</v>
      </c>
      <c r="P291" s="70" t="str">
        <f>INDEX([1]Produtos!$F:$F,MATCH($D291,[1]Produtos!$B:$B,0))</f>
        <v>ml</v>
      </c>
      <c r="Q291" s="105">
        <f>INDEX([1]Produtos!$Y:$Y,MATCH($D291,[1]Produtos!$B:$B,0))</f>
        <v>1.35</v>
      </c>
      <c r="R291" s="35">
        <f t="shared" si="45"/>
        <v>7592.2902086267013</v>
      </c>
      <c r="S291" s="27">
        <f>IFERROR(INDEX([1]Produtos!$L:$L,MATCH(D291,[1]Produtos!$B:$B,0)), "")</f>
        <v>843.58780095852239</v>
      </c>
      <c r="T291" s="28">
        <f t="shared" si="46"/>
        <v>4</v>
      </c>
      <c r="U291" s="28" t="str">
        <f t="shared" si="47"/>
        <v>0D e 4h</v>
      </c>
      <c r="V291" s="27">
        <f>IFERROR(SUMIFS('[2]Controle de Produção'!$K:$K,'[2]Controle de Produção'!$L:$L,D291,'[2]Controle de Produção'!$P:$P,C291,'[2]Controle de Produção'!$B:$B,"&gt;=" &amp; G291,'[2]Controle de Produção'!$C:$C,"&lt;=" &amp; N291, '[2]Controle de Produção'!$G:$G,B291), "")</f>
        <v>0</v>
      </c>
      <c r="W291" s="27" t="str">
        <f>IFERROR(SUMIFS([3]EXPEDIÇÃO!$K:$K,[3]EXPEDIÇÃO!$E:$E,D291,[3]EXPEDIÇÃO!$D:$D,C291,[3]EXPEDIÇÃO!$N:$N,"&gt;=" &amp; G291,[3]EXPEDIÇÃO!$N:$N,"&lt;="&amp;N291), "")</f>
        <v/>
      </c>
      <c r="X291" s="27">
        <f>COUNTIFS('[2]Controle de Produção'!$P:$P,C291,'[2]Controle de Produção'!$L:$L,D291,'[2]Controle de Produção'!$B:$B,"&gt;=" &amp; G291)</f>
        <v>0</v>
      </c>
      <c r="Y291" s="27" t="str">
        <f t="shared" si="48"/>
        <v>-</v>
      </c>
      <c r="Z291" s="27">
        <f>IFERROR(COUNTIFS('[2]Controle de Produção'!$L:$L,D291,'[2]Controle de Produção'!$P:$P,C291,'[2]Controle de Produção'!$B:$B,"&gt;=" &amp; G291,'[2]Controle de Produção'!$C:$C,"&lt;=" &amp; N291, '[2]Controle de Produção'!$G:$G,B291), "")</f>
        <v>0</v>
      </c>
      <c r="AA291" s="108" t="str">
        <f t="shared" si="49"/>
        <v/>
      </c>
      <c r="AB291" s="41" t="str" cm="1">
        <f t="array" ref="AB291">_xlfn.IFS((H291*0.95)&lt;=V291,"Concluído",AND(V291 =0, J291&lt;&gt;""),"Programado",AND(V291=0,D291=""),"Desenvolv.",V291=0,"Não Iniciado",AND(V291&gt;0,V291&lt;H291,AO291=TRUE),"Em Produção",AND(V291&gt;0,V291&lt;H291,AO291=FALSE),"Produção Parcial")</f>
        <v>Não Iniciado</v>
      </c>
      <c r="AC291" s="42" t="b">
        <v>1</v>
      </c>
      <c r="AD291" s="42" t="b">
        <v>1</v>
      </c>
      <c r="AE291" s="42" t="b">
        <v>0</v>
      </c>
      <c r="AF291" s="42" t="b">
        <v>0</v>
      </c>
      <c r="AG291" s="42" t="b">
        <v>0</v>
      </c>
      <c r="AH291" s="42" t="s">
        <v>38</v>
      </c>
      <c r="AI291" s="42" t="b">
        <v>0</v>
      </c>
      <c r="AJ291" s="42" t="b">
        <v>1</v>
      </c>
      <c r="AK291" s="42" t="s">
        <v>38</v>
      </c>
      <c r="AL291" s="42" t="b">
        <v>0</v>
      </c>
      <c r="AM291" s="42" t="b">
        <v>0</v>
      </c>
      <c r="AN291" s="42" t="b">
        <v>0</v>
      </c>
      <c r="AO291" s="45" t="b" cm="1">
        <f t="array" ref="AO291">AND(COUNTIF(AC291:AN291,FALSE)=0,SUMPRODUCT(ISNUMBER(AC291:AN291)*1)=0)</f>
        <v>0</v>
      </c>
      <c r="AP291" s="59"/>
      <c r="AQ291" s="111">
        <f>IF(AB291="",99999999999,IFERROR(MATCH(AB291,{"Produção Parcial","Em Produção","Programado","Não Iniciado","Desenvolv.","Concluído"},0),7)*100000000+IF(ISNUMBER(J291),J291-46000,9999)*10000+IF(A291="",99,A291)*100+IF(C291="",99,CODE(LEFT(C291,1))))</f>
        <v>500000065</v>
      </c>
    </row>
    <row r="292" spans="1:45" s="36" customFormat="1" ht="25.15" hidden="1" customHeight="1" x14ac:dyDescent="0.25">
      <c r="A292" s="36">
        <v>100</v>
      </c>
      <c r="B292" s="38" t="s">
        <v>301</v>
      </c>
      <c r="C292" s="70" t="str">
        <f>INDEX([1]Produtos!$G:$G,MATCH($D292,[1]Produtos!$B:$B,0))</f>
        <v>AMEERATI</v>
      </c>
      <c r="D292" s="24" t="s">
        <v>296</v>
      </c>
      <c r="E292" s="70" t="str">
        <f>INDEX([1]Produtos!$C:$C,MATCH($D292,[1]Produtos!$B:$B,0))&amp;IF($F292&lt;&gt;"-"," - "&amp;LEFT($F292,1),"")&amp;" &gt; "&amp;$B292</f>
        <v>BODY MIST NEVOA ENCANTADA &gt; ON-HOLD</v>
      </c>
      <c r="F292" s="51" t="s">
        <v>38</v>
      </c>
      <c r="G292" s="38">
        <v>45959</v>
      </c>
      <c r="H292" s="39">
        <f>3360</f>
        <v>3360</v>
      </c>
      <c r="I292" s="24" t="s">
        <v>39</v>
      </c>
      <c r="J292" s="68" t="str" cm="1">
        <f t="array" ref="J292">IFERROR(INDEX('[2]Previsão Envase'!$D$5:$D$4867, MATCH(1,('[2]Previsão Envase'!$F$5:$F$4867=$E292)+('[2]Previsão Envase'!$G$5:$G$4867=$E292)+('[2]Previsão Envase'!$H$5:$H$4867=$E292),0)),"")</f>
        <v/>
      </c>
      <c r="K292" s="68" t="str">
        <f>IF(COUNTIF('[2]Previsão Envase'!$F:$F,E292)&gt;0,"Linha 1",
IF(COUNTIF('[2]Previsão Envase'!$G:$G,E292)&gt;0,"Linha 2",
IF(COUNTIF('[2]Previsão Envase'!$H:$H,E292)&gt;0,"Linha 3","")))</f>
        <v/>
      </c>
      <c r="L292" s="96">
        <f>COUNTIF('[2]Previsão Envase'!$F:$H,E292)-COUNTIF('[2]Previsão Envase'!$F$1:$H$4,E292)</f>
        <v>0</v>
      </c>
      <c r="M292" s="35">
        <f t="shared" si="44"/>
        <v>0</v>
      </c>
      <c r="N292" s="68" t="str">
        <f>IFERROR(MAX(_xlfn.MAXIFS('[2]Controle de Produção'!$C:$C,'[2]Controle de Produção'!$L:$L,$D292,'[2]Controle de Produção'!$P:$P,$C292,'[2]Controle de Produção'!$G:$G,$B292),_xlfn.MAXIFS([3]EXPEDIÇÃO!$N:$N,[3]EXPEDIÇÃO!$E:$E,$D292,[3]EXPEDIÇÃO!$D:$D,$C292,[3]EXPEDIÇÃO!$N:$N,"&gt;="&amp;$G292)),"")</f>
        <v/>
      </c>
      <c r="O292" s="70">
        <f>INDEX([1]Produtos!$E:$E,MATCH($D292,[1]Produtos!$B:$B,0))</f>
        <v>250</v>
      </c>
      <c r="P292" s="70" t="str">
        <f>INDEX([1]Produtos!$F:$F,MATCH($D292,[1]Produtos!$B:$B,0))</f>
        <v>ml</v>
      </c>
      <c r="Q292" s="105">
        <f>INDEX([1]Produtos!$Y:$Y,MATCH($D292,[1]Produtos!$B:$B,0))</f>
        <v>1.35</v>
      </c>
      <c r="R292" s="35">
        <f t="shared" si="45"/>
        <v>7592.2902086267013</v>
      </c>
      <c r="S292" s="27">
        <f>IFERROR(INDEX([1]Produtos!$L:$L,MATCH(D292,[1]Produtos!$B:$B,0)), "")</f>
        <v>843.58780095852239</v>
      </c>
      <c r="T292" s="28">
        <f t="shared" si="46"/>
        <v>4</v>
      </c>
      <c r="U292" s="28" t="str">
        <f t="shared" si="47"/>
        <v>0D e 4h</v>
      </c>
      <c r="V292" s="27">
        <f>IFERROR(SUMIFS('[2]Controle de Produção'!$K:$K,'[2]Controle de Produção'!$L:$L,D292,'[2]Controle de Produção'!$P:$P,C292,'[2]Controle de Produção'!$B:$B,"&gt;=" &amp; G292,'[2]Controle de Produção'!$C:$C,"&lt;=" &amp; N292, '[2]Controle de Produção'!$G:$G,B292), "")</f>
        <v>0</v>
      </c>
      <c r="W292" s="27" t="str">
        <f>IFERROR(SUMIFS([3]EXPEDIÇÃO!$K:$K,[3]EXPEDIÇÃO!$E:$E,D292,[3]EXPEDIÇÃO!$D:$D,C292,[3]EXPEDIÇÃO!$N:$N,"&gt;=" &amp; G292,[3]EXPEDIÇÃO!$N:$N,"&lt;="&amp;N292), "")</f>
        <v/>
      </c>
      <c r="X292" s="27">
        <f>COUNTIFS('[2]Controle de Produção'!$P:$P,C292,'[2]Controle de Produção'!$L:$L,D292,'[2]Controle de Produção'!$B:$B,"&gt;=" &amp; G292)</f>
        <v>0</v>
      </c>
      <c r="Y292" s="27" t="str">
        <f t="shared" si="48"/>
        <v>-</v>
      </c>
      <c r="Z292" s="27">
        <f>IFERROR(COUNTIFS('[2]Controle de Produção'!$L:$L,D292,'[2]Controle de Produção'!$P:$P,C292,'[2]Controle de Produção'!$B:$B,"&gt;=" &amp; G292,'[2]Controle de Produção'!$C:$C,"&lt;=" &amp; N292, '[2]Controle de Produção'!$G:$G,B292), "")</f>
        <v>0</v>
      </c>
      <c r="AA292" s="108" t="str">
        <f t="shared" si="49"/>
        <v/>
      </c>
      <c r="AB292" s="41" t="str" cm="1">
        <f t="array" ref="AB292">_xlfn.IFS((H292*0.95)&lt;=V292,"Concluído",AND(V292 =0, J292&lt;&gt;""),"Programado",AND(V292=0,D292=""),"Desenvolv.",V292=0,"Não Iniciado",AND(V292&gt;0,V292&lt;H292,AO292=TRUE),"Em Produção",AND(V292&gt;0,V292&lt;H292,AO292=FALSE),"Produção Parcial")</f>
        <v>Não Iniciado</v>
      </c>
      <c r="AC292" s="42" t="b">
        <v>1</v>
      </c>
      <c r="AD292" s="42" t="b">
        <v>1</v>
      </c>
      <c r="AE292" s="42" t="b">
        <v>0</v>
      </c>
      <c r="AF292" s="42" t="b">
        <v>0</v>
      </c>
      <c r="AG292" s="42" t="b">
        <v>0</v>
      </c>
      <c r="AH292" s="42" t="s">
        <v>38</v>
      </c>
      <c r="AI292" s="42" t="b">
        <v>0</v>
      </c>
      <c r="AJ292" s="42" t="b">
        <v>1</v>
      </c>
      <c r="AK292" s="42" t="s">
        <v>38</v>
      </c>
      <c r="AL292" s="42" t="b">
        <v>0</v>
      </c>
      <c r="AM292" s="42" t="b">
        <v>0</v>
      </c>
      <c r="AN292" s="42" t="b">
        <v>0</v>
      </c>
      <c r="AO292" s="45" t="b" cm="1">
        <f t="array" ref="AO292">AND(COUNTIF(AC292:AN292,FALSE)=0,SUMPRODUCT(ISNUMBER(AC292:AN292)*1)=0)</f>
        <v>0</v>
      </c>
      <c r="AP292" s="59"/>
      <c r="AQ292" s="111">
        <f>IF(AB292="",99999999999,IFERROR(MATCH(AB292,{"Produção Parcial","Em Produção","Programado","Não Iniciado","Desenvolv.","Concluído"},0),7)*100000000+IF(ISNUMBER(J292),J292-46000,9999)*10000+IF(A292="",99,A292)*100+IF(C292="",99,CODE(LEFT(C292,1))))</f>
        <v>500000065</v>
      </c>
    </row>
    <row r="293" spans="1:45" s="36" customFormat="1" ht="25.15" hidden="1" customHeight="1" x14ac:dyDescent="0.25">
      <c r="A293" s="36">
        <v>100</v>
      </c>
      <c r="B293" s="38" t="s">
        <v>301</v>
      </c>
      <c r="C293" s="70" t="str">
        <f>INDEX([1]Produtos!$G:$G,MATCH($D293,[1]Produtos!$B:$B,0))</f>
        <v>AMEERATI</v>
      </c>
      <c r="D293" s="24" t="s">
        <v>295</v>
      </c>
      <c r="E293" s="70" t="str">
        <f>INDEX([1]Produtos!$C:$C,MATCH($D293,[1]Produtos!$B:$B,0))&amp;IF($F293&lt;&gt;"-"," - "&amp;LEFT($F293,1),"")&amp;" &gt; "&amp;$B293</f>
        <v>BODY MIST INTENSA PAIXAO &gt; ON-HOLD</v>
      </c>
      <c r="F293" s="51" t="s">
        <v>38</v>
      </c>
      <c r="G293" s="38">
        <v>45959</v>
      </c>
      <c r="H293" s="39">
        <f>3360</f>
        <v>3360</v>
      </c>
      <c r="I293" s="24" t="s">
        <v>39</v>
      </c>
      <c r="J293" s="68" t="str" cm="1">
        <f t="array" ref="J293">IFERROR(INDEX('[2]Previsão Envase'!$D$5:$D$4867, MATCH(1,('[2]Previsão Envase'!$F$5:$F$4867=$E293)+('[2]Previsão Envase'!$G$5:$G$4867=$E293)+('[2]Previsão Envase'!$H$5:$H$4867=$E293),0)),"")</f>
        <v/>
      </c>
      <c r="K293" s="68" t="str">
        <f>IF(COUNTIF('[2]Previsão Envase'!$F:$F,E293)&gt;0,"Linha 1",
IF(COUNTIF('[2]Previsão Envase'!$G:$G,E293)&gt;0,"Linha 2",
IF(COUNTIF('[2]Previsão Envase'!$H:$H,E293)&gt;0,"Linha 3","")))</f>
        <v/>
      </c>
      <c r="L293" s="96">
        <f>COUNTIF('[2]Previsão Envase'!$F:$H,E293)-COUNTIF('[2]Previsão Envase'!$F$1:$H$4,E293)</f>
        <v>0</v>
      </c>
      <c r="M293" s="35">
        <f t="shared" si="44"/>
        <v>0</v>
      </c>
      <c r="N293" s="68" t="str">
        <f>IFERROR(MAX(_xlfn.MAXIFS('[2]Controle de Produção'!$C:$C,'[2]Controle de Produção'!$L:$L,$D293,'[2]Controle de Produção'!$P:$P,$C293,'[2]Controle de Produção'!$G:$G,$B293),_xlfn.MAXIFS([3]EXPEDIÇÃO!$N:$N,[3]EXPEDIÇÃO!$E:$E,$D293,[3]EXPEDIÇÃO!$D:$D,$C293,[3]EXPEDIÇÃO!$N:$N,"&gt;="&amp;$G293)),"")</f>
        <v/>
      </c>
      <c r="O293" s="70">
        <f>INDEX([1]Produtos!$E:$E,MATCH($D293,[1]Produtos!$B:$B,0))</f>
        <v>250</v>
      </c>
      <c r="P293" s="70" t="str">
        <f>INDEX([1]Produtos!$F:$F,MATCH($D293,[1]Produtos!$B:$B,0))</f>
        <v>ml</v>
      </c>
      <c r="Q293" s="105">
        <f>INDEX([1]Produtos!$Y:$Y,MATCH($D293,[1]Produtos!$B:$B,0))</f>
        <v>1.35</v>
      </c>
      <c r="R293" s="35">
        <f t="shared" si="45"/>
        <v>7592.2902086267013</v>
      </c>
      <c r="S293" s="27">
        <f>IFERROR(INDEX([1]Produtos!$L:$L,MATCH(D293,[1]Produtos!$B:$B,0)), "")</f>
        <v>843.58780095852239</v>
      </c>
      <c r="T293" s="28">
        <f t="shared" si="46"/>
        <v>4</v>
      </c>
      <c r="U293" s="28" t="str">
        <f t="shared" si="47"/>
        <v>0D e 4h</v>
      </c>
      <c r="V293" s="27">
        <f>IFERROR(SUMIFS('[2]Controle de Produção'!$K:$K,'[2]Controle de Produção'!$L:$L,D293,'[2]Controle de Produção'!$P:$P,C293,'[2]Controle de Produção'!$B:$B,"&gt;=" &amp; G293,'[2]Controle de Produção'!$C:$C,"&lt;=" &amp; N293, '[2]Controle de Produção'!$G:$G,B293), "")</f>
        <v>0</v>
      </c>
      <c r="W293" s="27" t="str">
        <f>IFERROR(SUMIFS([3]EXPEDIÇÃO!$K:$K,[3]EXPEDIÇÃO!$E:$E,D293,[3]EXPEDIÇÃO!$D:$D,C293,[3]EXPEDIÇÃO!$N:$N,"&gt;=" &amp; G293,[3]EXPEDIÇÃO!$N:$N,"&lt;="&amp;N293), "")</f>
        <v/>
      </c>
      <c r="X293" s="27">
        <f>COUNTIFS('[2]Controle de Produção'!$P:$P,C293,'[2]Controle de Produção'!$L:$L,D293,'[2]Controle de Produção'!$B:$B,"&gt;=" &amp; G293)</f>
        <v>0</v>
      </c>
      <c r="Y293" s="27" t="str">
        <f t="shared" si="48"/>
        <v>-</v>
      </c>
      <c r="Z293" s="27">
        <f>IFERROR(COUNTIFS('[2]Controle de Produção'!$L:$L,D293,'[2]Controle de Produção'!$P:$P,C293,'[2]Controle de Produção'!$B:$B,"&gt;=" &amp; G293,'[2]Controle de Produção'!$C:$C,"&lt;=" &amp; N293, '[2]Controle de Produção'!$G:$G,B293), "")</f>
        <v>0</v>
      </c>
      <c r="AA293" s="108" t="str">
        <f t="shared" si="49"/>
        <v/>
      </c>
      <c r="AB293" s="41" t="str" cm="1">
        <f t="array" ref="AB293">_xlfn.IFS((H293*0.95)&lt;=V293,"Concluído",AND(V293 =0, J293&lt;&gt;""),"Programado",AND(V293=0,D293=""),"Desenvolv.",V293=0,"Não Iniciado",AND(V293&gt;0,V293&lt;H293,AO293=TRUE),"Em Produção",AND(V293&gt;0,V293&lt;H293,AO293=FALSE),"Produção Parcial")</f>
        <v>Não Iniciado</v>
      </c>
      <c r="AC293" s="42" t="b">
        <v>1</v>
      </c>
      <c r="AD293" s="42" t="b">
        <v>1</v>
      </c>
      <c r="AE293" s="42" t="b">
        <v>0</v>
      </c>
      <c r="AF293" s="42" t="b">
        <v>0</v>
      </c>
      <c r="AG293" s="42" t="b">
        <v>0</v>
      </c>
      <c r="AH293" s="42" t="s">
        <v>38</v>
      </c>
      <c r="AI293" s="42" t="b">
        <v>0</v>
      </c>
      <c r="AJ293" s="42" t="b">
        <v>1</v>
      </c>
      <c r="AK293" s="42" t="s">
        <v>38</v>
      </c>
      <c r="AL293" s="42" t="b">
        <v>0</v>
      </c>
      <c r="AM293" s="42" t="b">
        <v>0</v>
      </c>
      <c r="AN293" s="42" t="b">
        <v>0</v>
      </c>
      <c r="AO293" s="45" t="b" cm="1">
        <f t="array" ref="AO293">AND(COUNTIF(AC293:AN293,FALSE)=0,SUMPRODUCT(ISNUMBER(AC293:AN293)*1)=0)</f>
        <v>0</v>
      </c>
      <c r="AP293" s="59"/>
      <c r="AQ293" s="111">
        <f>IF(AB293="",99999999999,IFERROR(MATCH(AB293,{"Produção Parcial","Em Produção","Programado","Não Iniciado","Desenvolv.","Concluído"},0),7)*100000000+IF(ISNUMBER(J293),J293-46000,9999)*10000+IF(A293="",99,A293)*100+IF(C293="",99,CODE(LEFT(C293,1))))</f>
        <v>500000065</v>
      </c>
    </row>
    <row r="294" spans="1:45" s="36" customFormat="1" ht="25.15" hidden="1" customHeight="1" x14ac:dyDescent="0.25">
      <c r="A294" s="36">
        <v>100</v>
      </c>
      <c r="B294" s="38" t="s">
        <v>301</v>
      </c>
      <c r="C294" s="70" t="str">
        <f>INDEX([1]Produtos!$G:$G,MATCH($D294,[1]Produtos!$B:$B,0))</f>
        <v>AMEERATI</v>
      </c>
      <c r="D294" s="24" t="s">
        <v>297</v>
      </c>
      <c r="E294" s="70" t="str">
        <f>INDEX([1]Produtos!$C:$C,MATCH($D294,[1]Produtos!$B:$B,0))&amp;IF($F294&lt;&gt;"-"," - "&amp;LEFT($F294,1),"")&amp;" &gt; "&amp;$B294</f>
        <v>BODY MIST MISTERIO INFINITO &gt; ON-HOLD</v>
      </c>
      <c r="F294" s="51" t="s">
        <v>38</v>
      </c>
      <c r="G294" s="38">
        <v>45959</v>
      </c>
      <c r="H294" s="39">
        <f>3360</f>
        <v>3360</v>
      </c>
      <c r="I294" s="24" t="s">
        <v>39</v>
      </c>
      <c r="J294" s="68" t="str" cm="1">
        <f t="array" ref="J294">IFERROR(INDEX('[2]Previsão Envase'!$D$5:$D$4867, MATCH(1,('[2]Previsão Envase'!$F$5:$F$4867=$E294)+('[2]Previsão Envase'!$G$5:$G$4867=$E294)+('[2]Previsão Envase'!$H$5:$H$4867=$E294),0)),"")</f>
        <v/>
      </c>
      <c r="K294" s="68" t="str">
        <f>IF(COUNTIF('[2]Previsão Envase'!$F:$F,E294)&gt;0,"Linha 1",
IF(COUNTIF('[2]Previsão Envase'!$G:$G,E294)&gt;0,"Linha 2",
IF(COUNTIF('[2]Previsão Envase'!$H:$H,E294)&gt;0,"Linha 3","")))</f>
        <v/>
      </c>
      <c r="L294" s="96">
        <f>COUNTIF('[2]Previsão Envase'!$F:$H,E294)-COUNTIF('[2]Previsão Envase'!$F$1:$H$4,E294)</f>
        <v>0</v>
      </c>
      <c r="M294" s="35">
        <f t="shared" si="44"/>
        <v>0</v>
      </c>
      <c r="N294" s="68" t="str">
        <f>IFERROR(MAX(_xlfn.MAXIFS('[2]Controle de Produção'!$C:$C,'[2]Controle de Produção'!$L:$L,$D294,'[2]Controle de Produção'!$P:$P,$C294,'[2]Controle de Produção'!$G:$G,$B294),_xlfn.MAXIFS([3]EXPEDIÇÃO!$N:$N,[3]EXPEDIÇÃO!$E:$E,$D294,[3]EXPEDIÇÃO!$D:$D,$C294,[3]EXPEDIÇÃO!$N:$N,"&gt;="&amp;$G294)),"")</f>
        <v/>
      </c>
      <c r="O294" s="70">
        <f>INDEX([1]Produtos!$E:$E,MATCH($D294,[1]Produtos!$B:$B,0))</f>
        <v>250</v>
      </c>
      <c r="P294" s="70" t="str">
        <f>INDEX([1]Produtos!$F:$F,MATCH($D294,[1]Produtos!$B:$B,0))</f>
        <v>ml</v>
      </c>
      <c r="Q294" s="105">
        <f>INDEX([1]Produtos!$Y:$Y,MATCH($D294,[1]Produtos!$B:$B,0))</f>
        <v>1.35</v>
      </c>
      <c r="R294" s="35">
        <f t="shared" si="45"/>
        <v>7592.2902086267013</v>
      </c>
      <c r="S294" s="27">
        <f>IFERROR(INDEX([1]Produtos!$L:$L,MATCH(D294,[1]Produtos!$B:$B,0)), "")</f>
        <v>843.58780095852239</v>
      </c>
      <c r="T294" s="28">
        <f t="shared" si="46"/>
        <v>4</v>
      </c>
      <c r="U294" s="28" t="str">
        <f t="shared" si="47"/>
        <v>0D e 4h</v>
      </c>
      <c r="V294" s="27">
        <f>IFERROR(SUMIFS('[2]Controle de Produção'!$K:$K,'[2]Controle de Produção'!$L:$L,D294,'[2]Controle de Produção'!$P:$P,C294,'[2]Controle de Produção'!$B:$B,"&gt;=" &amp; G294,'[2]Controle de Produção'!$C:$C,"&lt;=" &amp; N294, '[2]Controle de Produção'!$G:$G,B294), "")</f>
        <v>0</v>
      </c>
      <c r="W294" s="27" t="str">
        <f>IFERROR(SUMIFS([3]EXPEDIÇÃO!$K:$K,[3]EXPEDIÇÃO!$E:$E,D294,[3]EXPEDIÇÃO!$D:$D,C294,[3]EXPEDIÇÃO!$N:$N,"&gt;=" &amp; G294,[3]EXPEDIÇÃO!$N:$N,"&lt;="&amp;N294), "")</f>
        <v/>
      </c>
      <c r="X294" s="27">
        <f>COUNTIFS('[2]Controle de Produção'!$P:$P,C294,'[2]Controle de Produção'!$L:$L,D294,'[2]Controle de Produção'!$B:$B,"&gt;=" &amp; G294)</f>
        <v>0</v>
      </c>
      <c r="Y294" s="27" t="str">
        <f t="shared" si="48"/>
        <v>-</v>
      </c>
      <c r="Z294" s="27">
        <f>IFERROR(COUNTIFS('[2]Controle de Produção'!$L:$L,D294,'[2]Controle de Produção'!$P:$P,C294,'[2]Controle de Produção'!$B:$B,"&gt;=" &amp; G294,'[2]Controle de Produção'!$C:$C,"&lt;=" &amp; N294, '[2]Controle de Produção'!$G:$G,B294), "")</f>
        <v>0</v>
      </c>
      <c r="AA294" s="108" t="str">
        <f t="shared" si="49"/>
        <v/>
      </c>
      <c r="AB294" s="41" t="str" cm="1">
        <f t="array" ref="AB294">_xlfn.IFS((H294*0.95)&lt;=V294,"Concluído",AND(V294 =0, J294&lt;&gt;""),"Programado",AND(V294=0,D294=""),"Desenvolv.",V294=0,"Não Iniciado",AND(V294&gt;0,V294&lt;H294,AO294=TRUE),"Em Produção",AND(V294&gt;0,V294&lt;H294,AO294=FALSE),"Produção Parcial")</f>
        <v>Não Iniciado</v>
      </c>
      <c r="AC294" s="42" t="b">
        <v>1</v>
      </c>
      <c r="AD294" s="42" t="b">
        <v>1</v>
      </c>
      <c r="AE294" s="42" t="b">
        <v>0</v>
      </c>
      <c r="AF294" s="42" t="b">
        <v>0</v>
      </c>
      <c r="AG294" s="42" t="b">
        <v>0</v>
      </c>
      <c r="AH294" s="42" t="s">
        <v>38</v>
      </c>
      <c r="AI294" s="42" t="b">
        <v>0</v>
      </c>
      <c r="AJ294" s="42" t="b">
        <v>1</v>
      </c>
      <c r="AK294" s="42" t="s">
        <v>38</v>
      </c>
      <c r="AL294" s="42" t="b">
        <v>0</v>
      </c>
      <c r="AM294" s="42" t="b">
        <v>0</v>
      </c>
      <c r="AN294" s="42" t="b">
        <v>0</v>
      </c>
      <c r="AO294" s="45" t="b" cm="1">
        <f t="array" ref="AO294">AND(COUNTIF(AC294:AN294,FALSE)=0,SUMPRODUCT(ISNUMBER(AC294:AN294)*1)=0)</f>
        <v>0</v>
      </c>
      <c r="AP294" s="59"/>
      <c r="AQ294" s="111">
        <f>IF(AB294="",99999999999,IFERROR(MATCH(AB294,{"Produção Parcial","Em Produção","Programado","Não Iniciado","Desenvolv.","Concluído"},0),7)*100000000+IF(ISNUMBER(J294),J294-46000,9999)*10000+IF(A294="",99,A294)*100+IF(C294="",99,CODE(LEFT(C294,1))))</f>
        <v>500000065</v>
      </c>
    </row>
    <row r="295" spans="1:45" s="36" customFormat="1" ht="25.15" hidden="1" customHeight="1" x14ac:dyDescent="0.25">
      <c r="A295" s="36">
        <v>100</v>
      </c>
      <c r="B295" s="38" t="s">
        <v>301</v>
      </c>
      <c r="C295" s="93" t="str">
        <f>INDEX([1]Produtos!$G:$G,MATCH($D295,[1]Produtos!$B:$B,0))</f>
        <v>LUA &amp; NEVE</v>
      </c>
      <c r="D295" s="63" t="s">
        <v>308</v>
      </c>
      <c r="E295" s="93" t="str">
        <f>INDEX([1]Produtos!$C:$C,MATCH($D295,[1]Produtos!$B:$B,0))&amp;IF($F295&lt;&gt;"-"," - "&amp;LEFT($F295,1),"")&amp;" &gt; "&amp;$B295</f>
        <v>BODY SPLASH AMBAR CRUSH &gt; ON-HOLD</v>
      </c>
      <c r="F295" s="66" t="s">
        <v>38</v>
      </c>
      <c r="G295" s="38">
        <v>45816</v>
      </c>
      <c r="H295" s="64">
        <v>15000</v>
      </c>
      <c r="I295" s="63" t="s">
        <v>42</v>
      </c>
      <c r="J295" s="68" t="str" cm="1">
        <f t="array" ref="J295">IFERROR(INDEX('[2]Previsão Envase'!$D$5:$D$4867, MATCH(1,('[2]Previsão Envase'!$F$5:$F$4867=$E295)+('[2]Previsão Envase'!$G$5:$G$4867=$E295)+('[2]Previsão Envase'!$H$5:$H$4867=$E295),0)),"")</f>
        <v/>
      </c>
      <c r="K295" s="68" t="str">
        <f>IF(COUNTIF('[2]Previsão Envase'!$F:$F,E295)&gt;0,"Linha 1",
IF(COUNTIF('[2]Previsão Envase'!$G:$G,E295)&gt;0,"Linha 2",
IF(COUNTIF('[2]Previsão Envase'!$H:$H,E295)&gt;0,"Linha 3","")))</f>
        <v/>
      </c>
      <c r="L295" s="96">
        <f>COUNTIF('[2]Previsão Envase'!$F:$H,E295)-COUNTIF('[2]Previsão Envase'!$F$1:$H$4,E295)</f>
        <v>0</v>
      </c>
      <c r="M295" s="35">
        <f t="shared" si="44"/>
        <v>0</v>
      </c>
      <c r="N295" s="68" t="str">
        <f>IFERROR(MAX(_xlfn.MAXIFS('[2]Controle de Produção'!$C:$C,'[2]Controle de Produção'!$L:$L,$D295,'[2]Controle de Produção'!$P:$P,$C295,'[2]Controle de Produção'!$G:$G,$B295),_xlfn.MAXIFS([3]EXPEDIÇÃO!$N:$N,[3]EXPEDIÇÃO!$E:$E,$D295,[3]EXPEDIÇÃO!$D:$D,$C295,[3]EXPEDIÇÃO!$N:$N,"&gt;="&amp;$G295)),"")</f>
        <v/>
      </c>
      <c r="O295" s="70">
        <f>INDEX([1]Produtos!$E:$E,MATCH($D295,[1]Produtos!$B:$B,0))</f>
        <v>200</v>
      </c>
      <c r="P295" s="70" t="str">
        <f>INDEX([1]Produtos!$F:$F,MATCH($D295,[1]Produtos!$B:$B,0))</f>
        <v>ml</v>
      </c>
      <c r="Q295" s="105">
        <f>INDEX([1]Produtos!$Y:$Y,MATCH($D295,[1]Produtos!$B:$B,0))</f>
        <v>0</v>
      </c>
      <c r="R295" s="35">
        <f t="shared" si="45"/>
        <v>7592.2902086267013</v>
      </c>
      <c r="S295" s="27">
        <f>IFERROR(INDEX([1]Produtos!$L:$L,MATCH(D295,[1]Produtos!$B:$B,0)), "")</f>
        <v>843.58780095852239</v>
      </c>
      <c r="T295" s="28">
        <f t="shared" si="46"/>
        <v>17.8</v>
      </c>
      <c r="U295" s="28" t="str">
        <f t="shared" si="47"/>
        <v>2D e 1h</v>
      </c>
      <c r="V295" s="27">
        <f>IFERROR(SUMIFS('[2]Controle de Produção'!$K:$K,'[2]Controle de Produção'!$L:$L,D295,'[2]Controle de Produção'!$P:$P,C295,'[2]Controle de Produção'!$B:$B,"&gt;=" &amp; G295,'[2]Controle de Produção'!$C:$C,"&lt;=" &amp; N295, '[2]Controle de Produção'!$G:$G,B295), "")</f>
        <v>0</v>
      </c>
      <c r="W295" s="27" t="str">
        <f>IFERROR(SUMIFS([3]EXPEDIÇÃO!$K:$K,[3]EXPEDIÇÃO!$E:$E,D295,[3]EXPEDIÇÃO!$D:$D,C295,[3]EXPEDIÇÃO!$N:$N,"&gt;=" &amp; G295,[3]EXPEDIÇÃO!$N:$N,"&lt;="&amp;N295), "")</f>
        <v/>
      </c>
      <c r="X295" s="27">
        <f>COUNTIFS('[2]Controle de Produção'!$P:$P,C295,'[2]Controle de Produção'!$L:$L,D295,'[2]Controle de Produção'!$B:$B,"&gt;=" &amp; G295)</f>
        <v>0</v>
      </c>
      <c r="Y295" s="27" t="str">
        <f t="shared" si="48"/>
        <v>-</v>
      </c>
      <c r="Z295" s="27">
        <f>IFERROR(COUNTIFS('[2]Controle de Produção'!$L:$L,D295,'[2]Controle de Produção'!$P:$P,C295,'[2]Controle de Produção'!$B:$B,"&gt;=" &amp; G295,'[2]Controle de Produção'!$C:$C,"&lt;=" &amp; N295, '[2]Controle de Produção'!$G:$G,B295), "")</f>
        <v>0</v>
      </c>
      <c r="AA295" s="108" t="str">
        <f t="shared" si="49"/>
        <v/>
      </c>
      <c r="AB295" s="41" t="str" cm="1">
        <f t="array" ref="AB295">_xlfn.IFS((H295*0.95)&lt;=V295,"Concluído",AND(V295 =0, J295&lt;&gt;""),"Programado",AND(V295=0,D295=""),"Desenvolv.",V295=0,"Não Iniciado",AND(V295&gt;0,V295&lt;H295,AO295=TRUE),"Em Produção",AND(V295&gt;0,V295&lt;H295,AO295=FALSE),"Produção Parcial")</f>
        <v>Não Iniciado</v>
      </c>
      <c r="AC295" s="42" t="b">
        <v>1</v>
      </c>
      <c r="AD295" s="42" t="b">
        <v>1</v>
      </c>
      <c r="AE295" s="42" t="b">
        <v>0</v>
      </c>
      <c r="AF295" s="42" t="b">
        <v>0</v>
      </c>
      <c r="AG295" s="42" t="s">
        <v>38</v>
      </c>
      <c r="AH295" s="42" t="b">
        <v>0</v>
      </c>
      <c r="AI295" s="42" t="b">
        <v>0</v>
      </c>
      <c r="AJ295" s="42" t="s">
        <v>38</v>
      </c>
      <c r="AK295" s="42" t="s">
        <v>38</v>
      </c>
      <c r="AL295" s="42" t="b">
        <v>0</v>
      </c>
      <c r="AM295" s="42" t="b">
        <v>0</v>
      </c>
      <c r="AN295" s="42" t="b">
        <v>0</v>
      </c>
      <c r="AO295" s="45" t="b" cm="1">
        <f t="array" ref="AO295">AND(COUNTIF(AC295:AN295,FALSE)=0,SUMPRODUCT(ISNUMBER(AC295:AN295)*1)=0)</f>
        <v>0</v>
      </c>
      <c r="AP295" s="59"/>
      <c r="AQ295" s="111">
        <f>IF(AB295="",99999999999,IFERROR(MATCH(AB295,{"Produção Parcial","Em Produção","Programado","Não Iniciado","Desenvolv.","Concluído"},0),7)*100000000+IF(ISNUMBER(J295),J295-46000,9999)*10000+IF(A295="",99,A295)*100+IF(C295="",99,CODE(LEFT(C295,1))))</f>
        <v>500000076</v>
      </c>
    </row>
    <row r="296" spans="1:45" s="36" customFormat="1" ht="25.15" hidden="1" customHeight="1" x14ac:dyDescent="0.25">
      <c r="A296" s="36">
        <v>100</v>
      </c>
      <c r="B296" s="38" t="s">
        <v>301</v>
      </c>
      <c r="C296" s="70" t="str">
        <f>INDEX([1]Produtos!$G:$G,MATCH($D296,[1]Produtos!$B:$B,0))</f>
        <v>LUA &amp; NEVE</v>
      </c>
      <c r="D296" s="24" t="s">
        <v>307</v>
      </c>
      <c r="E296" s="70" t="str">
        <f>INDEX([1]Produtos!$C:$C,MATCH($D296,[1]Produtos!$B:$B,0))&amp;IF($F296&lt;&gt;"-"," - "&amp;LEFT($F296,1),"")&amp;" &gt; "&amp;$B296</f>
        <v>BODY SPLASH AQUA VIBE &gt; ON-HOLD</v>
      </c>
      <c r="F296" s="51" t="s">
        <v>38</v>
      </c>
      <c r="G296" s="38">
        <v>45816</v>
      </c>
      <c r="H296" s="39">
        <v>15000</v>
      </c>
      <c r="I296" s="24" t="s">
        <v>42</v>
      </c>
      <c r="J296" s="68" t="str" cm="1">
        <f t="array" ref="J296">IFERROR(INDEX('[2]Previsão Envase'!$D$5:$D$4867, MATCH(1,('[2]Previsão Envase'!$F$5:$F$4867=$E296)+('[2]Previsão Envase'!$G$5:$G$4867=$E296)+('[2]Previsão Envase'!$H$5:$H$4867=$E296),0)),"")</f>
        <v/>
      </c>
      <c r="K296" s="68" t="str">
        <f>IF(COUNTIF('[2]Previsão Envase'!$F:$F,E296)&gt;0,"Linha 1",
IF(COUNTIF('[2]Previsão Envase'!$G:$G,E296)&gt;0,"Linha 2",
IF(COUNTIF('[2]Previsão Envase'!$H:$H,E296)&gt;0,"Linha 3","")))</f>
        <v/>
      </c>
      <c r="L296" s="96">
        <f>COUNTIF('[2]Previsão Envase'!$F:$H,E296)-COUNTIF('[2]Previsão Envase'!$F$1:$H$4,E296)</f>
        <v>0</v>
      </c>
      <c r="M296" s="35">
        <f t="shared" si="44"/>
        <v>0</v>
      </c>
      <c r="N296" s="68" t="str">
        <f>IFERROR(MAX(_xlfn.MAXIFS('[2]Controle de Produção'!$C:$C,'[2]Controle de Produção'!$L:$L,$D296,'[2]Controle de Produção'!$P:$P,$C296,'[2]Controle de Produção'!$G:$G,$B296),_xlfn.MAXIFS([3]EXPEDIÇÃO!$N:$N,[3]EXPEDIÇÃO!$E:$E,$D296,[3]EXPEDIÇÃO!$D:$D,$C296,[3]EXPEDIÇÃO!$N:$N,"&gt;="&amp;$G296)),"")</f>
        <v/>
      </c>
      <c r="O296" s="70">
        <f>INDEX([1]Produtos!$E:$E,MATCH($D296,[1]Produtos!$B:$B,0))</f>
        <v>200</v>
      </c>
      <c r="P296" s="70" t="str">
        <f>INDEX([1]Produtos!$F:$F,MATCH($D296,[1]Produtos!$B:$B,0))</f>
        <v>ml</v>
      </c>
      <c r="Q296" s="105">
        <f>INDEX([1]Produtos!$Y:$Y,MATCH($D296,[1]Produtos!$B:$B,0))</f>
        <v>0</v>
      </c>
      <c r="R296" s="35">
        <f t="shared" si="45"/>
        <v>7592.2902086267013</v>
      </c>
      <c r="S296" s="27">
        <f>IFERROR(INDEX([1]Produtos!$L:$L,MATCH(D296,[1]Produtos!$B:$B,0)), "")</f>
        <v>843.58780095852239</v>
      </c>
      <c r="T296" s="28">
        <f t="shared" si="46"/>
        <v>17.8</v>
      </c>
      <c r="U296" s="28" t="str">
        <f t="shared" si="47"/>
        <v>2D e 1h</v>
      </c>
      <c r="V296" s="27">
        <f>IFERROR(SUMIFS('[2]Controle de Produção'!$K:$K,'[2]Controle de Produção'!$L:$L,D296,'[2]Controle de Produção'!$P:$P,C296,'[2]Controle de Produção'!$B:$B,"&gt;=" &amp; G296,'[2]Controle de Produção'!$C:$C,"&lt;=" &amp; N296, '[2]Controle de Produção'!$G:$G,B296), "")</f>
        <v>0</v>
      </c>
      <c r="W296" s="27" t="str">
        <f>IFERROR(SUMIFS([3]EXPEDIÇÃO!$K:$K,[3]EXPEDIÇÃO!$E:$E,D296,[3]EXPEDIÇÃO!$D:$D,C296,[3]EXPEDIÇÃO!$N:$N,"&gt;=" &amp; G296,[3]EXPEDIÇÃO!$N:$N,"&lt;="&amp;N296), "")</f>
        <v/>
      </c>
      <c r="X296" s="27">
        <f>COUNTIFS('[2]Controle de Produção'!$P:$P,C296,'[2]Controle de Produção'!$L:$L,D296,'[2]Controle de Produção'!$B:$B,"&gt;=" &amp; G296)</f>
        <v>0</v>
      </c>
      <c r="Y296" s="27" t="str">
        <f t="shared" si="48"/>
        <v>-</v>
      </c>
      <c r="Z296" s="27">
        <f>IFERROR(COUNTIFS('[2]Controle de Produção'!$L:$L,D296,'[2]Controle de Produção'!$P:$P,C296,'[2]Controle de Produção'!$B:$B,"&gt;=" &amp; G296,'[2]Controle de Produção'!$C:$C,"&lt;=" &amp; N296, '[2]Controle de Produção'!$G:$G,B296), "")</f>
        <v>0</v>
      </c>
      <c r="AA296" s="108" t="str">
        <f t="shared" si="49"/>
        <v/>
      </c>
      <c r="AB296" s="41" t="str" cm="1">
        <f t="array" ref="AB296">_xlfn.IFS((H296*0.95)&lt;=V296,"Concluído",AND(V296 =0, J296&lt;&gt;""),"Programado",AND(V296=0,D296=""),"Desenvolv.",V296=0,"Não Iniciado",AND(V296&gt;0,V296&lt;H296,AO296=TRUE),"Em Produção",AND(V296&gt;0,V296&lt;H296,AO296=FALSE),"Produção Parcial")</f>
        <v>Não Iniciado</v>
      </c>
      <c r="AC296" s="42" t="b">
        <v>1</v>
      </c>
      <c r="AD296" s="42" t="b">
        <v>1</v>
      </c>
      <c r="AE296" s="42" t="b">
        <v>0</v>
      </c>
      <c r="AF296" s="42" t="b">
        <v>0</v>
      </c>
      <c r="AG296" s="42" t="s">
        <v>38</v>
      </c>
      <c r="AH296" s="42" t="b">
        <v>0</v>
      </c>
      <c r="AI296" s="42" t="b">
        <v>0</v>
      </c>
      <c r="AJ296" s="42" t="s">
        <v>38</v>
      </c>
      <c r="AK296" s="42" t="s">
        <v>38</v>
      </c>
      <c r="AL296" s="42" t="b">
        <v>0</v>
      </c>
      <c r="AM296" s="42" t="b">
        <v>0</v>
      </c>
      <c r="AN296" s="42" t="b">
        <v>0</v>
      </c>
      <c r="AO296" s="45" t="b" cm="1">
        <f t="array" ref="AO296">AND(COUNTIF(AC296:AN296,FALSE)=0,SUMPRODUCT(ISNUMBER(AC296:AN296)*1)=0)</f>
        <v>0</v>
      </c>
      <c r="AP296" s="59"/>
      <c r="AQ296" s="111">
        <f>IF(AB296="",99999999999,IFERROR(MATCH(AB296,{"Produção Parcial","Em Produção","Programado","Não Iniciado","Desenvolv.","Concluído"},0),7)*100000000+IF(ISNUMBER(J296),J296-46000,9999)*10000+IF(A296="",99,A296)*100+IF(C296="",99,CODE(LEFT(C296,1))))</f>
        <v>500000076</v>
      </c>
    </row>
    <row r="297" spans="1:45" s="36" customFormat="1" ht="25.15" hidden="1" customHeight="1" x14ac:dyDescent="0.25">
      <c r="A297" s="36">
        <v>100</v>
      </c>
      <c r="B297" s="38" t="s">
        <v>301</v>
      </c>
      <c r="C297" s="70" t="str">
        <f>INDEX([1]Produtos!$G:$G,MATCH($D297,[1]Produtos!$B:$B,0))</f>
        <v>LUA &amp; NEVE</v>
      </c>
      <c r="D297" s="24" t="s">
        <v>306</v>
      </c>
      <c r="E297" s="70" t="str">
        <f>INDEX([1]Produtos!$C:$C,MATCH($D297,[1]Produtos!$B:$B,0))&amp;IF($F297&lt;&gt;"-"," - "&amp;LEFT($F297,1),"")&amp;" &gt; "&amp;$B297</f>
        <v>BODY SPLASH INTENSE RED &gt; ON-HOLD</v>
      </c>
      <c r="F297" s="51" t="s">
        <v>38</v>
      </c>
      <c r="G297" s="38">
        <v>45816</v>
      </c>
      <c r="H297" s="39">
        <v>15000</v>
      </c>
      <c r="I297" s="24" t="s">
        <v>42</v>
      </c>
      <c r="J297" s="68" t="str" cm="1">
        <f t="array" ref="J297">IFERROR(INDEX('[2]Previsão Envase'!$D$5:$D$4867, MATCH(1,('[2]Previsão Envase'!$F$5:$F$4867=$E297)+('[2]Previsão Envase'!$G$5:$G$4867=$E297)+('[2]Previsão Envase'!$H$5:$H$4867=$E297),0)),"")</f>
        <v/>
      </c>
      <c r="K297" s="68" t="str">
        <f>IF(COUNTIF('[2]Previsão Envase'!$F:$F,E297)&gt;0,"Linha 1",
IF(COUNTIF('[2]Previsão Envase'!$G:$G,E297)&gt;0,"Linha 2",
IF(COUNTIF('[2]Previsão Envase'!$H:$H,E297)&gt;0,"Linha 3","")))</f>
        <v/>
      </c>
      <c r="L297" s="96">
        <f>COUNTIF('[2]Previsão Envase'!$F:$H,E297)-COUNTIF('[2]Previsão Envase'!$F$1:$H$4,E297)</f>
        <v>0</v>
      </c>
      <c r="M297" s="35">
        <f t="shared" si="44"/>
        <v>0</v>
      </c>
      <c r="N297" s="68" t="str">
        <f>IFERROR(MAX(_xlfn.MAXIFS('[2]Controle de Produção'!$C:$C,'[2]Controle de Produção'!$L:$L,$D297,'[2]Controle de Produção'!$P:$P,$C297,'[2]Controle de Produção'!$G:$G,$B297),_xlfn.MAXIFS([3]EXPEDIÇÃO!$N:$N,[3]EXPEDIÇÃO!$E:$E,$D297,[3]EXPEDIÇÃO!$D:$D,$C297,[3]EXPEDIÇÃO!$N:$N,"&gt;="&amp;$G297)),"")</f>
        <v/>
      </c>
      <c r="O297" s="70">
        <f>INDEX([1]Produtos!$E:$E,MATCH($D297,[1]Produtos!$B:$B,0))</f>
        <v>200</v>
      </c>
      <c r="P297" s="70" t="str">
        <f>INDEX([1]Produtos!$F:$F,MATCH($D297,[1]Produtos!$B:$B,0))</f>
        <v>ml</v>
      </c>
      <c r="Q297" s="105">
        <f>INDEX([1]Produtos!$Y:$Y,MATCH($D297,[1]Produtos!$B:$B,0))</f>
        <v>0</v>
      </c>
      <c r="R297" s="35">
        <f t="shared" si="45"/>
        <v>7592.2902086267013</v>
      </c>
      <c r="S297" s="27">
        <f>IFERROR(INDEX([1]Produtos!$L:$L,MATCH(D297,[1]Produtos!$B:$B,0)), "")</f>
        <v>843.58780095852239</v>
      </c>
      <c r="T297" s="28">
        <f t="shared" si="46"/>
        <v>17.8</v>
      </c>
      <c r="U297" s="28" t="str">
        <f t="shared" si="47"/>
        <v>2D e 1h</v>
      </c>
      <c r="V297" s="27">
        <f>IFERROR(SUMIFS('[2]Controle de Produção'!$K:$K,'[2]Controle de Produção'!$L:$L,D297,'[2]Controle de Produção'!$P:$P,C297,'[2]Controle de Produção'!$B:$B,"&gt;=" &amp; G297,'[2]Controle de Produção'!$C:$C,"&lt;=" &amp; N297, '[2]Controle de Produção'!$G:$G,B297), "")</f>
        <v>0</v>
      </c>
      <c r="W297" s="27" t="str">
        <f>IFERROR(SUMIFS([3]EXPEDIÇÃO!$K:$K,[3]EXPEDIÇÃO!$E:$E,D297,[3]EXPEDIÇÃO!$D:$D,C297,[3]EXPEDIÇÃO!$N:$N,"&gt;=" &amp; G297,[3]EXPEDIÇÃO!$N:$N,"&lt;="&amp;N297), "")</f>
        <v/>
      </c>
      <c r="X297" s="27">
        <f>COUNTIFS('[2]Controle de Produção'!$P:$P,C297,'[2]Controle de Produção'!$L:$L,D297,'[2]Controle de Produção'!$B:$B,"&gt;=" &amp; G297)</f>
        <v>0</v>
      </c>
      <c r="Y297" s="27" t="str">
        <f t="shared" si="48"/>
        <v>-</v>
      </c>
      <c r="Z297" s="27">
        <f>IFERROR(COUNTIFS('[2]Controle de Produção'!$L:$L,D297,'[2]Controle de Produção'!$P:$P,C297,'[2]Controle de Produção'!$B:$B,"&gt;=" &amp; G297,'[2]Controle de Produção'!$C:$C,"&lt;=" &amp; N297, '[2]Controle de Produção'!$G:$G,B297), "")</f>
        <v>0</v>
      </c>
      <c r="AA297" s="108" t="str">
        <f t="shared" si="49"/>
        <v/>
      </c>
      <c r="AB297" s="41" t="str" cm="1">
        <f t="array" ref="AB297">_xlfn.IFS((H297*0.95)&lt;=V297,"Concluído",AND(V297 =0, J297&lt;&gt;""),"Programado",AND(V297=0,D297=""),"Desenvolv.",V297=0,"Não Iniciado",AND(V297&gt;0,V297&lt;H297,AO297=TRUE),"Em Produção",AND(V297&gt;0,V297&lt;H297,AO297=FALSE),"Produção Parcial")</f>
        <v>Não Iniciado</v>
      </c>
      <c r="AC297" s="42" t="b">
        <v>1</v>
      </c>
      <c r="AD297" s="42" t="b">
        <v>1</v>
      </c>
      <c r="AE297" s="42" t="b">
        <v>0</v>
      </c>
      <c r="AF297" s="42" t="b">
        <v>0</v>
      </c>
      <c r="AG297" s="42" t="s">
        <v>38</v>
      </c>
      <c r="AH297" s="42" t="b">
        <v>0</v>
      </c>
      <c r="AI297" s="42" t="b">
        <v>0</v>
      </c>
      <c r="AJ297" s="42" t="s">
        <v>38</v>
      </c>
      <c r="AK297" s="42" t="s">
        <v>38</v>
      </c>
      <c r="AL297" s="42" t="b">
        <v>0</v>
      </c>
      <c r="AM297" s="42" t="b">
        <v>0</v>
      </c>
      <c r="AN297" s="42" t="b">
        <v>0</v>
      </c>
      <c r="AO297" s="45" t="b" cm="1">
        <f t="array" ref="AO297">AND(COUNTIF(AC297:AN297,FALSE)=0,SUMPRODUCT(ISNUMBER(AC297:AN297)*1)=0)</f>
        <v>0</v>
      </c>
      <c r="AP297" s="59"/>
      <c r="AQ297" s="111">
        <f>IF(AB297="",99999999999,IFERROR(MATCH(AB297,{"Produção Parcial","Em Produção","Programado","Não Iniciado","Desenvolv.","Concluído"},0),7)*100000000+IF(ISNUMBER(J297),J297-46000,9999)*10000+IF(A297="",99,A297)*100+IF(C297="",99,CODE(LEFT(C297,1))))</f>
        <v>500000076</v>
      </c>
    </row>
    <row r="298" spans="1:45" s="36" customFormat="1" ht="25.15" hidden="1" customHeight="1" x14ac:dyDescent="0.25">
      <c r="A298" s="36">
        <v>100</v>
      </c>
      <c r="B298" s="38" t="s">
        <v>301</v>
      </c>
      <c r="C298" s="70" t="str">
        <f>INDEX([1]Produtos!$G:$G,MATCH($D298,[1]Produtos!$B:$B,0))</f>
        <v>LUA &amp; NEVE</v>
      </c>
      <c r="D298" s="24" t="s">
        <v>305</v>
      </c>
      <c r="E298" s="70" t="str">
        <f>INDEX([1]Produtos!$C:$C,MATCH($D298,[1]Produtos!$B:$B,0))&amp;IF($F298&lt;&gt;"-"," - "&amp;LEFT($F298,1),"")&amp;" &gt; "&amp;$B298</f>
        <v>BODY SPLASH MYSTIC SPILL &gt; ON-HOLD</v>
      </c>
      <c r="F298" s="51" t="s">
        <v>38</v>
      </c>
      <c r="G298" s="38">
        <v>45816</v>
      </c>
      <c r="H298" s="39">
        <v>15000</v>
      </c>
      <c r="I298" s="24" t="s">
        <v>42</v>
      </c>
      <c r="J298" s="68" t="str" cm="1">
        <f t="array" ref="J298">IFERROR(INDEX('[2]Previsão Envase'!$D$5:$D$4867, MATCH(1,('[2]Previsão Envase'!$F$5:$F$4867=$E298)+('[2]Previsão Envase'!$G$5:$G$4867=$E298)+('[2]Previsão Envase'!$H$5:$H$4867=$E298),0)),"")</f>
        <v/>
      </c>
      <c r="K298" s="68" t="str">
        <f>IF(COUNTIF('[2]Previsão Envase'!$F:$F,E298)&gt;0,"Linha 1",
IF(COUNTIF('[2]Previsão Envase'!$G:$G,E298)&gt;0,"Linha 2",
IF(COUNTIF('[2]Previsão Envase'!$H:$H,E298)&gt;0,"Linha 3","")))</f>
        <v/>
      </c>
      <c r="L298" s="96">
        <f>COUNTIF('[2]Previsão Envase'!$F:$H,E298)-COUNTIF('[2]Previsão Envase'!$F$1:$H$4,E298)</f>
        <v>0</v>
      </c>
      <c r="M298" s="35">
        <f t="shared" si="44"/>
        <v>0</v>
      </c>
      <c r="N298" s="68" t="str">
        <f>IFERROR(MAX(_xlfn.MAXIFS('[2]Controle de Produção'!$C:$C,'[2]Controle de Produção'!$L:$L,$D298,'[2]Controle de Produção'!$P:$P,$C298,'[2]Controle de Produção'!$G:$G,$B298),_xlfn.MAXIFS([3]EXPEDIÇÃO!$N:$N,[3]EXPEDIÇÃO!$E:$E,$D298,[3]EXPEDIÇÃO!$D:$D,$C298,[3]EXPEDIÇÃO!$N:$N,"&gt;="&amp;$G298)),"")</f>
        <v/>
      </c>
      <c r="O298" s="70">
        <f>INDEX([1]Produtos!$E:$E,MATCH($D298,[1]Produtos!$B:$B,0))</f>
        <v>200</v>
      </c>
      <c r="P298" s="70" t="str">
        <f>INDEX([1]Produtos!$F:$F,MATCH($D298,[1]Produtos!$B:$B,0))</f>
        <v>ml</v>
      </c>
      <c r="Q298" s="105">
        <f>INDEX([1]Produtos!$Y:$Y,MATCH($D298,[1]Produtos!$B:$B,0))</f>
        <v>0</v>
      </c>
      <c r="R298" s="35">
        <f t="shared" si="45"/>
        <v>7592.2902086267013</v>
      </c>
      <c r="S298" s="27">
        <f>IFERROR(INDEX([1]Produtos!$L:$L,MATCH(D298,[1]Produtos!$B:$B,0)), "")</f>
        <v>843.58780095852239</v>
      </c>
      <c r="T298" s="28">
        <f t="shared" si="46"/>
        <v>17.8</v>
      </c>
      <c r="U298" s="28" t="str">
        <f t="shared" si="47"/>
        <v>2D e 1h</v>
      </c>
      <c r="V298" s="27">
        <f>IFERROR(SUMIFS('[2]Controle de Produção'!$K:$K,'[2]Controle de Produção'!$L:$L,D298,'[2]Controle de Produção'!$P:$P,C298,'[2]Controle de Produção'!$B:$B,"&gt;=" &amp; G298,'[2]Controle de Produção'!$C:$C,"&lt;=" &amp; N298, '[2]Controle de Produção'!$G:$G,B298), "")</f>
        <v>0</v>
      </c>
      <c r="W298" s="27" t="str">
        <f>IFERROR(SUMIFS([3]EXPEDIÇÃO!$K:$K,[3]EXPEDIÇÃO!$E:$E,D298,[3]EXPEDIÇÃO!$D:$D,C298,[3]EXPEDIÇÃO!$N:$N,"&gt;=" &amp; G298,[3]EXPEDIÇÃO!$N:$N,"&lt;="&amp;N298), "")</f>
        <v/>
      </c>
      <c r="X298" s="27">
        <f>COUNTIFS('[2]Controle de Produção'!$P:$P,C298,'[2]Controle de Produção'!$L:$L,D298,'[2]Controle de Produção'!$B:$B,"&gt;=" &amp; G298)</f>
        <v>0</v>
      </c>
      <c r="Y298" s="27" t="str">
        <f t="shared" si="48"/>
        <v>-</v>
      </c>
      <c r="Z298" s="27">
        <f>IFERROR(COUNTIFS('[2]Controle de Produção'!$L:$L,D298,'[2]Controle de Produção'!$P:$P,C298,'[2]Controle de Produção'!$B:$B,"&gt;=" &amp; G298,'[2]Controle de Produção'!$C:$C,"&lt;=" &amp; N298, '[2]Controle de Produção'!$G:$G,B298), "")</f>
        <v>0</v>
      </c>
      <c r="AA298" s="108" t="str">
        <f t="shared" si="49"/>
        <v/>
      </c>
      <c r="AB298" s="41" t="str" cm="1">
        <f t="array" ref="AB298">_xlfn.IFS((H298*0.95)&lt;=V298,"Concluído",AND(V298 =0, J298&lt;&gt;""),"Programado",AND(V298=0,D298=""),"Desenvolv.",V298=0,"Não Iniciado",AND(V298&gt;0,V298&lt;H298,AO298=TRUE),"Em Produção",AND(V298&gt;0,V298&lt;H298,AO298=FALSE),"Produção Parcial")</f>
        <v>Não Iniciado</v>
      </c>
      <c r="AC298" s="42" t="b">
        <v>1</v>
      </c>
      <c r="AD298" s="42" t="b">
        <v>1</v>
      </c>
      <c r="AE298" s="42" t="b">
        <v>0</v>
      </c>
      <c r="AF298" s="42" t="b">
        <v>0</v>
      </c>
      <c r="AG298" s="42" t="s">
        <v>38</v>
      </c>
      <c r="AH298" s="42" t="b">
        <v>0</v>
      </c>
      <c r="AI298" s="42" t="b">
        <v>0</v>
      </c>
      <c r="AJ298" s="42" t="s">
        <v>38</v>
      </c>
      <c r="AK298" s="42" t="s">
        <v>38</v>
      </c>
      <c r="AL298" s="42" t="b">
        <v>0</v>
      </c>
      <c r="AM298" s="42" t="b">
        <v>0</v>
      </c>
      <c r="AN298" s="42" t="b">
        <v>0</v>
      </c>
      <c r="AO298" s="45" t="b" cm="1">
        <f t="array" ref="AO298">AND(COUNTIF(AC298:AN298,FALSE)=0,SUMPRODUCT(ISNUMBER(AC298:AN298)*1)=0)</f>
        <v>0</v>
      </c>
      <c r="AP298" s="59"/>
      <c r="AQ298" s="111">
        <f>IF(AB298="",99999999999,IFERROR(MATCH(AB298,{"Produção Parcial","Em Produção","Programado","Não Iniciado","Desenvolv.","Concluído"},0),7)*100000000+IF(ISNUMBER(J298),J298-46000,9999)*10000+IF(A298="",99,A298)*100+IF(C298="",99,CODE(LEFT(C298,1))))</f>
        <v>500000076</v>
      </c>
    </row>
    <row r="299" spans="1:45" s="36" customFormat="1" ht="25.15" hidden="1" customHeight="1" x14ac:dyDescent="0.25">
      <c r="A299" s="36">
        <v>100</v>
      </c>
      <c r="B299" s="38" t="s">
        <v>301</v>
      </c>
      <c r="C299" s="70" t="str">
        <f>INDEX([1]Produtos!$G:$G,MATCH($D299,[1]Produtos!$B:$B,0))</f>
        <v>LUA &amp; NEVE</v>
      </c>
      <c r="D299" s="24" t="s">
        <v>304</v>
      </c>
      <c r="E299" s="70" t="str">
        <f>INDEX([1]Produtos!$C:$C,MATCH($D299,[1]Produtos!$B:$B,0))&amp;IF($F299&lt;&gt;"-"," - "&amp;LEFT($F299,1),"")&amp;" &gt; "&amp;$B299</f>
        <v>BODY SPLASH PINK SEDUCTION &gt; ON-HOLD</v>
      </c>
      <c r="F299" s="51" t="s">
        <v>38</v>
      </c>
      <c r="G299" s="38">
        <v>45816</v>
      </c>
      <c r="H299" s="39">
        <v>15000</v>
      </c>
      <c r="I299" s="24" t="s">
        <v>42</v>
      </c>
      <c r="J299" s="68" t="str" cm="1">
        <f t="array" ref="J299">IFERROR(INDEX('[2]Previsão Envase'!$D$5:$D$4867, MATCH(1,('[2]Previsão Envase'!$F$5:$F$4867=$E299)+('[2]Previsão Envase'!$G$5:$G$4867=$E299)+('[2]Previsão Envase'!$H$5:$H$4867=$E299),0)),"")</f>
        <v/>
      </c>
      <c r="K299" s="68" t="str">
        <f>IF(COUNTIF('[2]Previsão Envase'!$F:$F,E299)&gt;0,"Linha 1",
IF(COUNTIF('[2]Previsão Envase'!$G:$G,E299)&gt;0,"Linha 2",
IF(COUNTIF('[2]Previsão Envase'!$H:$H,E299)&gt;0,"Linha 3","")))</f>
        <v/>
      </c>
      <c r="L299" s="96">
        <f>COUNTIF('[2]Previsão Envase'!$F:$H,E299)-COUNTIF('[2]Previsão Envase'!$F$1:$H$4,E299)</f>
        <v>0</v>
      </c>
      <c r="M299" s="35">
        <f t="shared" si="44"/>
        <v>0</v>
      </c>
      <c r="N299" s="68" t="str">
        <f>IFERROR(MAX(_xlfn.MAXIFS('[2]Controle de Produção'!$C:$C,'[2]Controle de Produção'!$L:$L,$D299,'[2]Controle de Produção'!$P:$P,$C299,'[2]Controle de Produção'!$G:$G,$B299),_xlfn.MAXIFS([3]EXPEDIÇÃO!$N:$N,[3]EXPEDIÇÃO!$E:$E,$D299,[3]EXPEDIÇÃO!$D:$D,$C299,[3]EXPEDIÇÃO!$N:$N,"&gt;="&amp;$G299)),"")</f>
        <v/>
      </c>
      <c r="O299" s="70">
        <f>INDEX([1]Produtos!$E:$E,MATCH($D299,[1]Produtos!$B:$B,0))</f>
        <v>200</v>
      </c>
      <c r="P299" s="70" t="str">
        <f>INDEX([1]Produtos!$F:$F,MATCH($D299,[1]Produtos!$B:$B,0))</f>
        <v>ml</v>
      </c>
      <c r="Q299" s="105">
        <f>INDEX([1]Produtos!$Y:$Y,MATCH($D299,[1]Produtos!$B:$B,0))</f>
        <v>0</v>
      </c>
      <c r="R299" s="35">
        <f t="shared" si="45"/>
        <v>7592.2902086267013</v>
      </c>
      <c r="S299" s="27">
        <f>IFERROR(INDEX([1]Produtos!$L:$L,MATCH(D299,[1]Produtos!$B:$B,0)), "")</f>
        <v>843.58780095852239</v>
      </c>
      <c r="T299" s="28">
        <f t="shared" si="46"/>
        <v>17.8</v>
      </c>
      <c r="U299" s="28" t="str">
        <f t="shared" si="47"/>
        <v>2D e 1h</v>
      </c>
      <c r="V299" s="27">
        <f>IFERROR(SUMIFS('[2]Controle de Produção'!$K:$K,'[2]Controle de Produção'!$L:$L,D299,'[2]Controle de Produção'!$P:$P,C299,'[2]Controle de Produção'!$B:$B,"&gt;=" &amp; G299,'[2]Controle de Produção'!$C:$C,"&lt;=" &amp; N299, '[2]Controle de Produção'!$G:$G,B299), "")</f>
        <v>0</v>
      </c>
      <c r="W299" s="27" t="str">
        <f>IFERROR(SUMIFS([3]EXPEDIÇÃO!$K:$K,[3]EXPEDIÇÃO!$E:$E,D299,[3]EXPEDIÇÃO!$D:$D,C299,[3]EXPEDIÇÃO!$N:$N,"&gt;=" &amp; G299,[3]EXPEDIÇÃO!$N:$N,"&lt;="&amp;N299), "")</f>
        <v/>
      </c>
      <c r="X299" s="27">
        <f>COUNTIFS('[2]Controle de Produção'!$P:$P,C299,'[2]Controle de Produção'!$L:$L,D299,'[2]Controle de Produção'!$B:$B,"&gt;=" &amp; G299)</f>
        <v>0</v>
      </c>
      <c r="Y299" s="27" t="str">
        <f t="shared" si="48"/>
        <v>-</v>
      </c>
      <c r="Z299" s="27">
        <f>IFERROR(COUNTIFS('[2]Controle de Produção'!$L:$L,D299,'[2]Controle de Produção'!$P:$P,C299,'[2]Controle de Produção'!$B:$B,"&gt;=" &amp; G299,'[2]Controle de Produção'!$C:$C,"&lt;=" &amp; N299, '[2]Controle de Produção'!$G:$G,B299), "")</f>
        <v>0</v>
      </c>
      <c r="AA299" s="108" t="str">
        <f t="shared" si="49"/>
        <v/>
      </c>
      <c r="AB299" s="41" t="str" cm="1">
        <f t="array" ref="AB299">_xlfn.IFS((H299*0.95)&lt;=V299,"Concluído",AND(V299 =0, J299&lt;&gt;""),"Programado",AND(V299=0,D299=""),"Desenvolv.",V299=0,"Não Iniciado",AND(V299&gt;0,V299&lt;H299,AO299=TRUE),"Em Produção",AND(V299&gt;0,V299&lt;H299,AO299=FALSE),"Produção Parcial")</f>
        <v>Não Iniciado</v>
      </c>
      <c r="AC299" s="42" t="b">
        <v>1</v>
      </c>
      <c r="AD299" s="42" t="b">
        <v>1</v>
      </c>
      <c r="AE299" s="42" t="b">
        <v>0</v>
      </c>
      <c r="AF299" s="42" t="b">
        <v>0</v>
      </c>
      <c r="AG299" s="42" t="s">
        <v>38</v>
      </c>
      <c r="AH299" s="42" t="b">
        <v>0</v>
      </c>
      <c r="AI299" s="42" t="b">
        <v>0</v>
      </c>
      <c r="AJ299" s="42" t="s">
        <v>38</v>
      </c>
      <c r="AK299" s="42" t="s">
        <v>38</v>
      </c>
      <c r="AL299" s="42" t="b">
        <v>0</v>
      </c>
      <c r="AM299" s="42" t="b">
        <v>0</v>
      </c>
      <c r="AN299" s="42" t="b">
        <v>0</v>
      </c>
      <c r="AO299" s="45" t="b" cm="1">
        <f t="array" ref="AO299">AND(COUNTIF(AC299:AN299,FALSE)=0,SUMPRODUCT(ISNUMBER(AC299:AN299)*1)=0)</f>
        <v>0</v>
      </c>
      <c r="AP299" s="59"/>
      <c r="AQ299" s="111">
        <f>IF(AB299="",99999999999,IFERROR(MATCH(AB299,{"Produção Parcial","Em Produção","Programado","Não Iniciado","Desenvolv.","Concluído"},0),7)*100000000+IF(ISNUMBER(J299),J299-46000,9999)*10000+IF(A299="",99,A299)*100+IF(C299="",99,CODE(LEFT(C299,1))))</f>
        <v>500000076</v>
      </c>
    </row>
    <row r="300" spans="1:45" s="36" customFormat="1" ht="25.15" hidden="1" customHeight="1" x14ac:dyDescent="0.25">
      <c r="A300" s="36">
        <v>100</v>
      </c>
      <c r="B300" s="38" t="s">
        <v>301</v>
      </c>
      <c r="C300" s="70" t="str">
        <f>INDEX([1]Produtos!$G:$G,MATCH($D300,[1]Produtos!$B:$B,0))</f>
        <v>LUA &amp; NEVE</v>
      </c>
      <c r="D300" s="24" t="s">
        <v>303</v>
      </c>
      <c r="E300" s="70" t="str">
        <f>INDEX([1]Produtos!$C:$C,MATCH($D300,[1]Produtos!$B:$B,0))&amp;IF($F300&lt;&gt;"-"," - "&amp;LEFT($F300,1),"")&amp;" &gt; "&amp;$B300</f>
        <v>BODY SPLASH PURE VANILLA &gt; ON-HOLD</v>
      </c>
      <c r="F300" s="51" t="s">
        <v>38</v>
      </c>
      <c r="G300" s="38">
        <v>45816</v>
      </c>
      <c r="H300" s="39">
        <v>15000</v>
      </c>
      <c r="I300" s="24" t="s">
        <v>42</v>
      </c>
      <c r="J300" s="68" t="str" cm="1">
        <f t="array" ref="J300">IFERROR(INDEX('[2]Previsão Envase'!$D$5:$D$4867, MATCH(1,('[2]Previsão Envase'!$F$5:$F$4867=$E300)+('[2]Previsão Envase'!$G$5:$G$4867=$E300)+('[2]Previsão Envase'!$H$5:$H$4867=$E300),0)),"")</f>
        <v/>
      </c>
      <c r="K300" s="68" t="str">
        <f>IF(COUNTIF('[2]Previsão Envase'!$F:$F,E300)&gt;0,"Linha 1",
IF(COUNTIF('[2]Previsão Envase'!$G:$G,E300)&gt;0,"Linha 2",
IF(COUNTIF('[2]Previsão Envase'!$H:$H,E300)&gt;0,"Linha 3","")))</f>
        <v/>
      </c>
      <c r="L300" s="96">
        <f>COUNTIF('[2]Previsão Envase'!$F:$H,E300)-COUNTIF('[2]Previsão Envase'!$F$1:$H$4,E300)</f>
        <v>0</v>
      </c>
      <c r="M300" s="35">
        <f t="shared" si="44"/>
        <v>0</v>
      </c>
      <c r="N300" s="68" t="str">
        <f>IFERROR(MAX(_xlfn.MAXIFS('[2]Controle de Produção'!$C:$C,'[2]Controle de Produção'!$L:$L,$D300,'[2]Controle de Produção'!$P:$P,$C300,'[2]Controle de Produção'!$G:$G,$B300),_xlfn.MAXIFS([3]EXPEDIÇÃO!$N:$N,[3]EXPEDIÇÃO!$E:$E,$D300,[3]EXPEDIÇÃO!$D:$D,$C300,[3]EXPEDIÇÃO!$N:$N,"&gt;="&amp;$G300)),"")</f>
        <v/>
      </c>
      <c r="O300" s="70">
        <f>INDEX([1]Produtos!$E:$E,MATCH($D300,[1]Produtos!$B:$B,0))</f>
        <v>200</v>
      </c>
      <c r="P300" s="70" t="str">
        <f>INDEX([1]Produtos!$F:$F,MATCH($D300,[1]Produtos!$B:$B,0))</f>
        <v>ml</v>
      </c>
      <c r="Q300" s="105">
        <f>INDEX([1]Produtos!$Y:$Y,MATCH($D300,[1]Produtos!$B:$B,0))</f>
        <v>0</v>
      </c>
      <c r="R300" s="35">
        <f t="shared" si="45"/>
        <v>7592.2902086267013</v>
      </c>
      <c r="S300" s="27">
        <f>IFERROR(INDEX([1]Produtos!$L:$L,MATCH(D300,[1]Produtos!$B:$B,0)), "")</f>
        <v>843.58780095852239</v>
      </c>
      <c r="T300" s="28">
        <f t="shared" si="46"/>
        <v>17.8</v>
      </c>
      <c r="U300" s="28" t="str">
        <f t="shared" si="47"/>
        <v>2D e 1h</v>
      </c>
      <c r="V300" s="27">
        <f>IFERROR(SUMIFS('[2]Controle de Produção'!$K:$K,'[2]Controle de Produção'!$L:$L,D300,'[2]Controle de Produção'!$P:$P,C300,'[2]Controle de Produção'!$B:$B,"&gt;=" &amp; G300,'[2]Controle de Produção'!$C:$C,"&lt;=" &amp; N300, '[2]Controle de Produção'!$G:$G,B300), "")</f>
        <v>0</v>
      </c>
      <c r="W300" s="27" t="str">
        <f>IFERROR(SUMIFS([3]EXPEDIÇÃO!$K:$K,[3]EXPEDIÇÃO!$E:$E,D300,[3]EXPEDIÇÃO!$D:$D,C300,[3]EXPEDIÇÃO!$N:$N,"&gt;=" &amp; G300,[3]EXPEDIÇÃO!$N:$N,"&lt;="&amp;N300), "")</f>
        <v/>
      </c>
      <c r="X300" s="27">
        <f>COUNTIFS('[2]Controle de Produção'!$P:$P,C300,'[2]Controle de Produção'!$L:$L,D300,'[2]Controle de Produção'!$B:$B,"&gt;=" &amp; G300)</f>
        <v>0</v>
      </c>
      <c r="Y300" s="27" t="str">
        <f t="shared" si="48"/>
        <v>-</v>
      </c>
      <c r="Z300" s="27">
        <f>IFERROR(COUNTIFS('[2]Controle de Produção'!$L:$L,D300,'[2]Controle de Produção'!$P:$P,C300,'[2]Controle de Produção'!$B:$B,"&gt;=" &amp; G300,'[2]Controle de Produção'!$C:$C,"&lt;=" &amp; N300, '[2]Controle de Produção'!$G:$G,B300), "")</f>
        <v>0</v>
      </c>
      <c r="AA300" s="108" t="str">
        <f t="shared" si="49"/>
        <v/>
      </c>
      <c r="AB300" s="41" t="str" cm="1">
        <f t="array" ref="AB300">_xlfn.IFS((H300*0.95)&lt;=V300,"Concluído",AND(V300 =0, J300&lt;&gt;""),"Programado",AND(V300=0,D300=""),"Desenvolv.",V300=0,"Não Iniciado",AND(V300&gt;0,V300&lt;H300,AO300=TRUE),"Em Produção",AND(V300&gt;0,V300&lt;H300,AO300=FALSE),"Produção Parcial")</f>
        <v>Não Iniciado</v>
      </c>
      <c r="AC300" s="42" t="b">
        <v>1</v>
      </c>
      <c r="AD300" s="42" t="b">
        <v>1</v>
      </c>
      <c r="AE300" s="42" t="b">
        <v>0</v>
      </c>
      <c r="AF300" s="42" t="b">
        <v>0</v>
      </c>
      <c r="AG300" s="42" t="s">
        <v>38</v>
      </c>
      <c r="AH300" s="42" t="b">
        <v>0</v>
      </c>
      <c r="AI300" s="42" t="b">
        <v>0</v>
      </c>
      <c r="AJ300" s="42" t="s">
        <v>38</v>
      </c>
      <c r="AK300" s="42" t="s">
        <v>38</v>
      </c>
      <c r="AL300" s="42" t="b">
        <v>0</v>
      </c>
      <c r="AM300" s="42" t="b">
        <v>0</v>
      </c>
      <c r="AN300" s="42" t="b">
        <v>0</v>
      </c>
      <c r="AO300" s="45" t="b" cm="1">
        <f t="array" ref="AO300">AND(COUNTIF(AC300:AN300,FALSE)=0,SUMPRODUCT(ISNUMBER(AC300:AN300)*1)=0)</f>
        <v>0</v>
      </c>
      <c r="AP300" s="59"/>
      <c r="AQ300" s="111">
        <f>IF(AB300="",99999999999,IFERROR(MATCH(AB300,{"Produção Parcial","Em Produção","Programado","Não Iniciado","Desenvolv.","Concluído"},0),7)*100000000+IF(ISNUMBER(J300),J300-46000,9999)*10000+IF(A300="",99,A300)*100+IF(C300="",99,CODE(LEFT(C300,1))))</f>
        <v>500000076</v>
      </c>
    </row>
    <row r="301" spans="1:45" s="36" customFormat="1" ht="25.15" hidden="1" customHeight="1" x14ac:dyDescent="0.25">
      <c r="A301" s="36">
        <v>100</v>
      </c>
      <c r="B301" s="38" t="s">
        <v>301</v>
      </c>
      <c r="C301" s="70" t="str">
        <f>INDEX([1]Produtos!$G:$G,MATCH($D301,[1]Produtos!$B:$B,0))</f>
        <v>LUA &amp; NEVE</v>
      </c>
      <c r="D301" s="24" t="s">
        <v>302</v>
      </c>
      <c r="E301" s="70" t="str">
        <f>INDEX([1]Produtos!$C:$C,MATCH($D301,[1]Produtos!$B:$B,0))&amp;IF($F301&lt;&gt;"-"," - "&amp;LEFT($F301,1),"")&amp;" &gt; "&amp;$B301</f>
        <v>BODY SPLASH VELVET ROSE &gt; ON-HOLD</v>
      </c>
      <c r="F301" s="51" t="s">
        <v>38</v>
      </c>
      <c r="G301" s="38">
        <v>45816</v>
      </c>
      <c r="H301" s="39">
        <v>15000</v>
      </c>
      <c r="I301" s="24" t="s">
        <v>42</v>
      </c>
      <c r="J301" s="68" t="str" cm="1">
        <f t="array" ref="J301">IFERROR(INDEX('[2]Previsão Envase'!$D$5:$D$4867, MATCH(1,('[2]Previsão Envase'!$F$5:$F$4867=$E301)+('[2]Previsão Envase'!$G$5:$G$4867=$E301)+('[2]Previsão Envase'!$H$5:$H$4867=$E301),0)),"")</f>
        <v/>
      </c>
      <c r="K301" s="68" t="str">
        <f>IF(COUNTIF('[2]Previsão Envase'!$F:$F,E301)&gt;0,"Linha 1",
IF(COUNTIF('[2]Previsão Envase'!$G:$G,E301)&gt;0,"Linha 2",
IF(COUNTIF('[2]Previsão Envase'!$H:$H,E301)&gt;0,"Linha 3","")))</f>
        <v/>
      </c>
      <c r="L301" s="96">
        <f>COUNTIF('[2]Previsão Envase'!$F:$H,E301)-COUNTIF('[2]Previsão Envase'!$F$1:$H$4,E301)</f>
        <v>0</v>
      </c>
      <c r="M301" s="35">
        <f t="shared" si="44"/>
        <v>0</v>
      </c>
      <c r="N301" s="68" t="str">
        <f>IFERROR(MAX(_xlfn.MAXIFS('[2]Controle de Produção'!$C:$C,'[2]Controle de Produção'!$L:$L,$D301,'[2]Controle de Produção'!$P:$P,$C301,'[2]Controle de Produção'!$G:$G,$B301),_xlfn.MAXIFS([3]EXPEDIÇÃO!$N:$N,[3]EXPEDIÇÃO!$E:$E,$D301,[3]EXPEDIÇÃO!$D:$D,$C301,[3]EXPEDIÇÃO!$N:$N,"&gt;="&amp;$G301)),"")</f>
        <v/>
      </c>
      <c r="O301" s="70">
        <f>INDEX([1]Produtos!$E:$E,MATCH($D301,[1]Produtos!$B:$B,0))</f>
        <v>200</v>
      </c>
      <c r="P301" s="70" t="str">
        <f>INDEX([1]Produtos!$F:$F,MATCH($D301,[1]Produtos!$B:$B,0))</f>
        <v>ml</v>
      </c>
      <c r="Q301" s="105">
        <f>INDEX([1]Produtos!$Y:$Y,MATCH($D301,[1]Produtos!$B:$B,0))</f>
        <v>0</v>
      </c>
      <c r="R301" s="35">
        <f t="shared" si="45"/>
        <v>7592.2902086267013</v>
      </c>
      <c r="S301" s="27">
        <f>IFERROR(INDEX([1]Produtos!$L:$L,MATCH(D301,[1]Produtos!$B:$B,0)), "")</f>
        <v>843.58780095852239</v>
      </c>
      <c r="T301" s="28">
        <f t="shared" si="46"/>
        <v>17.8</v>
      </c>
      <c r="U301" s="28" t="str">
        <f t="shared" si="47"/>
        <v>2D e 1h</v>
      </c>
      <c r="V301" s="27">
        <f>IFERROR(SUMIFS('[2]Controle de Produção'!$K:$K,'[2]Controle de Produção'!$L:$L,D301,'[2]Controle de Produção'!$P:$P,C301,'[2]Controle de Produção'!$B:$B,"&gt;=" &amp; G301,'[2]Controle de Produção'!$C:$C,"&lt;=" &amp; N301, '[2]Controle de Produção'!$G:$G,B301), "")</f>
        <v>0</v>
      </c>
      <c r="W301" s="27" t="str">
        <f>IFERROR(SUMIFS([3]EXPEDIÇÃO!$K:$K,[3]EXPEDIÇÃO!$E:$E,D301,[3]EXPEDIÇÃO!$D:$D,C301,[3]EXPEDIÇÃO!$N:$N,"&gt;=" &amp; G301,[3]EXPEDIÇÃO!$N:$N,"&lt;="&amp;N301), "")</f>
        <v/>
      </c>
      <c r="X301" s="27">
        <f>COUNTIFS('[2]Controle de Produção'!$P:$P,C301,'[2]Controle de Produção'!$L:$L,D301,'[2]Controle de Produção'!$B:$B,"&gt;=" &amp; G301)</f>
        <v>0</v>
      </c>
      <c r="Y301" s="27" t="str">
        <f t="shared" si="48"/>
        <v>-</v>
      </c>
      <c r="Z301" s="27">
        <f>IFERROR(COUNTIFS('[2]Controle de Produção'!$L:$L,D301,'[2]Controle de Produção'!$P:$P,C301,'[2]Controle de Produção'!$B:$B,"&gt;=" &amp; G301,'[2]Controle de Produção'!$C:$C,"&lt;=" &amp; N301, '[2]Controle de Produção'!$G:$G,B301), "")</f>
        <v>0</v>
      </c>
      <c r="AA301" s="108" t="str">
        <f t="shared" si="49"/>
        <v/>
      </c>
      <c r="AB301" s="41" t="str" cm="1">
        <f t="array" ref="AB301">_xlfn.IFS((H301*0.95)&lt;=V301,"Concluído",AND(V301 =0, J301&lt;&gt;""),"Programado",AND(V301=0,D301=""),"Desenvolv.",V301=0,"Não Iniciado",AND(V301&gt;0,V301&lt;H301,AO301=TRUE),"Em Produção",AND(V301&gt;0,V301&lt;H301,AO301=FALSE),"Produção Parcial")</f>
        <v>Não Iniciado</v>
      </c>
      <c r="AC301" s="42" t="b">
        <v>1</v>
      </c>
      <c r="AD301" s="42" t="b">
        <v>1</v>
      </c>
      <c r="AE301" s="42" t="b">
        <v>0</v>
      </c>
      <c r="AF301" s="42" t="b">
        <v>0</v>
      </c>
      <c r="AG301" s="42" t="s">
        <v>38</v>
      </c>
      <c r="AH301" s="42" t="b">
        <v>0</v>
      </c>
      <c r="AI301" s="42" t="b">
        <v>0</v>
      </c>
      <c r="AJ301" s="42" t="s">
        <v>38</v>
      </c>
      <c r="AK301" s="42" t="s">
        <v>38</v>
      </c>
      <c r="AL301" s="42" t="b">
        <v>0</v>
      </c>
      <c r="AM301" s="42" t="b">
        <v>0</v>
      </c>
      <c r="AN301" s="42" t="b">
        <v>0</v>
      </c>
      <c r="AO301" s="45" t="b" cm="1">
        <f t="array" ref="AO301">AND(COUNTIF(AC301:AN301,FALSE)=0,SUMPRODUCT(ISNUMBER(AC301:AN301)*1)=0)</f>
        <v>0</v>
      </c>
      <c r="AP301" s="59"/>
      <c r="AQ301" s="111">
        <f>IF(AB301="",99999999999,IFERROR(MATCH(AB301,{"Produção Parcial","Em Produção","Programado","Não Iniciado","Desenvolv.","Concluído"},0),7)*100000000+IF(ISNUMBER(J301),J301-46000,9999)*10000+IF(A301="",99,A301)*100+IF(C301="",99,CODE(LEFT(C301,1))))</f>
        <v>500000076</v>
      </c>
      <c r="AR301"/>
      <c r="AS301"/>
    </row>
    <row r="302" spans="1:45" s="36" customFormat="1" ht="25.15" hidden="1" customHeight="1" x14ac:dyDescent="0.25">
      <c r="A302" s="36">
        <v>100</v>
      </c>
      <c r="B302" s="38" t="s">
        <v>301</v>
      </c>
      <c r="C302" s="93" t="str">
        <f>INDEX([1]Produtos!$G:$G,MATCH($D302,[1]Produtos!$B:$B,0))</f>
        <v>MOUTIER</v>
      </c>
      <c r="D302" s="63" t="s">
        <v>316</v>
      </c>
      <c r="E302" s="93" t="str">
        <f>INDEX([1]Produtos!$C:$C,MATCH($D302,[1]Produtos!$B:$B,0))&amp;IF($F302&lt;&gt;"-"," - "&amp;LEFT($F302,1),"")&amp;" &gt; "&amp;$B302</f>
        <v>PERFUME FEMININO 04 IDÔLE &gt; ON-HOLD</v>
      </c>
      <c r="F302" s="66" t="s">
        <v>38</v>
      </c>
      <c r="G302" s="38">
        <v>45785</v>
      </c>
      <c r="H302" s="64">
        <v>300</v>
      </c>
      <c r="I302" s="63" t="s">
        <v>42</v>
      </c>
      <c r="J302" s="68" t="str" cm="1">
        <f t="array" ref="J302">IFERROR(INDEX('[2]Previsão Envase'!$D$5:$D$4867, MATCH(1,('[2]Previsão Envase'!$F$5:$F$4867=$E302)+('[2]Previsão Envase'!$G$5:$G$4867=$E302)+('[2]Previsão Envase'!$H$5:$H$4867=$E302),0)),"")</f>
        <v/>
      </c>
      <c r="K302" s="68" t="str">
        <f>IF(COUNTIF('[2]Previsão Envase'!$F:$F,E302)&gt;0,"Linha 1",
IF(COUNTIF('[2]Previsão Envase'!$G:$G,E302)&gt;0,"Linha 2",
IF(COUNTIF('[2]Previsão Envase'!$H:$H,E302)&gt;0,"Linha 3","")))</f>
        <v/>
      </c>
      <c r="L302" s="96">
        <f>COUNTIF('[2]Previsão Envase'!$F:$H,E302)-COUNTIF('[2]Previsão Envase'!$F$1:$H$4,E302)</f>
        <v>0</v>
      </c>
      <c r="M302" s="35">
        <f t="shared" si="44"/>
        <v>0</v>
      </c>
      <c r="N302" s="68" t="str">
        <f>IFERROR(MAX(_xlfn.MAXIFS('[2]Controle de Produção'!$C:$C,'[2]Controle de Produção'!$L:$L,$D302,'[2]Controle de Produção'!$P:$P,$C302,'[2]Controle de Produção'!$G:$G,$B302),_xlfn.MAXIFS([3]EXPEDIÇÃO!$N:$N,[3]EXPEDIÇÃO!$E:$E,$D302,[3]EXPEDIÇÃO!$D:$D,$C302,[3]EXPEDIÇÃO!$N:$N,"&gt;="&amp;$G302)),"")</f>
        <v/>
      </c>
      <c r="O302" s="70">
        <f>INDEX([1]Produtos!$E:$E,MATCH($D302,[1]Produtos!$B:$B,0))</f>
        <v>50</v>
      </c>
      <c r="P302" s="70" t="str">
        <f>INDEX([1]Produtos!$F:$F,MATCH($D302,[1]Produtos!$B:$B,0))</f>
        <v>ml</v>
      </c>
      <c r="Q302" s="105">
        <f>INDEX([1]Produtos!$Y:$Y,MATCH($D302,[1]Produtos!$B:$B,0))</f>
        <v>0</v>
      </c>
      <c r="R302" s="35">
        <f t="shared" si="45"/>
        <v>1577.3766463727152</v>
      </c>
      <c r="S302" s="27">
        <f>IFERROR(INDEX([1]Produtos!$L:$L,MATCH(D302,[1]Produtos!$B:$B,0)), "")</f>
        <v>175.26407181919058</v>
      </c>
      <c r="T302" s="28">
        <f t="shared" si="46"/>
        <v>1.8</v>
      </c>
      <c r="U302" s="28" t="str">
        <f t="shared" si="47"/>
        <v>0D e 2h</v>
      </c>
      <c r="V302" s="27">
        <f>IFERROR(SUMIFS('[2]Controle de Produção'!$K:$K,'[2]Controle de Produção'!$L:$L,D302,'[2]Controle de Produção'!$P:$P,C302,'[2]Controle de Produção'!$B:$B,"&gt;=" &amp; G302,'[2]Controle de Produção'!$C:$C,"&lt;=" &amp; N302, '[2]Controle de Produção'!$G:$G,B302), "")</f>
        <v>0</v>
      </c>
      <c r="W302" s="27" t="str">
        <f>IFERROR(SUMIFS([3]EXPEDIÇÃO!$K:$K,[3]EXPEDIÇÃO!$E:$E,D302,[3]EXPEDIÇÃO!$D:$D,C302,[3]EXPEDIÇÃO!$N:$N,"&gt;=" &amp; G302,[3]EXPEDIÇÃO!$N:$N,"&lt;="&amp;N302), "")</f>
        <v/>
      </c>
      <c r="X302" s="27">
        <f>COUNTIFS('[2]Controle de Produção'!$P:$P,C302,'[2]Controle de Produção'!$L:$L,D302,'[2]Controle de Produção'!$B:$B,"&gt;=" &amp; G302)</f>
        <v>0</v>
      </c>
      <c r="Y302" s="27" t="str">
        <f t="shared" si="48"/>
        <v>-</v>
      </c>
      <c r="Z302" s="27">
        <f>IFERROR(COUNTIFS('[2]Controle de Produção'!$L:$L,D302,'[2]Controle de Produção'!$P:$P,C302,'[2]Controle de Produção'!$B:$B,"&gt;=" &amp; G302,'[2]Controle de Produção'!$C:$C,"&lt;=" &amp; N302, '[2]Controle de Produção'!$G:$G,B302), "")</f>
        <v>0</v>
      </c>
      <c r="AA302" s="108" t="str">
        <f t="shared" si="49"/>
        <v/>
      </c>
      <c r="AB302" s="41" t="str" cm="1">
        <f t="array" ref="AB302">_xlfn.IFS((H302*0.95)&lt;=V302,"Concluído",AND(V302 =0, J302&lt;&gt;""),"Programado",AND(V302=0,D302=""),"Desenvolv.",V302=0,"Não Iniciado",AND(V302&gt;0,V302&lt;H302,AO302=TRUE),"Em Produção",AND(V302&gt;0,V302&lt;H302,AO302=FALSE),"Produção Parcial")</f>
        <v>Não Iniciado</v>
      </c>
      <c r="AC302" s="42" t="b">
        <v>1</v>
      </c>
      <c r="AD302" s="42" t="b">
        <v>1</v>
      </c>
      <c r="AE302" s="42" t="b">
        <v>0</v>
      </c>
      <c r="AF302" s="42" t="b">
        <v>0</v>
      </c>
      <c r="AG302" s="42" t="b">
        <v>0</v>
      </c>
      <c r="AH302" s="42" t="b">
        <v>0</v>
      </c>
      <c r="AI302" s="42" t="b">
        <v>0</v>
      </c>
      <c r="AJ302" s="42" t="b">
        <v>0</v>
      </c>
      <c r="AK302" s="42" t="s">
        <v>38</v>
      </c>
      <c r="AL302" s="42" t="b">
        <v>0</v>
      </c>
      <c r="AM302" s="42" t="b">
        <v>0</v>
      </c>
      <c r="AN302" s="42" t="b">
        <v>0</v>
      </c>
      <c r="AO302" s="45" t="b" cm="1">
        <f t="array" ref="AO302">AND(COUNTIF(AC302:AN302,FALSE)=0,SUMPRODUCT(ISNUMBER(AC302:AN302)*1)=0)</f>
        <v>0</v>
      </c>
      <c r="AP302" s="59"/>
      <c r="AQ302" s="111">
        <f>IF(AB302="",99999999999,IFERROR(MATCH(AB302,{"Produção Parcial","Em Produção","Programado","Não Iniciado","Desenvolv.","Concluído"},0),7)*100000000+IF(ISNUMBER(J302),J302-46000,9999)*10000+IF(A302="",99,A302)*100+IF(C302="",99,CODE(LEFT(C302,1))))</f>
        <v>500000077</v>
      </c>
    </row>
    <row r="303" spans="1:45" s="36" customFormat="1" ht="25.15" hidden="1" customHeight="1" x14ac:dyDescent="0.25">
      <c r="A303" s="36">
        <v>100</v>
      </c>
      <c r="B303" s="38" t="s">
        <v>301</v>
      </c>
      <c r="C303" s="93" t="str">
        <f>INDEX([1]Produtos!$G:$G,MATCH($D303,[1]Produtos!$B:$B,0))</f>
        <v>MOUTIER</v>
      </c>
      <c r="D303" s="63" t="s">
        <v>315</v>
      </c>
      <c r="E303" s="93" t="str">
        <f>INDEX([1]Produtos!$C:$C,MATCH($D303,[1]Produtos!$B:$B,0))&amp;IF($F303&lt;&gt;"-"," - "&amp;LEFT($F303,1),"")&amp;" &gt; "&amp;$B303</f>
        <v>PERFUME FEMININO 05 ANGEL &gt; ON-HOLD</v>
      </c>
      <c r="F303" s="66" t="s">
        <v>38</v>
      </c>
      <c r="G303" s="38">
        <v>45785</v>
      </c>
      <c r="H303" s="64">
        <v>300</v>
      </c>
      <c r="I303" s="63" t="s">
        <v>42</v>
      </c>
      <c r="J303" s="68" t="str" cm="1">
        <f t="array" ref="J303">IFERROR(INDEX('[2]Previsão Envase'!$D$5:$D$4867, MATCH(1,('[2]Previsão Envase'!$F$5:$F$4867=$E303)+('[2]Previsão Envase'!$G$5:$G$4867=$E303)+('[2]Previsão Envase'!$H$5:$H$4867=$E303),0)),"")</f>
        <v/>
      </c>
      <c r="K303" s="68" t="str">
        <f>IF(COUNTIF('[2]Previsão Envase'!$F:$F,E303)&gt;0,"Linha 1",
IF(COUNTIF('[2]Previsão Envase'!$G:$G,E303)&gt;0,"Linha 2",
IF(COUNTIF('[2]Previsão Envase'!$H:$H,E303)&gt;0,"Linha 3","")))</f>
        <v/>
      </c>
      <c r="L303" s="96">
        <f>COUNTIF('[2]Previsão Envase'!$F:$H,E303)-COUNTIF('[2]Previsão Envase'!$F$1:$H$4,E303)</f>
        <v>0</v>
      </c>
      <c r="M303" s="35">
        <f t="shared" si="44"/>
        <v>0</v>
      </c>
      <c r="N303" s="68" t="str">
        <f>IFERROR(MAX(_xlfn.MAXIFS('[2]Controle de Produção'!$C:$C,'[2]Controle de Produção'!$L:$L,$D303,'[2]Controle de Produção'!$P:$P,$C303,'[2]Controle de Produção'!$G:$G,$B303),_xlfn.MAXIFS([3]EXPEDIÇÃO!$N:$N,[3]EXPEDIÇÃO!$E:$E,$D303,[3]EXPEDIÇÃO!$D:$D,$C303,[3]EXPEDIÇÃO!$N:$N,"&gt;="&amp;$G303)),"")</f>
        <v/>
      </c>
      <c r="O303" s="70">
        <f>INDEX([1]Produtos!$E:$E,MATCH($D303,[1]Produtos!$B:$B,0))</f>
        <v>50</v>
      </c>
      <c r="P303" s="70" t="str">
        <f>INDEX([1]Produtos!$F:$F,MATCH($D303,[1]Produtos!$B:$B,0))</f>
        <v>ml</v>
      </c>
      <c r="Q303" s="105">
        <f>INDEX([1]Produtos!$Y:$Y,MATCH($D303,[1]Produtos!$B:$B,0))</f>
        <v>0</v>
      </c>
      <c r="R303" s="35">
        <f t="shared" si="45"/>
        <v>1577.3766463727152</v>
      </c>
      <c r="S303" s="27">
        <f>IFERROR(INDEX([1]Produtos!$L:$L,MATCH(D303,[1]Produtos!$B:$B,0)), "")</f>
        <v>175.26407181919058</v>
      </c>
      <c r="T303" s="28">
        <f t="shared" si="46"/>
        <v>1.8</v>
      </c>
      <c r="U303" s="28" t="str">
        <f t="shared" si="47"/>
        <v>0D e 2h</v>
      </c>
      <c r="V303" s="27">
        <f>IFERROR(SUMIFS('[2]Controle de Produção'!$K:$K,'[2]Controle de Produção'!$L:$L,D303,'[2]Controle de Produção'!$P:$P,C303,'[2]Controle de Produção'!$B:$B,"&gt;=" &amp; G303,'[2]Controle de Produção'!$C:$C,"&lt;=" &amp; N303, '[2]Controle de Produção'!$G:$G,B303), "")</f>
        <v>0</v>
      </c>
      <c r="W303" s="27" t="str">
        <f>IFERROR(SUMIFS([3]EXPEDIÇÃO!$K:$K,[3]EXPEDIÇÃO!$E:$E,D303,[3]EXPEDIÇÃO!$D:$D,C303,[3]EXPEDIÇÃO!$N:$N,"&gt;=" &amp; G303,[3]EXPEDIÇÃO!$N:$N,"&lt;="&amp;N303), "")</f>
        <v/>
      </c>
      <c r="X303" s="27">
        <f>COUNTIFS('[2]Controle de Produção'!$P:$P,C303,'[2]Controle de Produção'!$L:$L,D303,'[2]Controle de Produção'!$B:$B,"&gt;=" &amp; G303)</f>
        <v>0</v>
      </c>
      <c r="Y303" s="27" t="str">
        <f t="shared" si="48"/>
        <v>-</v>
      </c>
      <c r="Z303" s="27">
        <f>IFERROR(COUNTIFS('[2]Controle de Produção'!$L:$L,D303,'[2]Controle de Produção'!$P:$P,C303,'[2]Controle de Produção'!$B:$B,"&gt;=" &amp; G303,'[2]Controle de Produção'!$C:$C,"&lt;=" &amp; N303, '[2]Controle de Produção'!$G:$G,B303), "")</f>
        <v>0</v>
      </c>
      <c r="AA303" s="108" t="str">
        <f t="shared" si="49"/>
        <v/>
      </c>
      <c r="AB303" s="41" t="str" cm="1">
        <f t="array" ref="AB303">_xlfn.IFS((H303*0.95)&lt;=V303,"Concluído",AND(V303 =0, J303&lt;&gt;""),"Programado",AND(V303=0,D303=""),"Desenvolv.",V303=0,"Não Iniciado",AND(V303&gt;0,V303&lt;H303,AO303=TRUE),"Em Produção",AND(V303&gt;0,V303&lt;H303,AO303=FALSE),"Produção Parcial")</f>
        <v>Não Iniciado</v>
      </c>
      <c r="AC303" s="42" t="b">
        <v>1</v>
      </c>
      <c r="AD303" s="42" t="b">
        <v>1</v>
      </c>
      <c r="AE303" s="42" t="b">
        <v>0</v>
      </c>
      <c r="AF303" s="42" t="b">
        <v>0</v>
      </c>
      <c r="AG303" s="42" t="b">
        <v>0</v>
      </c>
      <c r="AH303" s="42" t="b">
        <v>0</v>
      </c>
      <c r="AI303" s="42" t="b">
        <v>0</v>
      </c>
      <c r="AJ303" s="42" t="b">
        <v>0</v>
      </c>
      <c r="AK303" s="42" t="s">
        <v>38</v>
      </c>
      <c r="AL303" s="42" t="b">
        <v>0</v>
      </c>
      <c r="AM303" s="42" t="b">
        <v>0</v>
      </c>
      <c r="AN303" s="42" t="b">
        <v>0</v>
      </c>
      <c r="AO303" s="45" t="b" cm="1">
        <f t="array" ref="AO303">AND(COUNTIF(AC303:AN303,FALSE)=0,SUMPRODUCT(ISNUMBER(AC303:AN303)*1)=0)</f>
        <v>0</v>
      </c>
      <c r="AP303" s="59"/>
      <c r="AQ303" s="111">
        <f>IF(AB303="",99999999999,IFERROR(MATCH(AB303,{"Produção Parcial","Em Produção","Programado","Não Iniciado","Desenvolv.","Concluído"},0),7)*100000000+IF(ISNUMBER(J303),J303-46000,9999)*10000+IF(A303="",99,A303)*100+IF(C303="",99,CODE(LEFT(C303,1))))</f>
        <v>500000077</v>
      </c>
    </row>
    <row r="304" spans="1:45" s="36" customFormat="1" ht="25.15" hidden="1" customHeight="1" x14ac:dyDescent="0.25">
      <c r="A304" s="36">
        <v>100</v>
      </c>
      <c r="B304" s="38" t="s">
        <v>301</v>
      </c>
      <c r="C304" s="93" t="str">
        <f>INDEX([1]Produtos!$G:$G,MATCH($D304,[1]Produtos!$B:$B,0))</f>
        <v>MOUTIER</v>
      </c>
      <c r="D304" s="63" t="s">
        <v>314</v>
      </c>
      <c r="E304" s="93" t="str">
        <f>INDEX([1]Produtos!$C:$C,MATCH($D304,[1]Produtos!$B:$B,0))&amp;IF($F304&lt;&gt;"-"," - "&amp;LEFT($F304,1),"")&amp;" &gt; "&amp;$B304</f>
        <v>PERFUME FEMININO 13 212 VIP &gt; ON-HOLD</v>
      </c>
      <c r="F304" s="66" t="s">
        <v>38</v>
      </c>
      <c r="G304" s="38">
        <v>45785</v>
      </c>
      <c r="H304" s="64">
        <v>300</v>
      </c>
      <c r="I304" s="63" t="s">
        <v>42</v>
      </c>
      <c r="J304" s="68" t="str" cm="1">
        <f t="array" ref="J304">IFERROR(INDEX('[2]Previsão Envase'!$D$5:$D$4867, MATCH(1,('[2]Previsão Envase'!$F$5:$F$4867=$E304)+('[2]Previsão Envase'!$G$5:$G$4867=$E304)+('[2]Previsão Envase'!$H$5:$H$4867=$E304),0)),"")</f>
        <v/>
      </c>
      <c r="K304" s="68" t="str">
        <f>IF(COUNTIF('[2]Previsão Envase'!$F:$F,E304)&gt;0,"Linha 1",
IF(COUNTIF('[2]Previsão Envase'!$G:$G,E304)&gt;0,"Linha 2",
IF(COUNTIF('[2]Previsão Envase'!$H:$H,E304)&gt;0,"Linha 3","")))</f>
        <v/>
      </c>
      <c r="L304" s="96">
        <f>COUNTIF('[2]Previsão Envase'!$F:$H,E304)-COUNTIF('[2]Previsão Envase'!$F$1:$H$4,E304)</f>
        <v>0</v>
      </c>
      <c r="M304" s="35">
        <f t="shared" si="44"/>
        <v>0</v>
      </c>
      <c r="N304" s="68" t="str">
        <f>IFERROR(MAX(_xlfn.MAXIFS('[2]Controle de Produção'!$C:$C,'[2]Controle de Produção'!$L:$L,$D304,'[2]Controle de Produção'!$P:$P,$C304,'[2]Controle de Produção'!$G:$G,$B304),_xlfn.MAXIFS([3]EXPEDIÇÃO!$N:$N,[3]EXPEDIÇÃO!$E:$E,$D304,[3]EXPEDIÇÃO!$D:$D,$C304,[3]EXPEDIÇÃO!$N:$N,"&gt;="&amp;$G304)),"")</f>
        <v/>
      </c>
      <c r="O304" s="70">
        <f>INDEX([1]Produtos!$E:$E,MATCH($D304,[1]Produtos!$B:$B,0))</f>
        <v>50</v>
      </c>
      <c r="P304" s="70" t="str">
        <f>INDEX([1]Produtos!$F:$F,MATCH($D304,[1]Produtos!$B:$B,0))</f>
        <v>ml</v>
      </c>
      <c r="Q304" s="105">
        <f>INDEX([1]Produtos!$Y:$Y,MATCH($D304,[1]Produtos!$B:$B,0))</f>
        <v>0</v>
      </c>
      <c r="R304" s="35">
        <f t="shared" si="45"/>
        <v>1577.3766463727152</v>
      </c>
      <c r="S304" s="27">
        <f>IFERROR(INDEX([1]Produtos!$L:$L,MATCH(D304,[1]Produtos!$B:$B,0)), "")</f>
        <v>175.26407181919058</v>
      </c>
      <c r="T304" s="28">
        <f t="shared" si="46"/>
        <v>1.8</v>
      </c>
      <c r="U304" s="28" t="str">
        <f t="shared" si="47"/>
        <v>0D e 2h</v>
      </c>
      <c r="V304" s="27">
        <f>IFERROR(SUMIFS('[2]Controle de Produção'!$K:$K,'[2]Controle de Produção'!$L:$L,D304,'[2]Controle de Produção'!$P:$P,C304,'[2]Controle de Produção'!$B:$B,"&gt;=" &amp; G304,'[2]Controle de Produção'!$C:$C,"&lt;=" &amp; N304, '[2]Controle de Produção'!$G:$G,B304), "")</f>
        <v>0</v>
      </c>
      <c r="W304" s="27" t="str">
        <f>IFERROR(SUMIFS([3]EXPEDIÇÃO!$K:$K,[3]EXPEDIÇÃO!$E:$E,D304,[3]EXPEDIÇÃO!$D:$D,C304,[3]EXPEDIÇÃO!$N:$N,"&gt;=" &amp; G304,[3]EXPEDIÇÃO!$N:$N,"&lt;="&amp;N304), "")</f>
        <v/>
      </c>
      <c r="X304" s="27">
        <f>COUNTIFS('[2]Controle de Produção'!$P:$P,C304,'[2]Controle de Produção'!$L:$L,D304,'[2]Controle de Produção'!$B:$B,"&gt;=" &amp; G304)</f>
        <v>0</v>
      </c>
      <c r="Y304" s="27" t="str">
        <f t="shared" si="48"/>
        <v>-</v>
      </c>
      <c r="Z304" s="27">
        <f>IFERROR(COUNTIFS('[2]Controle de Produção'!$L:$L,D304,'[2]Controle de Produção'!$P:$P,C304,'[2]Controle de Produção'!$B:$B,"&gt;=" &amp; G304,'[2]Controle de Produção'!$C:$C,"&lt;=" &amp; N304, '[2]Controle de Produção'!$G:$G,B304), "")</f>
        <v>0</v>
      </c>
      <c r="AA304" s="108" t="str">
        <f t="shared" ref="AA304:AA335" si="50">IF(OR(V304=0,H304=0),"",IF(V304="","",(V304-H304)/H304))</f>
        <v/>
      </c>
      <c r="AB304" s="41" t="str" cm="1">
        <f t="array" ref="AB304">_xlfn.IFS((H304*0.95)&lt;=V304,"Concluído",AND(V304 =0, J304&lt;&gt;""),"Programado",AND(V304=0,D304=""),"Desenvolv.",V304=0,"Não Iniciado",AND(V304&gt;0,V304&lt;H304,AO304=TRUE),"Em Produção",AND(V304&gt;0,V304&lt;H304,AO304=FALSE),"Produção Parcial")</f>
        <v>Não Iniciado</v>
      </c>
      <c r="AC304" s="42" t="b">
        <v>1</v>
      </c>
      <c r="AD304" s="42" t="b">
        <v>1</v>
      </c>
      <c r="AE304" s="42" t="b">
        <v>0</v>
      </c>
      <c r="AF304" s="42" t="b">
        <v>0</v>
      </c>
      <c r="AG304" s="42" t="b">
        <v>0</v>
      </c>
      <c r="AH304" s="42" t="b">
        <v>0</v>
      </c>
      <c r="AI304" s="42" t="b">
        <v>0</v>
      </c>
      <c r="AJ304" s="42" t="b">
        <v>0</v>
      </c>
      <c r="AK304" s="42" t="s">
        <v>38</v>
      </c>
      <c r="AL304" s="42" t="b">
        <v>0</v>
      </c>
      <c r="AM304" s="42" t="b">
        <v>0</v>
      </c>
      <c r="AN304" s="42" t="b">
        <v>0</v>
      </c>
      <c r="AO304" s="45" t="b" cm="1">
        <f t="array" ref="AO304">AND(COUNTIF(AC304:AN304,FALSE)=0,SUMPRODUCT(ISNUMBER(AC304:AN304)*1)=0)</f>
        <v>0</v>
      </c>
      <c r="AP304" s="59"/>
      <c r="AQ304" s="111">
        <f>IF(AB304="",99999999999,IFERROR(MATCH(AB304,{"Produção Parcial","Em Produção","Programado","Não Iniciado","Desenvolv.","Concluído"},0),7)*100000000+IF(ISNUMBER(J304),J304-46000,9999)*10000+IF(A304="",99,A304)*100+IF(C304="",99,CODE(LEFT(C304,1))))</f>
        <v>500000077</v>
      </c>
    </row>
    <row r="305" spans="1:92" s="36" customFormat="1" ht="25.15" hidden="1" customHeight="1" x14ac:dyDescent="0.25">
      <c r="A305" s="36">
        <v>100</v>
      </c>
      <c r="B305" s="38" t="s">
        <v>301</v>
      </c>
      <c r="C305" s="93" t="str">
        <f>INDEX([1]Produtos!$G:$G,MATCH($D305,[1]Produtos!$B:$B,0))</f>
        <v>MOUTIER</v>
      </c>
      <c r="D305" s="63" t="s">
        <v>313</v>
      </c>
      <c r="E305" s="93" t="str">
        <f>INDEX([1]Produtos!$C:$C,MATCH($D305,[1]Produtos!$B:$B,0))&amp;IF($F305&lt;&gt;"-"," - "&amp;LEFT($F305,1),"")&amp;" &gt; "&amp;$B305</f>
        <v>PERFUME FEMININO 14 CH 212 &gt; ON-HOLD</v>
      </c>
      <c r="F305" s="66" t="s">
        <v>38</v>
      </c>
      <c r="G305" s="38">
        <v>45785</v>
      </c>
      <c r="H305" s="64">
        <v>300</v>
      </c>
      <c r="I305" s="63" t="s">
        <v>42</v>
      </c>
      <c r="J305" s="68" t="str" cm="1">
        <f t="array" ref="J305">IFERROR(INDEX('[2]Previsão Envase'!$D$5:$D$4867, MATCH(1,('[2]Previsão Envase'!$F$5:$F$4867=$E305)+('[2]Previsão Envase'!$G$5:$G$4867=$E305)+('[2]Previsão Envase'!$H$5:$H$4867=$E305),0)),"")</f>
        <v/>
      </c>
      <c r="K305" s="68" t="str">
        <f>IF(COUNTIF('[2]Previsão Envase'!$F:$F,E305)&gt;0,"Linha 1",
IF(COUNTIF('[2]Previsão Envase'!$G:$G,E305)&gt;0,"Linha 2",
IF(COUNTIF('[2]Previsão Envase'!$H:$H,E305)&gt;0,"Linha 3","")))</f>
        <v/>
      </c>
      <c r="L305" s="96">
        <f>COUNTIF('[2]Previsão Envase'!$F:$H,E305)-COUNTIF('[2]Previsão Envase'!$F$1:$H$4,E305)</f>
        <v>0</v>
      </c>
      <c r="M305" s="35">
        <f t="shared" si="44"/>
        <v>0</v>
      </c>
      <c r="N305" s="68" t="str">
        <f>IFERROR(MAX(_xlfn.MAXIFS('[2]Controle de Produção'!$C:$C,'[2]Controle de Produção'!$L:$L,$D305,'[2]Controle de Produção'!$P:$P,$C305,'[2]Controle de Produção'!$G:$G,$B305),_xlfn.MAXIFS([3]EXPEDIÇÃO!$N:$N,[3]EXPEDIÇÃO!$E:$E,$D305,[3]EXPEDIÇÃO!$D:$D,$C305,[3]EXPEDIÇÃO!$N:$N,"&gt;="&amp;$G305)),"")</f>
        <v/>
      </c>
      <c r="O305" s="70">
        <f>INDEX([1]Produtos!$E:$E,MATCH($D305,[1]Produtos!$B:$B,0))</f>
        <v>50</v>
      </c>
      <c r="P305" s="70" t="str">
        <f>INDEX([1]Produtos!$F:$F,MATCH($D305,[1]Produtos!$B:$B,0))</f>
        <v>ml</v>
      </c>
      <c r="Q305" s="105">
        <f>INDEX([1]Produtos!$Y:$Y,MATCH($D305,[1]Produtos!$B:$B,0))</f>
        <v>0</v>
      </c>
      <c r="R305" s="35">
        <f t="shared" si="45"/>
        <v>1577.3766463727152</v>
      </c>
      <c r="S305" s="27">
        <f>IFERROR(INDEX([1]Produtos!$L:$L,MATCH(D305,[1]Produtos!$B:$B,0)), "")</f>
        <v>175.26407181919058</v>
      </c>
      <c r="T305" s="28">
        <f t="shared" si="46"/>
        <v>1.8</v>
      </c>
      <c r="U305" s="28" t="str">
        <f t="shared" si="47"/>
        <v>0D e 2h</v>
      </c>
      <c r="V305" s="27">
        <f>IFERROR(SUMIFS('[2]Controle de Produção'!$K:$K,'[2]Controle de Produção'!$L:$L,D305,'[2]Controle de Produção'!$P:$P,C305,'[2]Controle de Produção'!$B:$B,"&gt;=" &amp; G305,'[2]Controle de Produção'!$C:$C,"&lt;=" &amp; N305, '[2]Controle de Produção'!$G:$G,B305), "")</f>
        <v>0</v>
      </c>
      <c r="W305" s="27" t="str">
        <f>IFERROR(SUMIFS([3]EXPEDIÇÃO!$K:$K,[3]EXPEDIÇÃO!$E:$E,D305,[3]EXPEDIÇÃO!$D:$D,C305,[3]EXPEDIÇÃO!$N:$N,"&gt;=" &amp; G305,[3]EXPEDIÇÃO!$N:$N,"&lt;="&amp;N305), "")</f>
        <v/>
      </c>
      <c r="X305" s="27">
        <f>COUNTIFS('[2]Controle de Produção'!$P:$P,C305,'[2]Controle de Produção'!$L:$L,D305,'[2]Controle de Produção'!$B:$B,"&gt;=" &amp; G305)</f>
        <v>0</v>
      </c>
      <c r="Y305" s="27" t="str">
        <f t="shared" si="48"/>
        <v>-</v>
      </c>
      <c r="Z305" s="27">
        <f>IFERROR(COUNTIFS('[2]Controle de Produção'!$L:$L,D305,'[2]Controle de Produção'!$P:$P,C305,'[2]Controle de Produção'!$B:$B,"&gt;=" &amp; G305,'[2]Controle de Produção'!$C:$C,"&lt;=" &amp; N305, '[2]Controle de Produção'!$G:$G,B305), "")</f>
        <v>0</v>
      </c>
      <c r="AA305" s="108" t="str">
        <f t="shared" si="50"/>
        <v/>
      </c>
      <c r="AB305" s="41" t="str" cm="1">
        <f t="array" ref="AB305">_xlfn.IFS((H305*0.95)&lt;=V305,"Concluído",AND(V305 =0, J305&lt;&gt;""),"Programado",AND(V305=0,D305=""),"Desenvolv.",V305=0,"Não Iniciado",AND(V305&gt;0,V305&lt;H305,AO305=TRUE),"Em Produção",AND(V305&gt;0,V305&lt;H305,AO305=FALSE),"Produção Parcial")</f>
        <v>Não Iniciado</v>
      </c>
      <c r="AC305" s="42" t="b">
        <v>1</v>
      </c>
      <c r="AD305" s="42" t="b">
        <v>1</v>
      </c>
      <c r="AE305" s="42" t="b">
        <v>0</v>
      </c>
      <c r="AF305" s="42" t="b">
        <v>0</v>
      </c>
      <c r="AG305" s="90" t="b">
        <v>0</v>
      </c>
      <c r="AH305" s="42" t="b">
        <v>0</v>
      </c>
      <c r="AI305" s="42" t="b">
        <v>0</v>
      </c>
      <c r="AJ305" s="42" t="b">
        <v>0</v>
      </c>
      <c r="AK305" s="42" t="s">
        <v>38</v>
      </c>
      <c r="AL305" s="42" t="b">
        <v>0</v>
      </c>
      <c r="AM305" s="42" t="b">
        <v>0</v>
      </c>
      <c r="AN305" s="42" t="b">
        <v>0</v>
      </c>
      <c r="AO305" s="45" t="b" cm="1">
        <f t="array" ref="AO305">AND(COUNTIF(AC305:AN305,FALSE)=0,SUMPRODUCT(ISNUMBER(AC305:AN305)*1)=0)</f>
        <v>0</v>
      </c>
      <c r="AP305" s="59"/>
      <c r="AQ305" s="111">
        <f>IF(AB305="",99999999999,IFERROR(MATCH(AB305,{"Produção Parcial","Em Produção","Programado","Não Iniciado","Desenvolv.","Concluído"},0),7)*100000000+IF(ISNUMBER(J305),J305-46000,9999)*10000+IF(A305="",99,A305)*100+IF(C305="",99,CODE(LEFT(C305,1))))</f>
        <v>500000077</v>
      </c>
    </row>
    <row r="306" spans="1:92" s="36" customFormat="1" ht="25.15" hidden="1" customHeight="1" x14ac:dyDescent="0.25">
      <c r="A306" s="36">
        <v>100</v>
      </c>
      <c r="B306" s="38" t="s">
        <v>301</v>
      </c>
      <c r="C306" s="93" t="str">
        <f>INDEX([1]Produtos!$G:$G,MATCH($D306,[1]Produtos!$B:$B,0))</f>
        <v>MOUTIER</v>
      </c>
      <c r="D306" s="63" t="s">
        <v>312</v>
      </c>
      <c r="E306" s="93" t="str">
        <f>INDEX([1]Produtos!$C:$C,MATCH($D306,[1]Produtos!$B:$B,0))&amp;IF($F306&lt;&gt;"-"," - "&amp;LEFT($F306,1),"")&amp;" &gt; "&amp;$B306</f>
        <v>PERFUME FEMININO 21 SO SCANDAL &gt; ON-HOLD</v>
      </c>
      <c r="F306" s="66" t="s">
        <v>38</v>
      </c>
      <c r="G306" s="38">
        <v>45785</v>
      </c>
      <c r="H306" s="64">
        <v>300</v>
      </c>
      <c r="I306" s="63" t="s">
        <v>42</v>
      </c>
      <c r="J306" s="68" t="str" cm="1">
        <f t="array" ref="J306">IFERROR(INDEX('[2]Previsão Envase'!$D$5:$D$4867, MATCH(1,('[2]Previsão Envase'!$F$5:$F$4867=$E306)+('[2]Previsão Envase'!$G$5:$G$4867=$E306)+('[2]Previsão Envase'!$H$5:$H$4867=$E306),0)),"")</f>
        <v/>
      </c>
      <c r="K306" s="68" t="str">
        <f>IF(COUNTIF('[2]Previsão Envase'!$F:$F,E306)&gt;0,"Linha 1",
IF(COUNTIF('[2]Previsão Envase'!$G:$G,E306)&gt;0,"Linha 2",
IF(COUNTIF('[2]Previsão Envase'!$H:$H,E306)&gt;0,"Linha 3","")))</f>
        <v/>
      </c>
      <c r="L306" s="96">
        <f>COUNTIF('[2]Previsão Envase'!$F:$H,E306)-COUNTIF('[2]Previsão Envase'!$F$1:$H$4,E306)</f>
        <v>0</v>
      </c>
      <c r="M306" s="35">
        <f t="shared" si="44"/>
        <v>0</v>
      </c>
      <c r="N306" s="68" t="str">
        <f>IFERROR(MAX(_xlfn.MAXIFS('[2]Controle de Produção'!$C:$C,'[2]Controle de Produção'!$L:$L,$D306,'[2]Controle de Produção'!$P:$P,$C306,'[2]Controle de Produção'!$G:$G,$B306),_xlfn.MAXIFS([3]EXPEDIÇÃO!$N:$N,[3]EXPEDIÇÃO!$E:$E,$D306,[3]EXPEDIÇÃO!$D:$D,$C306,[3]EXPEDIÇÃO!$N:$N,"&gt;="&amp;$G306)),"")</f>
        <v/>
      </c>
      <c r="O306" s="70">
        <f>INDEX([1]Produtos!$E:$E,MATCH($D306,[1]Produtos!$B:$B,0))</f>
        <v>50</v>
      </c>
      <c r="P306" s="70" t="str">
        <f>INDEX([1]Produtos!$F:$F,MATCH($D306,[1]Produtos!$B:$B,0))</f>
        <v>ml</v>
      </c>
      <c r="Q306" s="105">
        <f>INDEX([1]Produtos!$Y:$Y,MATCH($D306,[1]Produtos!$B:$B,0))</f>
        <v>0</v>
      </c>
      <c r="R306" s="35">
        <f t="shared" si="45"/>
        <v>1577.3766463727152</v>
      </c>
      <c r="S306" s="27">
        <f>IFERROR(INDEX([1]Produtos!$L:$L,MATCH(D306,[1]Produtos!$B:$B,0)), "")</f>
        <v>175.26407181919058</v>
      </c>
      <c r="T306" s="28">
        <f t="shared" si="46"/>
        <v>1.8</v>
      </c>
      <c r="U306" s="28" t="str">
        <f t="shared" si="47"/>
        <v>0D e 2h</v>
      </c>
      <c r="V306" s="27">
        <f>IFERROR(SUMIFS('[2]Controle de Produção'!$K:$K,'[2]Controle de Produção'!$L:$L,D306,'[2]Controle de Produção'!$P:$P,C306,'[2]Controle de Produção'!$B:$B,"&gt;=" &amp; G306,'[2]Controle de Produção'!$C:$C,"&lt;=" &amp; N306, '[2]Controle de Produção'!$G:$G,B306), "")</f>
        <v>0</v>
      </c>
      <c r="W306" s="27" t="str">
        <f>IFERROR(SUMIFS([3]EXPEDIÇÃO!$K:$K,[3]EXPEDIÇÃO!$E:$E,D306,[3]EXPEDIÇÃO!$D:$D,C306,[3]EXPEDIÇÃO!$N:$N,"&gt;=" &amp; G306,[3]EXPEDIÇÃO!$N:$N,"&lt;="&amp;N306), "")</f>
        <v/>
      </c>
      <c r="X306" s="27">
        <f>COUNTIFS('[2]Controle de Produção'!$P:$P,C306,'[2]Controle de Produção'!$L:$L,D306,'[2]Controle de Produção'!$B:$B,"&gt;=" &amp; G306)</f>
        <v>0</v>
      </c>
      <c r="Y306" s="27" t="str">
        <f t="shared" si="48"/>
        <v>-</v>
      </c>
      <c r="Z306" s="27">
        <f>IFERROR(COUNTIFS('[2]Controle de Produção'!$L:$L,D306,'[2]Controle de Produção'!$P:$P,C306,'[2]Controle de Produção'!$B:$B,"&gt;=" &amp; G306,'[2]Controle de Produção'!$C:$C,"&lt;=" &amp; N306, '[2]Controle de Produção'!$G:$G,B306), "")</f>
        <v>0</v>
      </c>
      <c r="AA306" s="108" t="str">
        <f t="shared" si="50"/>
        <v/>
      </c>
      <c r="AB306" s="41" t="str" cm="1">
        <f t="array" ref="AB306">_xlfn.IFS((H306*0.95)&lt;=V306,"Concluído",AND(V306 =0, J306&lt;&gt;""),"Programado",AND(V306=0,D306=""),"Desenvolv.",V306=0,"Não Iniciado",AND(V306&gt;0,V306&lt;H306,AO306=TRUE),"Em Produção",AND(V306&gt;0,V306&lt;H306,AO306=FALSE),"Produção Parcial")</f>
        <v>Não Iniciado</v>
      </c>
      <c r="AC306" s="42" t="b">
        <v>1</v>
      </c>
      <c r="AD306" s="42" t="b">
        <v>1</v>
      </c>
      <c r="AE306" s="42" t="b">
        <v>0</v>
      </c>
      <c r="AF306" s="42" t="b">
        <v>0</v>
      </c>
      <c r="AG306" s="90" t="b">
        <v>0</v>
      </c>
      <c r="AH306" s="42" t="b">
        <v>0</v>
      </c>
      <c r="AI306" s="42" t="b">
        <v>0</v>
      </c>
      <c r="AJ306" s="42" t="b">
        <v>0</v>
      </c>
      <c r="AK306" s="42" t="s">
        <v>38</v>
      </c>
      <c r="AL306" s="42" t="b">
        <v>0</v>
      </c>
      <c r="AM306" s="42" t="b">
        <v>0</v>
      </c>
      <c r="AN306" s="42" t="b">
        <v>0</v>
      </c>
      <c r="AO306" s="45" t="b" cm="1">
        <f t="array" ref="AO306">AND(COUNTIF(AC306:AN306,FALSE)=0,SUMPRODUCT(ISNUMBER(AC306:AN306)*1)=0)</f>
        <v>0</v>
      </c>
      <c r="AP306" s="59"/>
      <c r="AQ306" s="111">
        <f>IF(AB306="",99999999999,IFERROR(MATCH(AB306,{"Produção Parcial","Em Produção","Programado","Não Iniciado","Desenvolv.","Concluído"},0),7)*100000000+IF(ISNUMBER(J306),J306-46000,9999)*10000+IF(A306="",99,A306)*100+IF(C306="",99,CODE(LEFT(C306,1))))</f>
        <v>500000077</v>
      </c>
    </row>
    <row r="307" spans="1:92" s="36" customFormat="1" ht="25.15" hidden="1" customHeight="1" x14ac:dyDescent="0.25">
      <c r="A307" s="36">
        <v>100</v>
      </c>
      <c r="B307" s="38" t="s">
        <v>301</v>
      </c>
      <c r="C307" s="93" t="str">
        <f>INDEX([1]Produtos!$G:$G,MATCH($D307,[1]Produtos!$B:$B,0))</f>
        <v>MOUTIER</v>
      </c>
      <c r="D307" s="63" t="s">
        <v>311</v>
      </c>
      <c r="E307" s="93" t="str">
        <f>INDEX([1]Produtos!$C:$C,MATCH($D307,[1]Produtos!$B:$B,0))&amp;IF($F307&lt;&gt;"-"," - "&amp;LEFT($F307,1),"")&amp;" &gt; "&amp;$B307</f>
        <v>PERFUME FEMININO 25 MISS DIOR &gt; ON-HOLD</v>
      </c>
      <c r="F307" s="66" t="s">
        <v>38</v>
      </c>
      <c r="G307" s="38">
        <v>45785</v>
      </c>
      <c r="H307" s="64">
        <v>300</v>
      </c>
      <c r="I307" s="63" t="s">
        <v>42</v>
      </c>
      <c r="J307" s="68" t="str" cm="1">
        <f t="array" ref="J307">IFERROR(INDEX('[2]Previsão Envase'!$D$5:$D$4867, MATCH(1,('[2]Previsão Envase'!$F$5:$F$4867=$E307)+('[2]Previsão Envase'!$G$5:$G$4867=$E307)+('[2]Previsão Envase'!$H$5:$H$4867=$E307),0)),"")</f>
        <v/>
      </c>
      <c r="K307" s="68" t="str">
        <f>IF(COUNTIF('[2]Previsão Envase'!$F:$F,E307)&gt;0,"Linha 1",
IF(COUNTIF('[2]Previsão Envase'!$G:$G,E307)&gt;0,"Linha 2",
IF(COUNTIF('[2]Previsão Envase'!$H:$H,E307)&gt;0,"Linha 3","")))</f>
        <v/>
      </c>
      <c r="L307" s="96">
        <f>COUNTIF('[2]Previsão Envase'!$F:$H,E307)-COUNTIF('[2]Previsão Envase'!$F$1:$H$4,E307)</f>
        <v>0</v>
      </c>
      <c r="M307" s="35">
        <f t="shared" si="44"/>
        <v>0</v>
      </c>
      <c r="N307" s="68" t="str">
        <f>IFERROR(MAX(_xlfn.MAXIFS('[2]Controle de Produção'!$C:$C,'[2]Controle de Produção'!$L:$L,$D307,'[2]Controle de Produção'!$P:$P,$C307,'[2]Controle de Produção'!$G:$G,$B307),_xlfn.MAXIFS([3]EXPEDIÇÃO!$N:$N,[3]EXPEDIÇÃO!$E:$E,$D307,[3]EXPEDIÇÃO!$D:$D,$C307,[3]EXPEDIÇÃO!$N:$N,"&gt;="&amp;$G307)),"")</f>
        <v/>
      </c>
      <c r="O307" s="70">
        <f>INDEX([1]Produtos!$E:$E,MATCH($D307,[1]Produtos!$B:$B,0))</f>
        <v>50</v>
      </c>
      <c r="P307" s="70" t="str">
        <f>INDEX([1]Produtos!$F:$F,MATCH($D307,[1]Produtos!$B:$B,0))</f>
        <v>ml</v>
      </c>
      <c r="Q307" s="105">
        <f>INDEX([1]Produtos!$Y:$Y,MATCH($D307,[1]Produtos!$B:$B,0))</f>
        <v>0</v>
      </c>
      <c r="R307" s="35">
        <f t="shared" si="45"/>
        <v>1577.3766463727152</v>
      </c>
      <c r="S307" s="27">
        <f>IFERROR(INDEX([1]Produtos!$L:$L,MATCH(D307,[1]Produtos!$B:$B,0)), "")</f>
        <v>175.26407181919058</v>
      </c>
      <c r="T307" s="28">
        <f t="shared" si="46"/>
        <v>1.8</v>
      </c>
      <c r="U307" s="28" t="str">
        <f t="shared" si="47"/>
        <v>0D e 2h</v>
      </c>
      <c r="V307" s="27">
        <f>IFERROR(SUMIFS('[2]Controle de Produção'!$K:$K,'[2]Controle de Produção'!$L:$L,D307,'[2]Controle de Produção'!$P:$P,C307,'[2]Controle de Produção'!$B:$B,"&gt;=" &amp; G307,'[2]Controle de Produção'!$C:$C,"&lt;=" &amp; N307, '[2]Controle de Produção'!$G:$G,B307), "")</f>
        <v>0</v>
      </c>
      <c r="W307" s="27" t="str">
        <f>IFERROR(SUMIFS([3]EXPEDIÇÃO!$K:$K,[3]EXPEDIÇÃO!$E:$E,D307,[3]EXPEDIÇÃO!$D:$D,C307,[3]EXPEDIÇÃO!$N:$N,"&gt;=" &amp; G307,[3]EXPEDIÇÃO!$N:$N,"&lt;="&amp;N307), "")</f>
        <v/>
      </c>
      <c r="X307" s="27">
        <f>COUNTIFS('[2]Controle de Produção'!$P:$P,C307,'[2]Controle de Produção'!$L:$L,D307,'[2]Controle de Produção'!$B:$B,"&gt;=" &amp; G307)</f>
        <v>0</v>
      </c>
      <c r="Y307" s="27" t="str">
        <f t="shared" si="48"/>
        <v>-</v>
      </c>
      <c r="Z307" s="27">
        <f>IFERROR(COUNTIFS('[2]Controle de Produção'!$L:$L,D307,'[2]Controle de Produção'!$P:$P,C307,'[2]Controle de Produção'!$B:$B,"&gt;=" &amp; G307,'[2]Controle de Produção'!$C:$C,"&lt;=" &amp; N307, '[2]Controle de Produção'!$G:$G,B307), "")</f>
        <v>0</v>
      </c>
      <c r="AA307" s="108" t="str">
        <f t="shared" si="50"/>
        <v/>
      </c>
      <c r="AB307" s="41" t="str" cm="1">
        <f t="array" ref="AB307">_xlfn.IFS((H307*0.95)&lt;=V307,"Concluído",AND(V307 =0, J307&lt;&gt;""),"Programado",AND(V307=0,D307=""),"Desenvolv.",V307=0,"Não Iniciado",AND(V307&gt;0,V307&lt;H307,AO307=TRUE),"Em Produção",AND(V307&gt;0,V307&lt;H307,AO307=FALSE),"Produção Parcial")</f>
        <v>Não Iniciado</v>
      </c>
      <c r="AC307" s="42" t="b">
        <v>1</v>
      </c>
      <c r="AD307" s="42" t="b">
        <v>1</v>
      </c>
      <c r="AE307" s="42" t="b">
        <v>0</v>
      </c>
      <c r="AF307" s="42" t="b">
        <v>0</v>
      </c>
      <c r="AG307" s="42" t="b">
        <v>0</v>
      </c>
      <c r="AH307" s="42" t="b">
        <v>0</v>
      </c>
      <c r="AI307" s="42" t="b">
        <v>0</v>
      </c>
      <c r="AJ307" s="42" t="b">
        <v>0</v>
      </c>
      <c r="AK307" s="42" t="s">
        <v>38</v>
      </c>
      <c r="AL307" s="42" t="b">
        <v>0</v>
      </c>
      <c r="AM307" s="42" t="b">
        <v>0</v>
      </c>
      <c r="AN307" s="42" t="b">
        <v>0</v>
      </c>
      <c r="AO307" s="45" t="b" cm="1">
        <f t="array" ref="AO307">AND(COUNTIF(AC307:AN307,FALSE)=0,SUMPRODUCT(ISNUMBER(AC307:AN307)*1)=0)</f>
        <v>0</v>
      </c>
      <c r="AP307" s="59"/>
      <c r="AQ307" s="111">
        <f>IF(AB307="",99999999999,IFERROR(MATCH(AB307,{"Produção Parcial","Em Produção","Programado","Não Iniciado","Desenvolv.","Concluído"},0),7)*100000000+IF(ISNUMBER(J307),J307-46000,9999)*10000+IF(A307="",99,A307)*100+IF(C307="",99,CODE(LEFT(C307,1))))</f>
        <v>500000077</v>
      </c>
    </row>
    <row r="308" spans="1:92" s="36" customFormat="1" ht="25.15" hidden="1" customHeight="1" x14ac:dyDescent="0.25">
      <c r="A308" s="36">
        <v>100</v>
      </c>
      <c r="B308" s="38" t="s">
        <v>301</v>
      </c>
      <c r="C308" s="93" t="str">
        <f>INDEX([1]Produtos!$G:$G,MATCH($D308,[1]Produtos!$B:$B,0))</f>
        <v>MOUTIER</v>
      </c>
      <c r="D308" s="63" t="s">
        <v>321</v>
      </c>
      <c r="E308" s="93" t="str">
        <f>INDEX([1]Produtos!$C:$C,MATCH($D308,[1]Produtos!$B:$B,0))&amp;IF($F308&lt;&gt;"-"," - "&amp;LEFT($F308,1),"")&amp;" &gt; "&amp;$B308</f>
        <v>PERFUME MASCULINO 112 POLO &gt; ON-HOLD</v>
      </c>
      <c r="F308" s="66" t="s">
        <v>38</v>
      </c>
      <c r="G308" s="38">
        <v>45785</v>
      </c>
      <c r="H308" s="64">
        <v>300</v>
      </c>
      <c r="I308" s="63" t="s">
        <v>42</v>
      </c>
      <c r="J308" s="68" t="str" cm="1">
        <f t="array" ref="J308">IFERROR(INDEX('[2]Previsão Envase'!$D$5:$D$4867, MATCH(1,('[2]Previsão Envase'!$F$5:$F$4867=$E308)+('[2]Previsão Envase'!$G$5:$G$4867=$E308)+('[2]Previsão Envase'!$H$5:$H$4867=$E308),0)),"")</f>
        <v/>
      </c>
      <c r="K308" s="68" t="str">
        <f>IF(COUNTIF('[2]Previsão Envase'!$F:$F,E308)&gt;0,"Linha 1",
IF(COUNTIF('[2]Previsão Envase'!$G:$G,E308)&gt;0,"Linha 2",
IF(COUNTIF('[2]Previsão Envase'!$H:$H,E308)&gt;0,"Linha 3","")))</f>
        <v/>
      </c>
      <c r="L308" s="96">
        <f>COUNTIF('[2]Previsão Envase'!$F:$H,E308)-COUNTIF('[2]Previsão Envase'!$F$1:$H$4,E308)</f>
        <v>0</v>
      </c>
      <c r="M308" s="35">
        <f t="shared" si="44"/>
        <v>0</v>
      </c>
      <c r="N308" s="68" t="str">
        <f>IFERROR(MAX(_xlfn.MAXIFS('[2]Controle de Produção'!$C:$C,'[2]Controle de Produção'!$L:$L,$D308,'[2]Controle de Produção'!$P:$P,$C308,'[2]Controle de Produção'!$G:$G,$B308),_xlfn.MAXIFS([3]EXPEDIÇÃO!$N:$N,[3]EXPEDIÇÃO!$E:$E,$D308,[3]EXPEDIÇÃO!$D:$D,$C308,[3]EXPEDIÇÃO!$N:$N,"&gt;="&amp;$G308)),"")</f>
        <v/>
      </c>
      <c r="O308" s="70">
        <f>INDEX([1]Produtos!$E:$E,MATCH($D308,[1]Produtos!$B:$B,0))</f>
        <v>50</v>
      </c>
      <c r="P308" s="70" t="str">
        <f>INDEX([1]Produtos!$F:$F,MATCH($D308,[1]Produtos!$B:$B,0))</f>
        <v>ml</v>
      </c>
      <c r="Q308" s="105">
        <f>INDEX([1]Produtos!$Y:$Y,MATCH($D308,[1]Produtos!$B:$B,0))</f>
        <v>0</v>
      </c>
      <c r="R308" s="35">
        <f t="shared" si="45"/>
        <v>1577.3766463727152</v>
      </c>
      <c r="S308" s="27">
        <f>IFERROR(INDEX([1]Produtos!$L:$L,MATCH(D308,[1]Produtos!$B:$B,0)), "")</f>
        <v>175.26407181919058</v>
      </c>
      <c r="T308" s="28">
        <f t="shared" si="46"/>
        <v>1.8</v>
      </c>
      <c r="U308" s="28" t="str">
        <f t="shared" si="47"/>
        <v>0D e 2h</v>
      </c>
      <c r="V308" s="27">
        <f>IFERROR(SUMIFS('[2]Controle de Produção'!$K:$K,'[2]Controle de Produção'!$L:$L,D308,'[2]Controle de Produção'!$P:$P,C308,'[2]Controle de Produção'!$B:$B,"&gt;=" &amp; G308,'[2]Controle de Produção'!$C:$C,"&lt;=" &amp; N308, '[2]Controle de Produção'!$G:$G,B308), "")</f>
        <v>0</v>
      </c>
      <c r="W308" s="27" t="str">
        <f>IFERROR(SUMIFS([3]EXPEDIÇÃO!$K:$K,[3]EXPEDIÇÃO!$E:$E,D308,[3]EXPEDIÇÃO!$D:$D,C308,[3]EXPEDIÇÃO!$N:$N,"&gt;=" &amp; G308,[3]EXPEDIÇÃO!$N:$N,"&lt;="&amp;N308), "")</f>
        <v/>
      </c>
      <c r="X308" s="27">
        <f>COUNTIFS('[2]Controle de Produção'!$P:$P,C308,'[2]Controle de Produção'!$L:$L,D308,'[2]Controle de Produção'!$B:$B,"&gt;=" &amp; G308)</f>
        <v>0</v>
      </c>
      <c r="Y308" s="27" t="str">
        <f t="shared" si="48"/>
        <v>-</v>
      </c>
      <c r="Z308" s="27">
        <f>IFERROR(COUNTIFS('[2]Controle de Produção'!$L:$L,D308,'[2]Controle de Produção'!$P:$P,C308,'[2]Controle de Produção'!$B:$B,"&gt;=" &amp; G308,'[2]Controle de Produção'!$C:$C,"&lt;=" &amp; N308, '[2]Controle de Produção'!$G:$G,B308), "")</f>
        <v>0</v>
      </c>
      <c r="AA308" s="108" t="str">
        <f t="shared" si="50"/>
        <v/>
      </c>
      <c r="AB308" s="41" t="str" cm="1">
        <f t="array" ref="AB308">_xlfn.IFS((H308*0.95)&lt;=V308,"Concluído",AND(V308 =0, J308&lt;&gt;""),"Programado",AND(V308=0,D308=""),"Desenvolv.",V308=0,"Não Iniciado",AND(V308&gt;0,V308&lt;H308,AO308=TRUE),"Em Produção",AND(V308&gt;0,V308&lt;H308,AO308=FALSE),"Produção Parcial")</f>
        <v>Não Iniciado</v>
      </c>
      <c r="AC308" s="42" t="b">
        <v>1</v>
      </c>
      <c r="AD308" s="42" t="b">
        <v>1</v>
      </c>
      <c r="AE308" s="42" t="b">
        <v>0</v>
      </c>
      <c r="AF308" s="42" t="b">
        <v>0</v>
      </c>
      <c r="AG308" s="42" t="b">
        <v>0</v>
      </c>
      <c r="AH308" s="42" t="b">
        <v>0</v>
      </c>
      <c r="AI308" s="42" t="b">
        <v>0</v>
      </c>
      <c r="AJ308" s="42" t="b">
        <v>0</v>
      </c>
      <c r="AK308" s="42" t="s">
        <v>38</v>
      </c>
      <c r="AL308" s="42" t="b">
        <v>0</v>
      </c>
      <c r="AM308" s="42" t="b">
        <v>0</v>
      </c>
      <c r="AN308" s="42" t="b">
        <v>0</v>
      </c>
      <c r="AO308" s="45" t="b" cm="1">
        <f t="array" ref="AO308">AND(COUNTIF(AC308:AN308,FALSE)=0,SUMPRODUCT(ISNUMBER(AC308:AN308)*1)=0)</f>
        <v>0</v>
      </c>
      <c r="AP308" s="59"/>
      <c r="AQ308" s="111">
        <f>IF(AB308="",99999999999,IFERROR(MATCH(AB308,{"Produção Parcial","Em Produção","Programado","Não Iniciado","Desenvolv.","Concluído"},0),7)*100000000+IF(ISNUMBER(J308),J308-46000,9999)*10000+IF(A308="",99,A308)*100+IF(C308="",99,CODE(LEFT(C308,1))))</f>
        <v>500000077</v>
      </c>
    </row>
    <row r="309" spans="1:92" s="36" customFormat="1" ht="25.15" hidden="1" customHeight="1" x14ac:dyDescent="0.25">
      <c r="A309" s="36">
        <v>100</v>
      </c>
      <c r="B309" s="38" t="s">
        <v>301</v>
      </c>
      <c r="C309" s="93" t="str">
        <f>INDEX([1]Produtos!$G:$G,MATCH($D309,[1]Produtos!$B:$B,0))</f>
        <v>MOUTIER</v>
      </c>
      <c r="D309" s="63" t="s">
        <v>320</v>
      </c>
      <c r="E309" s="93" t="str">
        <f>INDEX([1]Produtos!$C:$C,MATCH($D309,[1]Produtos!$B:$B,0))&amp;IF($F309&lt;&gt;"-"," - "&amp;LEFT($F309,1),"")&amp;" &gt; "&amp;$B309</f>
        <v>PERFUME MASCULINO 114 212 FOR MEN &gt; ON-HOLD</v>
      </c>
      <c r="F309" s="66" t="s">
        <v>38</v>
      </c>
      <c r="G309" s="38">
        <v>45785</v>
      </c>
      <c r="H309" s="64">
        <v>300</v>
      </c>
      <c r="I309" s="63" t="s">
        <v>42</v>
      </c>
      <c r="J309" s="68" t="str" cm="1">
        <f t="array" ref="J309">IFERROR(INDEX('[2]Previsão Envase'!$D$5:$D$4867, MATCH(1,('[2]Previsão Envase'!$F$5:$F$4867=$E309)+('[2]Previsão Envase'!$G$5:$G$4867=$E309)+('[2]Previsão Envase'!$H$5:$H$4867=$E309),0)),"")</f>
        <v/>
      </c>
      <c r="K309" s="68" t="str">
        <f>IF(COUNTIF('[2]Previsão Envase'!$F:$F,E309)&gt;0,"Linha 1",
IF(COUNTIF('[2]Previsão Envase'!$G:$G,E309)&gt;0,"Linha 2",
IF(COUNTIF('[2]Previsão Envase'!$H:$H,E309)&gt;0,"Linha 3","")))</f>
        <v/>
      </c>
      <c r="L309" s="96">
        <f>COUNTIF('[2]Previsão Envase'!$F:$H,E309)-COUNTIF('[2]Previsão Envase'!$F$1:$H$4,E309)</f>
        <v>0</v>
      </c>
      <c r="M309" s="35">
        <f t="shared" si="44"/>
        <v>0</v>
      </c>
      <c r="N309" s="68" t="str">
        <f>IFERROR(MAX(_xlfn.MAXIFS('[2]Controle de Produção'!$C:$C,'[2]Controle de Produção'!$L:$L,$D309,'[2]Controle de Produção'!$P:$P,$C309,'[2]Controle de Produção'!$G:$G,$B309),_xlfn.MAXIFS([3]EXPEDIÇÃO!$N:$N,[3]EXPEDIÇÃO!$E:$E,$D309,[3]EXPEDIÇÃO!$D:$D,$C309,[3]EXPEDIÇÃO!$N:$N,"&gt;="&amp;$G309)),"")</f>
        <v/>
      </c>
      <c r="O309" s="70">
        <f>INDEX([1]Produtos!$E:$E,MATCH($D309,[1]Produtos!$B:$B,0))</f>
        <v>50</v>
      </c>
      <c r="P309" s="70" t="str">
        <f>INDEX([1]Produtos!$F:$F,MATCH($D309,[1]Produtos!$B:$B,0))</f>
        <v>ml</v>
      </c>
      <c r="Q309" s="105">
        <f>INDEX([1]Produtos!$Y:$Y,MATCH($D309,[1]Produtos!$B:$B,0))</f>
        <v>0</v>
      </c>
      <c r="R309" s="35">
        <f t="shared" si="45"/>
        <v>1577.3766463727152</v>
      </c>
      <c r="S309" s="27">
        <f>IFERROR(INDEX([1]Produtos!$L:$L,MATCH(D309,[1]Produtos!$B:$B,0)), "")</f>
        <v>175.26407181919058</v>
      </c>
      <c r="T309" s="28">
        <f t="shared" si="46"/>
        <v>1.8</v>
      </c>
      <c r="U309" s="28" t="str">
        <f t="shared" si="47"/>
        <v>0D e 2h</v>
      </c>
      <c r="V309" s="27">
        <f>IFERROR(SUMIFS('[2]Controle de Produção'!$K:$K,'[2]Controle de Produção'!$L:$L,D309,'[2]Controle de Produção'!$P:$P,C309,'[2]Controle de Produção'!$B:$B,"&gt;=" &amp; G309,'[2]Controle de Produção'!$C:$C,"&lt;=" &amp; N309, '[2]Controle de Produção'!$G:$G,B309), "")</f>
        <v>0</v>
      </c>
      <c r="W309" s="27" t="str">
        <f>IFERROR(SUMIFS([3]EXPEDIÇÃO!$K:$K,[3]EXPEDIÇÃO!$E:$E,D309,[3]EXPEDIÇÃO!$D:$D,C309,[3]EXPEDIÇÃO!$N:$N,"&gt;=" &amp; G309,[3]EXPEDIÇÃO!$N:$N,"&lt;="&amp;N309), "")</f>
        <v/>
      </c>
      <c r="X309" s="27">
        <f>COUNTIFS('[2]Controle de Produção'!$P:$P,C309,'[2]Controle de Produção'!$L:$L,D309,'[2]Controle de Produção'!$B:$B,"&gt;=" &amp; G309)</f>
        <v>0</v>
      </c>
      <c r="Y309" s="27" t="str">
        <f t="shared" si="48"/>
        <v>-</v>
      </c>
      <c r="Z309" s="27">
        <f>IFERROR(COUNTIFS('[2]Controle de Produção'!$L:$L,D309,'[2]Controle de Produção'!$P:$P,C309,'[2]Controle de Produção'!$B:$B,"&gt;=" &amp; G309,'[2]Controle de Produção'!$C:$C,"&lt;=" &amp; N309, '[2]Controle de Produção'!$G:$G,B309), "")</f>
        <v>0</v>
      </c>
      <c r="AA309" s="108" t="str">
        <f t="shared" si="50"/>
        <v/>
      </c>
      <c r="AB309" s="41" t="str" cm="1">
        <f t="array" ref="AB309">_xlfn.IFS((H309*0.95)&lt;=V309,"Concluído",AND(V309 =0, J309&lt;&gt;""),"Programado",AND(V309=0,D309=""),"Desenvolv.",V309=0,"Não Iniciado",AND(V309&gt;0,V309&lt;H309,AO309=TRUE),"Em Produção",AND(V309&gt;0,V309&lt;H309,AO309=FALSE),"Produção Parcial")</f>
        <v>Não Iniciado</v>
      </c>
      <c r="AC309" s="42" t="b">
        <v>1</v>
      </c>
      <c r="AD309" s="42" t="b">
        <v>1</v>
      </c>
      <c r="AE309" s="42" t="b">
        <v>0</v>
      </c>
      <c r="AF309" s="42" t="b">
        <v>0</v>
      </c>
      <c r="AG309" s="90" t="b">
        <v>0</v>
      </c>
      <c r="AH309" s="42" t="b">
        <v>0</v>
      </c>
      <c r="AI309" s="42" t="b">
        <v>0</v>
      </c>
      <c r="AJ309" s="42" t="b">
        <v>0</v>
      </c>
      <c r="AK309" s="42" t="s">
        <v>38</v>
      </c>
      <c r="AL309" s="42" t="b">
        <v>0</v>
      </c>
      <c r="AM309" s="42" t="b">
        <v>0</v>
      </c>
      <c r="AN309" s="42" t="b">
        <v>0</v>
      </c>
      <c r="AO309" s="45" t="b" cm="1">
        <f t="array" ref="AO309">AND(COUNTIF(AC309:AN309,FALSE)=0,SUMPRODUCT(ISNUMBER(AC309:AN309)*1)=0)</f>
        <v>0</v>
      </c>
      <c r="AP309" s="59"/>
      <c r="AQ309" s="111">
        <f>IF(AB309="",99999999999,IFERROR(MATCH(AB309,{"Produção Parcial","Em Produção","Programado","Não Iniciado","Desenvolv.","Concluído"},0),7)*100000000+IF(ISNUMBER(J309),J309-46000,9999)*10000+IF(A309="",99,A309)*100+IF(C309="",99,CODE(LEFT(C309,1))))</f>
        <v>500000077</v>
      </c>
    </row>
    <row r="310" spans="1:92" s="36" customFormat="1" ht="25.15" hidden="1" customHeight="1" x14ac:dyDescent="0.25">
      <c r="A310" s="36">
        <v>100</v>
      </c>
      <c r="B310" s="38" t="s">
        <v>301</v>
      </c>
      <c r="C310" s="93" t="str">
        <f>INDEX([1]Produtos!$G:$G,MATCH($D310,[1]Produtos!$B:$B,0))</f>
        <v>MOUTIER</v>
      </c>
      <c r="D310" s="63" t="s">
        <v>319</v>
      </c>
      <c r="E310" s="93" t="str">
        <f>INDEX([1]Produtos!$C:$C,MATCH($D310,[1]Produtos!$B:$B,0))&amp;IF($F310&lt;&gt;"-"," - "&amp;LEFT($F310,1),"")&amp;" &gt; "&amp;$B310</f>
        <v>PERFUME MASCULINO 120 ISSEY MIYAKE &gt; ON-HOLD</v>
      </c>
      <c r="F310" s="66" t="s">
        <v>38</v>
      </c>
      <c r="G310" s="38">
        <v>45785</v>
      </c>
      <c r="H310" s="64">
        <v>300</v>
      </c>
      <c r="I310" s="63" t="s">
        <v>42</v>
      </c>
      <c r="J310" s="68" t="str" cm="1">
        <f t="array" ref="J310">IFERROR(INDEX('[2]Previsão Envase'!$D$5:$D$4867, MATCH(1,('[2]Previsão Envase'!$F$5:$F$4867=$E310)+('[2]Previsão Envase'!$G$5:$G$4867=$E310)+('[2]Previsão Envase'!$H$5:$H$4867=$E310),0)),"")</f>
        <v/>
      </c>
      <c r="K310" s="68" t="str">
        <f>IF(COUNTIF('[2]Previsão Envase'!$F:$F,E310)&gt;0,"Linha 1",
IF(COUNTIF('[2]Previsão Envase'!$G:$G,E310)&gt;0,"Linha 2",
IF(COUNTIF('[2]Previsão Envase'!$H:$H,E310)&gt;0,"Linha 3","")))</f>
        <v/>
      </c>
      <c r="L310" s="96">
        <f>COUNTIF('[2]Previsão Envase'!$F:$H,E310)-COUNTIF('[2]Previsão Envase'!$F$1:$H$4,E310)</f>
        <v>0</v>
      </c>
      <c r="M310" s="35">
        <f t="shared" si="44"/>
        <v>0</v>
      </c>
      <c r="N310" s="68" t="str">
        <f>IFERROR(MAX(_xlfn.MAXIFS('[2]Controle de Produção'!$C:$C,'[2]Controle de Produção'!$L:$L,$D310,'[2]Controle de Produção'!$P:$P,$C310,'[2]Controle de Produção'!$G:$G,$B310),_xlfn.MAXIFS([3]EXPEDIÇÃO!$N:$N,[3]EXPEDIÇÃO!$E:$E,$D310,[3]EXPEDIÇÃO!$D:$D,$C310,[3]EXPEDIÇÃO!$N:$N,"&gt;="&amp;$G310)),"")</f>
        <v/>
      </c>
      <c r="O310" s="70">
        <f>INDEX([1]Produtos!$E:$E,MATCH($D310,[1]Produtos!$B:$B,0))</f>
        <v>50</v>
      </c>
      <c r="P310" s="70" t="str">
        <f>INDEX([1]Produtos!$F:$F,MATCH($D310,[1]Produtos!$B:$B,0))</f>
        <v>ml</v>
      </c>
      <c r="Q310" s="105">
        <f>INDEX([1]Produtos!$Y:$Y,MATCH($D310,[1]Produtos!$B:$B,0))</f>
        <v>0</v>
      </c>
      <c r="R310" s="35">
        <f t="shared" si="45"/>
        <v>1577.3766463727152</v>
      </c>
      <c r="S310" s="27">
        <f>IFERROR(INDEX([1]Produtos!$L:$L,MATCH(D310,[1]Produtos!$B:$B,0)), "")</f>
        <v>175.26407181919058</v>
      </c>
      <c r="T310" s="28">
        <f t="shared" si="46"/>
        <v>1.8</v>
      </c>
      <c r="U310" s="28" t="str">
        <f t="shared" si="47"/>
        <v>0D e 2h</v>
      </c>
      <c r="V310" s="27">
        <f>IFERROR(SUMIFS('[2]Controle de Produção'!$K:$K,'[2]Controle de Produção'!$L:$L,D310,'[2]Controle de Produção'!$P:$P,C310,'[2]Controle de Produção'!$B:$B,"&gt;=" &amp; G310,'[2]Controle de Produção'!$C:$C,"&lt;=" &amp; N310, '[2]Controle de Produção'!$G:$G,B310), "")</f>
        <v>0</v>
      </c>
      <c r="W310" s="27" t="str">
        <f>IFERROR(SUMIFS([3]EXPEDIÇÃO!$K:$K,[3]EXPEDIÇÃO!$E:$E,D310,[3]EXPEDIÇÃO!$D:$D,C310,[3]EXPEDIÇÃO!$N:$N,"&gt;=" &amp; G310,[3]EXPEDIÇÃO!$N:$N,"&lt;="&amp;N310), "")</f>
        <v/>
      </c>
      <c r="X310" s="27">
        <f>COUNTIFS('[2]Controle de Produção'!$P:$P,C310,'[2]Controle de Produção'!$L:$L,D310,'[2]Controle de Produção'!$B:$B,"&gt;=" &amp; G310)</f>
        <v>0</v>
      </c>
      <c r="Y310" s="27" t="str">
        <f t="shared" si="48"/>
        <v>-</v>
      </c>
      <c r="Z310" s="27">
        <f>IFERROR(COUNTIFS('[2]Controle de Produção'!$L:$L,D310,'[2]Controle de Produção'!$P:$P,C310,'[2]Controle de Produção'!$B:$B,"&gt;=" &amp; G310,'[2]Controle de Produção'!$C:$C,"&lt;=" &amp; N310, '[2]Controle de Produção'!$G:$G,B310), "")</f>
        <v>0</v>
      </c>
      <c r="AA310" s="108" t="str">
        <f t="shared" si="50"/>
        <v/>
      </c>
      <c r="AB310" s="41" t="str" cm="1">
        <f t="array" ref="AB310">_xlfn.IFS((H310*0.95)&lt;=V310,"Concluído",AND(V310 =0, J310&lt;&gt;""),"Programado",AND(V310=0,D310=""),"Desenvolv.",V310=0,"Não Iniciado",AND(V310&gt;0,V310&lt;H310,AO310=TRUE),"Em Produção",AND(V310&gt;0,V310&lt;H310,AO310=FALSE),"Produção Parcial")</f>
        <v>Não Iniciado</v>
      </c>
      <c r="AC310" s="42" t="b">
        <v>1</v>
      </c>
      <c r="AD310" s="42" t="b">
        <v>1</v>
      </c>
      <c r="AE310" s="42" t="b">
        <v>0</v>
      </c>
      <c r="AF310" s="42" t="b">
        <v>0</v>
      </c>
      <c r="AG310" s="90" t="b">
        <v>0</v>
      </c>
      <c r="AH310" s="42" t="b">
        <v>0</v>
      </c>
      <c r="AI310" s="42" t="b">
        <v>0</v>
      </c>
      <c r="AJ310" s="42" t="b">
        <v>0</v>
      </c>
      <c r="AK310" s="42" t="s">
        <v>38</v>
      </c>
      <c r="AL310" s="42" t="b">
        <v>0</v>
      </c>
      <c r="AM310" s="42" t="b">
        <v>0</v>
      </c>
      <c r="AN310" s="42" t="b">
        <v>0</v>
      </c>
      <c r="AO310" s="45" t="b" cm="1">
        <f t="array" ref="AO310">AND(COUNTIF(AC310:AN310,FALSE)=0,SUMPRODUCT(ISNUMBER(AC310:AN310)*1)=0)</f>
        <v>0</v>
      </c>
      <c r="AP310" s="59"/>
      <c r="AQ310" s="111">
        <f>IF(AB310="",99999999999,IFERROR(MATCH(AB310,{"Produção Parcial","Em Produção","Programado","Não Iniciado","Desenvolv.","Concluído"},0),7)*100000000+IF(ISNUMBER(J310),J310-46000,9999)*10000+IF(A310="",99,A310)*100+IF(C310="",99,CODE(LEFT(C310,1))))</f>
        <v>500000077</v>
      </c>
    </row>
    <row r="311" spans="1:92" s="36" customFormat="1" ht="25.15" hidden="1" customHeight="1" x14ac:dyDescent="0.25">
      <c r="A311" s="36">
        <v>100</v>
      </c>
      <c r="B311" s="38" t="s">
        <v>301</v>
      </c>
      <c r="C311" s="93" t="str">
        <f>INDEX([1]Produtos!$G:$G,MATCH($D311,[1]Produtos!$B:$B,0))</f>
        <v>MOUTIER</v>
      </c>
      <c r="D311" s="63" t="s">
        <v>318</v>
      </c>
      <c r="E311" s="93" t="str">
        <f>INDEX([1]Produtos!$C:$C,MATCH($D311,[1]Produtos!$B:$B,0))&amp;IF($F311&lt;&gt;"-"," - "&amp;LEFT($F311,1),"")&amp;" &gt; "&amp;$B311</f>
        <v>PERFUME MASCULINO 121 212 VIP MEN &gt; ON-HOLD</v>
      </c>
      <c r="F311" s="66" t="s">
        <v>38</v>
      </c>
      <c r="G311" s="38">
        <v>45785</v>
      </c>
      <c r="H311" s="64">
        <v>300</v>
      </c>
      <c r="I311" s="63" t="s">
        <v>42</v>
      </c>
      <c r="J311" s="68" t="str" cm="1">
        <f t="array" ref="J311">IFERROR(INDEX('[2]Previsão Envase'!$D$5:$D$4867, MATCH(1,('[2]Previsão Envase'!$F$5:$F$4867=$E311)+('[2]Previsão Envase'!$G$5:$G$4867=$E311)+('[2]Previsão Envase'!$H$5:$H$4867=$E311),0)),"")</f>
        <v/>
      </c>
      <c r="K311" s="68" t="str">
        <f>IF(COUNTIF('[2]Previsão Envase'!$F:$F,E311)&gt;0,"Linha 1",
IF(COUNTIF('[2]Previsão Envase'!$G:$G,E311)&gt;0,"Linha 2",
IF(COUNTIF('[2]Previsão Envase'!$H:$H,E311)&gt;0,"Linha 3","")))</f>
        <v/>
      </c>
      <c r="L311" s="96">
        <f>COUNTIF('[2]Previsão Envase'!$F:$H,E311)-COUNTIF('[2]Previsão Envase'!$F$1:$H$4,E311)</f>
        <v>0</v>
      </c>
      <c r="M311" s="35">
        <f t="shared" si="44"/>
        <v>0</v>
      </c>
      <c r="N311" s="68" t="str">
        <f>IFERROR(MAX(_xlfn.MAXIFS('[2]Controle de Produção'!$C:$C,'[2]Controle de Produção'!$L:$L,$D311,'[2]Controle de Produção'!$P:$P,$C311,'[2]Controle de Produção'!$G:$G,$B311),_xlfn.MAXIFS([3]EXPEDIÇÃO!$N:$N,[3]EXPEDIÇÃO!$E:$E,$D311,[3]EXPEDIÇÃO!$D:$D,$C311,[3]EXPEDIÇÃO!$N:$N,"&gt;="&amp;$G311)),"")</f>
        <v/>
      </c>
      <c r="O311" s="70">
        <f>INDEX([1]Produtos!$E:$E,MATCH($D311,[1]Produtos!$B:$B,0))</f>
        <v>50</v>
      </c>
      <c r="P311" s="70" t="str">
        <f>INDEX([1]Produtos!$F:$F,MATCH($D311,[1]Produtos!$B:$B,0))</f>
        <v>ml</v>
      </c>
      <c r="Q311" s="105">
        <f>INDEX([1]Produtos!$Y:$Y,MATCH($D311,[1]Produtos!$B:$B,0))</f>
        <v>0</v>
      </c>
      <c r="R311" s="35">
        <f t="shared" si="45"/>
        <v>1577.3766463727152</v>
      </c>
      <c r="S311" s="27">
        <f>IFERROR(INDEX([1]Produtos!$L:$L,MATCH(D311,[1]Produtos!$B:$B,0)), "")</f>
        <v>175.26407181919058</v>
      </c>
      <c r="T311" s="28">
        <f t="shared" si="46"/>
        <v>1.8</v>
      </c>
      <c r="U311" s="28" t="str">
        <f t="shared" si="47"/>
        <v>0D e 2h</v>
      </c>
      <c r="V311" s="27">
        <f>IFERROR(SUMIFS('[2]Controle de Produção'!$K:$K,'[2]Controle de Produção'!$L:$L,D311,'[2]Controle de Produção'!$P:$P,C311,'[2]Controle de Produção'!$B:$B,"&gt;=" &amp; G311,'[2]Controle de Produção'!$C:$C,"&lt;=" &amp; N311, '[2]Controle de Produção'!$G:$G,B311), "")</f>
        <v>0</v>
      </c>
      <c r="W311" s="27" t="str">
        <f>IFERROR(SUMIFS([3]EXPEDIÇÃO!$K:$K,[3]EXPEDIÇÃO!$E:$E,D311,[3]EXPEDIÇÃO!$D:$D,C311,[3]EXPEDIÇÃO!$N:$N,"&gt;=" &amp; G311,[3]EXPEDIÇÃO!$N:$N,"&lt;="&amp;N311), "")</f>
        <v/>
      </c>
      <c r="X311" s="27">
        <f>COUNTIFS('[2]Controle de Produção'!$P:$P,C311,'[2]Controle de Produção'!$L:$L,D311,'[2]Controle de Produção'!$B:$B,"&gt;=" &amp; G311)</f>
        <v>0</v>
      </c>
      <c r="Y311" s="27" t="str">
        <f t="shared" si="48"/>
        <v>-</v>
      </c>
      <c r="Z311" s="27">
        <f>IFERROR(COUNTIFS('[2]Controle de Produção'!$L:$L,D311,'[2]Controle de Produção'!$P:$P,C311,'[2]Controle de Produção'!$B:$B,"&gt;=" &amp; G311,'[2]Controle de Produção'!$C:$C,"&lt;=" &amp; N311, '[2]Controle de Produção'!$G:$G,B311), "")</f>
        <v>0</v>
      </c>
      <c r="AA311" s="108" t="str">
        <f t="shared" si="50"/>
        <v/>
      </c>
      <c r="AB311" s="41" t="str" cm="1">
        <f t="array" ref="AB311">_xlfn.IFS((H311*0.95)&lt;=V311,"Concluído",AND(V311 =0, J311&lt;&gt;""),"Programado",AND(V311=0,D311=""),"Desenvolv.",V311=0,"Não Iniciado",AND(V311&gt;0,V311&lt;H311,AO311=TRUE),"Em Produção",AND(V311&gt;0,V311&lt;H311,AO311=FALSE),"Produção Parcial")</f>
        <v>Não Iniciado</v>
      </c>
      <c r="AC311" s="42" t="b">
        <v>1</v>
      </c>
      <c r="AD311" s="42" t="b">
        <v>1</v>
      </c>
      <c r="AE311" s="42" t="b">
        <v>0</v>
      </c>
      <c r="AF311" s="42" t="b">
        <v>0</v>
      </c>
      <c r="AG311" s="90" t="b">
        <v>0</v>
      </c>
      <c r="AH311" s="42" t="b">
        <v>0</v>
      </c>
      <c r="AI311" s="42" t="b">
        <v>0</v>
      </c>
      <c r="AJ311" s="42" t="b">
        <v>0</v>
      </c>
      <c r="AK311" s="42" t="s">
        <v>38</v>
      </c>
      <c r="AL311" s="42" t="b">
        <v>0</v>
      </c>
      <c r="AM311" s="42" t="b">
        <v>0</v>
      </c>
      <c r="AN311" s="42" t="b">
        <v>0</v>
      </c>
      <c r="AO311" s="45" t="b" cm="1">
        <f t="array" ref="AO311">AND(COUNTIF(AC311:AN311,FALSE)=0,SUMPRODUCT(ISNUMBER(AC311:AN311)*1)=0)</f>
        <v>0</v>
      </c>
      <c r="AP311" s="59"/>
      <c r="AQ311" s="111">
        <f>IF(AB311="",99999999999,IFERROR(MATCH(AB311,{"Produção Parcial","Em Produção","Programado","Não Iniciado","Desenvolv.","Concluído"},0),7)*100000000+IF(ISNUMBER(J311),J311-46000,9999)*10000+IF(A311="",99,A311)*100+IF(C311="",99,CODE(LEFT(C311,1))))</f>
        <v>500000077</v>
      </c>
    </row>
    <row r="312" spans="1:92" s="36" customFormat="1" ht="25.15" hidden="1" customHeight="1" x14ac:dyDescent="0.25">
      <c r="A312" s="36">
        <v>100</v>
      </c>
      <c r="B312" s="38" t="s">
        <v>301</v>
      </c>
      <c r="C312" s="93" t="str">
        <f>INDEX([1]Produtos!$G:$G,MATCH($D312,[1]Produtos!$B:$B,0))</f>
        <v>MOUTIER</v>
      </c>
      <c r="D312" s="63" t="s">
        <v>317</v>
      </c>
      <c r="E312" s="93" t="str">
        <f>INDEX([1]Produtos!$C:$C,MATCH($D312,[1]Produtos!$B:$B,0))&amp;IF($F312&lt;&gt;"-"," - "&amp;LEFT($F312,1),"")&amp;" &gt; "&amp;$B312</f>
        <v>PERFUME MASCULINO 134 MARLY ALTHAIR &gt; ON-HOLD</v>
      </c>
      <c r="F312" s="66" t="s">
        <v>38</v>
      </c>
      <c r="G312" s="38">
        <v>45785</v>
      </c>
      <c r="H312" s="64">
        <v>300</v>
      </c>
      <c r="I312" s="63" t="s">
        <v>42</v>
      </c>
      <c r="J312" s="68" t="str" cm="1">
        <f t="array" ref="J312">IFERROR(INDEX('[2]Previsão Envase'!$D$5:$D$4867, MATCH(1,('[2]Previsão Envase'!$F$5:$F$4867=$E312)+('[2]Previsão Envase'!$G$5:$G$4867=$E312)+('[2]Previsão Envase'!$H$5:$H$4867=$E312),0)),"")</f>
        <v/>
      </c>
      <c r="K312" s="68" t="str">
        <f>IF(COUNTIF('[2]Previsão Envase'!$F:$F,E312)&gt;0,"Linha 1",
IF(COUNTIF('[2]Previsão Envase'!$G:$G,E312)&gt;0,"Linha 2",
IF(COUNTIF('[2]Previsão Envase'!$H:$H,E312)&gt;0,"Linha 3","")))</f>
        <v/>
      </c>
      <c r="L312" s="96">
        <f>COUNTIF('[2]Previsão Envase'!$F:$H,E312)-COUNTIF('[2]Previsão Envase'!$F$1:$H$4,E312)</f>
        <v>0</v>
      </c>
      <c r="M312" s="35">
        <f t="shared" si="44"/>
        <v>0</v>
      </c>
      <c r="N312" s="68" t="str">
        <f>IFERROR(MAX(_xlfn.MAXIFS('[2]Controle de Produção'!$C:$C,'[2]Controle de Produção'!$L:$L,$D312,'[2]Controle de Produção'!$P:$P,$C312,'[2]Controle de Produção'!$G:$G,$B312),_xlfn.MAXIFS([3]EXPEDIÇÃO!$N:$N,[3]EXPEDIÇÃO!$E:$E,$D312,[3]EXPEDIÇÃO!$D:$D,$C312,[3]EXPEDIÇÃO!$N:$N,"&gt;="&amp;$G312)),"")</f>
        <v/>
      </c>
      <c r="O312" s="70">
        <f>INDEX([1]Produtos!$E:$E,MATCH($D312,[1]Produtos!$B:$B,0))</f>
        <v>50</v>
      </c>
      <c r="P312" s="70" t="str">
        <f>INDEX([1]Produtos!$F:$F,MATCH($D312,[1]Produtos!$B:$B,0))</f>
        <v>ml</v>
      </c>
      <c r="Q312" s="105">
        <f>INDEX([1]Produtos!$Y:$Y,MATCH($D312,[1]Produtos!$B:$B,0))</f>
        <v>0</v>
      </c>
      <c r="R312" s="35">
        <f t="shared" si="45"/>
        <v>1577.3766463727152</v>
      </c>
      <c r="S312" s="27">
        <f>IFERROR(INDEX([1]Produtos!$L:$L,MATCH(D312,[1]Produtos!$B:$B,0)), "")</f>
        <v>175.26407181919058</v>
      </c>
      <c r="T312" s="28">
        <f t="shared" si="46"/>
        <v>1.8</v>
      </c>
      <c r="U312" s="28" t="str">
        <f t="shared" si="47"/>
        <v>0D e 2h</v>
      </c>
      <c r="V312" s="27">
        <f>IFERROR(SUMIFS('[2]Controle de Produção'!$K:$K,'[2]Controle de Produção'!$L:$L,D312,'[2]Controle de Produção'!$P:$P,C312,'[2]Controle de Produção'!$B:$B,"&gt;=" &amp; G312,'[2]Controle de Produção'!$C:$C,"&lt;=" &amp; N312, '[2]Controle de Produção'!$G:$G,B312), "")</f>
        <v>0</v>
      </c>
      <c r="W312" s="27" t="str">
        <f>IFERROR(SUMIFS([3]EXPEDIÇÃO!$K:$K,[3]EXPEDIÇÃO!$E:$E,D312,[3]EXPEDIÇÃO!$D:$D,C312,[3]EXPEDIÇÃO!$N:$N,"&gt;=" &amp; G312,[3]EXPEDIÇÃO!$N:$N,"&lt;="&amp;N312), "")</f>
        <v/>
      </c>
      <c r="X312" s="27">
        <f>COUNTIFS('[2]Controle de Produção'!$P:$P,C312,'[2]Controle de Produção'!$L:$L,D312,'[2]Controle de Produção'!$B:$B,"&gt;=" &amp; G312)</f>
        <v>0</v>
      </c>
      <c r="Y312" s="27" t="str">
        <f t="shared" si="48"/>
        <v>-</v>
      </c>
      <c r="Z312" s="27">
        <f>IFERROR(COUNTIFS('[2]Controle de Produção'!$L:$L,D312,'[2]Controle de Produção'!$P:$P,C312,'[2]Controle de Produção'!$B:$B,"&gt;=" &amp; G312,'[2]Controle de Produção'!$C:$C,"&lt;=" &amp; N312, '[2]Controle de Produção'!$G:$G,B312), "")</f>
        <v>0</v>
      </c>
      <c r="AA312" s="108" t="str">
        <f t="shared" si="50"/>
        <v/>
      </c>
      <c r="AB312" s="41" t="str" cm="1">
        <f t="array" ref="AB312">_xlfn.IFS((H312*0.95)&lt;=V312,"Concluído",AND(V312 =0, J312&lt;&gt;""),"Programado",AND(V312=0,D312=""),"Desenvolv.",V312=0,"Não Iniciado",AND(V312&gt;0,V312&lt;H312,AO312=TRUE),"Em Produção",AND(V312&gt;0,V312&lt;H312,AO312=FALSE),"Produção Parcial")</f>
        <v>Não Iniciado</v>
      </c>
      <c r="AC312" s="42" t="b">
        <v>1</v>
      </c>
      <c r="AD312" s="42" t="b">
        <v>1</v>
      </c>
      <c r="AE312" s="42" t="b">
        <v>0</v>
      </c>
      <c r="AF312" s="42" t="b">
        <v>0</v>
      </c>
      <c r="AG312" s="90" t="b">
        <v>0</v>
      </c>
      <c r="AH312" s="42" t="b">
        <v>0</v>
      </c>
      <c r="AI312" s="42" t="b">
        <v>0</v>
      </c>
      <c r="AJ312" s="42" t="b">
        <v>0</v>
      </c>
      <c r="AK312" s="42" t="s">
        <v>38</v>
      </c>
      <c r="AL312" s="42" t="b">
        <v>0</v>
      </c>
      <c r="AM312" s="42" t="b">
        <v>0</v>
      </c>
      <c r="AN312" s="42" t="b">
        <v>0</v>
      </c>
      <c r="AO312" s="45" t="b" cm="1">
        <f t="array" ref="AO312">AND(COUNTIF(AC312:AN312,FALSE)=0,SUMPRODUCT(ISNUMBER(AC312:AN312)*1)=0)</f>
        <v>0</v>
      </c>
      <c r="AP312" s="59"/>
      <c r="AQ312" s="111">
        <f>IF(AB312="",99999999999,IFERROR(MATCH(AB312,{"Produção Parcial","Em Produção","Programado","Não Iniciado","Desenvolv.","Concluído"},0),7)*100000000+IF(ISNUMBER(J312),J312-46000,9999)*10000+IF(A312="",99,A312)*100+IF(C312="",99,CODE(LEFT(C312,1))))</f>
        <v>500000077</v>
      </c>
    </row>
    <row r="313" spans="1:92" s="36" customFormat="1" ht="25.15" hidden="1" customHeight="1" x14ac:dyDescent="0.25">
      <c r="A313" s="36">
        <v>100</v>
      </c>
      <c r="B313" s="38" t="s">
        <v>301</v>
      </c>
      <c r="C313" s="93" t="str">
        <f>INDEX([1]Produtos!$G:$G,MATCH($D313,[1]Produtos!$B:$B,0))</f>
        <v>MOUTIER</v>
      </c>
      <c r="D313" s="63" t="s">
        <v>118</v>
      </c>
      <c r="E313" s="93" t="str">
        <f>INDEX([1]Produtos!$C:$C,MATCH($D313,[1]Produtos!$B:$B,0))&amp;IF($F313&lt;&gt;"-"," - "&amp;LEFT($F313,1),"")&amp;" &gt; "&amp;$B313</f>
        <v>PERFUME FEMININO 10 212 SEXY &gt; ON-HOLD</v>
      </c>
      <c r="F313" s="66" t="s">
        <v>38</v>
      </c>
      <c r="G313" s="38">
        <v>45785</v>
      </c>
      <c r="H313" s="64">
        <v>300</v>
      </c>
      <c r="I313" s="63" t="s">
        <v>42</v>
      </c>
      <c r="J313" s="68" t="str" cm="1">
        <f t="array" ref="J313">IFERROR(INDEX('[2]Previsão Envase'!$D$5:$D$4867, MATCH(1,('[2]Previsão Envase'!$F$5:$F$4867=$E313)+('[2]Previsão Envase'!$G$5:$G$4867=$E313)+('[2]Previsão Envase'!$H$5:$H$4867=$E313),0)),"")</f>
        <v/>
      </c>
      <c r="K313" s="68" t="str">
        <f>IF(COUNTIF('[2]Previsão Envase'!$F:$F,E313)&gt;0,"Linha 1",
IF(COUNTIF('[2]Previsão Envase'!$G:$G,E313)&gt;0,"Linha 2",
IF(COUNTIF('[2]Previsão Envase'!$H:$H,E313)&gt;0,"Linha 3","")))</f>
        <v/>
      </c>
      <c r="L313" s="96">
        <f>COUNTIF('[2]Previsão Envase'!$F:$H,E313)-COUNTIF('[2]Previsão Envase'!$F$1:$H$4,E313)</f>
        <v>0</v>
      </c>
      <c r="M313" s="35">
        <f t="shared" si="44"/>
        <v>0</v>
      </c>
      <c r="N313" s="68" t="str">
        <f>IFERROR(MAX(_xlfn.MAXIFS('[2]Controle de Produção'!$C:$C,'[2]Controle de Produção'!$L:$L,$D313,'[2]Controle de Produção'!$P:$P,$C313,'[2]Controle de Produção'!$G:$G,$B313),_xlfn.MAXIFS([3]EXPEDIÇÃO!$N:$N,[3]EXPEDIÇÃO!$E:$E,$D313,[3]EXPEDIÇÃO!$D:$D,$C313,[3]EXPEDIÇÃO!$N:$N,"&gt;="&amp;$G313)),"")</f>
        <v/>
      </c>
      <c r="O313" s="70">
        <f>INDEX([1]Produtos!$E:$E,MATCH($D313,[1]Produtos!$B:$B,0))</f>
        <v>50</v>
      </c>
      <c r="P313" s="70" t="str">
        <f>INDEX([1]Produtos!$F:$F,MATCH($D313,[1]Produtos!$B:$B,0))</f>
        <v>ml</v>
      </c>
      <c r="Q313" s="105">
        <f>INDEX([1]Produtos!$Y:$Y,MATCH($D313,[1]Produtos!$B:$B,0))</f>
        <v>0</v>
      </c>
      <c r="R313" s="35">
        <f t="shared" si="45"/>
        <v>1577.3766463727152</v>
      </c>
      <c r="S313" s="27">
        <f>IFERROR(INDEX([1]Produtos!$L:$L,MATCH(D313,[1]Produtos!$B:$B,0)), "")</f>
        <v>175.26407181919058</v>
      </c>
      <c r="T313" s="28">
        <f t="shared" si="46"/>
        <v>1.8</v>
      </c>
      <c r="U313" s="28" t="str">
        <f t="shared" si="47"/>
        <v>0D e 2h</v>
      </c>
      <c r="V313" s="27">
        <f>IFERROR(SUMIFS('[2]Controle de Produção'!$K:$K,'[2]Controle de Produção'!$L:$L,D313,'[2]Controle de Produção'!$P:$P,C313,'[2]Controle de Produção'!$B:$B,"&gt;=" &amp; G313,'[2]Controle de Produção'!$C:$C,"&lt;=" &amp; N313, '[2]Controle de Produção'!$G:$G,B313), "")</f>
        <v>0</v>
      </c>
      <c r="W313" s="27" t="str">
        <f>IFERROR(SUMIFS([3]EXPEDIÇÃO!$K:$K,[3]EXPEDIÇÃO!$E:$E,D313,[3]EXPEDIÇÃO!$D:$D,C313,[3]EXPEDIÇÃO!$N:$N,"&gt;=" &amp; G313,[3]EXPEDIÇÃO!$N:$N,"&lt;="&amp;N313), "")</f>
        <v/>
      </c>
      <c r="X313" s="27">
        <f>COUNTIFS('[2]Controle de Produção'!$P:$P,C313,'[2]Controle de Produção'!$L:$L,D313,'[2]Controle de Produção'!$B:$B,"&gt;=" &amp; G313)</f>
        <v>1</v>
      </c>
      <c r="Y313" s="27">
        <f t="shared" si="48"/>
        <v>0</v>
      </c>
      <c r="Z313" s="27">
        <f>IFERROR(COUNTIFS('[2]Controle de Produção'!$L:$L,D313,'[2]Controle de Produção'!$P:$P,C313,'[2]Controle de Produção'!$B:$B,"&gt;=" &amp; G313,'[2]Controle de Produção'!$C:$C,"&lt;=" &amp; N313, '[2]Controle de Produção'!$G:$G,B313), "")</f>
        <v>0</v>
      </c>
      <c r="AA313" s="108" t="str">
        <f t="shared" si="50"/>
        <v/>
      </c>
      <c r="AB313" s="41" t="str" cm="1">
        <f t="array" ref="AB313">_xlfn.IFS((H313*0.95)&lt;=V313,"Concluído",AND(V313 =0, J313&lt;&gt;""),"Programado",AND(V313=0,D313=""),"Desenvolv.",V313=0,"Não Iniciado",AND(V313&gt;0,V313&lt;H313,AO313=TRUE),"Em Produção",AND(V313&gt;0,V313&lt;H313,AO313=FALSE),"Produção Parcial")</f>
        <v>Não Iniciado</v>
      </c>
      <c r="AC313" s="42" t="b">
        <v>1</v>
      </c>
      <c r="AD313" s="42" t="b">
        <v>1</v>
      </c>
      <c r="AE313" s="42" t="b">
        <v>0</v>
      </c>
      <c r="AF313" s="42" t="b">
        <v>0</v>
      </c>
      <c r="AG313" s="90" t="b">
        <v>0</v>
      </c>
      <c r="AH313" s="42" t="b">
        <v>0</v>
      </c>
      <c r="AI313" s="42" t="b">
        <v>0</v>
      </c>
      <c r="AJ313" s="42" t="b">
        <v>0</v>
      </c>
      <c r="AK313" s="42" t="s">
        <v>38</v>
      </c>
      <c r="AL313" s="42" t="b">
        <v>0</v>
      </c>
      <c r="AM313" s="42" t="b">
        <v>0</v>
      </c>
      <c r="AN313" s="42" t="b">
        <v>0</v>
      </c>
      <c r="AO313" s="45" t="b" cm="1">
        <f t="array" ref="AO313">AND(COUNTIF(AC313:AN313,FALSE)=0,SUMPRODUCT(ISNUMBER(AC313:AN313)*1)=0)</f>
        <v>0</v>
      </c>
      <c r="AP313" s="59"/>
      <c r="AQ313" s="111">
        <f>IF(AB313="",99999999999,IFERROR(MATCH(AB313,{"Produção Parcial","Em Produção","Programado","Não Iniciado","Desenvolv.","Concluído"},0),7)*100000000+IF(ISNUMBER(J313),J313-46000,9999)*10000+IF(A313="",99,A313)*100+IF(C313="",99,CODE(LEFT(C313,1))))</f>
        <v>500000077</v>
      </c>
      <c r="AR313"/>
      <c r="AS313"/>
    </row>
    <row r="314" spans="1:92" s="36" customFormat="1" ht="25.15" hidden="1" customHeight="1" x14ac:dyDescent="0.25">
      <c r="A314" s="36">
        <v>100</v>
      </c>
      <c r="B314" s="38" t="s">
        <v>301</v>
      </c>
      <c r="C314" s="93" t="str">
        <f>INDEX([1]Produtos!$G:$G,MATCH($D314,[1]Produtos!$B:$B,0))</f>
        <v>MOUTIER</v>
      </c>
      <c r="D314" s="63" t="s">
        <v>116</v>
      </c>
      <c r="E314" s="93" t="str">
        <f>INDEX([1]Produtos!$C:$C,MATCH($D314,[1]Produtos!$B:$B,0))&amp;IF($F314&lt;&gt;"-"," - "&amp;LEFT($F314,1),"")&amp;" &gt; "&amp;$B314</f>
        <v>PERFUME FEMININO 11 OLYMPEA &gt; ON-HOLD</v>
      </c>
      <c r="F314" s="66" t="s">
        <v>38</v>
      </c>
      <c r="G314" s="38">
        <v>45785</v>
      </c>
      <c r="H314" s="64">
        <v>300</v>
      </c>
      <c r="I314" s="63" t="s">
        <v>42</v>
      </c>
      <c r="J314" s="68" t="str" cm="1">
        <f t="array" ref="J314">IFERROR(INDEX('[2]Previsão Envase'!$D$5:$D$4867, MATCH(1,('[2]Previsão Envase'!$F$5:$F$4867=$E314)+('[2]Previsão Envase'!$G$5:$G$4867=$E314)+('[2]Previsão Envase'!$H$5:$H$4867=$E314),0)),"")</f>
        <v/>
      </c>
      <c r="K314" s="68" t="str">
        <f>IF(COUNTIF('[2]Previsão Envase'!$F:$F,E314)&gt;0,"Linha 1",
IF(COUNTIF('[2]Previsão Envase'!$G:$G,E314)&gt;0,"Linha 2",
IF(COUNTIF('[2]Previsão Envase'!$H:$H,E314)&gt;0,"Linha 3","")))</f>
        <v/>
      </c>
      <c r="L314" s="96">
        <f>COUNTIF('[2]Previsão Envase'!$F:$H,E314)-COUNTIF('[2]Previsão Envase'!$F$1:$H$4,E314)</f>
        <v>0</v>
      </c>
      <c r="M314" s="35">
        <f t="shared" si="44"/>
        <v>0</v>
      </c>
      <c r="N314" s="68" t="str">
        <f>IFERROR(MAX(_xlfn.MAXIFS('[2]Controle de Produção'!$C:$C,'[2]Controle de Produção'!$L:$L,$D314,'[2]Controle de Produção'!$P:$P,$C314,'[2]Controle de Produção'!$G:$G,$B314),_xlfn.MAXIFS([3]EXPEDIÇÃO!$N:$N,[3]EXPEDIÇÃO!$E:$E,$D314,[3]EXPEDIÇÃO!$D:$D,$C314,[3]EXPEDIÇÃO!$N:$N,"&gt;="&amp;$G314)),"")</f>
        <v/>
      </c>
      <c r="O314" s="70">
        <f>INDEX([1]Produtos!$E:$E,MATCH($D314,[1]Produtos!$B:$B,0))</f>
        <v>50</v>
      </c>
      <c r="P314" s="70" t="str">
        <f>INDEX([1]Produtos!$F:$F,MATCH($D314,[1]Produtos!$B:$B,0))</f>
        <v>ml</v>
      </c>
      <c r="Q314" s="105">
        <f>INDEX([1]Produtos!$Y:$Y,MATCH($D314,[1]Produtos!$B:$B,0))</f>
        <v>0</v>
      </c>
      <c r="R314" s="35">
        <f t="shared" si="45"/>
        <v>1577.3766463727152</v>
      </c>
      <c r="S314" s="27">
        <f>IFERROR(INDEX([1]Produtos!$L:$L,MATCH(D314,[1]Produtos!$B:$B,0)), "")</f>
        <v>175.26407181919058</v>
      </c>
      <c r="T314" s="28">
        <f t="shared" si="46"/>
        <v>1.8</v>
      </c>
      <c r="U314" s="28" t="str">
        <f t="shared" si="47"/>
        <v>0D e 2h</v>
      </c>
      <c r="V314" s="27">
        <f>IFERROR(SUMIFS('[2]Controle de Produção'!$K:$K,'[2]Controle de Produção'!$L:$L,D314,'[2]Controle de Produção'!$P:$P,C314,'[2]Controle de Produção'!$B:$B,"&gt;=" &amp; G314,'[2]Controle de Produção'!$C:$C,"&lt;=" &amp; N314, '[2]Controle de Produção'!$G:$G,B314), "")</f>
        <v>0</v>
      </c>
      <c r="W314" s="27" t="str">
        <f>IFERROR(SUMIFS([3]EXPEDIÇÃO!$K:$K,[3]EXPEDIÇÃO!$E:$E,D314,[3]EXPEDIÇÃO!$D:$D,C314,[3]EXPEDIÇÃO!$N:$N,"&gt;=" &amp; G314,[3]EXPEDIÇÃO!$N:$N,"&lt;="&amp;N314), "")</f>
        <v/>
      </c>
      <c r="X314" s="27">
        <f>COUNTIFS('[2]Controle de Produção'!$P:$P,C314,'[2]Controle de Produção'!$L:$L,D314,'[2]Controle de Produção'!$B:$B,"&gt;=" &amp; G314)</f>
        <v>1</v>
      </c>
      <c r="Y314" s="27">
        <f t="shared" si="48"/>
        <v>0</v>
      </c>
      <c r="Z314" s="27">
        <f>IFERROR(COUNTIFS('[2]Controle de Produção'!$L:$L,D314,'[2]Controle de Produção'!$P:$P,C314,'[2]Controle de Produção'!$B:$B,"&gt;=" &amp; G314,'[2]Controle de Produção'!$C:$C,"&lt;=" &amp; N314, '[2]Controle de Produção'!$G:$G,B314), "")</f>
        <v>0</v>
      </c>
      <c r="AA314" s="108" t="str">
        <f t="shared" si="50"/>
        <v/>
      </c>
      <c r="AB314" s="41" t="str" cm="1">
        <f t="array" ref="AB314">_xlfn.IFS((H314*0.95)&lt;=V314,"Concluído",AND(V314 =0, J314&lt;&gt;""),"Programado",AND(V314=0,D314=""),"Desenvolv.",V314=0,"Não Iniciado",AND(V314&gt;0,V314&lt;H314,AO314=TRUE),"Em Produção",AND(V314&gt;0,V314&lt;H314,AO314=FALSE),"Produção Parcial")</f>
        <v>Não Iniciado</v>
      </c>
      <c r="AC314" s="42" t="b">
        <v>1</v>
      </c>
      <c r="AD314" s="42" t="b">
        <v>1</v>
      </c>
      <c r="AE314" s="42" t="b">
        <v>0</v>
      </c>
      <c r="AF314" s="42" t="b">
        <v>0</v>
      </c>
      <c r="AG314" s="90" t="b">
        <v>0</v>
      </c>
      <c r="AH314" s="42" t="b">
        <v>0</v>
      </c>
      <c r="AI314" s="42" t="b">
        <v>0</v>
      </c>
      <c r="AJ314" s="42" t="b">
        <v>0</v>
      </c>
      <c r="AK314" s="42" t="s">
        <v>38</v>
      </c>
      <c r="AL314" s="42" t="b">
        <v>0</v>
      </c>
      <c r="AM314" s="42" t="b">
        <v>0</v>
      </c>
      <c r="AN314" s="42" t="b">
        <v>0</v>
      </c>
      <c r="AO314" s="45" t="b" cm="1">
        <f t="array" ref="AO314">AND(COUNTIF(AC314:AN314,FALSE)=0,SUMPRODUCT(ISNUMBER(AC314:AN314)*1)=0)</f>
        <v>0</v>
      </c>
      <c r="AP314" s="59"/>
      <c r="AQ314" s="111">
        <f>IF(AB314="",99999999999,IFERROR(MATCH(AB314,{"Produção Parcial","Em Produção","Programado","Não Iniciado","Desenvolv.","Concluído"},0),7)*100000000+IF(ISNUMBER(J314),J314-46000,9999)*10000+IF(A314="",99,A314)*100+IF(C314="",99,CODE(LEFT(C314,1))))</f>
        <v>500000077</v>
      </c>
      <c r="AR314"/>
      <c r="AS314"/>
    </row>
    <row r="315" spans="1:92" s="36" customFormat="1" ht="25.15" hidden="1" customHeight="1" x14ac:dyDescent="0.25">
      <c r="A315" s="36">
        <v>100</v>
      </c>
      <c r="B315" s="38" t="s">
        <v>301</v>
      </c>
      <c r="C315" s="93" t="str">
        <f>INDEX([1]Produtos!$G:$G,MATCH($D315,[1]Produtos!$B:$B,0))</f>
        <v>MOUTIER</v>
      </c>
      <c r="D315" s="63" t="s">
        <v>114</v>
      </c>
      <c r="E315" s="93" t="str">
        <f>INDEX([1]Produtos!$C:$C,MATCH($D315,[1]Produtos!$B:$B,0))&amp;IF($F315&lt;&gt;"-"," - "&amp;LEFT($F315,1),"")&amp;" &gt; "&amp;$B315</f>
        <v>PERFUME FEMININO 12 LADY MILLION &gt; ON-HOLD</v>
      </c>
      <c r="F315" s="66" t="s">
        <v>38</v>
      </c>
      <c r="G315" s="38">
        <v>45785</v>
      </c>
      <c r="H315" s="64">
        <v>300</v>
      </c>
      <c r="I315" s="63" t="s">
        <v>42</v>
      </c>
      <c r="J315" s="68" t="str" cm="1">
        <f t="array" ref="J315">IFERROR(INDEX('[2]Previsão Envase'!$D$5:$D$4867, MATCH(1,('[2]Previsão Envase'!$F$5:$F$4867=$E315)+('[2]Previsão Envase'!$G$5:$G$4867=$E315)+('[2]Previsão Envase'!$H$5:$H$4867=$E315),0)),"")</f>
        <v/>
      </c>
      <c r="K315" s="68" t="str">
        <f>IF(COUNTIF('[2]Previsão Envase'!$F:$F,E315)&gt;0,"Linha 1",
IF(COUNTIF('[2]Previsão Envase'!$G:$G,E315)&gt;0,"Linha 2",
IF(COUNTIF('[2]Previsão Envase'!$H:$H,E315)&gt;0,"Linha 3","")))</f>
        <v/>
      </c>
      <c r="L315" s="96">
        <f>COUNTIF('[2]Previsão Envase'!$F:$H,E315)-COUNTIF('[2]Previsão Envase'!$F$1:$H$4,E315)</f>
        <v>0</v>
      </c>
      <c r="M315" s="35">
        <f t="shared" si="44"/>
        <v>0</v>
      </c>
      <c r="N315" s="68" t="str">
        <f>IFERROR(MAX(_xlfn.MAXIFS('[2]Controle de Produção'!$C:$C,'[2]Controle de Produção'!$L:$L,$D315,'[2]Controle de Produção'!$P:$P,$C315,'[2]Controle de Produção'!$G:$G,$B315),_xlfn.MAXIFS([3]EXPEDIÇÃO!$N:$N,[3]EXPEDIÇÃO!$E:$E,$D315,[3]EXPEDIÇÃO!$D:$D,$C315,[3]EXPEDIÇÃO!$N:$N,"&gt;="&amp;$G315)),"")</f>
        <v/>
      </c>
      <c r="O315" s="70">
        <f>INDEX([1]Produtos!$E:$E,MATCH($D315,[1]Produtos!$B:$B,0))</f>
        <v>50</v>
      </c>
      <c r="P315" s="70" t="str">
        <f>INDEX([1]Produtos!$F:$F,MATCH($D315,[1]Produtos!$B:$B,0))</f>
        <v>ml</v>
      </c>
      <c r="Q315" s="105">
        <f>INDEX([1]Produtos!$Y:$Y,MATCH($D315,[1]Produtos!$B:$B,0))</f>
        <v>0</v>
      </c>
      <c r="R315" s="35">
        <f t="shared" si="45"/>
        <v>1577.3766463727152</v>
      </c>
      <c r="S315" s="27">
        <f>IFERROR(INDEX([1]Produtos!$L:$L,MATCH(D315,[1]Produtos!$B:$B,0)), "")</f>
        <v>175.26407181919058</v>
      </c>
      <c r="T315" s="28">
        <f t="shared" si="46"/>
        <v>1.8</v>
      </c>
      <c r="U315" s="28" t="str">
        <f t="shared" si="47"/>
        <v>0D e 2h</v>
      </c>
      <c r="V315" s="27">
        <f>IFERROR(SUMIFS('[2]Controle de Produção'!$K:$K,'[2]Controle de Produção'!$L:$L,D315,'[2]Controle de Produção'!$P:$P,C315,'[2]Controle de Produção'!$B:$B,"&gt;=" &amp; G315,'[2]Controle de Produção'!$C:$C,"&lt;=" &amp; N315, '[2]Controle de Produção'!$G:$G,B315), "")</f>
        <v>0</v>
      </c>
      <c r="W315" s="27" t="str">
        <f>IFERROR(SUMIFS([3]EXPEDIÇÃO!$K:$K,[3]EXPEDIÇÃO!$E:$E,D315,[3]EXPEDIÇÃO!$D:$D,C315,[3]EXPEDIÇÃO!$N:$N,"&gt;=" &amp; G315,[3]EXPEDIÇÃO!$N:$N,"&lt;="&amp;N315), "")</f>
        <v/>
      </c>
      <c r="X315" s="27">
        <f>COUNTIFS('[2]Controle de Produção'!$P:$P,C315,'[2]Controle de Produção'!$L:$L,D315,'[2]Controle de Produção'!$B:$B,"&gt;=" &amp; G315)</f>
        <v>2</v>
      </c>
      <c r="Y315" s="27">
        <f t="shared" si="48"/>
        <v>0</v>
      </c>
      <c r="Z315" s="27">
        <f>IFERROR(COUNTIFS('[2]Controle de Produção'!$L:$L,D315,'[2]Controle de Produção'!$P:$P,C315,'[2]Controle de Produção'!$B:$B,"&gt;=" &amp; G315,'[2]Controle de Produção'!$C:$C,"&lt;=" &amp; N315, '[2]Controle de Produção'!$G:$G,B315), "")</f>
        <v>0</v>
      </c>
      <c r="AA315" s="108" t="str">
        <f t="shared" si="50"/>
        <v/>
      </c>
      <c r="AB315" s="41" t="str" cm="1">
        <f t="array" ref="AB315">_xlfn.IFS((H315*0.95)&lt;=V315,"Concluído",AND(V315 =0, J315&lt;&gt;""),"Programado",AND(V315=0,D315=""),"Desenvolv.",V315=0,"Não Iniciado",AND(V315&gt;0,V315&lt;H315,AO315=TRUE),"Em Produção",AND(V315&gt;0,V315&lt;H315,AO315=FALSE),"Produção Parcial")</f>
        <v>Não Iniciado</v>
      </c>
      <c r="AC315" s="42" t="b">
        <v>1</v>
      </c>
      <c r="AD315" s="42" t="b">
        <v>1</v>
      </c>
      <c r="AE315" s="42" t="b">
        <v>0</v>
      </c>
      <c r="AF315" s="42" t="b">
        <v>0</v>
      </c>
      <c r="AG315" s="90" t="b">
        <v>0</v>
      </c>
      <c r="AH315" s="42" t="b">
        <v>0</v>
      </c>
      <c r="AI315" s="42" t="b">
        <v>0</v>
      </c>
      <c r="AJ315" s="42" t="b">
        <v>0</v>
      </c>
      <c r="AK315" s="42" t="s">
        <v>38</v>
      </c>
      <c r="AL315" s="42" t="b">
        <v>0</v>
      </c>
      <c r="AM315" s="42" t="b">
        <v>0</v>
      </c>
      <c r="AN315" s="42" t="b">
        <v>0</v>
      </c>
      <c r="AO315" s="45" t="b" cm="1">
        <f t="array" ref="AO315">AND(COUNTIF(AC315:AN315,FALSE)=0,SUMPRODUCT(ISNUMBER(AC315:AN315)*1)=0)</f>
        <v>0</v>
      </c>
      <c r="AP315" s="59"/>
      <c r="AQ315" s="111">
        <f>IF(AB315="",99999999999,IFERROR(MATCH(AB315,{"Produção Parcial","Em Produção","Programado","Não Iniciado","Desenvolv.","Concluído"},0),7)*100000000+IF(ISNUMBER(J315),J315-46000,9999)*10000+IF(A315="",99,A315)*100+IF(C315="",99,CODE(LEFT(C315,1))))</f>
        <v>500000077</v>
      </c>
    </row>
    <row r="316" spans="1:92" s="36" customFormat="1" ht="25.15" hidden="1" customHeight="1" x14ac:dyDescent="0.25">
      <c r="A316" s="36">
        <v>100</v>
      </c>
      <c r="B316" s="38" t="s">
        <v>301</v>
      </c>
      <c r="C316" s="93" t="str">
        <f>INDEX([1]Produtos!$G:$G,MATCH($D316,[1]Produtos!$B:$B,0))</f>
        <v>MOUTIER</v>
      </c>
      <c r="D316" s="63" t="s">
        <v>112</v>
      </c>
      <c r="E316" s="93" t="str">
        <f>INDEX([1]Produtos!$C:$C,MATCH($D316,[1]Produtos!$B:$B,0))&amp;IF($F316&lt;&gt;"-"," - "&amp;LEFT($F316,1),"")&amp;" &gt; "&amp;$B316</f>
        <v>PERFUME FEMININO 16 COCO MADEMOISELLE &gt; ON-HOLD</v>
      </c>
      <c r="F316" s="66" t="s">
        <v>38</v>
      </c>
      <c r="G316" s="38">
        <v>45785</v>
      </c>
      <c r="H316" s="64">
        <v>300</v>
      </c>
      <c r="I316" s="63" t="s">
        <v>42</v>
      </c>
      <c r="J316" s="68" t="str" cm="1">
        <f t="array" ref="J316">IFERROR(INDEX('[2]Previsão Envase'!$D$5:$D$4867, MATCH(1,('[2]Previsão Envase'!$F$5:$F$4867=$E316)+('[2]Previsão Envase'!$G$5:$G$4867=$E316)+('[2]Previsão Envase'!$H$5:$H$4867=$E316),0)),"")</f>
        <v/>
      </c>
      <c r="K316" s="68" t="str">
        <f>IF(COUNTIF('[2]Previsão Envase'!$F:$F,E316)&gt;0,"Linha 1",
IF(COUNTIF('[2]Previsão Envase'!$G:$G,E316)&gt;0,"Linha 2",
IF(COUNTIF('[2]Previsão Envase'!$H:$H,E316)&gt;0,"Linha 3","")))</f>
        <v/>
      </c>
      <c r="L316" s="96">
        <f>COUNTIF('[2]Previsão Envase'!$F:$H,E316)-COUNTIF('[2]Previsão Envase'!$F$1:$H$4,E316)</f>
        <v>0</v>
      </c>
      <c r="M316" s="35">
        <f t="shared" si="44"/>
        <v>0</v>
      </c>
      <c r="N316" s="68" t="str">
        <f>IFERROR(MAX(_xlfn.MAXIFS('[2]Controle de Produção'!$C:$C,'[2]Controle de Produção'!$L:$L,$D316,'[2]Controle de Produção'!$P:$P,$C316,'[2]Controle de Produção'!$G:$G,$B316),_xlfn.MAXIFS([3]EXPEDIÇÃO!$N:$N,[3]EXPEDIÇÃO!$E:$E,$D316,[3]EXPEDIÇÃO!$D:$D,$C316,[3]EXPEDIÇÃO!$N:$N,"&gt;="&amp;$G316)),"")</f>
        <v/>
      </c>
      <c r="O316" s="70">
        <f>INDEX([1]Produtos!$E:$E,MATCH($D316,[1]Produtos!$B:$B,0))</f>
        <v>50</v>
      </c>
      <c r="P316" s="70" t="str">
        <f>INDEX([1]Produtos!$F:$F,MATCH($D316,[1]Produtos!$B:$B,0))</f>
        <v>ml</v>
      </c>
      <c r="Q316" s="105">
        <f>INDEX([1]Produtos!$Y:$Y,MATCH($D316,[1]Produtos!$B:$B,0))</f>
        <v>0</v>
      </c>
      <c r="R316" s="35">
        <f t="shared" si="45"/>
        <v>1577.3766463727152</v>
      </c>
      <c r="S316" s="27">
        <f>IFERROR(INDEX([1]Produtos!$L:$L,MATCH(D316,[1]Produtos!$B:$B,0)), "")</f>
        <v>175.26407181919058</v>
      </c>
      <c r="T316" s="28">
        <f t="shared" si="46"/>
        <v>1.8</v>
      </c>
      <c r="U316" s="28" t="str">
        <f t="shared" si="47"/>
        <v>0D e 2h</v>
      </c>
      <c r="V316" s="27">
        <f>IFERROR(SUMIFS('[2]Controle de Produção'!$K:$K,'[2]Controle de Produção'!$L:$L,D316,'[2]Controle de Produção'!$P:$P,C316,'[2]Controle de Produção'!$B:$B,"&gt;=" &amp; G316,'[2]Controle de Produção'!$C:$C,"&lt;=" &amp; N316, '[2]Controle de Produção'!$G:$G,B316), "")</f>
        <v>0</v>
      </c>
      <c r="W316" s="27" t="str">
        <f>IFERROR(SUMIFS([3]EXPEDIÇÃO!$K:$K,[3]EXPEDIÇÃO!$E:$E,D316,[3]EXPEDIÇÃO!$D:$D,C316,[3]EXPEDIÇÃO!$N:$N,"&gt;=" &amp; G316,[3]EXPEDIÇÃO!$N:$N,"&lt;="&amp;N316), "")</f>
        <v/>
      </c>
      <c r="X316" s="27">
        <f>COUNTIFS('[2]Controle de Produção'!$P:$P,C316,'[2]Controle de Produção'!$L:$L,D316,'[2]Controle de Produção'!$B:$B,"&gt;=" &amp; G316)</f>
        <v>2</v>
      </c>
      <c r="Y316" s="27">
        <f t="shared" si="48"/>
        <v>0</v>
      </c>
      <c r="Z316" s="27">
        <f>IFERROR(COUNTIFS('[2]Controle de Produção'!$L:$L,D316,'[2]Controle de Produção'!$P:$P,C316,'[2]Controle de Produção'!$B:$B,"&gt;=" &amp; G316,'[2]Controle de Produção'!$C:$C,"&lt;=" &amp; N316, '[2]Controle de Produção'!$G:$G,B316), "")</f>
        <v>0</v>
      </c>
      <c r="AA316" s="108" t="str">
        <f t="shared" si="50"/>
        <v/>
      </c>
      <c r="AB316" s="41" t="str" cm="1">
        <f t="array" ref="AB316">_xlfn.IFS((H316*0.95)&lt;=V316,"Concluído",AND(V316 =0, J316&lt;&gt;""),"Programado",AND(V316=0,D316=""),"Desenvolv.",V316=0,"Não Iniciado",AND(V316&gt;0,V316&lt;H316,AO316=TRUE),"Em Produção",AND(V316&gt;0,V316&lt;H316,AO316=FALSE),"Produção Parcial")</f>
        <v>Não Iniciado</v>
      </c>
      <c r="AC316" s="42" t="b">
        <v>1</v>
      </c>
      <c r="AD316" s="42" t="b">
        <v>1</v>
      </c>
      <c r="AE316" s="42" t="b">
        <v>0</v>
      </c>
      <c r="AF316" s="42" t="b">
        <v>0</v>
      </c>
      <c r="AG316" s="90" t="b">
        <v>0</v>
      </c>
      <c r="AH316" s="42" t="b">
        <v>0</v>
      </c>
      <c r="AI316" s="42" t="b">
        <v>0</v>
      </c>
      <c r="AJ316" s="42" t="b">
        <v>0</v>
      </c>
      <c r="AK316" s="42" t="s">
        <v>38</v>
      </c>
      <c r="AL316" s="42" t="b">
        <v>0</v>
      </c>
      <c r="AM316" s="42" t="b">
        <v>0</v>
      </c>
      <c r="AN316" s="42" t="b">
        <v>0</v>
      </c>
      <c r="AO316" s="45" t="b" cm="1">
        <f t="array" ref="AO316">AND(COUNTIF(AC316:AN316,FALSE)=0,SUMPRODUCT(ISNUMBER(AC316:AN316)*1)=0)</f>
        <v>0</v>
      </c>
      <c r="AP316" s="59"/>
      <c r="AQ316" s="111">
        <f>IF(AB316="",99999999999,IFERROR(MATCH(AB316,{"Produção Parcial","Em Produção","Programado","Não Iniciado","Desenvolv.","Concluído"},0),7)*100000000+IF(ISNUMBER(J316),J316-46000,9999)*10000+IF(A316="",99,A316)*100+IF(C316="",99,CODE(LEFT(C316,1))))</f>
        <v>500000077</v>
      </c>
    </row>
    <row r="317" spans="1:92" s="36" customFormat="1" ht="25.15" hidden="1" customHeight="1" x14ac:dyDescent="0.25">
      <c r="A317" s="36">
        <v>100</v>
      </c>
      <c r="B317" s="38" t="s">
        <v>301</v>
      </c>
      <c r="C317" s="93" t="str">
        <f>INDEX([1]Produtos!$G:$G,MATCH($D317,[1]Produtos!$B:$B,0))</f>
        <v>MOUTIER</v>
      </c>
      <c r="D317" s="63" t="s">
        <v>142</v>
      </c>
      <c r="E317" s="93" t="str">
        <f>INDEX([1]Produtos!$C:$C,MATCH($D317,[1]Produtos!$B:$B,0))&amp;IF($F317&lt;&gt;"-"," - "&amp;LEFT($F317,1),"")&amp;" &gt; "&amp;$B317</f>
        <v>PERFUME MASCULINO 105 SAUVAGE &gt; ON-HOLD</v>
      </c>
      <c r="F317" s="66" t="s">
        <v>38</v>
      </c>
      <c r="G317" s="38">
        <v>45785</v>
      </c>
      <c r="H317" s="64">
        <v>300</v>
      </c>
      <c r="I317" s="63" t="s">
        <v>42</v>
      </c>
      <c r="J317" s="68" t="str" cm="1">
        <f t="array" ref="J317">IFERROR(INDEX('[2]Previsão Envase'!$D$5:$D$4867, MATCH(1,('[2]Previsão Envase'!$F$5:$F$4867=$E317)+('[2]Previsão Envase'!$G$5:$G$4867=$E317)+('[2]Previsão Envase'!$H$5:$H$4867=$E317),0)),"")</f>
        <v/>
      </c>
      <c r="K317" s="68" t="str">
        <f>IF(COUNTIF('[2]Previsão Envase'!$F:$F,E317)&gt;0,"Linha 1",
IF(COUNTIF('[2]Previsão Envase'!$G:$G,E317)&gt;0,"Linha 2",
IF(COUNTIF('[2]Previsão Envase'!$H:$H,E317)&gt;0,"Linha 3","")))</f>
        <v/>
      </c>
      <c r="L317" s="96">
        <f>COUNTIF('[2]Previsão Envase'!$F:$H,E317)-COUNTIF('[2]Previsão Envase'!$F$1:$H$4,E317)</f>
        <v>0</v>
      </c>
      <c r="M317" s="35">
        <f t="shared" si="44"/>
        <v>0</v>
      </c>
      <c r="N317" s="68" t="str">
        <f>IFERROR(MAX(_xlfn.MAXIFS('[2]Controle de Produção'!$C:$C,'[2]Controle de Produção'!$L:$L,$D317,'[2]Controle de Produção'!$P:$P,$C317,'[2]Controle de Produção'!$G:$G,$B317),_xlfn.MAXIFS([3]EXPEDIÇÃO!$N:$N,[3]EXPEDIÇÃO!$E:$E,$D317,[3]EXPEDIÇÃO!$D:$D,$C317,[3]EXPEDIÇÃO!$N:$N,"&gt;="&amp;$G317)),"")</f>
        <v/>
      </c>
      <c r="O317" s="70">
        <f>INDEX([1]Produtos!$E:$E,MATCH($D317,[1]Produtos!$B:$B,0))</f>
        <v>50</v>
      </c>
      <c r="P317" s="70" t="str">
        <f>INDEX([1]Produtos!$F:$F,MATCH($D317,[1]Produtos!$B:$B,0))</f>
        <v>ml</v>
      </c>
      <c r="Q317" s="105">
        <f>INDEX([1]Produtos!$Y:$Y,MATCH($D317,[1]Produtos!$B:$B,0))</f>
        <v>0</v>
      </c>
      <c r="R317" s="35">
        <f t="shared" si="45"/>
        <v>1577.3766463727152</v>
      </c>
      <c r="S317" s="27">
        <f>IFERROR(INDEX([1]Produtos!$L:$L,MATCH(D317,[1]Produtos!$B:$B,0)), "")</f>
        <v>175.26407181919058</v>
      </c>
      <c r="T317" s="28">
        <f t="shared" si="46"/>
        <v>1.8</v>
      </c>
      <c r="U317" s="28" t="str">
        <f t="shared" si="47"/>
        <v>0D e 2h</v>
      </c>
      <c r="V317" s="27">
        <f>IFERROR(SUMIFS('[2]Controle de Produção'!$K:$K,'[2]Controle de Produção'!$L:$L,D317,'[2]Controle de Produção'!$P:$P,C317,'[2]Controle de Produção'!$B:$B,"&gt;=" &amp; G317,'[2]Controle de Produção'!$C:$C,"&lt;=" &amp; N317, '[2]Controle de Produção'!$G:$G,B317), "")</f>
        <v>0</v>
      </c>
      <c r="W317" s="27" t="str">
        <f>IFERROR(SUMIFS([3]EXPEDIÇÃO!$K:$K,[3]EXPEDIÇÃO!$E:$E,D317,[3]EXPEDIÇÃO!$D:$D,C317,[3]EXPEDIÇÃO!$N:$N,"&gt;=" &amp; G317,[3]EXPEDIÇÃO!$N:$N,"&lt;="&amp;N317), "")</f>
        <v/>
      </c>
      <c r="X317" s="27">
        <f>COUNTIFS('[2]Controle de Produção'!$P:$P,C317,'[2]Controle de Produção'!$L:$L,D317,'[2]Controle de Produção'!$B:$B,"&gt;=" &amp; G317)</f>
        <v>2</v>
      </c>
      <c r="Y317" s="27">
        <f t="shared" si="48"/>
        <v>0</v>
      </c>
      <c r="Z317" s="27">
        <f>IFERROR(COUNTIFS('[2]Controle de Produção'!$L:$L,D317,'[2]Controle de Produção'!$P:$P,C317,'[2]Controle de Produção'!$B:$B,"&gt;=" &amp; G317,'[2]Controle de Produção'!$C:$C,"&lt;=" &amp; N317, '[2]Controle de Produção'!$G:$G,B317), "")</f>
        <v>0</v>
      </c>
      <c r="AA317" s="108" t="str">
        <f t="shared" si="50"/>
        <v/>
      </c>
      <c r="AB317" s="41" t="str" cm="1">
        <f t="array" ref="AB317">_xlfn.IFS((H317*0.95)&lt;=V317,"Concluído",AND(V317 =0, J317&lt;&gt;""),"Programado",AND(V317=0,D317=""),"Desenvolv.",V317=0,"Não Iniciado",AND(V317&gt;0,V317&lt;H317,AO317=TRUE),"Em Produção",AND(V317&gt;0,V317&lt;H317,AO317=FALSE),"Produção Parcial")</f>
        <v>Não Iniciado</v>
      </c>
      <c r="AC317" s="42" t="b">
        <v>1</v>
      </c>
      <c r="AD317" s="42" t="b">
        <v>1</v>
      </c>
      <c r="AE317" s="42" t="b">
        <v>0</v>
      </c>
      <c r="AF317" s="42" t="b">
        <v>0</v>
      </c>
      <c r="AG317" s="90" t="b">
        <v>0</v>
      </c>
      <c r="AH317" s="42" t="b">
        <v>0</v>
      </c>
      <c r="AI317" s="42" t="b">
        <v>0</v>
      </c>
      <c r="AJ317" s="42" t="b">
        <v>0</v>
      </c>
      <c r="AK317" s="42" t="s">
        <v>38</v>
      </c>
      <c r="AL317" s="42" t="b">
        <v>0</v>
      </c>
      <c r="AM317" s="42" t="b">
        <v>0</v>
      </c>
      <c r="AN317" s="42" t="b">
        <v>0</v>
      </c>
      <c r="AO317" s="45" t="b" cm="1">
        <f t="array" ref="AO317">AND(COUNTIF(AC317:AN317,FALSE)=0,SUMPRODUCT(ISNUMBER(AC317:AN317)*1)=0)</f>
        <v>0</v>
      </c>
      <c r="AP317" s="59"/>
      <c r="AQ317" s="111">
        <f>IF(AB317="",99999999999,IFERROR(MATCH(AB317,{"Produção Parcial","Em Produção","Programado","Não Iniciado","Desenvolv.","Concluído"},0),7)*100000000+IF(ISNUMBER(J317),J317-46000,9999)*10000+IF(A317="",99,A317)*100+IF(C317="",99,CODE(LEFT(C317,1))))</f>
        <v>500000077</v>
      </c>
    </row>
    <row r="318" spans="1:92" s="36" customFormat="1" ht="25.15" hidden="1" customHeight="1" x14ac:dyDescent="0.25">
      <c r="A318" s="36">
        <v>100</v>
      </c>
      <c r="B318" s="38" t="s">
        <v>301</v>
      </c>
      <c r="C318" s="93" t="str">
        <f>INDEX([1]Produtos!$G:$G,MATCH($D318,[1]Produtos!$B:$B,0))</f>
        <v>MOUTIER</v>
      </c>
      <c r="D318" s="63" t="s">
        <v>140</v>
      </c>
      <c r="E318" s="93" t="str">
        <f>INDEX([1]Produtos!$C:$C,MATCH($D318,[1]Produtos!$B:$B,0))&amp;IF($F318&lt;&gt;"-"," - "&amp;LEFT($F318,1),"")&amp;" &gt; "&amp;$B318</f>
        <v>PERFUME MASCULINO 110 ONE MILLION &gt; ON-HOLD</v>
      </c>
      <c r="F318" s="66" t="s">
        <v>38</v>
      </c>
      <c r="G318" s="38">
        <v>45785</v>
      </c>
      <c r="H318" s="64">
        <v>300</v>
      </c>
      <c r="I318" s="63" t="s">
        <v>42</v>
      </c>
      <c r="J318" s="68" t="str" cm="1">
        <f t="array" ref="J318">IFERROR(INDEX('[2]Previsão Envase'!$D$5:$D$4867, MATCH(1,('[2]Previsão Envase'!$F$5:$F$4867=$E318)+('[2]Previsão Envase'!$G$5:$G$4867=$E318)+('[2]Previsão Envase'!$H$5:$H$4867=$E318),0)),"")</f>
        <v/>
      </c>
      <c r="K318" s="68" t="str">
        <f>IF(COUNTIF('[2]Previsão Envase'!$F:$F,E318)&gt;0,"Linha 1",
IF(COUNTIF('[2]Previsão Envase'!$G:$G,E318)&gt;0,"Linha 2",
IF(COUNTIF('[2]Previsão Envase'!$H:$H,E318)&gt;0,"Linha 3","")))</f>
        <v/>
      </c>
      <c r="L318" s="96">
        <f>COUNTIF('[2]Previsão Envase'!$F:$H,E318)-COUNTIF('[2]Previsão Envase'!$F$1:$H$4,E318)</f>
        <v>0</v>
      </c>
      <c r="M318" s="35">
        <f t="shared" si="44"/>
        <v>0</v>
      </c>
      <c r="N318" s="68" t="str">
        <f>IFERROR(MAX(_xlfn.MAXIFS('[2]Controle de Produção'!$C:$C,'[2]Controle de Produção'!$L:$L,$D318,'[2]Controle de Produção'!$P:$P,$C318,'[2]Controle de Produção'!$G:$G,$B318),_xlfn.MAXIFS([3]EXPEDIÇÃO!$N:$N,[3]EXPEDIÇÃO!$E:$E,$D318,[3]EXPEDIÇÃO!$D:$D,$C318,[3]EXPEDIÇÃO!$N:$N,"&gt;="&amp;$G318)),"")</f>
        <v/>
      </c>
      <c r="O318" s="70">
        <f>INDEX([1]Produtos!$E:$E,MATCH($D318,[1]Produtos!$B:$B,0))</f>
        <v>50</v>
      </c>
      <c r="P318" s="70" t="str">
        <f>INDEX([1]Produtos!$F:$F,MATCH($D318,[1]Produtos!$B:$B,0))</f>
        <v>ml</v>
      </c>
      <c r="Q318" s="105">
        <f>INDEX([1]Produtos!$Y:$Y,MATCH($D318,[1]Produtos!$B:$B,0))</f>
        <v>0</v>
      </c>
      <c r="R318" s="35">
        <f t="shared" si="45"/>
        <v>1577.3766463727152</v>
      </c>
      <c r="S318" s="27">
        <f>IFERROR(INDEX([1]Produtos!$L:$L,MATCH(D318,[1]Produtos!$B:$B,0)), "")</f>
        <v>175.26407181919058</v>
      </c>
      <c r="T318" s="28">
        <f t="shared" si="46"/>
        <v>1.8</v>
      </c>
      <c r="U318" s="28" t="str">
        <f t="shared" si="47"/>
        <v>0D e 2h</v>
      </c>
      <c r="V318" s="27">
        <f>IFERROR(SUMIFS('[2]Controle de Produção'!$K:$K,'[2]Controle de Produção'!$L:$L,D318,'[2]Controle de Produção'!$P:$P,C318,'[2]Controle de Produção'!$B:$B,"&gt;=" &amp; G318,'[2]Controle de Produção'!$C:$C,"&lt;=" &amp; N318, '[2]Controle de Produção'!$G:$G,B318), "")</f>
        <v>0</v>
      </c>
      <c r="W318" s="27" t="str">
        <f>IFERROR(SUMIFS([3]EXPEDIÇÃO!$K:$K,[3]EXPEDIÇÃO!$E:$E,D318,[3]EXPEDIÇÃO!$D:$D,C318,[3]EXPEDIÇÃO!$N:$N,"&gt;=" &amp; G318,[3]EXPEDIÇÃO!$N:$N,"&lt;="&amp;N318), "")</f>
        <v/>
      </c>
      <c r="X318" s="27">
        <f>COUNTIFS('[2]Controle de Produção'!$P:$P,C318,'[2]Controle de Produção'!$L:$L,D318,'[2]Controle de Produção'!$B:$B,"&gt;=" &amp; G318)</f>
        <v>1</v>
      </c>
      <c r="Y318" s="27">
        <f t="shared" si="48"/>
        <v>0</v>
      </c>
      <c r="Z318" s="27">
        <f>IFERROR(COUNTIFS('[2]Controle de Produção'!$L:$L,D318,'[2]Controle de Produção'!$P:$P,C318,'[2]Controle de Produção'!$B:$B,"&gt;=" &amp; G318,'[2]Controle de Produção'!$C:$C,"&lt;=" &amp; N318, '[2]Controle de Produção'!$G:$G,B318), "")</f>
        <v>0</v>
      </c>
      <c r="AA318" s="108" t="str">
        <f t="shared" si="50"/>
        <v/>
      </c>
      <c r="AB318" s="41" t="str" cm="1">
        <f t="array" ref="AB318">_xlfn.IFS((H318*0.95)&lt;=V318,"Concluído",AND(V318 =0, J318&lt;&gt;""),"Programado",AND(V318=0,D318=""),"Desenvolv.",V318=0,"Não Iniciado",AND(V318&gt;0,V318&lt;H318,AO318=TRUE),"Em Produção",AND(V318&gt;0,V318&lt;H318,AO318=FALSE),"Produção Parcial")</f>
        <v>Não Iniciado</v>
      </c>
      <c r="AC318" s="42" t="b">
        <v>1</v>
      </c>
      <c r="AD318" s="42" t="b">
        <v>1</v>
      </c>
      <c r="AE318" s="42" t="b">
        <v>0</v>
      </c>
      <c r="AF318" s="42" t="b">
        <v>0</v>
      </c>
      <c r="AG318" s="90" t="b">
        <v>0</v>
      </c>
      <c r="AH318" s="42" t="b">
        <v>0</v>
      </c>
      <c r="AI318" s="42" t="b">
        <v>0</v>
      </c>
      <c r="AJ318" s="42" t="b">
        <v>0</v>
      </c>
      <c r="AK318" s="42" t="s">
        <v>38</v>
      </c>
      <c r="AL318" s="42" t="b">
        <v>0</v>
      </c>
      <c r="AM318" s="42" t="b">
        <v>0</v>
      </c>
      <c r="AN318" s="42" t="b">
        <v>0</v>
      </c>
      <c r="AO318" s="45" t="b" cm="1">
        <f t="array" ref="AO318">AND(COUNTIF(AC318:AN318,FALSE)=0,SUMPRODUCT(ISNUMBER(AC318:AN318)*1)=0)</f>
        <v>0</v>
      </c>
      <c r="AP318" s="59"/>
      <c r="AQ318" s="111">
        <f>IF(AB318="",99999999999,IFERROR(MATCH(AB318,{"Produção Parcial","Em Produção","Programado","Não Iniciado","Desenvolv.","Concluído"},0),7)*100000000+IF(ISNUMBER(J318),J318-46000,9999)*10000+IF(A318="",99,A318)*100+IF(C318="",99,CODE(LEFT(C318,1))))</f>
        <v>500000077</v>
      </c>
    </row>
    <row r="319" spans="1:92" s="36" customFormat="1" ht="25.15" hidden="1" customHeight="1" x14ac:dyDescent="0.25">
      <c r="A319" s="36">
        <v>100</v>
      </c>
      <c r="B319" s="38" t="s">
        <v>301</v>
      </c>
      <c r="C319" s="93" t="str">
        <f>INDEX([1]Produtos!$G:$G,MATCH($D319,[1]Produtos!$B:$B,0))</f>
        <v>MOUTIER</v>
      </c>
      <c r="D319" s="63" t="s">
        <v>136</v>
      </c>
      <c r="E319" s="93" t="str">
        <f>INDEX([1]Produtos!$C:$C,MATCH($D319,[1]Produtos!$B:$B,0))&amp;IF($F319&lt;&gt;"-"," - "&amp;LEFT($F319,1),"")&amp;" &gt; "&amp;$B319</f>
        <v>PERFUME MASCULINO 115 BLEU DE CHANEL &gt; ON-HOLD</v>
      </c>
      <c r="F319" s="66" t="s">
        <v>38</v>
      </c>
      <c r="G319" s="38">
        <v>45785</v>
      </c>
      <c r="H319" s="64">
        <v>300</v>
      </c>
      <c r="I319" s="63" t="s">
        <v>42</v>
      </c>
      <c r="J319" s="68" t="str" cm="1">
        <f t="array" ref="J319">IFERROR(INDEX('[2]Previsão Envase'!$D$5:$D$4867, MATCH(1,('[2]Previsão Envase'!$F$5:$F$4867=$E319)+('[2]Previsão Envase'!$G$5:$G$4867=$E319)+('[2]Previsão Envase'!$H$5:$H$4867=$E319),0)),"")</f>
        <v/>
      </c>
      <c r="K319" s="68" t="str">
        <f>IF(COUNTIF('[2]Previsão Envase'!$F:$F,E319)&gt;0,"Linha 1",
IF(COUNTIF('[2]Previsão Envase'!$G:$G,E319)&gt;0,"Linha 2",
IF(COUNTIF('[2]Previsão Envase'!$H:$H,E319)&gt;0,"Linha 3","")))</f>
        <v/>
      </c>
      <c r="L319" s="96">
        <f>COUNTIF('[2]Previsão Envase'!$F:$H,E319)-COUNTIF('[2]Previsão Envase'!$F$1:$H$4,E319)</f>
        <v>0</v>
      </c>
      <c r="M319" s="35">
        <f t="shared" si="44"/>
        <v>0</v>
      </c>
      <c r="N319" s="68" t="str">
        <f>IFERROR(MAX(_xlfn.MAXIFS('[2]Controle de Produção'!$C:$C,'[2]Controle de Produção'!$L:$L,$D319,'[2]Controle de Produção'!$P:$P,$C319,'[2]Controle de Produção'!$G:$G,$B319),_xlfn.MAXIFS([3]EXPEDIÇÃO!$N:$N,[3]EXPEDIÇÃO!$E:$E,$D319,[3]EXPEDIÇÃO!$D:$D,$C319,[3]EXPEDIÇÃO!$N:$N,"&gt;="&amp;$G319)),"")</f>
        <v/>
      </c>
      <c r="O319" s="70">
        <f>INDEX([1]Produtos!$E:$E,MATCH($D319,[1]Produtos!$B:$B,0))</f>
        <v>50</v>
      </c>
      <c r="P319" s="70" t="str">
        <f>INDEX([1]Produtos!$F:$F,MATCH($D319,[1]Produtos!$B:$B,0))</f>
        <v>ml</v>
      </c>
      <c r="Q319" s="105">
        <f>INDEX([1]Produtos!$Y:$Y,MATCH($D319,[1]Produtos!$B:$B,0))</f>
        <v>0</v>
      </c>
      <c r="R319" s="35">
        <f t="shared" si="45"/>
        <v>1577.3766463727152</v>
      </c>
      <c r="S319" s="27">
        <f>IFERROR(INDEX([1]Produtos!$L:$L,MATCH(D319,[1]Produtos!$B:$B,0)), "")</f>
        <v>175.26407181919058</v>
      </c>
      <c r="T319" s="28">
        <f t="shared" si="46"/>
        <v>1.8</v>
      </c>
      <c r="U319" s="28" t="str">
        <f t="shared" si="47"/>
        <v>0D e 2h</v>
      </c>
      <c r="V319" s="27">
        <f>IFERROR(SUMIFS('[2]Controle de Produção'!$K:$K,'[2]Controle de Produção'!$L:$L,D319,'[2]Controle de Produção'!$P:$P,C319,'[2]Controle de Produção'!$B:$B,"&gt;=" &amp; G319,'[2]Controle de Produção'!$C:$C,"&lt;=" &amp; N319, '[2]Controle de Produção'!$G:$G,B319), "")</f>
        <v>0</v>
      </c>
      <c r="W319" s="27" t="str">
        <f>IFERROR(SUMIFS([3]EXPEDIÇÃO!$K:$K,[3]EXPEDIÇÃO!$E:$E,D319,[3]EXPEDIÇÃO!$D:$D,C319,[3]EXPEDIÇÃO!$N:$N,"&gt;=" &amp; G319,[3]EXPEDIÇÃO!$N:$N,"&lt;="&amp;N319), "")</f>
        <v/>
      </c>
      <c r="X319" s="27">
        <f>COUNTIFS('[2]Controle de Produção'!$P:$P,C319,'[2]Controle de Produção'!$L:$L,D319,'[2]Controle de Produção'!$B:$B,"&gt;=" &amp; G319)</f>
        <v>1</v>
      </c>
      <c r="Y319" s="27">
        <f t="shared" si="48"/>
        <v>0</v>
      </c>
      <c r="Z319" s="27">
        <f>IFERROR(COUNTIFS('[2]Controle de Produção'!$L:$L,D319,'[2]Controle de Produção'!$P:$P,C319,'[2]Controle de Produção'!$B:$B,"&gt;=" &amp; G319,'[2]Controle de Produção'!$C:$C,"&lt;=" &amp; N319, '[2]Controle de Produção'!$G:$G,B319), "")</f>
        <v>0</v>
      </c>
      <c r="AA319" s="108" t="str">
        <f t="shared" si="50"/>
        <v/>
      </c>
      <c r="AB319" s="41" t="str" cm="1">
        <f t="array" ref="AB319">_xlfn.IFS((H319*0.95)&lt;=V319,"Concluído",AND(V319 =0, J319&lt;&gt;""),"Programado",AND(V319=0,D319=""),"Desenvolv.",V319=0,"Não Iniciado",AND(V319&gt;0,V319&lt;H319,AO319=TRUE),"Em Produção",AND(V319&gt;0,V319&lt;H319,AO319=FALSE),"Produção Parcial")</f>
        <v>Não Iniciado</v>
      </c>
      <c r="AC319" s="42" t="b">
        <v>1</v>
      </c>
      <c r="AD319" s="42" t="b">
        <v>1</v>
      </c>
      <c r="AE319" s="42" t="b">
        <v>0</v>
      </c>
      <c r="AF319" s="42" t="b">
        <v>0</v>
      </c>
      <c r="AG319" s="90" t="b">
        <v>0</v>
      </c>
      <c r="AH319" s="42" t="b">
        <v>0</v>
      </c>
      <c r="AI319" s="42" t="b">
        <v>0</v>
      </c>
      <c r="AJ319" s="42" t="b">
        <v>0</v>
      </c>
      <c r="AK319" s="42" t="s">
        <v>38</v>
      </c>
      <c r="AL319" s="42" t="b">
        <v>0</v>
      </c>
      <c r="AM319" s="42" t="b">
        <v>0</v>
      </c>
      <c r="AN319" s="42" t="b">
        <v>0</v>
      </c>
      <c r="AO319" s="45" t="b" cm="1">
        <f t="array" ref="AO319">AND(COUNTIF(AC319:AN319,FALSE)=0,SUMPRODUCT(ISNUMBER(AC319:AN319)*1)=0)</f>
        <v>0</v>
      </c>
      <c r="AP319" s="59"/>
      <c r="AQ319" s="111">
        <f>IF(AB319="",99999999999,IFERROR(MATCH(AB319,{"Produção Parcial","Em Produção","Programado","Não Iniciado","Desenvolv.","Concluído"},0),7)*100000000+IF(ISNUMBER(J319),J319-46000,9999)*10000+IF(A319="",99,A319)*100+IF(C319="",99,CODE(LEFT(C319,1))))</f>
        <v>500000077</v>
      </c>
    </row>
    <row r="320" spans="1:92" s="36" customFormat="1" ht="25.15" hidden="1" customHeight="1" x14ac:dyDescent="0.25">
      <c r="A320" s="36">
        <v>100</v>
      </c>
      <c r="B320" s="38" t="s">
        <v>301</v>
      </c>
      <c r="C320" s="93" t="str">
        <f>INDEX([1]Produtos!$G:$G,MATCH($D320,[1]Produtos!$B:$B,0))</f>
        <v>MOUTIER</v>
      </c>
      <c r="D320" s="63" t="s">
        <v>310</v>
      </c>
      <c r="E320" s="93" t="str">
        <f>INDEX([1]Produtos!$C:$C,MATCH($D320,[1]Produtos!$B:$B,0))&amp;IF($F320&lt;&gt;"-"," - "&amp;LEFT($F320,1),"")&amp;" &gt; "&amp;$B320</f>
        <v>PERFUME FEMININO 27 MY WAY &gt; ON-HOLD</v>
      </c>
      <c r="F320" s="66" t="s">
        <v>38</v>
      </c>
      <c r="G320" s="38">
        <v>45785</v>
      </c>
      <c r="H320" s="64">
        <v>300</v>
      </c>
      <c r="I320" s="63" t="s">
        <v>42</v>
      </c>
      <c r="J320" s="68" t="str" cm="1">
        <f t="array" ref="J320">IFERROR(INDEX('[2]Previsão Envase'!$D$5:$D$4867, MATCH(1,('[2]Previsão Envase'!$F$5:$F$4867=$E320)+('[2]Previsão Envase'!$G$5:$G$4867=$E320)+('[2]Previsão Envase'!$H$5:$H$4867=$E320),0)),"")</f>
        <v/>
      </c>
      <c r="K320" s="68" t="str">
        <f>IF(COUNTIF('[2]Previsão Envase'!$F:$F,E320)&gt;0,"Linha 1",
IF(COUNTIF('[2]Previsão Envase'!$G:$G,E320)&gt;0,"Linha 2",
IF(COUNTIF('[2]Previsão Envase'!$H:$H,E320)&gt;0,"Linha 3","")))</f>
        <v/>
      </c>
      <c r="L320" s="96">
        <f>COUNTIF('[2]Previsão Envase'!$F:$H,E320)-COUNTIF('[2]Previsão Envase'!$F$1:$H$4,E320)</f>
        <v>0</v>
      </c>
      <c r="M320" s="35">
        <f t="shared" si="44"/>
        <v>0</v>
      </c>
      <c r="N320" s="68" t="str">
        <f>IFERROR(MAX(_xlfn.MAXIFS('[2]Controle de Produção'!$C:$C,'[2]Controle de Produção'!$L:$L,$D320,'[2]Controle de Produção'!$P:$P,$C320,'[2]Controle de Produção'!$G:$G,$B320),_xlfn.MAXIFS([3]EXPEDIÇÃO!$N:$N,[3]EXPEDIÇÃO!$E:$E,$D320,[3]EXPEDIÇÃO!$D:$D,$C320,[3]EXPEDIÇÃO!$N:$N,"&gt;="&amp;$G320)),"")</f>
        <v/>
      </c>
      <c r="O320" s="70">
        <f>INDEX([1]Produtos!$E:$E,MATCH($D320,[1]Produtos!$B:$B,0))</f>
        <v>50</v>
      </c>
      <c r="P320" s="70" t="str">
        <f>INDEX([1]Produtos!$F:$F,MATCH($D320,[1]Produtos!$B:$B,0))</f>
        <v>ml</v>
      </c>
      <c r="Q320" s="105">
        <f>INDEX([1]Produtos!$Y:$Y,MATCH($D320,[1]Produtos!$B:$B,0))</f>
        <v>0</v>
      </c>
      <c r="R320" s="35">
        <f t="shared" si="45"/>
        <v>1577.3766463727152</v>
      </c>
      <c r="S320" s="27">
        <f>IFERROR(INDEX([1]Produtos!$L:$L,MATCH(D320,[1]Produtos!$B:$B,0)), "")</f>
        <v>175.26407181919058</v>
      </c>
      <c r="T320" s="28">
        <f t="shared" si="46"/>
        <v>1.8</v>
      </c>
      <c r="U320" s="28" t="str">
        <f t="shared" si="47"/>
        <v>0D e 2h</v>
      </c>
      <c r="V320" s="27">
        <f>IFERROR(SUMIFS('[2]Controle de Produção'!$K:$K,'[2]Controle de Produção'!$L:$L,D320,'[2]Controle de Produção'!$P:$P,C320,'[2]Controle de Produção'!$B:$B,"&gt;=" &amp; G320,'[2]Controle de Produção'!$C:$C,"&lt;=" &amp; N320, '[2]Controle de Produção'!$G:$G,B320), "")</f>
        <v>0</v>
      </c>
      <c r="W320" s="27" t="str">
        <f>IFERROR(SUMIFS([3]EXPEDIÇÃO!$K:$K,[3]EXPEDIÇÃO!$E:$E,D320,[3]EXPEDIÇÃO!$D:$D,C320,[3]EXPEDIÇÃO!$N:$N,"&gt;=" &amp; G320,[3]EXPEDIÇÃO!$N:$N,"&lt;="&amp;N320), "")</f>
        <v/>
      </c>
      <c r="X320" s="27">
        <f>COUNTIFS('[2]Controle de Produção'!$P:$P,C320,'[2]Controle de Produção'!$L:$L,D320,'[2]Controle de Produção'!$B:$B,"&gt;=" &amp; G320)</f>
        <v>0</v>
      </c>
      <c r="Y320" s="27" t="str">
        <f t="shared" si="48"/>
        <v>-</v>
      </c>
      <c r="Z320" s="27">
        <f>IFERROR(COUNTIFS('[2]Controle de Produção'!$L:$L,D320,'[2]Controle de Produção'!$P:$P,C320,'[2]Controle de Produção'!$B:$B,"&gt;=" &amp; G320,'[2]Controle de Produção'!$C:$C,"&lt;=" &amp; N320, '[2]Controle de Produção'!$G:$G,B320), "")</f>
        <v>0</v>
      </c>
      <c r="AA320" s="108" t="str">
        <f t="shared" si="50"/>
        <v/>
      </c>
      <c r="AB320" s="41" t="str" cm="1">
        <f t="array" ref="AB320">_xlfn.IFS((H320*0.95)&lt;=V320,"Concluído",AND(V320 =0, J320&lt;&gt;""),"Programado",AND(V320=0,D320=""),"Desenvolv.",V320=0,"Não Iniciado",AND(V320&gt;0,V320&lt;H320,AO320=TRUE),"Em Produção",AND(V320&gt;0,V320&lt;H320,AO320=FALSE),"Produção Parcial")</f>
        <v>Não Iniciado</v>
      </c>
      <c r="AC320" s="42" t="b">
        <v>1</v>
      </c>
      <c r="AD320" s="42" t="b">
        <v>1</v>
      </c>
      <c r="AE320" s="42" t="b">
        <v>0</v>
      </c>
      <c r="AF320" s="42" t="b">
        <v>0</v>
      </c>
      <c r="AG320" s="90" t="b">
        <v>0</v>
      </c>
      <c r="AH320" s="42" t="b">
        <v>0</v>
      </c>
      <c r="AI320" s="42" t="b">
        <v>0</v>
      </c>
      <c r="AJ320" s="42" t="b">
        <v>0</v>
      </c>
      <c r="AK320" s="42" t="s">
        <v>38</v>
      </c>
      <c r="AL320" s="42" t="b">
        <v>0</v>
      </c>
      <c r="AM320" s="42" t="b">
        <v>0</v>
      </c>
      <c r="AN320" s="42" t="b">
        <v>0</v>
      </c>
      <c r="AO320" s="45" t="b" cm="1">
        <f t="array" ref="AO320">AND(COUNTIF(AC320:AN320,FALSE)=0,SUMPRODUCT(ISNUMBER(AC320:AN320)*1)=0)</f>
        <v>0</v>
      </c>
      <c r="AP320" s="59"/>
      <c r="AQ320" s="111">
        <f>IF(AB320="",99999999999,IFERROR(MATCH(AB320,{"Produção Parcial","Em Produção","Programado","Não Iniciado","Desenvolv.","Concluído"},0),7)*100000000+IF(ISNUMBER(J320),J320-46000,9999)*10000+IF(A320="",99,A320)*100+IF(C320="",99,CODE(LEFT(C320,1))))</f>
        <v>500000077</v>
      </c>
      <c r="CK320" s="36" t="s">
        <v>270</v>
      </c>
      <c r="CL320" s="36">
        <v>30</v>
      </c>
      <c r="CM320" s="36">
        <v>34</v>
      </c>
      <c r="CN320" s="36">
        <f>CL320*CM320</f>
        <v>1020</v>
      </c>
    </row>
    <row r="321" spans="1:92" s="36" customFormat="1" ht="25.15" hidden="1" customHeight="1" x14ac:dyDescent="0.25">
      <c r="A321" s="36">
        <v>100</v>
      </c>
      <c r="B321" s="38" t="s">
        <v>301</v>
      </c>
      <c r="C321" s="93" t="str">
        <f>INDEX([1]Produtos!$G:$G,MATCH($D321,[1]Produtos!$B:$B,0))</f>
        <v>MOUTIER</v>
      </c>
      <c r="D321" s="63" t="s">
        <v>323</v>
      </c>
      <c r="E321" s="93" t="str">
        <f>INDEX([1]Produtos!$C:$C,MATCH($D321,[1]Produtos!$B:$B,0))&amp;IF($F321&lt;&gt;"-"," - "&amp;LEFT($F321,1),"")&amp;" &gt; "&amp;$B321</f>
        <v>PERFUME MASCULINO 101 AZZARRO &gt; ON-HOLD</v>
      </c>
      <c r="F321" s="66" t="s">
        <v>38</v>
      </c>
      <c r="G321" s="38">
        <v>45785</v>
      </c>
      <c r="H321" s="64">
        <v>300</v>
      </c>
      <c r="I321" s="63" t="s">
        <v>42</v>
      </c>
      <c r="J321" s="68" t="str" cm="1">
        <f t="array" ref="J321">IFERROR(INDEX('[2]Previsão Envase'!$D$5:$D$4867, MATCH(1,('[2]Previsão Envase'!$F$5:$F$4867=$E321)+('[2]Previsão Envase'!$G$5:$G$4867=$E321)+('[2]Previsão Envase'!$H$5:$H$4867=$E321),0)),"")</f>
        <v/>
      </c>
      <c r="K321" s="68" t="str">
        <f>IF(COUNTIF('[2]Previsão Envase'!$F:$F,E321)&gt;0,"Linha 1",
IF(COUNTIF('[2]Previsão Envase'!$G:$G,E321)&gt;0,"Linha 2",
IF(COUNTIF('[2]Previsão Envase'!$H:$H,E321)&gt;0,"Linha 3","")))</f>
        <v/>
      </c>
      <c r="L321" s="96">
        <f>COUNTIF('[2]Previsão Envase'!$F:$H,E321)-COUNTIF('[2]Previsão Envase'!$F$1:$H$4,E321)</f>
        <v>0</v>
      </c>
      <c r="M321" s="35">
        <f t="shared" si="44"/>
        <v>0</v>
      </c>
      <c r="N321" s="68" t="str">
        <f>IFERROR(MAX(_xlfn.MAXIFS('[2]Controle de Produção'!$C:$C,'[2]Controle de Produção'!$L:$L,$D321,'[2]Controle de Produção'!$P:$P,$C321,'[2]Controle de Produção'!$G:$G,$B321),_xlfn.MAXIFS([3]EXPEDIÇÃO!$N:$N,[3]EXPEDIÇÃO!$E:$E,$D321,[3]EXPEDIÇÃO!$D:$D,$C321,[3]EXPEDIÇÃO!$N:$N,"&gt;="&amp;$G321)),"")</f>
        <v/>
      </c>
      <c r="O321" s="70">
        <f>INDEX([1]Produtos!$E:$E,MATCH($D321,[1]Produtos!$B:$B,0))</f>
        <v>50</v>
      </c>
      <c r="P321" s="70" t="str">
        <f>INDEX([1]Produtos!$F:$F,MATCH($D321,[1]Produtos!$B:$B,0))</f>
        <v>ml</v>
      </c>
      <c r="Q321" s="105">
        <f>INDEX([1]Produtos!$Y:$Y,MATCH($D321,[1]Produtos!$B:$B,0))</f>
        <v>0</v>
      </c>
      <c r="R321" s="35">
        <f t="shared" si="45"/>
        <v>1577.3766463727152</v>
      </c>
      <c r="S321" s="27">
        <f>IFERROR(INDEX([1]Produtos!$L:$L,MATCH(D321,[1]Produtos!$B:$B,0)), "")</f>
        <v>175.26407181919058</v>
      </c>
      <c r="T321" s="28">
        <f t="shared" si="46"/>
        <v>1.8</v>
      </c>
      <c r="U321" s="28" t="str">
        <f t="shared" si="47"/>
        <v>0D e 2h</v>
      </c>
      <c r="V321" s="27">
        <f>IFERROR(SUMIFS('[2]Controle de Produção'!$K:$K,'[2]Controle de Produção'!$L:$L,D321,'[2]Controle de Produção'!$P:$P,C321,'[2]Controle de Produção'!$B:$B,"&gt;=" &amp; G321,'[2]Controle de Produção'!$C:$C,"&lt;=" &amp; N321, '[2]Controle de Produção'!$G:$G,B321), "")</f>
        <v>0</v>
      </c>
      <c r="W321" s="27" t="str">
        <f>IFERROR(SUMIFS([3]EXPEDIÇÃO!$K:$K,[3]EXPEDIÇÃO!$E:$E,D321,[3]EXPEDIÇÃO!$D:$D,C321,[3]EXPEDIÇÃO!$N:$N,"&gt;=" &amp; G321,[3]EXPEDIÇÃO!$N:$N,"&lt;="&amp;N321), "")</f>
        <v/>
      </c>
      <c r="X321" s="27">
        <f>COUNTIFS('[2]Controle de Produção'!$P:$P,C321,'[2]Controle de Produção'!$L:$L,D321,'[2]Controle de Produção'!$B:$B,"&gt;=" &amp; G321)</f>
        <v>0</v>
      </c>
      <c r="Y321" s="27" t="str">
        <f t="shared" si="48"/>
        <v>-</v>
      </c>
      <c r="Z321" s="27">
        <f>IFERROR(COUNTIFS('[2]Controle de Produção'!$L:$L,D321,'[2]Controle de Produção'!$P:$P,C321,'[2]Controle de Produção'!$B:$B,"&gt;=" &amp; G321,'[2]Controle de Produção'!$C:$C,"&lt;=" &amp; N321, '[2]Controle de Produção'!$G:$G,B321), "")</f>
        <v>0</v>
      </c>
      <c r="AA321" s="108" t="str">
        <f t="shared" si="50"/>
        <v/>
      </c>
      <c r="AB321" s="41" t="str" cm="1">
        <f t="array" ref="AB321">_xlfn.IFS((H321*0.95)&lt;=V321,"Concluído",AND(V321 =0, J321&lt;&gt;""),"Programado",AND(V321=0,D321=""),"Desenvolv.",V321=0,"Não Iniciado",AND(V321&gt;0,V321&lt;H321,AO321=TRUE),"Em Produção",AND(V321&gt;0,V321&lt;H321,AO321=FALSE),"Produção Parcial")</f>
        <v>Não Iniciado</v>
      </c>
      <c r="AC321" s="42" t="b">
        <v>1</v>
      </c>
      <c r="AD321" s="42" t="b">
        <v>1</v>
      </c>
      <c r="AE321" s="42" t="b">
        <v>0</v>
      </c>
      <c r="AF321" s="42" t="b">
        <v>0</v>
      </c>
      <c r="AG321" s="90" t="b">
        <v>0</v>
      </c>
      <c r="AH321" s="42" t="b">
        <v>0</v>
      </c>
      <c r="AI321" s="42" t="b">
        <v>0</v>
      </c>
      <c r="AJ321" s="42" t="b">
        <v>0</v>
      </c>
      <c r="AK321" s="42" t="s">
        <v>38</v>
      </c>
      <c r="AL321" s="42" t="b">
        <v>0</v>
      </c>
      <c r="AM321" s="42" t="b">
        <v>0</v>
      </c>
      <c r="AN321" s="42" t="b">
        <v>0</v>
      </c>
      <c r="AO321" s="45" t="b" cm="1">
        <f t="array" ref="AO321">AND(COUNTIF(AC321:AN321,FALSE)=0,SUMPRODUCT(ISNUMBER(AC321:AN321)*1)=0)</f>
        <v>0</v>
      </c>
      <c r="AP321" s="59"/>
      <c r="AQ321" s="111">
        <f>IF(AB321="",99999999999,IFERROR(MATCH(AB321,{"Produção Parcial","Em Produção","Programado","Não Iniciado","Desenvolv.","Concluído"},0),7)*100000000+IF(ISNUMBER(J321),J321-46000,9999)*10000+IF(A321="",99,A321)*100+IF(C321="",99,CODE(LEFT(C321,1))))</f>
        <v>500000077</v>
      </c>
      <c r="CK321" s="36" t="s">
        <v>272</v>
      </c>
      <c r="CL321" s="36">
        <v>40</v>
      </c>
      <c r="CM321" s="36">
        <v>16</v>
      </c>
      <c r="CN321" s="36">
        <f t="shared" ref="CN321" si="51">CL321*CM321</f>
        <v>640</v>
      </c>
    </row>
    <row r="322" spans="1:92" s="36" customFormat="1" ht="25.15" hidden="1" customHeight="1" x14ac:dyDescent="0.25">
      <c r="A322" s="36">
        <v>100</v>
      </c>
      <c r="B322" s="38" t="s">
        <v>301</v>
      </c>
      <c r="C322" s="93" t="str">
        <f>INDEX([1]Produtos!$G:$G,MATCH($D322,[1]Produtos!$B:$B,0))</f>
        <v>MOUTIER</v>
      </c>
      <c r="D322" s="63" t="s">
        <v>322</v>
      </c>
      <c r="E322" s="93" t="str">
        <f>INDEX([1]Produtos!$C:$C,MATCH($D322,[1]Produtos!$B:$B,0))&amp;IF($F322&lt;&gt;"-"," - "&amp;LEFT($F322,1),"")&amp;" &gt; "&amp;$B322</f>
        <v>PERFUME MASCULINO 106 POLO BLUE &gt; ON-HOLD</v>
      </c>
      <c r="F322" s="66" t="s">
        <v>38</v>
      </c>
      <c r="G322" s="38">
        <v>45785</v>
      </c>
      <c r="H322" s="64">
        <v>300</v>
      </c>
      <c r="I322" s="63" t="s">
        <v>42</v>
      </c>
      <c r="J322" s="68" t="str" cm="1">
        <f t="array" ref="J322">IFERROR(INDEX('[2]Previsão Envase'!$D$5:$D$4867, MATCH(1,('[2]Previsão Envase'!$F$5:$F$4867=$E322)+('[2]Previsão Envase'!$G$5:$G$4867=$E322)+('[2]Previsão Envase'!$H$5:$H$4867=$E322),0)),"")</f>
        <v/>
      </c>
      <c r="K322" s="68" t="str">
        <f>IF(COUNTIF('[2]Previsão Envase'!$F:$F,E322)&gt;0,"Linha 1",
IF(COUNTIF('[2]Previsão Envase'!$G:$G,E322)&gt;0,"Linha 2",
IF(COUNTIF('[2]Previsão Envase'!$H:$H,E322)&gt;0,"Linha 3","")))</f>
        <v/>
      </c>
      <c r="L322" s="96">
        <f>COUNTIF('[2]Previsão Envase'!$F:$H,E322)-COUNTIF('[2]Previsão Envase'!$F$1:$H$4,E322)</f>
        <v>0</v>
      </c>
      <c r="M322" s="35">
        <f t="shared" si="44"/>
        <v>0</v>
      </c>
      <c r="N322" s="68" t="str">
        <f>IFERROR(MAX(_xlfn.MAXIFS('[2]Controle de Produção'!$C:$C,'[2]Controle de Produção'!$L:$L,$D322,'[2]Controle de Produção'!$P:$P,$C322,'[2]Controle de Produção'!$G:$G,$B322),_xlfn.MAXIFS([3]EXPEDIÇÃO!$N:$N,[3]EXPEDIÇÃO!$E:$E,$D322,[3]EXPEDIÇÃO!$D:$D,$C322,[3]EXPEDIÇÃO!$N:$N,"&gt;="&amp;$G322)),"")</f>
        <v/>
      </c>
      <c r="O322" s="70">
        <f>INDEX([1]Produtos!$E:$E,MATCH($D322,[1]Produtos!$B:$B,0))</f>
        <v>50</v>
      </c>
      <c r="P322" s="70" t="str">
        <f>INDEX([1]Produtos!$F:$F,MATCH($D322,[1]Produtos!$B:$B,0))</f>
        <v>ml</v>
      </c>
      <c r="Q322" s="105">
        <f>INDEX([1]Produtos!$Y:$Y,MATCH($D322,[1]Produtos!$B:$B,0))</f>
        <v>0</v>
      </c>
      <c r="R322" s="35">
        <f t="shared" si="45"/>
        <v>1577.3766463727152</v>
      </c>
      <c r="S322" s="27">
        <f>IFERROR(INDEX([1]Produtos!$L:$L,MATCH(D322,[1]Produtos!$B:$B,0)), "")</f>
        <v>175.26407181919058</v>
      </c>
      <c r="T322" s="28">
        <f t="shared" si="46"/>
        <v>1.8</v>
      </c>
      <c r="U322" s="28" t="str">
        <f t="shared" si="47"/>
        <v>0D e 2h</v>
      </c>
      <c r="V322" s="27">
        <f>IFERROR(SUMIFS('[2]Controle de Produção'!$K:$K,'[2]Controle de Produção'!$L:$L,D322,'[2]Controle de Produção'!$P:$P,C322,'[2]Controle de Produção'!$B:$B,"&gt;=" &amp; G322,'[2]Controle de Produção'!$C:$C,"&lt;=" &amp; N322, '[2]Controle de Produção'!$G:$G,B322), "")</f>
        <v>0</v>
      </c>
      <c r="W322" s="27" t="str">
        <f>IFERROR(SUMIFS([3]EXPEDIÇÃO!$K:$K,[3]EXPEDIÇÃO!$E:$E,D322,[3]EXPEDIÇÃO!$D:$D,C322,[3]EXPEDIÇÃO!$N:$N,"&gt;=" &amp; G322,[3]EXPEDIÇÃO!$N:$N,"&lt;="&amp;N322), "")</f>
        <v/>
      </c>
      <c r="X322" s="27">
        <f>COUNTIFS('[2]Controle de Produção'!$P:$P,C322,'[2]Controle de Produção'!$L:$L,D322,'[2]Controle de Produção'!$B:$B,"&gt;=" &amp; G322)</f>
        <v>0</v>
      </c>
      <c r="Y322" s="27" t="str">
        <f t="shared" si="48"/>
        <v>-</v>
      </c>
      <c r="Z322" s="27">
        <f>IFERROR(COUNTIFS('[2]Controle de Produção'!$L:$L,D322,'[2]Controle de Produção'!$P:$P,C322,'[2]Controle de Produção'!$B:$B,"&gt;=" &amp; G322,'[2]Controle de Produção'!$C:$C,"&lt;=" &amp; N322, '[2]Controle de Produção'!$G:$G,B322), "")</f>
        <v>0</v>
      </c>
      <c r="AA322" s="108" t="str">
        <f t="shared" si="50"/>
        <v/>
      </c>
      <c r="AB322" s="41" t="str" cm="1">
        <f t="array" ref="AB322">_xlfn.IFS((H322*0.95)&lt;=V322,"Concluído",AND(V322 =0, J322&lt;&gt;""),"Programado",AND(V322=0,D322=""),"Desenvolv.",V322=0,"Não Iniciado",AND(V322&gt;0,V322&lt;H322,AO322=TRUE),"Em Produção",AND(V322&gt;0,V322&lt;H322,AO322=FALSE),"Produção Parcial")</f>
        <v>Não Iniciado</v>
      </c>
      <c r="AC322" s="42" t="b">
        <v>1</v>
      </c>
      <c r="AD322" s="42" t="b">
        <v>1</v>
      </c>
      <c r="AE322" s="42" t="b">
        <v>0</v>
      </c>
      <c r="AF322" s="42" t="b">
        <v>0</v>
      </c>
      <c r="AG322" s="90" t="b">
        <v>0</v>
      </c>
      <c r="AH322" s="42" t="b">
        <v>0</v>
      </c>
      <c r="AI322" s="42" t="b">
        <v>0</v>
      </c>
      <c r="AJ322" s="42" t="b">
        <v>0</v>
      </c>
      <c r="AK322" s="42" t="s">
        <v>38</v>
      </c>
      <c r="AL322" s="42" t="b">
        <v>0</v>
      </c>
      <c r="AM322" s="42" t="b">
        <v>0</v>
      </c>
      <c r="AN322" s="42" t="b">
        <v>0</v>
      </c>
      <c r="AO322" s="45" t="b" cm="1">
        <f t="array" ref="AO322">AND(COUNTIF(AC322:AN322,FALSE)=0,SUMPRODUCT(ISNUMBER(AC322:AN322)*1)=0)</f>
        <v>0</v>
      </c>
      <c r="AP322" s="59"/>
      <c r="AQ322" s="111">
        <f>IF(AB322="",99999999999,IFERROR(MATCH(AB322,{"Produção Parcial","Em Produção","Programado","Não Iniciado","Desenvolv.","Concluído"},0),7)*100000000+IF(ISNUMBER(J322),J322-46000,9999)*10000+IF(A322="",99,A322)*100+IF(C322="",99,CODE(LEFT(C322,1))))</f>
        <v>500000077</v>
      </c>
      <c r="CN322" s="95">
        <f>SUBTOTAL(9,CN320:CN321)</f>
        <v>0</v>
      </c>
    </row>
    <row r="323" spans="1:92" s="36" customFormat="1" ht="25.15" hidden="1" customHeight="1" x14ac:dyDescent="0.25">
      <c r="A323" s="36">
        <v>4</v>
      </c>
      <c r="B323" s="38" t="s">
        <v>158</v>
      </c>
      <c r="C323" s="70" t="str">
        <f>INDEX([1]Produtos!$G:$G,MATCH($D323,[1]Produtos!$B:$B,0))</f>
        <v>AMEERATI</v>
      </c>
      <c r="D323" s="24" t="s">
        <v>183</v>
      </c>
      <c r="E323" s="70" t="str">
        <f>INDEX([1]Produtos!$C:$C,MATCH($D323,[1]Produtos!$B:$B,0))&amp;IF($F323&lt;&gt;"-"," - "&amp;LEFT($F323,1),"")&amp;" &gt; "&amp;$B323</f>
        <v>BODY CREAM RARO ELIXIR - 2 &gt; AMEERATI 01</v>
      </c>
      <c r="F323" s="51">
        <v>2</v>
      </c>
      <c r="G323" s="38">
        <v>46013</v>
      </c>
      <c r="H323" s="39">
        <f>3360-840</f>
        <v>2520</v>
      </c>
      <c r="I323" s="24" t="s">
        <v>39</v>
      </c>
      <c r="J323" s="68" cm="1">
        <f t="array" ref="J323">IFERROR(INDEX('[2]Previsão Envase'!$D$5:$D$4867, MATCH(1,('[2]Previsão Envase'!$F$5:$F$4867=$E323)+('[2]Previsão Envase'!$G$5:$G$4867=$E323)+('[2]Previsão Envase'!$H$5:$H$4867=$E323),0)),"")</f>
        <v>46160</v>
      </c>
      <c r="K323" s="68" t="str">
        <f>IF(COUNTIF('[2]Previsão Envase'!$F:$F,E323)&gt;0,"Linha 1",
IF(COUNTIF('[2]Previsão Envase'!$G:$G,E323)&gt;0,"Linha 2",
IF(COUNTIF('[2]Previsão Envase'!$H:$H,E323)&gt;0,"Linha 3","")))</f>
        <v>Linha 2</v>
      </c>
      <c r="L323" s="96">
        <f>COUNTIF('[2]Previsão Envase'!$F:$H,E323)-COUNTIF('[2]Previsão Envase'!$F$1:$H$4,E323)</f>
        <v>3</v>
      </c>
      <c r="M323" s="35">
        <f t="shared" si="44"/>
        <v>1840.1965810549493</v>
      </c>
      <c r="N323" s="68" t="str">
        <f>IFERROR(MAX(_xlfn.MAXIFS('[2]Controle de Produção'!$C:$C,'[2]Controle de Produção'!$L:$L,$D323,'[2]Controle de Produção'!$P:$P,$C323,'[2]Controle de Produção'!$G:$G,$B323),_xlfn.MAXIFS([3]EXPEDIÇÃO!$N:$N,[3]EXPEDIÇÃO!$E:$E,$D323,[3]EXPEDIÇÃO!$D:$D,$C323,[3]EXPEDIÇÃO!$N:$N,"&gt;="&amp;$G323)),"")</f>
        <v/>
      </c>
      <c r="O323" s="70">
        <f>INDEX([1]Produtos!$E:$E,MATCH($D323,[1]Produtos!$B:$B,0))</f>
        <v>240</v>
      </c>
      <c r="P323" s="70" t="str">
        <f>INDEX([1]Produtos!$F:$F,MATCH($D323,[1]Produtos!$B:$B,0))</f>
        <v>ml</v>
      </c>
      <c r="Q323" s="105">
        <f>INDEX([1]Produtos!$Y:$Y,MATCH($D323,[1]Produtos!$B:$B,0))</f>
        <v>1.48</v>
      </c>
      <c r="R323" s="35">
        <f t="shared" si="45"/>
        <v>5520.5897431648482</v>
      </c>
      <c r="S323" s="27">
        <f>IFERROR(INDEX([1]Produtos!$L:$L,MATCH(D323,[1]Produtos!$B:$B,0)), "")</f>
        <v>613.39886035164977</v>
      </c>
      <c r="T323" s="28">
        <f t="shared" si="46"/>
        <v>4.1999999999999993</v>
      </c>
      <c r="U323" s="28" t="str">
        <f t="shared" si="47"/>
        <v>0D e 5h</v>
      </c>
      <c r="V323" s="27">
        <f>IFERROR(SUMIFS('[2]Controle de Produção'!$K:$K,'[2]Controle de Produção'!$L:$L,D323,'[2]Controle de Produção'!$P:$P,C323,'[2]Controle de Produção'!$B:$B,"&gt;=" &amp; G323,'[2]Controle de Produção'!$C:$C,"&lt;=" &amp; N323, '[2]Controle de Produção'!$G:$G,B323), "")</f>
        <v>0</v>
      </c>
      <c r="W323" s="27" t="str">
        <f>IFERROR(SUMIFS([3]EXPEDIÇÃO!$K:$K,[3]EXPEDIÇÃO!$E:$E,D323,[3]EXPEDIÇÃO!$D:$D,C323,[3]EXPEDIÇÃO!$N:$N,"&gt;=" &amp; G323,[3]EXPEDIÇÃO!$N:$N,"&lt;="&amp;N323), "")</f>
        <v/>
      </c>
      <c r="X323" s="27">
        <f>COUNTIFS('[2]Controle de Produção'!$P:$P,C323,'[2]Controle de Produção'!$L:$L,D323,'[2]Controle de Produção'!$B:$B,"&gt;=" &amp; G323)</f>
        <v>1</v>
      </c>
      <c r="Y323" s="27">
        <f t="shared" si="48"/>
        <v>0</v>
      </c>
      <c r="Z323" s="27">
        <f>IFERROR(COUNTIFS('[2]Controle de Produção'!$L:$L,D323,'[2]Controle de Produção'!$P:$P,C323,'[2]Controle de Produção'!$B:$B,"&gt;=" &amp; G323,'[2]Controle de Produção'!$C:$C,"&lt;=" &amp; N323, '[2]Controle de Produção'!$G:$G,B323), "")</f>
        <v>0</v>
      </c>
      <c r="AA323" s="108" t="str">
        <f t="shared" si="50"/>
        <v/>
      </c>
      <c r="AB323" s="41" t="s">
        <v>60</v>
      </c>
      <c r="AC323" s="42" t="b">
        <v>1</v>
      </c>
      <c r="AD323" s="42" t="b">
        <v>1</v>
      </c>
      <c r="AE323" s="42" t="b">
        <v>1</v>
      </c>
      <c r="AF323" s="42" t="b">
        <v>1</v>
      </c>
      <c r="AG323" s="90" t="s">
        <v>38</v>
      </c>
      <c r="AH323" s="42" t="s">
        <v>38</v>
      </c>
      <c r="AI323" s="42" t="b">
        <v>1</v>
      </c>
      <c r="AJ323" s="42" t="s">
        <v>38</v>
      </c>
      <c r="AK323" s="42" t="s">
        <v>38</v>
      </c>
      <c r="AL323" s="42" t="b">
        <v>1</v>
      </c>
      <c r="AM323" s="42" t="b">
        <v>1</v>
      </c>
      <c r="AN323" s="42" t="b">
        <v>1</v>
      </c>
      <c r="AO323" s="45" t="b" cm="1">
        <f t="array" ref="AO323">AND(COUNTIF(AC323:AN323,FALSE)=0,SUMPRODUCT(ISNUMBER(AC323:AN323)*1)=0)</f>
        <v>1</v>
      </c>
      <c r="AP323" s="59"/>
      <c r="AQ323" s="111">
        <f>IF(AB323="",99999999999,IFERROR(MATCH(AB323,{"Produção Parcial","Em Produção","Programado","Não Iniciado","Desenvolv.","Concluído"},0),7)*100000000+IF(ISNUMBER(J323),J323-46000,9999)*10000+IF(A323="",99,A323)*100+IF(C323="",99,CODE(LEFT(C323,1))))</f>
        <v>601600465</v>
      </c>
    </row>
    <row r="324" spans="1:92" s="36" customFormat="1" ht="25.15" hidden="1" customHeight="1" x14ac:dyDescent="0.25">
      <c r="A324" s="36">
        <v>4</v>
      </c>
      <c r="B324" s="38" t="s">
        <v>158</v>
      </c>
      <c r="C324" s="70" t="str">
        <f>INDEX([1]Produtos!$G:$G,MATCH($D324,[1]Produtos!$B:$B,0))</f>
        <v>AMEERATI</v>
      </c>
      <c r="D324" s="24" t="s">
        <v>219</v>
      </c>
      <c r="E324" s="70" t="str">
        <f>INDEX([1]Produtos!$C:$C,MATCH($D324,[1]Produtos!$B:$B,0))&amp;IF($F324&lt;&gt;"-"," - "&amp;LEFT($F324,1),"")&amp;" &gt; "&amp;$B324</f>
        <v>BODY CREAM TESOURO DO OASIS - 2 &gt; AMEERATI 01</v>
      </c>
      <c r="F324" s="51">
        <v>2</v>
      </c>
      <c r="G324" s="38">
        <v>46013</v>
      </c>
      <c r="H324" s="39">
        <f>3360-840</f>
        <v>2520</v>
      </c>
      <c r="I324" s="24" t="s">
        <v>39</v>
      </c>
      <c r="J324" s="68" cm="1">
        <f t="array" ref="J324">IFERROR(INDEX('[2]Previsão Envase'!$D$5:$D$4867, MATCH(1,('[2]Previsão Envase'!$F$5:$F$4867=$E324)+('[2]Previsão Envase'!$G$5:$G$4867=$E324)+('[2]Previsão Envase'!$H$5:$H$4867=$E324),0)),"")</f>
        <v>46160</v>
      </c>
      <c r="K324" s="68" t="str">
        <f>IF(COUNTIF('[2]Previsão Envase'!$F:$F,E324)&gt;0,"Linha 1",
IF(COUNTIF('[2]Previsão Envase'!$G:$G,E324)&gt;0,"Linha 2",
IF(COUNTIF('[2]Previsão Envase'!$H:$H,E324)&gt;0,"Linha 3","")))</f>
        <v>Linha 2</v>
      </c>
      <c r="L324" s="96">
        <f>COUNTIF('[2]Previsão Envase'!$F:$H,E324)-COUNTIF('[2]Previsão Envase'!$F$1:$H$4,E324)</f>
        <v>3</v>
      </c>
      <c r="M324" s="35">
        <f t="shared" si="44"/>
        <v>1840.1965810549493</v>
      </c>
      <c r="N324" s="68" t="str">
        <f>IFERROR(MAX(_xlfn.MAXIFS('[2]Controle de Produção'!$C:$C,'[2]Controle de Produção'!$L:$L,$D324,'[2]Controle de Produção'!$P:$P,$C324,'[2]Controle de Produção'!$G:$G,$B324),_xlfn.MAXIFS([3]EXPEDIÇÃO!$N:$N,[3]EXPEDIÇÃO!$E:$E,$D324,[3]EXPEDIÇÃO!$D:$D,$C324,[3]EXPEDIÇÃO!$N:$N,"&gt;="&amp;$G324)),"")</f>
        <v/>
      </c>
      <c r="O324" s="70">
        <f>INDEX([1]Produtos!$E:$E,MATCH($D324,[1]Produtos!$B:$B,0))</f>
        <v>240</v>
      </c>
      <c r="P324" s="70" t="str">
        <f>INDEX([1]Produtos!$F:$F,MATCH($D324,[1]Produtos!$B:$B,0))</f>
        <v>ml</v>
      </c>
      <c r="Q324" s="105">
        <f>INDEX([1]Produtos!$Y:$Y,MATCH($D324,[1]Produtos!$B:$B,0))</f>
        <v>1.48</v>
      </c>
      <c r="R324" s="35">
        <f t="shared" si="45"/>
        <v>5520.5897431648482</v>
      </c>
      <c r="S324" s="27">
        <f>IFERROR(INDEX([1]Produtos!$L:$L,MATCH(D324,[1]Produtos!$B:$B,0)), "")</f>
        <v>613.39886035164977</v>
      </c>
      <c r="T324" s="28">
        <f t="shared" si="46"/>
        <v>4.1999999999999993</v>
      </c>
      <c r="U324" s="28" t="str">
        <f t="shared" si="47"/>
        <v>0D e 5h</v>
      </c>
      <c r="V324" s="27">
        <f>IFERROR(SUMIFS('[2]Controle de Produção'!$K:$K,'[2]Controle de Produção'!$L:$L,D324,'[2]Controle de Produção'!$P:$P,C324,'[2]Controle de Produção'!$B:$B,"&gt;=" &amp; G324,'[2]Controle de Produção'!$C:$C,"&lt;=" &amp; N324, '[2]Controle de Produção'!$G:$G,B324), "")</f>
        <v>0</v>
      </c>
      <c r="W324" s="27" t="str">
        <f>IFERROR(SUMIFS([3]EXPEDIÇÃO!$K:$K,[3]EXPEDIÇÃO!$E:$E,D324,[3]EXPEDIÇÃO!$D:$D,C324,[3]EXPEDIÇÃO!$N:$N,"&gt;=" &amp; G324,[3]EXPEDIÇÃO!$N:$N,"&lt;="&amp;N324), "")</f>
        <v/>
      </c>
      <c r="X324" s="27">
        <f>COUNTIFS('[2]Controle de Produção'!$P:$P,C324,'[2]Controle de Produção'!$L:$L,D324,'[2]Controle de Produção'!$B:$B,"&gt;=" &amp; G324)</f>
        <v>1</v>
      </c>
      <c r="Y324" s="27">
        <f t="shared" si="48"/>
        <v>0</v>
      </c>
      <c r="Z324" s="27">
        <f>IFERROR(COUNTIFS('[2]Controle de Produção'!$L:$L,D324,'[2]Controle de Produção'!$P:$P,C324,'[2]Controle de Produção'!$B:$B,"&gt;=" &amp; G324,'[2]Controle de Produção'!$C:$C,"&lt;=" &amp; N324, '[2]Controle de Produção'!$G:$G,B324), "")</f>
        <v>0</v>
      </c>
      <c r="AA324" s="108" t="str">
        <f t="shared" si="50"/>
        <v/>
      </c>
      <c r="AB324" s="41" t="s">
        <v>60</v>
      </c>
      <c r="AC324" s="42" t="b">
        <v>1</v>
      </c>
      <c r="AD324" s="42" t="b">
        <v>1</v>
      </c>
      <c r="AE324" s="42" t="b">
        <v>1</v>
      </c>
      <c r="AF324" s="42" t="b">
        <v>1</v>
      </c>
      <c r="AG324" s="90" t="s">
        <v>38</v>
      </c>
      <c r="AH324" s="42" t="s">
        <v>38</v>
      </c>
      <c r="AI324" s="42" t="b">
        <v>1</v>
      </c>
      <c r="AJ324" s="42" t="s">
        <v>38</v>
      </c>
      <c r="AK324" s="42" t="s">
        <v>38</v>
      </c>
      <c r="AL324" s="42" t="b">
        <v>1</v>
      </c>
      <c r="AM324" s="42" t="b">
        <v>1</v>
      </c>
      <c r="AN324" s="42" t="b">
        <v>1</v>
      </c>
      <c r="AO324" s="45" t="b" cm="1">
        <f t="array" ref="AO324">AND(COUNTIF(AC324:AN324,FALSE)=0,SUMPRODUCT(ISNUMBER(AC324:AN324)*1)=0)</f>
        <v>1</v>
      </c>
      <c r="AP324" s="59"/>
      <c r="AQ324" s="111">
        <f>IF(AB324="",99999999999,IFERROR(MATCH(AB324,{"Produção Parcial","Em Produção","Programado","Não Iniciado","Desenvolv.","Concluído"},0),7)*100000000+IF(ISNUMBER(J324),J324-46000,9999)*10000+IF(A324="",99,A324)*100+IF(C324="",99,CODE(LEFT(C324,1))))</f>
        <v>601600465</v>
      </c>
    </row>
    <row r="325" spans="1:92" s="36" customFormat="1" ht="25.15" hidden="1" customHeight="1" x14ac:dyDescent="0.25">
      <c r="A325" s="36">
        <v>4</v>
      </c>
      <c r="B325" s="38" t="s">
        <v>158</v>
      </c>
      <c r="C325" s="70" t="str">
        <f>INDEX([1]Produtos!$G:$G,MATCH($D325,[1]Produtos!$B:$B,0))</f>
        <v>AMEERATI</v>
      </c>
      <c r="D325" s="24" t="s">
        <v>207</v>
      </c>
      <c r="E325" s="70" t="str">
        <f>INDEX([1]Produtos!$C:$C,MATCH($D325,[1]Produtos!$B:$B,0))&amp;IF($F325&lt;&gt;"-"," - "&amp;LEFT($F325,1),"")&amp;" &gt; "&amp;$B325</f>
        <v>BODY CREAM FLOR DO DESERTO - 2 &gt; AMEERATI 01</v>
      </c>
      <c r="F325" s="51">
        <v>2</v>
      </c>
      <c r="G325" s="38">
        <v>46013</v>
      </c>
      <c r="H325" s="39">
        <f>3360-840</f>
        <v>2520</v>
      </c>
      <c r="I325" s="24" t="s">
        <v>39</v>
      </c>
      <c r="J325" s="68" cm="1">
        <f t="array" ref="J325">IFERROR(INDEX('[2]Previsão Envase'!$D$5:$D$4867, MATCH(1,('[2]Previsão Envase'!$F$5:$F$4867=$E325)+('[2]Previsão Envase'!$G$5:$G$4867=$E325)+('[2]Previsão Envase'!$H$5:$H$4867=$E325),0)),"")</f>
        <v>46160</v>
      </c>
      <c r="K325" s="68" t="str">
        <f>IF(COUNTIF('[2]Previsão Envase'!$F:$F,E325)&gt;0,"Linha 1",
IF(COUNTIF('[2]Previsão Envase'!$G:$G,E325)&gt;0,"Linha 2",
IF(COUNTIF('[2]Previsão Envase'!$H:$H,E325)&gt;0,"Linha 3","")))</f>
        <v>Linha 2</v>
      </c>
      <c r="L325" s="96">
        <f>COUNTIF('[2]Previsão Envase'!$F:$H,E325)-COUNTIF('[2]Previsão Envase'!$F$1:$H$4,E325)</f>
        <v>3</v>
      </c>
      <c r="M325" s="35">
        <f t="shared" ref="M325:M388" si="52">IFERROR(L325*S325,"-")</f>
        <v>1840.1965810549493</v>
      </c>
      <c r="N325" s="68" t="str">
        <f>IFERROR(MAX(_xlfn.MAXIFS('[2]Controle de Produção'!$C:$C,'[2]Controle de Produção'!$L:$L,$D325,'[2]Controle de Produção'!$P:$P,$C325,'[2]Controle de Produção'!$G:$G,$B325),_xlfn.MAXIFS([3]EXPEDIÇÃO!$N:$N,[3]EXPEDIÇÃO!$E:$E,$D325,[3]EXPEDIÇÃO!$D:$D,$C325,[3]EXPEDIÇÃO!$N:$N,"&gt;="&amp;$G325)),"")</f>
        <v/>
      </c>
      <c r="O325" s="70">
        <f>INDEX([1]Produtos!$E:$E,MATCH($D325,[1]Produtos!$B:$B,0))</f>
        <v>240</v>
      </c>
      <c r="P325" s="70" t="str">
        <f>INDEX([1]Produtos!$F:$F,MATCH($D325,[1]Produtos!$B:$B,0))</f>
        <v>ml</v>
      </c>
      <c r="Q325" s="105">
        <f>INDEX([1]Produtos!$Y:$Y,MATCH($D325,[1]Produtos!$B:$B,0))</f>
        <v>1.48</v>
      </c>
      <c r="R325" s="35">
        <f t="shared" ref="R325:R388" si="53">IFERROR(S325*9, "-")</f>
        <v>5520.5897431648482</v>
      </c>
      <c r="S325" s="27">
        <f>IFERROR(INDEX([1]Produtos!$L:$L,MATCH(D325,[1]Produtos!$B:$B,0)), "")</f>
        <v>613.39886035164977</v>
      </c>
      <c r="T325" s="28">
        <f t="shared" ref="T325:T388" si="54">IFERROR(ROUNDUP(H325/S325,1),"-")</f>
        <v>4.1999999999999993</v>
      </c>
      <c r="U325" s="28" t="str">
        <f t="shared" ref="U325:U388" si="55">IFERROR(ROUNDDOWN(T325/8.8,0)&amp;"D e "&amp;ROUNDUP(MOD(T325,8.8),0)&amp;"h","-")</f>
        <v>0D e 5h</v>
      </c>
      <c r="V325" s="27">
        <f>IFERROR(SUMIFS('[2]Controle de Produção'!$K:$K,'[2]Controle de Produção'!$L:$L,D325,'[2]Controle de Produção'!$P:$P,C325,'[2]Controle de Produção'!$B:$B,"&gt;=" &amp; G325,'[2]Controle de Produção'!$C:$C,"&lt;=" &amp; N325, '[2]Controle de Produção'!$G:$G,B325), "")</f>
        <v>0</v>
      </c>
      <c r="W325" s="27" t="str">
        <f>IFERROR(SUMIFS([3]EXPEDIÇÃO!$K:$K,[3]EXPEDIÇÃO!$E:$E,D325,[3]EXPEDIÇÃO!$D:$D,C325,[3]EXPEDIÇÃO!$N:$N,"&gt;=" &amp; G325,[3]EXPEDIÇÃO!$N:$N,"&lt;="&amp;N325), "")</f>
        <v/>
      </c>
      <c r="X325" s="27">
        <f>COUNTIFS('[2]Controle de Produção'!$P:$P,C325,'[2]Controle de Produção'!$L:$L,D325,'[2]Controle de Produção'!$B:$B,"&gt;=" &amp; G325)</f>
        <v>1</v>
      </c>
      <c r="Y325" s="27">
        <f t="shared" ref="Y325:Y388" si="56">IFERROR(AVERAGE(V325/X325),"-")</f>
        <v>0</v>
      </c>
      <c r="Z325" s="27">
        <f>IFERROR(COUNTIFS('[2]Controle de Produção'!$L:$L,D325,'[2]Controle de Produção'!$P:$P,C325,'[2]Controle de Produção'!$B:$B,"&gt;=" &amp; G325,'[2]Controle de Produção'!$C:$C,"&lt;=" &amp; N325, '[2]Controle de Produção'!$G:$G,B325), "")</f>
        <v>0</v>
      </c>
      <c r="AA325" s="108" t="str">
        <f t="shared" si="50"/>
        <v/>
      </c>
      <c r="AB325" s="41" t="s">
        <v>60</v>
      </c>
      <c r="AC325" s="42" t="b">
        <v>1</v>
      </c>
      <c r="AD325" s="42" t="b">
        <v>1</v>
      </c>
      <c r="AE325" s="42" t="b">
        <v>1</v>
      </c>
      <c r="AF325" s="42" t="b">
        <v>1</v>
      </c>
      <c r="AG325" s="90" t="s">
        <v>38</v>
      </c>
      <c r="AH325" s="42" t="s">
        <v>38</v>
      </c>
      <c r="AI325" s="42" t="b">
        <v>1</v>
      </c>
      <c r="AJ325" s="42" t="s">
        <v>38</v>
      </c>
      <c r="AK325" s="42" t="s">
        <v>38</v>
      </c>
      <c r="AL325" s="42" t="b">
        <v>1</v>
      </c>
      <c r="AM325" s="42" t="b">
        <v>1</v>
      </c>
      <c r="AN325" s="42" t="b">
        <v>1</v>
      </c>
      <c r="AO325" s="45" t="b" cm="1">
        <f t="array" ref="AO325">AND(COUNTIF(AC325:AN325,FALSE)=0,SUMPRODUCT(ISNUMBER(AC325:AN325)*1)=0)</f>
        <v>1</v>
      </c>
      <c r="AP325" s="59"/>
      <c r="AQ325" s="111">
        <f>IF(AB325="",99999999999,IFERROR(MATCH(AB325,{"Produção Parcial","Em Produção","Programado","Não Iniciado","Desenvolv.","Concluído"},0),7)*100000000+IF(ISNUMBER(J325),J325-46000,9999)*10000+IF(A325="",99,A325)*100+IF(C325="",99,CODE(LEFT(C325,1))))</f>
        <v>601600465</v>
      </c>
    </row>
    <row r="326" spans="1:92" s="36" customFormat="1" ht="25.15" hidden="1" customHeight="1" x14ac:dyDescent="0.25">
      <c r="A326" s="36">
        <v>4</v>
      </c>
      <c r="B326" s="38" t="s">
        <v>158</v>
      </c>
      <c r="C326" s="70" t="str">
        <f>INDEX([1]Produtos!$G:$G,MATCH($D326,[1]Produtos!$B:$B,0))</f>
        <v>AMEERATI</v>
      </c>
      <c r="D326" s="24" t="s">
        <v>218</v>
      </c>
      <c r="E326" s="70" t="str">
        <f>INDEX([1]Produtos!$C:$C,MATCH($D326,[1]Produtos!$B:$B,0))&amp;IF($F326&lt;&gt;"-"," - "&amp;LEFT($F326,1),"")&amp;" &gt; "&amp;$B326</f>
        <v>BODY CREAM JARDINS DO ORIENTE - 2 &gt; AMEERATI 01</v>
      </c>
      <c r="F326" s="51">
        <v>2</v>
      </c>
      <c r="G326" s="38">
        <v>46013</v>
      </c>
      <c r="H326" s="39">
        <f>3360-840</f>
        <v>2520</v>
      </c>
      <c r="I326" s="24" t="s">
        <v>39</v>
      </c>
      <c r="J326" s="68" cm="1">
        <f t="array" ref="J326">IFERROR(INDEX('[2]Previsão Envase'!$D$5:$D$4867, MATCH(1,('[2]Previsão Envase'!$F$5:$F$4867=$E326)+('[2]Previsão Envase'!$G$5:$G$4867=$E326)+('[2]Previsão Envase'!$H$5:$H$4867=$E326),0)),"")</f>
        <v>46161</v>
      </c>
      <c r="K326" s="68" t="str">
        <f>IF(COUNTIF('[2]Previsão Envase'!$F:$F,E326)&gt;0,"Linha 1",
IF(COUNTIF('[2]Previsão Envase'!$G:$G,E326)&gt;0,"Linha 2",
IF(COUNTIF('[2]Previsão Envase'!$H:$H,E326)&gt;0,"Linha 3","")))</f>
        <v>Linha 2</v>
      </c>
      <c r="L326" s="96">
        <f>COUNTIF('[2]Previsão Envase'!$F:$H,E326)-COUNTIF('[2]Previsão Envase'!$F$1:$H$4,E326)</f>
        <v>7</v>
      </c>
      <c r="M326" s="35">
        <f t="shared" si="52"/>
        <v>4293.7920224615482</v>
      </c>
      <c r="N326" s="68" t="str">
        <f>IFERROR(MAX(_xlfn.MAXIFS('[2]Controle de Produção'!$C:$C,'[2]Controle de Produção'!$L:$L,$D326,'[2]Controle de Produção'!$P:$P,$C326,'[2]Controle de Produção'!$G:$G,$B326),_xlfn.MAXIFS([3]EXPEDIÇÃO!$N:$N,[3]EXPEDIÇÃO!$E:$E,$D326,[3]EXPEDIÇÃO!$D:$D,$C326,[3]EXPEDIÇÃO!$N:$N,"&gt;="&amp;$G326)),"")</f>
        <v/>
      </c>
      <c r="O326" s="70">
        <f>INDEX([1]Produtos!$E:$E,MATCH($D326,[1]Produtos!$B:$B,0))</f>
        <v>240</v>
      </c>
      <c r="P326" s="70" t="str">
        <f>INDEX([1]Produtos!$F:$F,MATCH($D326,[1]Produtos!$B:$B,0))</f>
        <v>ml</v>
      </c>
      <c r="Q326" s="105">
        <f>INDEX([1]Produtos!$Y:$Y,MATCH($D326,[1]Produtos!$B:$B,0))</f>
        <v>1.48</v>
      </c>
      <c r="R326" s="35">
        <f t="shared" si="53"/>
        <v>5520.5897431648482</v>
      </c>
      <c r="S326" s="27">
        <f>IFERROR(INDEX([1]Produtos!$L:$L,MATCH(D326,[1]Produtos!$B:$B,0)), "")</f>
        <v>613.39886035164977</v>
      </c>
      <c r="T326" s="28">
        <f t="shared" si="54"/>
        <v>4.1999999999999993</v>
      </c>
      <c r="U326" s="28" t="str">
        <f t="shared" si="55"/>
        <v>0D e 5h</v>
      </c>
      <c r="V326" s="27">
        <f>IFERROR(SUMIFS('[2]Controle de Produção'!$K:$K,'[2]Controle de Produção'!$L:$L,D326,'[2]Controle de Produção'!$P:$P,C326,'[2]Controle de Produção'!$B:$B,"&gt;=" &amp; G326,'[2]Controle de Produção'!$C:$C,"&lt;=" &amp; N326, '[2]Controle de Produção'!$G:$G,B326), "")</f>
        <v>0</v>
      </c>
      <c r="W326" s="27" t="str">
        <f>IFERROR(SUMIFS([3]EXPEDIÇÃO!$K:$K,[3]EXPEDIÇÃO!$E:$E,D326,[3]EXPEDIÇÃO!$D:$D,C326,[3]EXPEDIÇÃO!$N:$N,"&gt;=" &amp; G326,[3]EXPEDIÇÃO!$N:$N,"&lt;="&amp;N326), "")</f>
        <v/>
      </c>
      <c r="X326" s="27">
        <f>COUNTIFS('[2]Controle de Produção'!$P:$P,C326,'[2]Controle de Produção'!$L:$L,D326,'[2]Controle de Produção'!$B:$B,"&gt;=" &amp; G326)</f>
        <v>1</v>
      </c>
      <c r="Y326" s="27">
        <f t="shared" si="56"/>
        <v>0</v>
      </c>
      <c r="Z326" s="27">
        <f>IFERROR(COUNTIFS('[2]Controle de Produção'!$L:$L,D326,'[2]Controle de Produção'!$P:$P,C326,'[2]Controle de Produção'!$B:$B,"&gt;=" &amp; G326,'[2]Controle de Produção'!$C:$C,"&lt;=" &amp; N326, '[2]Controle de Produção'!$G:$G,B326), "")</f>
        <v>0</v>
      </c>
      <c r="AA326" s="108" t="str">
        <f t="shared" si="50"/>
        <v/>
      </c>
      <c r="AB326" s="41" t="s">
        <v>60</v>
      </c>
      <c r="AC326" s="42" t="b">
        <v>1</v>
      </c>
      <c r="AD326" s="42" t="b">
        <v>1</v>
      </c>
      <c r="AE326" s="42" t="b">
        <v>1</v>
      </c>
      <c r="AF326" s="42" t="b">
        <v>1</v>
      </c>
      <c r="AG326" s="90" t="s">
        <v>38</v>
      </c>
      <c r="AH326" s="42" t="s">
        <v>38</v>
      </c>
      <c r="AI326" s="42" t="b">
        <v>1</v>
      </c>
      <c r="AJ326" s="42" t="s">
        <v>38</v>
      </c>
      <c r="AK326" s="42" t="s">
        <v>38</v>
      </c>
      <c r="AL326" s="42" t="b">
        <v>1</v>
      </c>
      <c r="AM326" s="42" t="b">
        <v>1</v>
      </c>
      <c r="AN326" s="42" t="b">
        <v>1</v>
      </c>
      <c r="AO326" s="45" t="b" cm="1">
        <f t="array" ref="AO326">AND(COUNTIF(AC326:AN326,FALSE)=0,SUMPRODUCT(ISNUMBER(AC326:AN326)*1)=0)</f>
        <v>1</v>
      </c>
      <c r="AP326" s="59"/>
      <c r="AQ326" s="111">
        <f>IF(AB326="",99999999999,IFERROR(MATCH(AB326,{"Produção Parcial","Em Produção","Programado","Não Iniciado","Desenvolv.","Concluído"},0),7)*100000000+IF(ISNUMBER(J326),J326-46000,9999)*10000+IF(A326="",99,A326)*100+IF(C326="",99,CODE(LEFT(C326,1))))</f>
        <v>601610465</v>
      </c>
    </row>
    <row r="327" spans="1:92" s="36" customFormat="1" ht="25.15" hidden="1" customHeight="1" x14ac:dyDescent="0.25">
      <c r="A327" s="36">
        <v>5</v>
      </c>
      <c r="B327" s="38" t="s">
        <v>158</v>
      </c>
      <c r="C327" s="70" t="str">
        <f>INDEX([1]Produtos!$G:$G,MATCH($D327,[1]Produtos!$B:$B,0))</f>
        <v>AMEERATI</v>
      </c>
      <c r="D327" s="24" t="s">
        <v>165</v>
      </c>
      <c r="E327" s="70" t="str">
        <f>INDEX([1]Produtos!$C:$C,MATCH($D327,[1]Produtos!$B:$B,0))&amp;IF($F327&lt;&gt;"-"," - "&amp;LEFT($F327,1),"")&amp;" &gt; "&amp;$B327</f>
        <v>BODY CREAM VERDE SUPREMO - 2 &gt; AMEERATI 01</v>
      </c>
      <c r="F327" s="51">
        <v>2</v>
      </c>
      <c r="G327" s="38">
        <v>46013</v>
      </c>
      <c r="H327" s="39">
        <f>3360-840</f>
        <v>2520</v>
      </c>
      <c r="I327" s="24" t="s">
        <v>39</v>
      </c>
      <c r="J327" s="68" cm="1">
        <f t="array" ref="J327">IFERROR(INDEX('[2]Previsão Envase'!$D$5:$D$4867, MATCH(1,('[2]Previsão Envase'!$F$5:$F$4867=$E327)+('[2]Previsão Envase'!$G$5:$G$4867=$E327)+('[2]Previsão Envase'!$H$5:$H$4867=$E327),0)),"")</f>
        <v>46161</v>
      </c>
      <c r="K327" s="68" t="str">
        <f>IF(COUNTIF('[2]Previsão Envase'!$F:$F,E327)&gt;0,"Linha 1",
IF(COUNTIF('[2]Previsão Envase'!$G:$G,E327)&gt;0,"Linha 2",
IF(COUNTIF('[2]Previsão Envase'!$H:$H,E327)&gt;0,"Linha 3","")))</f>
        <v>Linha 2</v>
      </c>
      <c r="L327" s="96">
        <f>COUNTIF('[2]Previsão Envase'!$F:$H,E327)-COUNTIF('[2]Previsão Envase'!$F$1:$H$4,E327)</f>
        <v>5</v>
      </c>
      <c r="M327" s="35">
        <f t="shared" si="52"/>
        <v>3066.9943017582491</v>
      </c>
      <c r="N327" s="68" t="str">
        <f>IFERROR(MAX(_xlfn.MAXIFS('[2]Controle de Produção'!$C:$C,'[2]Controle de Produção'!$L:$L,$D327,'[2]Controle de Produção'!$P:$P,$C327,'[2]Controle de Produção'!$G:$G,$B327),_xlfn.MAXIFS([3]EXPEDIÇÃO!$N:$N,[3]EXPEDIÇÃO!$E:$E,$D327,[3]EXPEDIÇÃO!$D:$D,$C327,[3]EXPEDIÇÃO!$N:$N,"&gt;="&amp;$G327)),"")</f>
        <v/>
      </c>
      <c r="O327" s="70">
        <f>INDEX([1]Produtos!$E:$E,MATCH($D327,[1]Produtos!$B:$B,0))</f>
        <v>240</v>
      </c>
      <c r="P327" s="70" t="str">
        <f>INDEX([1]Produtos!$F:$F,MATCH($D327,[1]Produtos!$B:$B,0))</f>
        <v>ml</v>
      </c>
      <c r="Q327" s="105">
        <f>INDEX([1]Produtos!$Y:$Y,MATCH($D327,[1]Produtos!$B:$B,0))</f>
        <v>1.48</v>
      </c>
      <c r="R327" s="35">
        <f t="shared" si="53"/>
        <v>5520.5897431648482</v>
      </c>
      <c r="S327" s="27">
        <f>IFERROR(INDEX([1]Produtos!$L:$L,MATCH(D327,[1]Produtos!$B:$B,0)), "")</f>
        <v>613.39886035164977</v>
      </c>
      <c r="T327" s="28">
        <f t="shared" si="54"/>
        <v>4.1999999999999993</v>
      </c>
      <c r="U327" s="28" t="str">
        <f t="shared" si="55"/>
        <v>0D e 5h</v>
      </c>
      <c r="V327" s="57">
        <f>IFERROR(SUMIFS('[2]Controle de Produção'!$K:$K,'[2]Controle de Produção'!$L:$L,D327,'[2]Controle de Produção'!$P:$P,C327,'[2]Controle de Produção'!$B:$B,"&gt;=" &amp; G327,'[2]Controle de Produção'!$C:$C,"&lt;=" &amp; N327, '[2]Controle de Produção'!$G:$G,B327), "")</f>
        <v>0</v>
      </c>
      <c r="W327" s="27" t="str">
        <f>IFERROR(SUMIFS([3]EXPEDIÇÃO!$K:$K,[3]EXPEDIÇÃO!$E:$E,D327,[3]EXPEDIÇÃO!$D:$D,C327,[3]EXPEDIÇÃO!$N:$N,"&gt;=" &amp; G327,[3]EXPEDIÇÃO!$N:$N,"&lt;="&amp;N327), "")</f>
        <v/>
      </c>
      <c r="X327" s="27">
        <f>COUNTIFS('[2]Controle de Produção'!$P:$P,C327,'[2]Controle de Produção'!$L:$L,D327,'[2]Controle de Produção'!$B:$B,"&gt;=" &amp; G327)</f>
        <v>1</v>
      </c>
      <c r="Y327" s="27">
        <f t="shared" si="56"/>
        <v>0</v>
      </c>
      <c r="Z327" s="27">
        <f>IFERROR(COUNTIFS('[2]Controle de Produção'!$L:$L,D327,'[2]Controle de Produção'!$P:$P,C327,'[2]Controle de Produção'!$B:$B,"&gt;=" &amp; G327,'[2]Controle de Produção'!$C:$C,"&lt;=" &amp; N327, '[2]Controle de Produção'!$G:$G,B327), "")</f>
        <v>0</v>
      </c>
      <c r="AA327" s="108" t="str">
        <f t="shared" si="50"/>
        <v/>
      </c>
      <c r="AB327" s="41" t="s">
        <v>60</v>
      </c>
      <c r="AC327" s="42" t="b">
        <v>1</v>
      </c>
      <c r="AD327" s="42" t="b">
        <v>1</v>
      </c>
      <c r="AE327" s="42" t="b">
        <v>1</v>
      </c>
      <c r="AF327" s="42" t="b">
        <v>1</v>
      </c>
      <c r="AG327" s="32" t="s">
        <v>38</v>
      </c>
      <c r="AH327" s="42" t="s">
        <v>38</v>
      </c>
      <c r="AI327" s="42" t="b">
        <v>1</v>
      </c>
      <c r="AJ327" s="42" t="s">
        <v>38</v>
      </c>
      <c r="AK327" s="42" t="s">
        <v>38</v>
      </c>
      <c r="AL327" s="42" t="b">
        <v>1</v>
      </c>
      <c r="AM327" s="42" t="b">
        <v>1</v>
      </c>
      <c r="AN327" s="42" t="b">
        <v>1</v>
      </c>
      <c r="AO327" s="45" t="b" cm="1">
        <f t="array" ref="AO327">AND(COUNTIF(AC327:AN327,FALSE)=0,SUMPRODUCT(ISNUMBER(AC327:AN327)*1)=0)</f>
        <v>1</v>
      </c>
      <c r="AP327" s="59"/>
      <c r="AQ327" s="111">
        <f>IF(AB327="",99999999999,IFERROR(MATCH(AB327,{"Produção Parcial","Em Produção","Programado","Não Iniciado","Desenvolv.","Concluído"},0),7)*100000000+IF(ISNUMBER(J327),J327-46000,9999)*10000+IF(A327="",99,A327)*100+IF(C327="",99,CODE(LEFT(C327,1))))</f>
        <v>601610565</v>
      </c>
    </row>
    <row r="328" spans="1:92" s="36" customFormat="1" ht="25.15" hidden="1" customHeight="1" x14ac:dyDescent="0.25">
      <c r="A328" s="36">
        <v>0</v>
      </c>
      <c r="B328" s="38" t="s">
        <v>158</v>
      </c>
      <c r="C328" s="70" t="str">
        <f>INDEX([1]Produtos!$G:$G,MATCH($D328,[1]Produtos!$B:$B,0))</f>
        <v>AMEERATI</v>
      </c>
      <c r="D328" s="24" t="s">
        <v>283</v>
      </c>
      <c r="E328" s="70" t="str">
        <f>INDEX([1]Produtos!$C:$C,MATCH($D328,[1]Produtos!$B:$B,0))&amp;IF($F328&lt;&gt;"-"," - "&amp;LEFT($F328,1),"")&amp;" &gt; "&amp;$B328</f>
        <v>BODY MIST SUBLIME CEREJA &gt; AMEERATI 01</v>
      </c>
      <c r="F328" s="51" t="s">
        <v>38</v>
      </c>
      <c r="G328" s="38">
        <v>45959</v>
      </c>
      <c r="H328" s="39">
        <v>3360</v>
      </c>
      <c r="I328" s="24" t="s">
        <v>39</v>
      </c>
      <c r="J328" s="68" t="str" cm="1">
        <f t="array" ref="J328">IFERROR(INDEX('[2]Previsão Envase'!$D$5:$D$4867, MATCH(1,('[2]Previsão Envase'!$F$5:$F$4867=$E328)+('[2]Previsão Envase'!$G$5:$G$4867=$E328)+('[2]Previsão Envase'!$H$5:$H$4867=$E328),0)),"")</f>
        <v/>
      </c>
      <c r="K328" s="68" t="str">
        <f>IF(COUNTIF('[2]Previsão Envase'!$F:$F,E328)&gt;0,"Linha 1",
IF(COUNTIF('[2]Previsão Envase'!$G:$G,E328)&gt;0,"Linha 2",
IF(COUNTIF('[2]Previsão Envase'!$H:$H,E328)&gt;0,"Linha 3","")))</f>
        <v/>
      </c>
      <c r="L328" s="96">
        <f>COUNTIF('[2]Previsão Envase'!$F:$H,E328)-COUNTIF('[2]Previsão Envase'!$F$1:$H$4,E328)</f>
        <v>0</v>
      </c>
      <c r="M328" s="35">
        <f t="shared" si="52"/>
        <v>0</v>
      </c>
      <c r="N328" s="68" t="str">
        <f>IFERROR(MAX(_xlfn.MAXIFS('[2]Controle de Produção'!$C:$C,'[2]Controle de Produção'!$L:$L,$D328,'[2]Controle de Produção'!$P:$P,$C328,'[2]Controle de Produção'!$G:$G,$B328),_xlfn.MAXIFS([3]EXPEDIÇÃO!$N:$N,[3]EXPEDIÇÃO!$E:$E,$D328,[3]EXPEDIÇÃO!$D:$D,$C328,[3]EXPEDIÇÃO!$N:$N,"&gt;="&amp;$G328)),"")</f>
        <v/>
      </c>
      <c r="O328" s="70">
        <f>INDEX([1]Produtos!$E:$E,MATCH($D328,[1]Produtos!$B:$B,0))</f>
        <v>250</v>
      </c>
      <c r="P328" s="70" t="str">
        <f>INDEX([1]Produtos!$F:$F,MATCH($D328,[1]Produtos!$B:$B,0))</f>
        <v>ml</v>
      </c>
      <c r="Q328" s="105">
        <f>INDEX([1]Produtos!$Y:$Y,MATCH($D328,[1]Produtos!$B:$B,0))</f>
        <v>1.35</v>
      </c>
      <c r="R328" s="35">
        <f t="shared" si="53"/>
        <v>7592.2902086267013</v>
      </c>
      <c r="S328" s="27">
        <f>IFERROR(INDEX([1]Produtos!$L:$L,MATCH(D328,[1]Produtos!$B:$B,0)), "")</f>
        <v>843.58780095852239</v>
      </c>
      <c r="T328" s="28">
        <f t="shared" si="54"/>
        <v>4</v>
      </c>
      <c r="U328" s="28" t="str">
        <f t="shared" si="55"/>
        <v>0D e 4h</v>
      </c>
      <c r="V328" s="27">
        <f>IFERROR(SUMIFS('[2]Controle de Produção'!$K:$K,'[2]Controle de Produção'!$L:$L,D328,'[2]Controle de Produção'!$P:$P,C328,'[2]Controle de Produção'!$B:$B,"&gt;=" &amp; G328,'[2]Controle de Produção'!$C:$C,"&lt;=" &amp; N328, '[2]Controle de Produção'!$G:$G,B328), "")</f>
        <v>0</v>
      </c>
      <c r="W328" s="27" t="str">
        <f>IFERROR(SUMIFS([3]EXPEDIÇÃO!$K:$K,[3]EXPEDIÇÃO!$E:$E,D328,[3]EXPEDIÇÃO!$D:$D,C328,[3]EXPEDIÇÃO!$N:$N,"&gt;=" &amp; G328,[3]EXPEDIÇÃO!$N:$N,"&lt;="&amp;N328), "")</f>
        <v/>
      </c>
      <c r="X328" s="27">
        <f>COUNTIFS('[2]Controle de Produção'!$P:$P,C328,'[2]Controle de Produção'!$L:$L,D328,'[2]Controle de Produção'!$B:$B,"&gt;=" &amp; G328)</f>
        <v>2</v>
      </c>
      <c r="Y328" s="27">
        <f t="shared" si="56"/>
        <v>0</v>
      </c>
      <c r="Z328" s="27">
        <f>IFERROR(COUNTIFS('[2]Controle de Produção'!$L:$L,D328,'[2]Controle de Produção'!$P:$P,C328,'[2]Controle de Produção'!$B:$B,"&gt;=" &amp; G328,'[2]Controle de Produção'!$C:$C,"&lt;=" &amp; N328, '[2]Controle de Produção'!$G:$G,B328), "")</f>
        <v>0</v>
      </c>
      <c r="AA328" s="108" t="str">
        <f t="shared" si="50"/>
        <v/>
      </c>
      <c r="AB328" s="41" t="s">
        <v>60</v>
      </c>
      <c r="AC328" s="42" t="b">
        <v>1</v>
      </c>
      <c r="AD328" s="42" t="b">
        <v>1</v>
      </c>
      <c r="AE328" s="42" t="b">
        <v>1</v>
      </c>
      <c r="AF328" s="42" t="b">
        <v>1</v>
      </c>
      <c r="AG328" s="32" t="s">
        <v>38</v>
      </c>
      <c r="AH328" s="42" t="s">
        <v>38</v>
      </c>
      <c r="AI328" s="42" t="b">
        <v>1</v>
      </c>
      <c r="AJ328" s="42" t="b">
        <v>1</v>
      </c>
      <c r="AK328" s="42" t="b">
        <v>0</v>
      </c>
      <c r="AL328" s="42" t="b">
        <v>1</v>
      </c>
      <c r="AM328" s="42" t="b">
        <v>1</v>
      </c>
      <c r="AN328" s="42" t="b">
        <v>1</v>
      </c>
      <c r="AO328" s="45" t="b" cm="1">
        <f t="array" ref="AO328">AND(COUNTIF(AC328:AN328,FALSE)=0,SUMPRODUCT(ISNUMBER(AC328:AN328)*1)=0)</f>
        <v>0</v>
      </c>
      <c r="AP328" s="59"/>
      <c r="AQ328" s="111">
        <f>IF(AB328="",99999999999,IFERROR(MATCH(AB328,{"Produção Parcial","Em Produção","Programado","Não Iniciado","Desenvolv.","Concluído"},0),7)*100000000+IF(ISNUMBER(J328),J328-46000,9999)*10000+IF(A328="",99,A328)*100+IF(C328="",99,CODE(LEFT(C328,1))))</f>
        <v>699990065</v>
      </c>
    </row>
    <row r="329" spans="1:92" s="36" customFormat="1" ht="25.15" hidden="1" customHeight="1" x14ac:dyDescent="0.25">
      <c r="A329" s="36">
        <v>0</v>
      </c>
      <c r="B329" s="38" t="s">
        <v>158</v>
      </c>
      <c r="C329" s="70" t="str">
        <f>INDEX([1]Produtos!$G:$G,MATCH($D329,[1]Produtos!$B:$B,0))</f>
        <v>AMEERATI</v>
      </c>
      <c r="D329" s="24" t="s">
        <v>159</v>
      </c>
      <c r="E329" s="70" t="str">
        <f>INDEX([1]Produtos!$C:$C,MATCH($D329,[1]Produtos!$B:$B,0))&amp;IF($F329&lt;&gt;"-"," - "&amp;LEFT($F329,1),"")&amp;" &gt; "&amp;$B329</f>
        <v>BODY CREAM SUBLIME CEREJA - 1 &gt; AMEERATI 01</v>
      </c>
      <c r="F329" s="51">
        <v>1</v>
      </c>
      <c r="G329" s="38">
        <v>45959</v>
      </c>
      <c r="H329" s="39">
        <v>840</v>
      </c>
      <c r="I329" s="24" t="s">
        <v>39</v>
      </c>
      <c r="J329" s="68" t="str" cm="1">
        <f t="array" ref="J329">IFERROR(INDEX('[2]Previsão Envase'!$D$5:$D$4867, MATCH(1,('[2]Previsão Envase'!$F$5:$F$4867=$E329)+('[2]Previsão Envase'!$G$5:$G$4867=$E329)+('[2]Previsão Envase'!$H$5:$H$4867=$E329),0)),"")</f>
        <v/>
      </c>
      <c r="K329" s="68" t="str">
        <f>IF(COUNTIF('[2]Previsão Envase'!$F:$F,E329)&gt;0,"Linha 1",
IF(COUNTIF('[2]Previsão Envase'!$G:$G,E329)&gt;0,"Linha 2",
IF(COUNTIF('[2]Previsão Envase'!$H:$H,E329)&gt;0,"Linha 3","")))</f>
        <v/>
      </c>
      <c r="L329" s="96">
        <f>COUNTIF('[2]Previsão Envase'!$F:$H,E329)-COUNTIF('[2]Previsão Envase'!$F$1:$H$4,E329)</f>
        <v>0</v>
      </c>
      <c r="M329" s="35">
        <f t="shared" si="52"/>
        <v>0</v>
      </c>
      <c r="N329" s="68" t="str">
        <f>IFERROR(MAX(_xlfn.MAXIFS('[2]Controle de Produção'!$C:$C,'[2]Controle de Produção'!$L:$L,$D329,'[2]Controle de Produção'!$P:$P,$C329,'[2]Controle de Produção'!$G:$G,$B329),_xlfn.MAXIFS([3]EXPEDIÇÃO!$N:$N,[3]EXPEDIÇÃO!$E:$E,$D329,[3]EXPEDIÇÃO!$D:$D,$C329,[3]EXPEDIÇÃO!$N:$N,"&gt;="&amp;$G329)),"")</f>
        <v/>
      </c>
      <c r="O329" s="70">
        <f>INDEX([1]Produtos!$E:$E,MATCH($D329,[1]Produtos!$B:$B,0))</f>
        <v>240</v>
      </c>
      <c r="P329" s="70" t="str">
        <f>INDEX([1]Produtos!$F:$F,MATCH($D329,[1]Produtos!$B:$B,0))</f>
        <v>ml</v>
      </c>
      <c r="Q329" s="105">
        <f>INDEX([1]Produtos!$Y:$Y,MATCH($D329,[1]Produtos!$B:$B,0))</f>
        <v>1.48</v>
      </c>
      <c r="R329" s="35">
        <f t="shared" si="53"/>
        <v>5520.5897431648482</v>
      </c>
      <c r="S329" s="27">
        <f>IFERROR(INDEX([1]Produtos!$L:$L,MATCH(D329,[1]Produtos!$B:$B,0)), "")</f>
        <v>613.39886035164977</v>
      </c>
      <c r="T329" s="28">
        <f t="shared" si="54"/>
        <v>1.4000000000000001</v>
      </c>
      <c r="U329" s="28" t="str">
        <f t="shared" si="55"/>
        <v>0D e 2h</v>
      </c>
      <c r="V329" s="27">
        <f>IFERROR(SUMIFS('[2]Controle de Produção'!$K:$K,'[2]Controle de Produção'!$L:$L,D329,'[2]Controle de Produção'!$P:$P,C329,'[2]Controle de Produção'!$B:$B,"&gt;=" &amp; G329,'[2]Controle de Produção'!$C:$C,"&lt;=" &amp; N329, '[2]Controle de Produção'!$G:$G,B329), "")</f>
        <v>0</v>
      </c>
      <c r="W329" s="27" t="str">
        <f>IFERROR(SUMIFS([3]EXPEDIÇÃO!$K:$K,[3]EXPEDIÇÃO!$E:$E,D329,[3]EXPEDIÇÃO!$D:$D,C329,[3]EXPEDIÇÃO!$N:$N,"&gt;=" &amp; G329,[3]EXPEDIÇÃO!$N:$N,"&lt;="&amp;N329), "")</f>
        <v/>
      </c>
      <c r="X329" s="27">
        <f>COUNTIFS('[2]Controle de Produção'!$P:$P,C329,'[2]Controle de Produção'!$L:$L,D329,'[2]Controle de Produção'!$B:$B,"&gt;=" &amp; G329)</f>
        <v>2</v>
      </c>
      <c r="Y329" s="27">
        <f t="shared" si="56"/>
        <v>0</v>
      </c>
      <c r="Z329" s="27">
        <f>IFERROR(COUNTIFS('[2]Controle de Produção'!$L:$L,D329,'[2]Controle de Produção'!$P:$P,C329,'[2]Controle de Produção'!$B:$B,"&gt;=" &amp; G329,'[2]Controle de Produção'!$C:$C,"&lt;=" &amp; N329, '[2]Controle de Produção'!$G:$G,B329), "")</f>
        <v>0</v>
      </c>
      <c r="AA329" s="108" t="str">
        <f t="shared" si="50"/>
        <v/>
      </c>
      <c r="AB329" s="41" t="s">
        <v>60</v>
      </c>
      <c r="AC329" s="42" t="b">
        <v>1</v>
      </c>
      <c r="AD329" s="42" t="b">
        <v>1</v>
      </c>
      <c r="AE329" s="42" t="b">
        <v>1</v>
      </c>
      <c r="AF329" s="42" t="b">
        <v>1</v>
      </c>
      <c r="AG329" s="32" t="s">
        <v>38</v>
      </c>
      <c r="AH329" s="42" t="s">
        <v>38</v>
      </c>
      <c r="AI329" s="42" t="b">
        <v>1</v>
      </c>
      <c r="AJ329" s="42" t="b">
        <v>1</v>
      </c>
      <c r="AK329" s="42" t="b">
        <v>0</v>
      </c>
      <c r="AL329" s="42" t="b">
        <v>1</v>
      </c>
      <c r="AM329" s="42" t="b">
        <v>1</v>
      </c>
      <c r="AN329" s="42" t="b">
        <v>1</v>
      </c>
      <c r="AO329" s="45" t="b" cm="1">
        <f t="array" ref="AO329">AND(COUNTIF(AC329:AN329,FALSE)=0,SUMPRODUCT(ISNUMBER(AC329:AN329)*1)=0)</f>
        <v>0</v>
      </c>
      <c r="AP329" s="59"/>
      <c r="AQ329" s="111">
        <f>IF(AB329="",99999999999,IFERROR(MATCH(AB329,{"Produção Parcial","Em Produção","Programado","Não Iniciado","Desenvolv.","Concluído"},0),7)*100000000+IF(ISNUMBER(J329),J329-46000,9999)*10000+IF(A329="",99,A329)*100+IF(C329="",99,CODE(LEFT(C329,1))))</f>
        <v>699990065</v>
      </c>
    </row>
    <row r="330" spans="1:92" s="36" customFormat="1" ht="25.15" hidden="1" customHeight="1" x14ac:dyDescent="0.25">
      <c r="A330" s="36">
        <v>0</v>
      </c>
      <c r="B330" s="38" t="s">
        <v>158</v>
      </c>
      <c r="C330" s="70" t="str">
        <f>INDEX([1]Produtos!$G:$G,MATCH($D330,[1]Produtos!$B:$B,0))</f>
        <v>AMEERATI</v>
      </c>
      <c r="D330" s="24" t="s">
        <v>207</v>
      </c>
      <c r="E330" s="70" t="str">
        <f>INDEX([1]Produtos!$C:$C,MATCH($D330,[1]Produtos!$B:$B,0))&amp;IF($F330&lt;&gt;"-"," - "&amp;LEFT($F330,1),"")&amp;" &gt; "&amp;$B330</f>
        <v>BODY CREAM FLOR DO DESERTO - 1 &gt; AMEERATI 01</v>
      </c>
      <c r="F330" s="51">
        <v>1</v>
      </c>
      <c r="G330" s="38">
        <v>45959</v>
      </c>
      <c r="H330" s="39">
        <v>840</v>
      </c>
      <c r="I330" s="24" t="s">
        <v>39</v>
      </c>
      <c r="J330" s="68" t="str" cm="1">
        <f t="array" ref="J330">IFERROR(INDEX('[2]Previsão Envase'!$D$5:$D$4867, MATCH(1,('[2]Previsão Envase'!$F$5:$F$4867=$E330)+('[2]Previsão Envase'!$G$5:$G$4867=$E330)+('[2]Previsão Envase'!$H$5:$H$4867=$E330),0)),"")</f>
        <v/>
      </c>
      <c r="K330" s="68" t="str">
        <f>IF(COUNTIF('[2]Previsão Envase'!$F:$F,E330)&gt;0,"Linha 1",
IF(COUNTIF('[2]Previsão Envase'!$G:$G,E330)&gt;0,"Linha 2",
IF(COUNTIF('[2]Previsão Envase'!$H:$H,E330)&gt;0,"Linha 3","")))</f>
        <v/>
      </c>
      <c r="L330" s="96">
        <f>COUNTIF('[2]Previsão Envase'!$F:$H,E330)-COUNTIF('[2]Previsão Envase'!$F$1:$H$4,E330)</f>
        <v>0</v>
      </c>
      <c r="M330" s="35">
        <f t="shared" si="52"/>
        <v>0</v>
      </c>
      <c r="N330" s="68" t="str">
        <f>IFERROR(MAX(_xlfn.MAXIFS('[2]Controle de Produção'!$C:$C,'[2]Controle de Produção'!$L:$L,$D330,'[2]Controle de Produção'!$P:$P,$C330,'[2]Controle de Produção'!$G:$G,$B330),_xlfn.MAXIFS([3]EXPEDIÇÃO!$N:$N,[3]EXPEDIÇÃO!$E:$E,$D330,[3]EXPEDIÇÃO!$D:$D,$C330,[3]EXPEDIÇÃO!$N:$N,"&gt;="&amp;$G330)),"")</f>
        <v/>
      </c>
      <c r="O330" s="70">
        <f>INDEX([1]Produtos!$E:$E,MATCH($D330,[1]Produtos!$B:$B,0))</f>
        <v>240</v>
      </c>
      <c r="P330" s="70" t="str">
        <f>INDEX([1]Produtos!$F:$F,MATCH($D330,[1]Produtos!$B:$B,0))</f>
        <v>ml</v>
      </c>
      <c r="Q330" s="105">
        <f>INDEX([1]Produtos!$Y:$Y,MATCH($D330,[1]Produtos!$B:$B,0))</f>
        <v>1.48</v>
      </c>
      <c r="R330" s="35">
        <f t="shared" si="53"/>
        <v>5520.5897431648482</v>
      </c>
      <c r="S330" s="27">
        <f>IFERROR(INDEX([1]Produtos!$L:$L,MATCH(D330,[1]Produtos!$B:$B,0)), "")</f>
        <v>613.39886035164977</v>
      </c>
      <c r="T330" s="28">
        <f t="shared" si="54"/>
        <v>1.4000000000000001</v>
      </c>
      <c r="U330" s="28" t="str">
        <f t="shared" si="55"/>
        <v>0D e 2h</v>
      </c>
      <c r="V330" s="27">
        <f>IFERROR(SUMIFS('[2]Controle de Produção'!$K:$K,'[2]Controle de Produção'!$L:$L,D330,'[2]Controle de Produção'!$P:$P,C330,'[2]Controle de Produção'!$B:$B,"&gt;=" &amp; G330,'[2]Controle de Produção'!$C:$C,"&lt;=" &amp; N330, '[2]Controle de Produção'!$G:$G,B330), "")</f>
        <v>0</v>
      </c>
      <c r="W330" s="27" t="str">
        <f>IFERROR(SUMIFS([3]EXPEDIÇÃO!$K:$K,[3]EXPEDIÇÃO!$E:$E,D330,[3]EXPEDIÇÃO!$D:$D,C330,[3]EXPEDIÇÃO!$N:$N,"&gt;=" &amp; G330,[3]EXPEDIÇÃO!$N:$N,"&lt;="&amp;N330), "")</f>
        <v/>
      </c>
      <c r="X330" s="27">
        <f>COUNTIFS('[2]Controle de Produção'!$P:$P,C330,'[2]Controle de Produção'!$L:$L,D330,'[2]Controle de Produção'!$B:$B,"&gt;=" &amp; G330)</f>
        <v>2</v>
      </c>
      <c r="Y330" s="27">
        <f t="shared" si="56"/>
        <v>0</v>
      </c>
      <c r="Z330" s="27">
        <f>IFERROR(COUNTIFS('[2]Controle de Produção'!$L:$L,D330,'[2]Controle de Produção'!$P:$P,C330,'[2]Controle de Produção'!$B:$B,"&gt;=" &amp; G330,'[2]Controle de Produção'!$C:$C,"&lt;=" &amp; N330, '[2]Controle de Produção'!$G:$G,B330), "")</f>
        <v>0</v>
      </c>
      <c r="AA330" s="108" t="str">
        <f t="shared" si="50"/>
        <v/>
      </c>
      <c r="AB330" s="41" t="s">
        <v>60</v>
      </c>
      <c r="AC330" s="42" t="b">
        <v>1</v>
      </c>
      <c r="AD330" s="42" t="b">
        <v>1</v>
      </c>
      <c r="AE330" s="42" t="b">
        <v>1</v>
      </c>
      <c r="AF330" s="42" t="b">
        <v>1</v>
      </c>
      <c r="AG330" s="32" t="s">
        <v>38</v>
      </c>
      <c r="AH330" s="42" t="s">
        <v>38</v>
      </c>
      <c r="AI330" s="42" t="b">
        <v>1</v>
      </c>
      <c r="AJ330" s="42" t="b">
        <v>1</v>
      </c>
      <c r="AK330" s="42" t="s">
        <v>38</v>
      </c>
      <c r="AL330" s="42" t="b">
        <v>1</v>
      </c>
      <c r="AM330" s="42" t="b">
        <v>1</v>
      </c>
      <c r="AN330" s="42" t="b">
        <v>1</v>
      </c>
      <c r="AO330" s="45" t="b" cm="1">
        <f t="array" ref="AO330">AND(COUNTIF(AC330:AN330,FALSE)=0,SUMPRODUCT(ISNUMBER(AC330:AN330)*1)=0)</f>
        <v>1</v>
      </c>
      <c r="AP330" s="59"/>
      <c r="AQ330" s="111">
        <f>IF(AB330="",99999999999,IFERROR(MATCH(AB330,{"Produção Parcial","Em Produção","Programado","Não Iniciado","Desenvolv.","Concluído"},0),7)*100000000+IF(ISNUMBER(J330),J330-46000,9999)*10000+IF(A330="",99,A330)*100+IF(C330="",99,CODE(LEFT(C330,1))))</f>
        <v>699990065</v>
      </c>
    </row>
    <row r="331" spans="1:92" s="36" customFormat="1" ht="25.15" hidden="1" customHeight="1" x14ac:dyDescent="0.25">
      <c r="A331" s="36">
        <v>0</v>
      </c>
      <c r="B331" s="38" t="s">
        <v>158</v>
      </c>
      <c r="C331" s="70" t="str">
        <f>INDEX([1]Produtos!$G:$G,MATCH($D331,[1]Produtos!$B:$B,0))</f>
        <v>AMEERATI</v>
      </c>
      <c r="D331" s="24" t="s">
        <v>218</v>
      </c>
      <c r="E331" s="70" t="str">
        <f>INDEX([1]Produtos!$C:$C,MATCH($D331,[1]Produtos!$B:$B,0))&amp;IF($F331&lt;&gt;"-"," - "&amp;LEFT($F331,1),"")&amp;" &gt; "&amp;$B331</f>
        <v>BODY CREAM JARDINS DO ORIENTE - 1 &gt; AMEERATI 01</v>
      </c>
      <c r="F331" s="51">
        <v>1</v>
      </c>
      <c r="G331" s="38">
        <v>45959</v>
      </c>
      <c r="H331" s="39">
        <v>840</v>
      </c>
      <c r="I331" s="24" t="s">
        <v>39</v>
      </c>
      <c r="J331" s="68" t="str" cm="1">
        <f t="array" ref="J331">IFERROR(INDEX('[2]Previsão Envase'!$D$5:$D$4867, MATCH(1,('[2]Previsão Envase'!$F$5:$F$4867=$E331)+('[2]Previsão Envase'!$G$5:$G$4867=$E331)+('[2]Previsão Envase'!$H$5:$H$4867=$E331),0)),"")</f>
        <v/>
      </c>
      <c r="K331" s="68" t="str">
        <f>IF(COUNTIF('[2]Previsão Envase'!$F:$F,E331)&gt;0,"Linha 1",
IF(COUNTIF('[2]Previsão Envase'!$G:$G,E331)&gt;0,"Linha 2",
IF(COUNTIF('[2]Previsão Envase'!$H:$H,E331)&gt;0,"Linha 3","")))</f>
        <v/>
      </c>
      <c r="L331" s="96">
        <f>COUNTIF('[2]Previsão Envase'!$F:$H,E331)-COUNTIF('[2]Previsão Envase'!$F$1:$H$4,E331)</f>
        <v>0</v>
      </c>
      <c r="M331" s="35">
        <f t="shared" si="52"/>
        <v>0</v>
      </c>
      <c r="N331" s="68" t="str">
        <f>IFERROR(MAX(_xlfn.MAXIFS('[2]Controle de Produção'!$C:$C,'[2]Controle de Produção'!$L:$L,$D331,'[2]Controle de Produção'!$P:$P,$C331,'[2]Controle de Produção'!$G:$G,$B331),_xlfn.MAXIFS([3]EXPEDIÇÃO!$N:$N,[3]EXPEDIÇÃO!$E:$E,$D331,[3]EXPEDIÇÃO!$D:$D,$C331,[3]EXPEDIÇÃO!$N:$N,"&gt;="&amp;$G331)),"")</f>
        <v/>
      </c>
      <c r="O331" s="70">
        <f>INDEX([1]Produtos!$E:$E,MATCH($D331,[1]Produtos!$B:$B,0))</f>
        <v>240</v>
      </c>
      <c r="P331" s="70" t="str">
        <f>INDEX([1]Produtos!$F:$F,MATCH($D331,[1]Produtos!$B:$B,0))</f>
        <v>ml</v>
      </c>
      <c r="Q331" s="105">
        <f>INDEX([1]Produtos!$Y:$Y,MATCH($D331,[1]Produtos!$B:$B,0))</f>
        <v>1.48</v>
      </c>
      <c r="R331" s="35">
        <f t="shared" si="53"/>
        <v>5520.5897431648482</v>
      </c>
      <c r="S331" s="27">
        <f>IFERROR(INDEX([1]Produtos!$L:$L,MATCH(D331,[1]Produtos!$B:$B,0)), "")</f>
        <v>613.39886035164977</v>
      </c>
      <c r="T331" s="28">
        <f t="shared" si="54"/>
        <v>1.4000000000000001</v>
      </c>
      <c r="U331" s="28" t="str">
        <f t="shared" si="55"/>
        <v>0D e 2h</v>
      </c>
      <c r="V331" s="27">
        <f>IFERROR(SUMIFS('[2]Controle de Produção'!$K:$K,'[2]Controle de Produção'!$L:$L,D331,'[2]Controle de Produção'!$P:$P,C331,'[2]Controle de Produção'!$B:$B,"&gt;=" &amp; G331,'[2]Controle de Produção'!$C:$C,"&lt;=" &amp; N331, '[2]Controle de Produção'!$G:$G,B331), "")</f>
        <v>0</v>
      </c>
      <c r="W331" s="27" t="str">
        <f>IFERROR(SUMIFS([3]EXPEDIÇÃO!$K:$K,[3]EXPEDIÇÃO!$E:$E,D331,[3]EXPEDIÇÃO!$D:$D,C331,[3]EXPEDIÇÃO!$N:$N,"&gt;=" &amp; G331,[3]EXPEDIÇÃO!$N:$N,"&lt;="&amp;N331), "")</f>
        <v/>
      </c>
      <c r="X331" s="27">
        <f>COUNTIFS('[2]Controle de Produção'!$P:$P,C331,'[2]Controle de Produção'!$L:$L,D331,'[2]Controle de Produção'!$B:$B,"&gt;=" &amp; G331)</f>
        <v>2</v>
      </c>
      <c r="Y331" s="27">
        <f t="shared" si="56"/>
        <v>0</v>
      </c>
      <c r="Z331" s="27">
        <f>IFERROR(COUNTIFS('[2]Controle de Produção'!$L:$L,D331,'[2]Controle de Produção'!$P:$P,C331,'[2]Controle de Produção'!$B:$B,"&gt;=" &amp; G331,'[2]Controle de Produção'!$C:$C,"&lt;=" &amp; N331, '[2]Controle de Produção'!$G:$G,B331), "")</f>
        <v>0</v>
      </c>
      <c r="AA331" s="108" t="str">
        <f t="shared" si="50"/>
        <v/>
      </c>
      <c r="AB331" s="41" t="s">
        <v>60</v>
      </c>
      <c r="AC331" s="42" t="b">
        <v>1</v>
      </c>
      <c r="AD331" s="32" t="b">
        <v>1</v>
      </c>
      <c r="AE331" s="32" t="b">
        <v>1</v>
      </c>
      <c r="AF331" s="32" t="b">
        <v>1</v>
      </c>
      <c r="AG331" s="32" t="s">
        <v>38</v>
      </c>
      <c r="AH331" s="32" t="s">
        <v>38</v>
      </c>
      <c r="AI331" s="32" t="b">
        <v>1</v>
      </c>
      <c r="AJ331" s="32" t="b">
        <v>1</v>
      </c>
      <c r="AK331" s="90" t="s">
        <v>38</v>
      </c>
      <c r="AL331" s="42" t="b">
        <v>1</v>
      </c>
      <c r="AM331" s="42" t="b">
        <v>1</v>
      </c>
      <c r="AN331" s="42" t="b">
        <v>1</v>
      </c>
      <c r="AO331" s="45" t="b" cm="1">
        <f t="array" ref="AO331">AND(COUNTIF(AC331:AN331,FALSE)=0,SUMPRODUCT(ISNUMBER(AC331:AN331)*1)=0)</f>
        <v>1</v>
      </c>
      <c r="AP331" s="59"/>
      <c r="AQ331" s="111">
        <f>IF(AB331="",99999999999,IFERROR(MATCH(AB331,{"Produção Parcial","Em Produção","Programado","Não Iniciado","Desenvolv.","Concluído"},0),7)*100000000+IF(ISNUMBER(J331),J331-46000,9999)*10000+IF(A331="",99,A331)*100+IF(C331="",99,CODE(LEFT(C331,1))))</f>
        <v>699990065</v>
      </c>
    </row>
    <row r="332" spans="1:92" s="36" customFormat="1" ht="25.15" hidden="1" customHeight="1" x14ac:dyDescent="0.25">
      <c r="A332" s="36">
        <v>0</v>
      </c>
      <c r="B332" s="38" t="s">
        <v>158</v>
      </c>
      <c r="C332" s="70" t="str">
        <f>INDEX([1]Produtos!$G:$G,MATCH($D332,[1]Produtos!$B:$B,0))</f>
        <v>AMEERATI</v>
      </c>
      <c r="D332" s="24" t="s">
        <v>196</v>
      </c>
      <c r="E332" s="70" t="str">
        <f>INDEX([1]Produtos!$C:$C,MATCH($D332,[1]Produtos!$B:$B,0))&amp;IF($F332&lt;&gt;"-"," - "&amp;LEFT($F332,1),"")&amp;" &gt; "&amp;$B332</f>
        <v>BODY CREAM MEL DE ESPECIARIAS - 1 &gt; AMEERATI 01</v>
      </c>
      <c r="F332" s="51">
        <v>1</v>
      </c>
      <c r="G332" s="38">
        <v>45959</v>
      </c>
      <c r="H332" s="39">
        <v>840</v>
      </c>
      <c r="I332" s="24" t="s">
        <v>39</v>
      </c>
      <c r="J332" s="68" t="str" cm="1">
        <f t="array" ref="J332">IFERROR(INDEX('[2]Previsão Envase'!$D$5:$D$4867, MATCH(1,('[2]Previsão Envase'!$F$5:$F$4867=$E332)+('[2]Previsão Envase'!$G$5:$G$4867=$E332)+('[2]Previsão Envase'!$H$5:$H$4867=$E332),0)),"")</f>
        <v/>
      </c>
      <c r="K332" s="68" t="str">
        <f>IF(COUNTIF('[2]Previsão Envase'!$F:$F,E332)&gt;0,"Linha 1",
IF(COUNTIF('[2]Previsão Envase'!$G:$G,E332)&gt;0,"Linha 2",
IF(COUNTIF('[2]Previsão Envase'!$H:$H,E332)&gt;0,"Linha 3","")))</f>
        <v/>
      </c>
      <c r="L332" s="96">
        <f>COUNTIF('[2]Previsão Envase'!$F:$H,E332)-COUNTIF('[2]Previsão Envase'!$F$1:$H$4,E332)</f>
        <v>0</v>
      </c>
      <c r="M332" s="35">
        <f t="shared" si="52"/>
        <v>0</v>
      </c>
      <c r="N332" s="68" t="str">
        <f>IFERROR(MAX(_xlfn.MAXIFS('[2]Controle de Produção'!$C:$C,'[2]Controle de Produção'!$L:$L,$D332,'[2]Controle de Produção'!$P:$P,$C332,'[2]Controle de Produção'!$G:$G,$B332),_xlfn.MAXIFS([3]EXPEDIÇÃO!$N:$N,[3]EXPEDIÇÃO!$E:$E,$D332,[3]EXPEDIÇÃO!$D:$D,$C332,[3]EXPEDIÇÃO!$N:$N,"&gt;="&amp;$G332)),"")</f>
        <v/>
      </c>
      <c r="O332" s="70">
        <f>INDEX([1]Produtos!$E:$E,MATCH($D332,[1]Produtos!$B:$B,0))</f>
        <v>240</v>
      </c>
      <c r="P332" s="70" t="str">
        <f>INDEX([1]Produtos!$F:$F,MATCH($D332,[1]Produtos!$B:$B,0))</f>
        <v>ml</v>
      </c>
      <c r="Q332" s="105">
        <f>INDEX([1]Produtos!$Y:$Y,MATCH($D332,[1]Produtos!$B:$B,0))</f>
        <v>1.48</v>
      </c>
      <c r="R332" s="35">
        <f t="shared" si="53"/>
        <v>5520.5897431648482</v>
      </c>
      <c r="S332" s="27">
        <f>IFERROR(INDEX([1]Produtos!$L:$L,MATCH(D332,[1]Produtos!$B:$B,0)), "")</f>
        <v>613.39886035164977</v>
      </c>
      <c r="T332" s="28">
        <f t="shared" si="54"/>
        <v>1.4000000000000001</v>
      </c>
      <c r="U332" s="28" t="str">
        <f t="shared" si="55"/>
        <v>0D e 2h</v>
      </c>
      <c r="V332" s="27">
        <f>IFERROR(SUMIFS('[2]Controle de Produção'!$K:$K,'[2]Controle de Produção'!$L:$L,D332,'[2]Controle de Produção'!$P:$P,C332,'[2]Controle de Produção'!$B:$B,"&gt;=" &amp; G332,'[2]Controle de Produção'!$C:$C,"&lt;=" &amp; N332, '[2]Controle de Produção'!$G:$G,B332), "")</f>
        <v>0</v>
      </c>
      <c r="W332" s="27" t="str">
        <f>IFERROR(SUMIFS([3]EXPEDIÇÃO!$K:$K,[3]EXPEDIÇÃO!$E:$E,D332,[3]EXPEDIÇÃO!$D:$D,C332,[3]EXPEDIÇÃO!$N:$N,"&gt;=" &amp; G332,[3]EXPEDIÇÃO!$N:$N,"&lt;="&amp;N332), "")</f>
        <v/>
      </c>
      <c r="X332" s="27">
        <f>COUNTIFS('[2]Controle de Produção'!$P:$P,C332,'[2]Controle de Produção'!$L:$L,D332,'[2]Controle de Produção'!$B:$B,"&gt;=" &amp; G332)</f>
        <v>2</v>
      </c>
      <c r="Y332" s="27">
        <f t="shared" si="56"/>
        <v>0</v>
      </c>
      <c r="Z332" s="27">
        <f>IFERROR(COUNTIFS('[2]Controle de Produção'!$L:$L,D332,'[2]Controle de Produção'!$P:$P,C332,'[2]Controle de Produção'!$B:$B,"&gt;=" &amp; G332,'[2]Controle de Produção'!$C:$C,"&lt;=" &amp; N332, '[2]Controle de Produção'!$G:$G,B332), "")</f>
        <v>0</v>
      </c>
      <c r="AA332" s="108" t="str">
        <f t="shared" si="50"/>
        <v/>
      </c>
      <c r="AB332" s="41" t="s">
        <v>60</v>
      </c>
      <c r="AC332" s="42" t="b">
        <v>1</v>
      </c>
      <c r="AD332" s="32" t="b">
        <v>1</v>
      </c>
      <c r="AE332" s="32" t="b">
        <v>1</v>
      </c>
      <c r="AF332" s="32" t="b">
        <v>1</v>
      </c>
      <c r="AG332" s="32" t="s">
        <v>38</v>
      </c>
      <c r="AH332" s="32" t="s">
        <v>38</v>
      </c>
      <c r="AI332" s="32" t="b">
        <v>1</v>
      </c>
      <c r="AJ332" s="32" t="b">
        <v>1</v>
      </c>
      <c r="AK332" s="90" t="s">
        <v>38</v>
      </c>
      <c r="AL332" s="42" t="b">
        <v>1</v>
      </c>
      <c r="AM332" s="42" t="b">
        <v>1</v>
      </c>
      <c r="AN332" s="42" t="b">
        <v>1</v>
      </c>
      <c r="AO332" s="45" t="b" cm="1">
        <f t="array" ref="AO332">AND(COUNTIF(AC332:AN332,FALSE)=0,SUMPRODUCT(ISNUMBER(AC332:AN332)*1)=0)</f>
        <v>1</v>
      </c>
      <c r="AP332" s="59"/>
      <c r="AQ332" s="111">
        <f>IF(AB332="",99999999999,IFERROR(MATCH(AB332,{"Produção Parcial","Em Produção","Programado","Não Iniciado","Desenvolv.","Concluído"},0),7)*100000000+IF(ISNUMBER(J332),J332-46000,9999)*10000+IF(A332="",99,A332)*100+IF(C332="",99,CODE(LEFT(C332,1))))</f>
        <v>699990065</v>
      </c>
    </row>
    <row r="333" spans="1:92" s="36" customFormat="1" ht="25.15" hidden="1" customHeight="1" x14ac:dyDescent="0.25">
      <c r="A333" s="36">
        <v>0</v>
      </c>
      <c r="B333" s="38" t="s">
        <v>158</v>
      </c>
      <c r="C333" s="70" t="str">
        <f>INDEX([1]Produtos!$G:$G,MATCH($D333,[1]Produtos!$B:$B,0))</f>
        <v>AMEERATI</v>
      </c>
      <c r="D333" s="24" t="s">
        <v>206</v>
      </c>
      <c r="E333" s="70" t="str">
        <f>INDEX([1]Produtos!$C:$C,MATCH($D333,[1]Produtos!$B:$B,0))&amp;IF($F333&lt;&gt;"-"," - "&amp;LEFT($F333,1),"")&amp;" &gt; "&amp;$B333</f>
        <v>BODY CREAM PEROLA DO DESERTO - 1 &gt; AMEERATI 01</v>
      </c>
      <c r="F333" s="51">
        <v>1</v>
      </c>
      <c r="G333" s="38">
        <v>45959</v>
      </c>
      <c r="H333" s="39">
        <v>840</v>
      </c>
      <c r="I333" s="24" t="s">
        <v>39</v>
      </c>
      <c r="J333" s="68" t="str" cm="1">
        <f t="array" ref="J333">IFERROR(INDEX('[2]Previsão Envase'!$D$5:$D$4867, MATCH(1,('[2]Previsão Envase'!$F$5:$F$4867=$E333)+('[2]Previsão Envase'!$G$5:$G$4867=$E333)+('[2]Previsão Envase'!$H$5:$H$4867=$E333),0)),"")</f>
        <v/>
      </c>
      <c r="K333" s="68" t="str">
        <f>IF(COUNTIF('[2]Previsão Envase'!$F:$F,E333)&gt;0,"Linha 1",
IF(COUNTIF('[2]Previsão Envase'!$G:$G,E333)&gt;0,"Linha 2",
IF(COUNTIF('[2]Previsão Envase'!$H:$H,E333)&gt;0,"Linha 3","")))</f>
        <v/>
      </c>
      <c r="L333" s="96">
        <f>COUNTIF('[2]Previsão Envase'!$F:$H,E333)-COUNTIF('[2]Previsão Envase'!$F$1:$H$4,E333)</f>
        <v>0</v>
      </c>
      <c r="M333" s="35">
        <f t="shared" si="52"/>
        <v>0</v>
      </c>
      <c r="N333" s="68" t="str">
        <f>IFERROR(MAX(_xlfn.MAXIFS('[2]Controle de Produção'!$C:$C,'[2]Controle de Produção'!$L:$L,$D333,'[2]Controle de Produção'!$P:$P,$C333,'[2]Controle de Produção'!$G:$G,$B333),_xlfn.MAXIFS([3]EXPEDIÇÃO!$N:$N,[3]EXPEDIÇÃO!$E:$E,$D333,[3]EXPEDIÇÃO!$D:$D,$C333,[3]EXPEDIÇÃO!$N:$N,"&gt;="&amp;$G333)),"")</f>
        <v/>
      </c>
      <c r="O333" s="70">
        <f>INDEX([1]Produtos!$E:$E,MATCH($D333,[1]Produtos!$B:$B,0))</f>
        <v>240</v>
      </c>
      <c r="P333" s="70" t="str">
        <f>INDEX([1]Produtos!$F:$F,MATCH($D333,[1]Produtos!$B:$B,0))</f>
        <v>ml</v>
      </c>
      <c r="Q333" s="105">
        <f>INDEX([1]Produtos!$Y:$Y,MATCH($D333,[1]Produtos!$B:$B,0))</f>
        <v>1.48</v>
      </c>
      <c r="R333" s="35">
        <f t="shared" si="53"/>
        <v>5520.5897431648482</v>
      </c>
      <c r="S333" s="27">
        <f>IFERROR(INDEX([1]Produtos!$L:$L,MATCH(D333,[1]Produtos!$B:$B,0)), "")</f>
        <v>613.39886035164977</v>
      </c>
      <c r="T333" s="28">
        <f t="shared" si="54"/>
        <v>1.4000000000000001</v>
      </c>
      <c r="U333" s="28" t="str">
        <f t="shared" si="55"/>
        <v>0D e 2h</v>
      </c>
      <c r="V333" s="27">
        <f>IFERROR(SUMIFS('[2]Controle de Produção'!$K:$K,'[2]Controle de Produção'!$L:$L,D333,'[2]Controle de Produção'!$P:$P,C333,'[2]Controle de Produção'!$B:$B,"&gt;=" &amp; G333,'[2]Controle de Produção'!$C:$C,"&lt;=" &amp; N333, '[2]Controle de Produção'!$G:$G,B333), "")</f>
        <v>0</v>
      </c>
      <c r="W333" s="27" t="str">
        <f>IFERROR(SUMIFS([3]EXPEDIÇÃO!$K:$K,[3]EXPEDIÇÃO!$E:$E,D333,[3]EXPEDIÇÃO!$D:$D,C333,[3]EXPEDIÇÃO!$N:$N,"&gt;=" &amp; G333,[3]EXPEDIÇÃO!$N:$N,"&lt;="&amp;N333), "")</f>
        <v/>
      </c>
      <c r="X333" s="27">
        <f>COUNTIFS('[2]Controle de Produção'!$P:$P,C333,'[2]Controle de Produção'!$L:$L,D333,'[2]Controle de Produção'!$B:$B,"&gt;=" &amp; G333)</f>
        <v>2</v>
      </c>
      <c r="Y333" s="27">
        <f t="shared" si="56"/>
        <v>0</v>
      </c>
      <c r="Z333" s="27">
        <f>IFERROR(COUNTIFS('[2]Controle de Produção'!$L:$L,D333,'[2]Controle de Produção'!$P:$P,C333,'[2]Controle de Produção'!$B:$B,"&gt;=" &amp; G333,'[2]Controle de Produção'!$C:$C,"&lt;=" &amp; N333, '[2]Controle de Produção'!$G:$G,B333), "")</f>
        <v>0</v>
      </c>
      <c r="AA333" s="108" t="str">
        <f t="shared" si="50"/>
        <v/>
      </c>
      <c r="AB333" s="41" t="s">
        <v>60</v>
      </c>
      <c r="AC333" s="42" t="b">
        <v>1</v>
      </c>
      <c r="AD333" s="42" t="b">
        <v>1</v>
      </c>
      <c r="AE333" s="42" t="b">
        <v>1</v>
      </c>
      <c r="AF333" s="32" t="b">
        <v>1</v>
      </c>
      <c r="AG333" s="32" t="s">
        <v>38</v>
      </c>
      <c r="AH333" s="42" t="s">
        <v>38</v>
      </c>
      <c r="AI333" s="42" t="b">
        <v>1</v>
      </c>
      <c r="AJ333" s="42" t="b">
        <v>1</v>
      </c>
      <c r="AK333" s="42" t="s">
        <v>38</v>
      </c>
      <c r="AL333" s="42" t="b">
        <v>1</v>
      </c>
      <c r="AM333" s="42" t="b">
        <v>1</v>
      </c>
      <c r="AN333" s="42" t="b">
        <v>1</v>
      </c>
      <c r="AO333" s="45" t="b" cm="1">
        <f t="array" ref="AO333">AND(COUNTIF(AC333:AN333,FALSE)=0,SUMPRODUCT(ISNUMBER(AC333:AN333)*1)=0)</f>
        <v>1</v>
      </c>
      <c r="AP333" s="59"/>
      <c r="AQ333" s="111">
        <f>IF(AB333="",99999999999,IFERROR(MATCH(AB333,{"Produção Parcial","Em Produção","Programado","Não Iniciado","Desenvolv.","Concluído"},0),7)*100000000+IF(ISNUMBER(J333),J333-46000,9999)*10000+IF(A333="",99,A333)*100+IF(C333="",99,CODE(LEFT(C333,1))))</f>
        <v>699990065</v>
      </c>
    </row>
    <row r="334" spans="1:92" s="36" customFormat="1" ht="25.15" hidden="1" customHeight="1" x14ac:dyDescent="0.25">
      <c r="A334" s="36">
        <v>0</v>
      </c>
      <c r="B334" s="38" t="s">
        <v>158</v>
      </c>
      <c r="C334" s="70" t="str">
        <f>INDEX([1]Produtos!$G:$G,MATCH($D334,[1]Produtos!$B:$B,0))</f>
        <v>AMEERATI</v>
      </c>
      <c r="D334" s="24" t="s">
        <v>183</v>
      </c>
      <c r="E334" s="70" t="str">
        <f>INDEX([1]Produtos!$C:$C,MATCH($D334,[1]Produtos!$B:$B,0))&amp;IF($F334&lt;&gt;"-"," - "&amp;LEFT($F334,1),"")&amp;" &gt; "&amp;$B334</f>
        <v>BODY CREAM RARO ELIXIR - 1 &gt; AMEERATI 01</v>
      </c>
      <c r="F334" s="51">
        <v>1</v>
      </c>
      <c r="G334" s="38">
        <v>45959</v>
      </c>
      <c r="H334" s="39">
        <v>840</v>
      </c>
      <c r="I334" s="24" t="s">
        <v>39</v>
      </c>
      <c r="J334" s="68" t="str" cm="1">
        <f t="array" ref="J334">IFERROR(INDEX('[2]Previsão Envase'!$D$5:$D$4867, MATCH(1,('[2]Previsão Envase'!$F$5:$F$4867=$E334)+('[2]Previsão Envase'!$G$5:$G$4867=$E334)+('[2]Previsão Envase'!$H$5:$H$4867=$E334),0)),"")</f>
        <v/>
      </c>
      <c r="K334" s="68" t="str">
        <f>IF(COUNTIF('[2]Previsão Envase'!$F:$F,E334)&gt;0,"Linha 1",
IF(COUNTIF('[2]Previsão Envase'!$G:$G,E334)&gt;0,"Linha 2",
IF(COUNTIF('[2]Previsão Envase'!$H:$H,E334)&gt;0,"Linha 3","")))</f>
        <v/>
      </c>
      <c r="L334" s="96">
        <f>COUNTIF('[2]Previsão Envase'!$F:$H,E334)-COUNTIF('[2]Previsão Envase'!$F$1:$H$4,E334)</f>
        <v>0</v>
      </c>
      <c r="M334" s="35">
        <f t="shared" si="52"/>
        <v>0</v>
      </c>
      <c r="N334" s="68" t="str">
        <f>IFERROR(MAX(_xlfn.MAXIFS('[2]Controle de Produção'!$C:$C,'[2]Controle de Produção'!$L:$L,$D334,'[2]Controle de Produção'!$P:$P,$C334,'[2]Controle de Produção'!$G:$G,$B334),_xlfn.MAXIFS([3]EXPEDIÇÃO!$N:$N,[3]EXPEDIÇÃO!$E:$E,$D334,[3]EXPEDIÇÃO!$D:$D,$C334,[3]EXPEDIÇÃO!$N:$N,"&gt;="&amp;$G334)),"")</f>
        <v/>
      </c>
      <c r="O334" s="70">
        <f>INDEX([1]Produtos!$E:$E,MATCH($D334,[1]Produtos!$B:$B,0))</f>
        <v>240</v>
      </c>
      <c r="P334" s="70" t="str">
        <f>INDEX([1]Produtos!$F:$F,MATCH($D334,[1]Produtos!$B:$B,0))</f>
        <v>ml</v>
      </c>
      <c r="Q334" s="105">
        <f>INDEX([1]Produtos!$Y:$Y,MATCH($D334,[1]Produtos!$B:$B,0))</f>
        <v>1.48</v>
      </c>
      <c r="R334" s="35">
        <f t="shared" si="53"/>
        <v>5520.5897431648482</v>
      </c>
      <c r="S334" s="27">
        <f>IFERROR(INDEX([1]Produtos!$L:$L,MATCH(D334,[1]Produtos!$B:$B,0)), "")</f>
        <v>613.39886035164977</v>
      </c>
      <c r="T334" s="28">
        <f t="shared" si="54"/>
        <v>1.4000000000000001</v>
      </c>
      <c r="U334" s="28" t="str">
        <f t="shared" si="55"/>
        <v>0D e 2h</v>
      </c>
      <c r="V334" s="27">
        <f>IFERROR(SUMIFS('[2]Controle de Produção'!$K:$K,'[2]Controle de Produção'!$L:$L,D334,'[2]Controle de Produção'!$P:$P,C334,'[2]Controle de Produção'!$B:$B,"&gt;=" &amp; G334,'[2]Controle de Produção'!$C:$C,"&lt;=" &amp; N334, '[2]Controle de Produção'!$G:$G,B334), "")</f>
        <v>0</v>
      </c>
      <c r="W334" s="27" t="str">
        <f>IFERROR(SUMIFS([3]EXPEDIÇÃO!$K:$K,[3]EXPEDIÇÃO!$E:$E,D334,[3]EXPEDIÇÃO!$D:$D,C334,[3]EXPEDIÇÃO!$N:$N,"&gt;=" &amp; G334,[3]EXPEDIÇÃO!$N:$N,"&lt;="&amp;N334), "")</f>
        <v/>
      </c>
      <c r="X334" s="27">
        <f>COUNTIFS('[2]Controle de Produção'!$P:$P,C334,'[2]Controle de Produção'!$L:$L,D334,'[2]Controle de Produção'!$B:$B,"&gt;=" &amp; G334)</f>
        <v>2</v>
      </c>
      <c r="Y334" s="27">
        <f t="shared" si="56"/>
        <v>0</v>
      </c>
      <c r="Z334" s="27">
        <f>IFERROR(COUNTIFS('[2]Controle de Produção'!$L:$L,D334,'[2]Controle de Produção'!$P:$P,C334,'[2]Controle de Produção'!$B:$B,"&gt;=" &amp; G334,'[2]Controle de Produção'!$C:$C,"&lt;=" &amp; N334, '[2]Controle de Produção'!$G:$G,B334), "")</f>
        <v>0</v>
      </c>
      <c r="AA334" s="108" t="str">
        <f t="shared" si="50"/>
        <v/>
      </c>
      <c r="AB334" s="41" t="s">
        <v>60</v>
      </c>
      <c r="AC334" s="42" t="b">
        <v>1</v>
      </c>
      <c r="AD334" s="42" t="b">
        <v>1</v>
      </c>
      <c r="AE334" s="42" t="b">
        <v>1</v>
      </c>
      <c r="AF334" s="32" t="b">
        <v>1</v>
      </c>
      <c r="AG334" s="32" t="s">
        <v>38</v>
      </c>
      <c r="AH334" s="42" t="s">
        <v>38</v>
      </c>
      <c r="AI334" s="42" t="b">
        <v>1</v>
      </c>
      <c r="AJ334" s="42" t="b">
        <v>1</v>
      </c>
      <c r="AK334" s="42" t="s">
        <v>38</v>
      </c>
      <c r="AL334" s="42" t="b">
        <v>1</v>
      </c>
      <c r="AM334" s="42" t="b">
        <v>1</v>
      </c>
      <c r="AN334" s="42" t="b">
        <v>1</v>
      </c>
      <c r="AO334" s="45" t="b" cm="1">
        <f t="array" ref="AO334">AND(COUNTIF(AC334:AN334,FALSE)=0,SUMPRODUCT(ISNUMBER(AC334:AN334)*1)=0)</f>
        <v>1</v>
      </c>
      <c r="AP334" s="59"/>
      <c r="AQ334" s="111">
        <f>IF(AB334="",99999999999,IFERROR(MATCH(AB334,{"Produção Parcial","Em Produção","Programado","Não Iniciado","Desenvolv.","Concluído"},0),7)*100000000+IF(ISNUMBER(J334),J334-46000,9999)*10000+IF(A334="",99,A334)*100+IF(C334="",99,CODE(LEFT(C334,1))))</f>
        <v>699990065</v>
      </c>
    </row>
    <row r="335" spans="1:92" s="36" customFormat="1" ht="25.15" hidden="1" customHeight="1" x14ac:dyDescent="0.25">
      <c r="A335" s="36">
        <v>0</v>
      </c>
      <c r="B335" s="38" t="s">
        <v>158</v>
      </c>
      <c r="C335" s="70" t="str">
        <f>INDEX([1]Produtos!$G:$G,MATCH($D335,[1]Produtos!$B:$B,0))</f>
        <v>AMEERATI</v>
      </c>
      <c r="D335" s="24" t="s">
        <v>205</v>
      </c>
      <c r="E335" s="70" t="str">
        <f>INDEX([1]Produtos!$C:$C,MATCH($D335,[1]Produtos!$B:$B,0))&amp;IF($F335&lt;&gt;"-"," - "&amp;LEFT($F335,1),"")&amp;" &gt; "&amp;$B335</f>
        <v>BODY CREAM ROSA IMPERIAL - 1 &gt; AMEERATI 01</v>
      </c>
      <c r="F335" s="51">
        <v>1</v>
      </c>
      <c r="G335" s="38">
        <v>45959</v>
      </c>
      <c r="H335" s="39">
        <v>840</v>
      </c>
      <c r="I335" s="24" t="s">
        <v>39</v>
      </c>
      <c r="J335" s="68" t="str" cm="1">
        <f t="array" ref="J335">IFERROR(INDEX('[2]Previsão Envase'!$D$5:$D$4867, MATCH(1,('[2]Previsão Envase'!$F$5:$F$4867=$E335)+('[2]Previsão Envase'!$G$5:$G$4867=$E335)+('[2]Previsão Envase'!$H$5:$H$4867=$E335),0)),"")</f>
        <v/>
      </c>
      <c r="K335" s="68" t="str">
        <f>IF(COUNTIF('[2]Previsão Envase'!$F:$F,E335)&gt;0,"Linha 1",
IF(COUNTIF('[2]Previsão Envase'!$G:$G,E335)&gt;0,"Linha 2",
IF(COUNTIF('[2]Previsão Envase'!$H:$H,E335)&gt;0,"Linha 3","")))</f>
        <v/>
      </c>
      <c r="L335" s="96">
        <f>COUNTIF('[2]Previsão Envase'!$F:$H,E335)-COUNTIF('[2]Previsão Envase'!$F$1:$H$4,E335)</f>
        <v>0</v>
      </c>
      <c r="M335" s="35">
        <f t="shared" si="52"/>
        <v>0</v>
      </c>
      <c r="N335" s="68" t="str">
        <f>IFERROR(MAX(_xlfn.MAXIFS('[2]Controle de Produção'!$C:$C,'[2]Controle de Produção'!$L:$L,$D335,'[2]Controle de Produção'!$P:$P,$C335,'[2]Controle de Produção'!$G:$G,$B335),_xlfn.MAXIFS([3]EXPEDIÇÃO!$N:$N,[3]EXPEDIÇÃO!$E:$E,$D335,[3]EXPEDIÇÃO!$D:$D,$C335,[3]EXPEDIÇÃO!$N:$N,"&gt;="&amp;$G335)),"")</f>
        <v/>
      </c>
      <c r="O335" s="70">
        <f>INDEX([1]Produtos!$E:$E,MATCH($D335,[1]Produtos!$B:$B,0))</f>
        <v>240</v>
      </c>
      <c r="P335" s="70" t="str">
        <f>INDEX([1]Produtos!$F:$F,MATCH($D335,[1]Produtos!$B:$B,0))</f>
        <v>ml</v>
      </c>
      <c r="Q335" s="105">
        <f>INDEX([1]Produtos!$Y:$Y,MATCH($D335,[1]Produtos!$B:$B,0))</f>
        <v>1.48</v>
      </c>
      <c r="R335" s="35">
        <f t="shared" si="53"/>
        <v>5520.5897431648482</v>
      </c>
      <c r="S335" s="27">
        <f>IFERROR(INDEX([1]Produtos!$L:$L,MATCH(D335,[1]Produtos!$B:$B,0)), "")</f>
        <v>613.39886035164977</v>
      </c>
      <c r="T335" s="28">
        <f t="shared" si="54"/>
        <v>1.4000000000000001</v>
      </c>
      <c r="U335" s="28" t="str">
        <f t="shared" si="55"/>
        <v>0D e 2h</v>
      </c>
      <c r="V335" s="27">
        <f>IFERROR(SUMIFS('[2]Controle de Produção'!$K:$K,'[2]Controle de Produção'!$L:$L,D335,'[2]Controle de Produção'!$P:$P,C335,'[2]Controle de Produção'!$B:$B,"&gt;=" &amp; G335,'[2]Controle de Produção'!$C:$C,"&lt;=" &amp; N335, '[2]Controle de Produção'!$G:$G,B335), "")</f>
        <v>0</v>
      </c>
      <c r="W335" s="27" t="str">
        <f>IFERROR(SUMIFS([3]EXPEDIÇÃO!$K:$K,[3]EXPEDIÇÃO!$E:$E,D335,[3]EXPEDIÇÃO!$D:$D,C335,[3]EXPEDIÇÃO!$N:$N,"&gt;=" &amp; G335,[3]EXPEDIÇÃO!$N:$N,"&lt;="&amp;N335), "")</f>
        <v/>
      </c>
      <c r="X335" s="27">
        <f>COUNTIFS('[2]Controle de Produção'!$P:$P,C335,'[2]Controle de Produção'!$L:$L,D335,'[2]Controle de Produção'!$B:$B,"&gt;=" &amp; G335)</f>
        <v>2</v>
      </c>
      <c r="Y335" s="27">
        <f t="shared" si="56"/>
        <v>0</v>
      </c>
      <c r="Z335" s="27">
        <f>IFERROR(COUNTIFS('[2]Controle de Produção'!$L:$L,D335,'[2]Controle de Produção'!$P:$P,C335,'[2]Controle de Produção'!$B:$B,"&gt;=" &amp; G335,'[2]Controle de Produção'!$C:$C,"&lt;=" &amp; N335, '[2]Controle de Produção'!$G:$G,B335), "")</f>
        <v>0</v>
      </c>
      <c r="AA335" s="108" t="str">
        <f t="shared" si="50"/>
        <v/>
      </c>
      <c r="AB335" s="41" t="s">
        <v>60</v>
      </c>
      <c r="AC335" s="42" t="b">
        <v>1</v>
      </c>
      <c r="AD335" s="42" t="b">
        <v>1</v>
      </c>
      <c r="AE335" s="42" t="b">
        <v>1</v>
      </c>
      <c r="AF335" s="42" t="b">
        <v>1</v>
      </c>
      <c r="AG335" s="32" t="s">
        <v>38</v>
      </c>
      <c r="AH335" s="42" t="s">
        <v>38</v>
      </c>
      <c r="AI335" s="42" t="b">
        <v>1</v>
      </c>
      <c r="AJ335" s="42" t="b">
        <v>1</v>
      </c>
      <c r="AK335" s="42" t="s">
        <v>38</v>
      </c>
      <c r="AL335" s="42" t="b">
        <v>1</v>
      </c>
      <c r="AM335" s="42" t="b">
        <v>1</v>
      </c>
      <c r="AN335" s="42" t="b">
        <v>1</v>
      </c>
      <c r="AO335" s="45" t="b" cm="1">
        <f t="array" ref="AO335">AND(COUNTIF(AC335:AN335,FALSE)=0,SUMPRODUCT(ISNUMBER(AC335:AN335)*1)=0)</f>
        <v>1</v>
      </c>
      <c r="AP335" s="59"/>
      <c r="AQ335" s="111">
        <f>IF(AB335="",99999999999,IFERROR(MATCH(AB335,{"Produção Parcial","Em Produção","Programado","Não Iniciado","Desenvolv.","Concluído"},0),7)*100000000+IF(ISNUMBER(J335),J335-46000,9999)*10000+IF(A335="",99,A335)*100+IF(C335="",99,CODE(LEFT(C335,1))))</f>
        <v>699990065</v>
      </c>
    </row>
    <row r="336" spans="1:92" s="36" customFormat="1" ht="25.15" hidden="1" customHeight="1" x14ac:dyDescent="0.25">
      <c r="A336" s="36">
        <v>0</v>
      </c>
      <c r="B336" s="38" t="s">
        <v>158</v>
      </c>
      <c r="C336" s="70" t="str">
        <f>INDEX([1]Produtos!$G:$G,MATCH($D336,[1]Produtos!$B:$B,0))</f>
        <v>AMEERATI</v>
      </c>
      <c r="D336" s="24" t="s">
        <v>219</v>
      </c>
      <c r="E336" s="70" t="str">
        <f>INDEX([1]Produtos!$C:$C,MATCH($D336,[1]Produtos!$B:$B,0))&amp;IF($F336&lt;&gt;"-"," - "&amp;LEFT($F336,1),"")&amp;" &gt; "&amp;$B336</f>
        <v>BODY CREAM TESOURO DO OASIS - 1 &gt; AMEERATI 01</v>
      </c>
      <c r="F336" s="51">
        <v>1</v>
      </c>
      <c r="G336" s="38">
        <v>45959</v>
      </c>
      <c r="H336" s="39">
        <v>840</v>
      </c>
      <c r="I336" s="24" t="s">
        <v>39</v>
      </c>
      <c r="J336" s="68" t="str" cm="1">
        <f t="array" ref="J336">IFERROR(INDEX('[2]Previsão Envase'!$D$5:$D$4867, MATCH(1,('[2]Previsão Envase'!$F$5:$F$4867=$E336)+('[2]Previsão Envase'!$G$5:$G$4867=$E336)+('[2]Previsão Envase'!$H$5:$H$4867=$E336),0)),"")</f>
        <v/>
      </c>
      <c r="K336" s="68" t="str">
        <f>IF(COUNTIF('[2]Previsão Envase'!$F:$F,E336)&gt;0,"Linha 1",
IF(COUNTIF('[2]Previsão Envase'!$G:$G,E336)&gt;0,"Linha 2",
IF(COUNTIF('[2]Previsão Envase'!$H:$H,E336)&gt;0,"Linha 3","")))</f>
        <v/>
      </c>
      <c r="L336" s="96">
        <f>COUNTIF('[2]Previsão Envase'!$F:$H,E336)-COUNTIF('[2]Previsão Envase'!$F$1:$H$4,E336)</f>
        <v>0</v>
      </c>
      <c r="M336" s="35">
        <f t="shared" si="52"/>
        <v>0</v>
      </c>
      <c r="N336" s="68" t="str">
        <f>IFERROR(MAX(_xlfn.MAXIFS('[2]Controle de Produção'!$C:$C,'[2]Controle de Produção'!$L:$L,$D336,'[2]Controle de Produção'!$P:$P,$C336,'[2]Controle de Produção'!$G:$G,$B336),_xlfn.MAXIFS([3]EXPEDIÇÃO!$N:$N,[3]EXPEDIÇÃO!$E:$E,$D336,[3]EXPEDIÇÃO!$D:$D,$C336,[3]EXPEDIÇÃO!$N:$N,"&gt;="&amp;$G336)),"")</f>
        <v/>
      </c>
      <c r="O336" s="70">
        <f>INDEX([1]Produtos!$E:$E,MATCH($D336,[1]Produtos!$B:$B,0))</f>
        <v>240</v>
      </c>
      <c r="P336" s="70" t="str">
        <f>INDEX([1]Produtos!$F:$F,MATCH($D336,[1]Produtos!$B:$B,0))</f>
        <v>ml</v>
      </c>
      <c r="Q336" s="105">
        <f>INDEX([1]Produtos!$Y:$Y,MATCH($D336,[1]Produtos!$B:$B,0))</f>
        <v>1.48</v>
      </c>
      <c r="R336" s="35">
        <f t="shared" si="53"/>
        <v>5520.5897431648482</v>
      </c>
      <c r="S336" s="27">
        <f>IFERROR(INDEX([1]Produtos!$L:$L,MATCH(D336,[1]Produtos!$B:$B,0)), "")</f>
        <v>613.39886035164977</v>
      </c>
      <c r="T336" s="28">
        <f t="shared" si="54"/>
        <v>1.4000000000000001</v>
      </c>
      <c r="U336" s="28" t="str">
        <f t="shared" si="55"/>
        <v>0D e 2h</v>
      </c>
      <c r="V336" s="27">
        <f>IFERROR(SUMIFS('[2]Controle de Produção'!$K:$K,'[2]Controle de Produção'!$L:$L,D336,'[2]Controle de Produção'!$P:$P,C336,'[2]Controle de Produção'!$B:$B,"&gt;=" &amp; G336,'[2]Controle de Produção'!$C:$C,"&lt;=" &amp; N336, '[2]Controle de Produção'!$G:$G,B336), "")</f>
        <v>0</v>
      </c>
      <c r="W336" s="27" t="str">
        <f>IFERROR(SUMIFS([3]EXPEDIÇÃO!$K:$K,[3]EXPEDIÇÃO!$E:$E,D336,[3]EXPEDIÇÃO!$D:$D,C336,[3]EXPEDIÇÃO!$N:$N,"&gt;=" &amp; G336,[3]EXPEDIÇÃO!$N:$N,"&lt;="&amp;N336), "")</f>
        <v/>
      </c>
      <c r="X336" s="27">
        <f>COUNTIFS('[2]Controle de Produção'!$P:$P,C336,'[2]Controle de Produção'!$L:$L,D336,'[2]Controle de Produção'!$B:$B,"&gt;=" &amp; G336)</f>
        <v>2</v>
      </c>
      <c r="Y336" s="27">
        <f t="shared" si="56"/>
        <v>0</v>
      </c>
      <c r="Z336" s="27">
        <f>IFERROR(COUNTIFS('[2]Controle de Produção'!$L:$L,D336,'[2]Controle de Produção'!$P:$P,C336,'[2]Controle de Produção'!$B:$B,"&gt;=" &amp; G336,'[2]Controle de Produção'!$C:$C,"&lt;=" &amp; N336, '[2]Controle de Produção'!$G:$G,B336), "")</f>
        <v>0</v>
      </c>
      <c r="AA336" s="108" t="str">
        <f t="shared" ref="AA336:AA367" si="57">IF(OR(V336=0,H336=0),"",IF(V336="","",(V336-H336)/H336))</f>
        <v/>
      </c>
      <c r="AB336" s="41" t="s">
        <v>60</v>
      </c>
      <c r="AC336" s="42" t="b">
        <v>1</v>
      </c>
      <c r="AD336" s="42" t="b">
        <v>1</v>
      </c>
      <c r="AE336" s="42" t="b">
        <v>1</v>
      </c>
      <c r="AF336" s="42" t="b">
        <v>1</v>
      </c>
      <c r="AG336" s="32" t="s">
        <v>38</v>
      </c>
      <c r="AH336" s="42" t="s">
        <v>38</v>
      </c>
      <c r="AI336" s="42" t="b">
        <v>1</v>
      </c>
      <c r="AJ336" s="42" t="b">
        <v>1</v>
      </c>
      <c r="AK336" s="42" t="s">
        <v>38</v>
      </c>
      <c r="AL336" s="42" t="b">
        <v>1</v>
      </c>
      <c r="AM336" s="42" t="b">
        <v>1</v>
      </c>
      <c r="AN336" s="32" t="b">
        <v>1</v>
      </c>
      <c r="AO336" s="45" t="b" cm="1">
        <f t="array" ref="AO336">AND(COUNTIF(AC336:AN336,FALSE)=0,SUMPRODUCT(ISNUMBER(AC336:AN336)*1)=0)</f>
        <v>1</v>
      </c>
      <c r="AP336" s="59"/>
      <c r="AQ336" s="111">
        <f>IF(AB336="",99999999999,IFERROR(MATCH(AB336,{"Produção Parcial","Em Produção","Programado","Não Iniciado","Desenvolv.","Concluído"},0),7)*100000000+IF(ISNUMBER(J336),J336-46000,9999)*10000+IF(A336="",99,A336)*100+IF(C336="",99,CODE(LEFT(C336,1))))</f>
        <v>699990065</v>
      </c>
    </row>
    <row r="337" spans="1:43" s="36" customFormat="1" ht="25.15" hidden="1" customHeight="1" x14ac:dyDescent="0.25">
      <c r="A337" s="36">
        <v>0</v>
      </c>
      <c r="B337" s="38" t="s">
        <v>158</v>
      </c>
      <c r="C337" s="70" t="str">
        <f>INDEX([1]Produtos!$G:$G,MATCH($D337,[1]Produtos!$B:$B,0))</f>
        <v>AMEERATI</v>
      </c>
      <c r="D337" s="24" t="s">
        <v>284</v>
      </c>
      <c r="E337" s="70" t="str">
        <f>INDEX([1]Produtos!$C:$C,MATCH($D337,[1]Produtos!$B:$B,0))&amp;IF($F337&lt;&gt;"-"," - "&amp;LEFT($F337,1),"")&amp;" &gt; "&amp;$B337</f>
        <v>BODY MIST BOUQUET CARMIM &gt; AMEERATI 01</v>
      </c>
      <c r="F337" s="51" t="s">
        <v>38</v>
      </c>
      <c r="G337" s="38">
        <v>45959</v>
      </c>
      <c r="H337" s="39">
        <v>3360</v>
      </c>
      <c r="I337" s="24" t="s">
        <v>39</v>
      </c>
      <c r="J337" s="68" t="str" cm="1">
        <f t="array" ref="J337">IFERROR(INDEX('[2]Previsão Envase'!$D$5:$D$4867, MATCH(1,('[2]Previsão Envase'!$F$5:$F$4867=$E337)+('[2]Previsão Envase'!$G$5:$G$4867=$E337)+('[2]Previsão Envase'!$H$5:$H$4867=$E337),0)),"")</f>
        <v/>
      </c>
      <c r="K337" s="68" t="str">
        <f>IF(COUNTIF('[2]Previsão Envase'!$F:$F,E337)&gt;0,"Linha 1",
IF(COUNTIF('[2]Previsão Envase'!$G:$G,E337)&gt;0,"Linha 2",
IF(COUNTIF('[2]Previsão Envase'!$H:$H,E337)&gt;0,"Linha 3","")))</f>
        <v/>
      </c>
      <c r="L337" s="96">
        <f>COUNTIF('[2]Previsão Envase'!$F:$H,E337)-COUNTIF('[2]Previsão Envase'!$F$1:$H$4,E337)</f>
        <v>0</v>
      </c>
      <c r="M337" s="35">
        <f t="shared" si="52"/>
        <v>0</v>
      </c>
      <c r="N337" s="68" t="str">
        <f>IFERROR(MAX(_xlfn.MAXIFS('[2]Controle de Produção'!$C:$C,'[2]Controle de Produção'!$L:$L,$D337,'[2]Controle de Produção'!$P:$P,$C337,'[2]Controle de Produção'!$G:$G,$B337),_xlfn.MAXIFS([3]EXPEDIÇÃO!$N:$N,[3]EXPEDIÇÃO!$E:$E,$D337,[3]EXPEDIÇÃO!$D:$D,$C337,[3]EXPEDIÇÃO!$N:$N,"&gt;="&amp;$G337)),"")</f>
        <v/>
      </c>
      <c r="O337" s="70">
        <f>INDEX([1]Produtos!$E:$E,MATCH($D337,[1]Produtos!$B:$B,0))</f>
        <v>250</v>
      </c>
      <c r="P337" s="70" t="str">
        <f>INDEX([1]Produtos!$F:$F,MATCH($D337,[1]Produtos!$B:$B,0))</f>
        <v>ml</v>
      </c>
      <c r="Q337" s="105">
        <f>INDEX([1]Produtos!$Y:$Y,MATCH($D337,[1]Produtos!$B:$B,0))</f>
        <v>1.35</v>
      </c>
      <c r="R337" s="35">
        <f t="shared" si="53"/>
        <v>7592.2902086267013</v>
      </c>
      <c r="S337" s="27">
        <f>IFERROR(INDEX([1]Produtos!$L:$L,MATCH(D337,[1]Produtos!$B:$B,0)), "")</f>
        <v>843.58780095852239</v>
      </c>
      <c r="T337" s="28">
        <f t="shared" si="54"/>
        <v>4</v>
      </c>
      <c r="U337" s="28" t="str">
        <f t="shared" si="55"/>
        <v>0D e 4h</v>
      </c>
      <c r="V337" s="27">
        <f>IFERROR(SUMIFS('[2]Controle de Produção'!$K:$K,'[2]Controle de Produção'!$L:$L,D337,'[2]Controle de Produção'!$P:$P,C337,'[2]Controle de Produção'!$B:$B,"&gt;=" &amp; G337,'[2]Controle de Produção'!$C:$C,"&lt;=" &amp; N337, '[2]Controle de Produção'!$G:$G,B337), "")</f>
        <v>0</v>
      </c>
      <c r="W337" s="27" t="str">
        <f>IFERROR(SUMIFS([3]EXPEDIÇÃO!$K:$K,[3]EXPEDIÇÃO!$E:$E,D337,[3]EXPEDIÇÃO!$D:$D,C337,[3]EXPEDIÇÃO!$N:$N,"&gt;=" &amp; G337,[3]EXPEDIÇÃO!$N:$N,"&lt;="&amp;N337), "")</f>
        <v/>
      </c>
      <c r="X337" s="27">
        <f>COUNTIFS('[2]Controle de Produção'!$P:$P,C337,'[2]Controle de Produção'!$L:$L,D337,'[2]Controle de Produção'!$B:$B,"&gt;=" &amp; G337)</f>
        <v>2</v>
      </c>
      <c r="Y337" s="27">
        <f t="shared" si="56"/>
        <v>0</v>
      </c>
      <c r="Z337" s="27">
        <f>IFERROR(COUNTIFS('[2]Controle de Produção'!$L:$L,D337,'[2]Controle de Produção'!$P:$P,C337,'[2]Controle de Produção'!$B:$B,"&gt;=" &amp; G337,'[2]Controle de Produção'!$C:$C,"&lt;=" &amp; N337, '[2]Controle de Produção'!$G:$G,B337), "")</f>
        <v>0</v>
      </c>
      <c r="AA337" s="108" t="str">
        <f t="shared" si="57"/>
        <v/>
      </c>
      <c r="AB337" s="41" t="s">
        <v>60</v>
      </c>
      <c r="AC337" s="42" t="b">
        <v>1</v>
      </c>
      <c r="AD337" s="42" t="b">
        <v>1</v>
      </c>
      <c r="AE337" s="42" t="b">
        <v>1</v>
      </c>
      <c r="AF337" s="42" t="b">
        <v>1</v>
      </c>
      <c r="AG337" s="32" t="s">
        <v>38</v>
      </c>
      <c r="AH337" s="42" t="s">
        <v>38</v>
      </c>
      <c r="AI337" s="42" t="b">
        <v>1</v>
      </c>
      <c r="AJ337" s="42" t="b">
        <v>1</v>
      </c>
      <c r="AK337" s="42" t="b">
        <v>0</v>
      </c>
      <c r="AL337" s="42" t="b">
        <v>1</v>
      </c>
      <c r="AM337" s="42" t="b">
        <v>1</v>
      </c>
      <c r="AN337" s="42" t="b">
        <v>1</v>
      </c>
      <c r="AO337" s="45" t="b" cm="1">
        <f t="array" ref="AO337">AND(COUNTIF(AC337:AN337,FALSE)=0,SUMPRODUCT(ISNUMBER(AC337:AN337)*1)=0)</f>
        <v>0</v>
      </c>
      <c r="AP337" s="59"/>
      <c r="AQ337" s="111">
        <f>IF(AB337="",99999999999,IFERROR(MATCH(AB337,{"Produção Parcial","Em Produção","Programado","Não Iniciado","Desenvolv.","Concluído"},0),7)*100000000+IF(ISNUMBER(J337),J337-46000,9999)*10000+IF(A337="",99,A337)*100+IF(C337="",99,CODE(LEFT(C337,1))))</f>
        <v>699990065</v>
      </c>
    </row>
    <row r="338" spans="1:43" s="36" customFormat="1" ht="25.15" hidden="1" customHeight="1" x14ac:dyDescent="0.25">
      <c r="A338" s="36">
        <v>0</v>
      </c>
      <c r="B338" s="38" t="s">
        <v>254</v>
      </c>
      <c r="C338" s="24" t="s">
        <v>255</v>
      </c>
      <c r="D338" s="24" t="s">
        <v>260</v>
      </c>
      <c r="E338" s="70" t="str">
        <f>INDEX([1]Produtos!$C:$C,MATCH($D338,[1]Produtos!$B:$B,0))&amp;IF($F338&lt;&gt;"-"," - "&amp;LEFT($F338,1),"")&amp;" &gt; "&amp;$B338</f>
        <v>BODY SPLASH BIO BALM INFINITY ROUGE &gt; 01_08</v>
      </c>
      <c r="F338" s="51" t="s">
        <v>38</v>
      </c>
      <c r="G338" s="38">
        <v>45854</v>
      </c>
      <c r="H338" s="39">
        <v>7500</v>
      </c>
      <c r="I338" s="24" t="s">
        <v>39</v>
      </c>
      <c r="J338" s="68" t="str" cm="1">
        <f t="array" ref="J338">IFERROR(INDEX('[2]Previsão Envase'!$D$5:$D$4867, MATCH(1,('[2]Previsão Envase'!$F$5:$F$4867=$E338)+('[2]Previsão Envase'!$G$5:$G$4867=$E338)+('[2]Previsão Envase'!$H$5:$H$4867=$E338),0)),"")</f>
        <v/>
      </c>
      <c r="K338" s="68" t="str">
        <f>IF(COUNTIF('[2]Previsão Envase'!$F:$F,E338)&gt;0,"Linha 1",
IF(COUNTIF('[2]Previsão Envase'!$G:$G,E338)&gt;0,"Linha 2",
IF(COUNTIF('[2]Previsão Envase'!$H:$H,E338)&gt;0,"Linha 3","")))</f>
        <v/>
      </c>
      <c r="L338" s="96">
        <f>COUNTIF('[2]Previsão Envase'!$F:$H,E338)-COUNTIF('[2]Previsão Envase'!$F$1:$H$4,E338)</f>
        <v>0</v>
      </c>
      <c r="M338" s="35">
        <f t="shared" si="52"/>
        <v>0</v>
      </c>
      <c r="N338" s="68" t="str">
        <f>IFERROR(MAX(_xlfn.MAXIFS('[2]Controle de Produção'!$C:$C,'[2]Controle de Produção'!$L:$L,$D338,'[2]Controle de Produção'!$P:$P,$C338,'[2]Controle de Produção'!$G:$G,$B338),_xlfn.MAXIFS([3]EXPEDIÇÃO!$N:$N,[3]EXPEDIÇÃO!$E:$E,$D338,[3]EXPEDIÇÃO!$D:$D,$C338,[3]EXPEDIÇÃO!$N:$N,"&gt;="&amp;$G338)),"")</f>
        <v/>
      </c>
      <c r="O338" s="70">
        <f>INDEX([1]Produtos!$E:$E,MATCH($D338,[1]Produtos!$B:$B,0))</f>
        <v>200</v>
      </c>
      <c r="P338" s="70" t="str">
        <f>INDEX([1]Produtos!$F:$F,MATCH($D338,[1]Produtos!$B:$B,0))</f>
        <v>ml</v>
      </c>
      <c r="Q338" s="105">
        <f>INDEX([1]Produtos!$Y:$Y,MATCH($D338,[1]Produtos!$B:$B,0))</f>
        <v>1.7000000000000002</v>
      </c>
      <c r="R338" s="35">
        <f t="shared" si="53"/>
        <v>7592.2902086267013</v>
      </c>
      <c r="S338" s="27">
        <f>IFERROR(INDEX([1]Produtos!$L:$L,MATCH(D338,[1]Produtos!$B:$B,0)), "")</f>
        <v>843.58780095852239</v>
      </c>
      <c r="T338" s="28">
        <f t="shared" si="54"/>
        <v>8.9</v>
      </c>
      <c r="U338" s="28" t="str">
        <f t="shared" si="55"/>
        <v>1D e 1h</v>
      </c>
      <c r="V338" s="27">
        <f>IFERROR(SUMIFS('[2]Controle de Produção'!$K:$K,'[2]Controle de Produção'!$L:$L,D338,'[2]Controle de Produção'!$P:$P,C338,'[2]Controle de Produção'!$B:$B,"&gt;=" &amp; G338,'[2]Controle de Produção'!$C:$C,"&lt;=" &amp; N338, '[2]Controle de Produção'!$G:$G,B338), "")</f>
        <v>0</v>
      </c>
      <c r="W338" s="27" t="str">
        <f>IFERROR(SUMIFS([3]EXPEDIÇÃO!$K:$K,[3]EXPEDIÇÃO!$E:$E,D338,[3]EXPEDIÇÃO!$D:$D,C338,[3]EXPEDIÇÃO!$N:$N,"&gt;=" &amp; G338,[3]EXPEDIÇÃO!$N:$N,"&lt;="&amp;N338), "")</f>
        <v/>
      </c>
      <c r="X338" s="27">
        <f>COUNTIFS('[2]Controle de Produção'!$P:$P,C338,'[2]Controle de Produção'!$L:$L,D338,'[2]Controle de Produção'!$B:$B,"&gt;=" &amp; G338)</f>
        <v>4</v>
      </c>
      <c r="Y338" s="27">
        <f t="shared" si="56"/>
        <v>0</v>
      </c>
      <c r="Z338" s="27">
        <f>IFERROR(COUNTIFS('[2]Controle de Produção'!$L:$L,D338,'[2]Controle de Produção'!$P:$P,C338,'[2]Controle de Produção'!$B:$B,"&gt;=" &amp; G338,'[2]Controle de Produção'!$C:$C,"&lt;=" &amp; N338, '[2]Controle de Produção'!$G:$G,B338), "")</f>
        <v>0</v>
      </c>
      <c r="AA338" s="108" t="str">
        <f t="shared" si="57"/>
        <v/>
      </c>
      <c r="AB338" s="41" t="s">
        <v>60</v>
      </c>
      <c r="AC338" s="42" t="b">
        <v>1</v>
      </c>
      <c r="AD338" s="42" t="b">
        <v>1</v>
      </c>
      <c r="AE338" s="42" t="b">
        <v>1</v>
      </c>
      <c r="AF338" s="42" t="b">
        <v>1</v>
      </c>
      <c r="AG338" s="32" t="b">
        <v>1</v>
      </c>
      <c r="AH338" s="42" t="s">
        <v>38</v>
      </c>
      <c r="AI338" s="42" t="b">
        <v>1</v>
      </c>
      <c r="AJ338" s="42" t="s">
        <v>38</v>
      </c>
      <c r="AK338" s="42" t="b">
        <v>0</v>
      </c>
      <c r="AL338" s="42" t="b">
        <v>1</v>
      </c>
      <c r="AM338" s="42" t="b">
        <v>1</v>
      </c>
      <c r="AN338" s="87">
        <f>3/3</f>
        <v>1</v>
      </c>
      <c r="AO338" s="45" t="b" cm="1">
        <f t="array" ref="AO338">AND(COUNTIF(AC338:AN338,FALSE)=0,SUMPRODUCT(ISNUMBER(AC338:AN338)*1)=0)</f>
        <v>0</v>
      </c>
      <c r="AP338" s="59"/>
      <c r="AQ338" s="111">
        <f>IF(AB338="",99999999999,IFERROR(MATCH(AB338,{"Produção Parcial","Em Produção","Programado","Não Iniciado","Desenvolv.","Concluído"},0),7)*100000000+IF(ISNUMBER(J338),J338-46000,9999)*10000+IF(A338="",99,A338)*100+IF(C338="",99,CODE(LEFT(C338,1))))</f>
        <v>699990066</v>
      </c>
    </row>
    <row r="339" spans="1:43" s="36" customFormat="1" ht="25.15" hidden="1" customHeight="1" x14ac:dyDescent="0.25">
      <c r="A339" s="36">
        <v>0</v>
      </c>
      <c r="B339" s="38" t="s">
        <v>254</v>
      </c>
      <c r="C339" s="24" t="s">
        <v>255</v>
      </c>
      <c r="D339" s="24" t="s">
        <v>258</v>
      </c>
      <c r="E339" s="70" t="str">
        <f>INDEX([1]Produtos!$C:$C,MATCH($D339,[1]Produtos!$B:$B,0))&amp;IF($F339&lt;&gt;"-"," - "&amp;LEFT($F339,1),"")&amp;" &gt; "&amp;$B339</f>
        <v>BODY SPLASH BIO BALM SKINLIGHT &gt; 01_08</v>
      </c>
      <c r="F339" s="51" t="s">
        <v>38</v>
      </c>
      <c r="G339" s="38">
        <v>45854</v>
      </c>
      <c r="H339" s="39">
        <v>7500</v>
      </c>
      <c r="I339" s="24" t="s">
        <v>39</v>
      </c>
      <c r="J339" s="68" t="str" cm="1">
        <f t="array" ref="J339">IFERROR(INDEX('[2]Previsão Envase'!$D$5:$D$4867, MATCH(1,('[2]Previsão Envase'!$F$5:$F$4867=$E339)+('[2]Previsão Envase'!$G$5:$G$4867=$E339)+('[2]Previsão Envase'!$H$5:$H$4867=$E339),0)),"")</f>
        <v/>
      </c>
      <c r="K339" s="68" t="str">
        <f>IF(COUNTIF('[2]Previsão Envase'!$F:$F,E339)&gt;0,"Linha 1",
IF(COUNTIF('[2]Previsão Envase'!$G:$G,E339)&gt;0,"Linha 2",
IF(COUNTIF('[2]Previsão Envase'!$H:$H,E339)&gt;0,"Linha 3","")))</f>
        <v/>
      </c>
      <c r="L339" s="96">
        <f>COUNTIF('[2]Previsão Envase'!$F:$H,E339)-COUNTIF('[2]Previsão Envase'!$F$1:$H$4,E339)</f>
        <v>0</v>
      </c>
      <c r="M339" s="35">
        <f t="shared" si="52"/>
        <v>0</v>
      </c>
      <c r="N339" s="68" t="str">
        <f>IFERROR(MAX(_xlfn.MAXIFS('[2]Controle de Produção'!$C:$C,'[2]Controle de Produção'!$L:$L,$D339,'[2]Controle de Produção'!$P:$P,$C339,'[2]Controle de Produção'!$G:$G,$B339),_xlfn.MAXIFS([3]EXPEDIÇÃO!$N:$N,[3]EXPEDIÇÃO!$E:$E,$D339,[3]EXPEDIÇÃO!$D:$D,$C339,[3]EXPEDIÇÃO!$N:$N,"&gt;="&amp;$G339)),"")</f>
        <v/>
      </c>
      <c r="O339" s="70">
        <f>INDEX([1]Produtos!$E:$E,MATCH($D339,[1]Produtos!$B:$B,0))</f>
        <v>200</v>
      </c>
      <c r="P339" s="70" t="str">
        <f>INDEX([1]Produtos!$F:$F,MATCH($D339,[1]Produtos!$B:$B,0))</f>
        <v>ml</v>
      </c>
      <c r="Q339" s="105">
        <f>INDEX([1]Produtos!$Y:$Y,MATCH($D339,[1]Produtos!$B:$B,0))</f>
        <v>1.7000000000000002</v>
      </c>
      <c r="R339" s="35">
        <f t="shared" si="53"/>
        <v>7592.2902086267013</v>
      </c>
      <c r="S339" s="27">
        <f>IFERROR(INDEX([1]Produtos!$L:$L,MATCH(D339,[1]Produtos!$B:$B,0)), "")</f>
        <v>843.58780095852239</v>
      </c>
      <c r="T339" s="28">
        <f t="shared" si="54"/>
        <v>8.9</v>
      </c>
      <c r="U339" s="28" t="str">
        <f t="shared" si="55"/>
        <v>1D e 1h</v>
      </c>
      <c r="V339" s="27">
        <f>IFERROR(SUMIFS('[2]Controle de Produção'!$K:$K,'[2]Controle de Produção'!$L:$L,D339,'[2]Controle de Produção'!$P:$P,C339,'[2]Controle de Produção'!$B:$B,"&gt;=" &amp; G339,'[2]Controle de Produção'!$C:$C,"&lt;=" &amp; N339, '[2]Controle de Produção'!$G:$G,B339), "")</f>
        <v>0</v>
      </c>
      <c r="W339" s="27" t="str">
        <f>IFERROR(SUMIFS([3]EXPEDIÇÃO!$K:$K,[3]EXPEDIÇÃO!$E:$E,D339,[3]EXPEDIÇÃO!$D:$D,C339,[3]EXPEDIÇÃO!$N:$N,"&gt;=" &amp; G339,[3]EXPEDIÇÃO!$N:$N,"&lt;="&amp;N339), "")</f>
        <v/>
      </c>
      <c r="X339" s="27">
        <f>COUNTIFS('[2]Controle de Produção'!$P:$P,C339,'[2]Controle de Produção'!$L:$L,D339,'[2]Controle de Produção'!$B:$B,"&gt;=" &amp; G339)</f>
        <v>4</v>
      </c>
      <c r="Y339" s="27">
        <f t="shared" si="56"/>
        <v>0</v>
      </c>
      <c r="Z339" s="27">
        <f>IFERROR(COUNTIFS('[2]Controle de Produção'!$L:$L,D339,'[2]Controle de Produção'!$P:$P,C339,'[2]Controle de Produção'!$B:$B,"&gt;=" &amp; G339,'[2]Controle de Produção'!$C:$C,"&lt;=" &amp; N339, '[2]Controle de Produção'!$G:$G,B339), "")</f>
        <v>0</v>
      </c>
      <c r="AA339" s="108" t="str">
        <f t="shared" si="57"/>
        <v/>
      </c>
      <c r="AB339" s="41" t="s">
        <v>60</v>
      </c>
      <c r="AC339" s="42" t="b">
        <v>1</v>
      </c>
      <c r="AD339" s="42" t="b">
        <v>1</v>
      </c>
      <c r="AE339" s="42" t="b">
        <v>1</v>
      </c>
      <c r="AF339" s="42" t="b">
        <v>1</v>
      </c>
      <c r="AG339" s="32" t="b">
        <v>1</v>
      </c>
      <c r="AH339" s="42" t="s">
        <v>38</v>
      </c>
      <c r="AI339" s="42" t="b">
        <v>1</v>
      </c>
      <c r="AJ339" s="42" t="s">
        <v>38</v>
      </c>
      <c r="AK339" s="42" t="b">
        <v>0</v>
      </c>
      <c r="AL339" s="42" t="b">
        <v>1</v>
      </c>
      <c r="AM339" s="42" t="b">
        <v>1</v>
      </c>
      <c r="AN339" s="87">
        <f>3/3</f>
        <v>1</v>
      </c>
      <c r="AO339" s="45" t="b" cm="1">
        <f t="array" ref="AO339">AND(COUNTIF(AC339:AN339,FALSE)=0,SUMPRODUCT(ISNUMBER(AC339:AN339)*1)=0)</f>
        <v>0</v>
      </c>
      <c r="AP339" s="59"/>
      <c r="AQ339" s="111">
        <f>IF(AB339="",99999999999,IFERROR(MATCH(AB339,{"Produção Parcial","Em Produção","Programado","Não Iniciado","Desenvolv.","Concluído"},0),7)*100000000+IF(ISNUMBER(J339),J339-46000,9999)*10000+IF(A339="",99,A339)*100+IF(C339="",99,CODE(LEFT(C339,1))))</f>
        <v>699990066</v>
      </c>
    </row>
    <row r="340" spans="1:43" s="36" customFormat="1" ht="25.15" hidden="1" customHeight="1" x14ac:dyDescent="0.25">
      <c r="A340" s="36">
        <v>0</v>
      </c>
      <c r="B340" s="38" t="s">
        <v>254</v>
      </c>
      <c r="C340" s="24" t="s">
        <v>255</v>
      </c>
      <c r="D340" s="24" t="s">
        <v>261</v>
      </c>
      <c r="E340" s="70" t="str">
        <f>INDEX([1]Produtos!$C:$C,MATCH($D340,[1]Produtos!$B:$B,0))&amp;IF($F340&lt;&gt;"-"," - "&amp;LEFT($F340,1),"")&amp;" &gt; "&amp;$B340</f>
        <v>BODY SPLASH BIO BALM EUPHORIA PINK &gt; 01_08</v>
      </c>
      <c r="F340" s="51" t="s">
        <v>38</v>
      </c>
      <c r="G340" s="38">
        <v>45854</v>
      </c>
      <c r="H340" s="39">
        <v>7500</v>
      </c>
      <c r="I340" s="24" t="s">
        <v>39</v>
      </c>
      <c r="J340" s="68" t="str" cm="1">
        <f t="array" ref="J340">IFERROR(INDEX('[2]Previsão Envase'!$D$5:$D$4867, MATCH(1,('[2]Previsão Envase'!$F$5:$F$4867=$E340)+('[2]Previsão Envase'!$G$5:$G$4867=$E340)+('[2]Previsão Envase'!$H$5:$H$4867=$E340),0)),"")</f>
        <v/>
      </c>
      <c r="K340" s="68" t="str">
        <f>IF(COUNTIF('[2]Previsão Envase'!$F:$F,E340)&gt;0,"Linha 1",
IF(COUNTIF('[2]Previsão Envase'!$G:$G,E340)&gt;0,"Linha 2",
IF(COUNTIF('[2]Previsão Envase'!$H:$H,E340)&gt;0,"Linha 3","")))</f>
        <v/>
      </c>
      <c r="L340" s="96">
        <f>COUNTIF('[2]Previsão Envase'!$F:$H,E340)-COUNTIF('[2]Previsão Envase'!$F$1:$H$4,E340)</f>
        <v>0</v>
      </c>
      <c r="M340" s="35">
        <f t="shared" si="52"/>
        <v>0</v>
      </c>
      <c r="N340" s="68" t="str">
        <f>IFERROR(MAX(_xlfn.MAXIFS('[2]Controle de Produção'!$C:$C,'[2]Controle de Produção'!$L:$L,$D340,'[2]Controle de Produção'!$P:$P,$C340,'[2]Controle de Produção'!$G:$G,$B340),_xlfn.MAXIFS([3]EXPEDIÇÃO!$N:$N,[3]EXPEDIÇÃO!$E:$E,$D340,[3]EXPEDIÇÃO!$D:$D,$C340,[3]EXPEDIÇÃO!$N:$N,"&gt;="&amp;$G340)),"")</f>
        <v/>
      </c>
      <c r="O340" s="70">
        <f>INDEX([1]Produtos!$E:$E,MATCH($D340,[1]Produtos!$B:$B,0))</f>
        <v>200</v>
      </c>
      <c r="P340" s="70" t="str">
        <f>INDEX([1]Produtos!$F:$F,MATCH($D340,[1]Produtos!$B:$B,0))</f>
        <v>ml</v>
      </c>
      <c r="Q340" s="105">
        <f>INDEX([1]Produtos!$Y:$Y,MATCH($D340,[1]Produtos!$B:$B,0))</f>
        <v>1.7000000000000002</v>
      </c>
      <c r="R340" s="35">
        <f t="shared" si="53"/>
        <v>7592.2902086267013</v>
      </c>
      <c r="S340" s="27">
        <f>IFERROR(INDEX([1]Produtos!$L:$L,MATCH(D340,[1]Produtos!$B:$B,0)), "")</f>
        <v>843.58780095852239</v>
      </c>
      <c r="T340" s="28">
        <f t="shared" si="54"/>
        <v>8.9</v>
      </c>
      <c r="U340" s="28" t="str">
        <f t="shared" si="55"/>
        <v>1D e 1h</v>
      </c>
      <c r="V340" s="27">
        <f>IFERROR(SUMIFS('[2]Controle de Produção'!$K:$K,'[2]Controle de Produção'!$L:$L,D340,'[2]Controle de Produção'!$P:$P,C340,'[2]Controle de Produção'!$B:$B,"&gt;=" &amp; G340,'[2]Controle de Produção'!$C:$C,"&lt;=" &amp; N340, '[2]Controle de Produção'!$G:$G,B340), "")</f>
        <v>0</v>
      </c>
      <c r="W340" s="27" t="str">
        <f>IFERROR(SUMIFS([3]EXPEDIÇÃO!$K:$K,[3]EXPEDIÇÃO!$E:$E,D340,[3]EXPEDIÇÃO!$D:$D,C340,[3]EXPEDIÇÃO!$N:$N,"&gt;=" &amp; G340,[3]EXPEDIÇÃO!$N:$N,"&lt;="&amp;N340), "")</f>
        <v/>
      </c>
      <c r="X340" s="27">
        <f>COUNTIFS('[2]Controle de Produção'!$P:$P,C340,'[2]Controle de Produção'!$L:$L,D340,'[2]Controle de Produção'!$B:$B,"&gt;=" &amp; G340)</f>
        <v>4</v>
      </c>
      <c r="Y340" s="27">
        <f t="shared" si="56"/>
        <v>0</v>
      </c>
      <c r="Z340" s="27">
        <f>IFERROR(COUNTIFS('[2]Controle de Produção'!$L:$L,D340,'[2]Controle de Produção'!$P:$P,C340,'[2]Controle de Produção'!$B:$B,"&gt;=" &amp; G340,'[2]Controle de Produção'!$C:$C,"&lt;=" &amp; N340, '[2]Controle de Produção'!$G:$G,B340), "")</f>
        <v>0</v>
      </c>
      <c r="AA340" s="108" t="str">
        <f t="shared" si="57"/>
        <v/>
      </c>
      <c r="AB340" s="41" t="s">
        <v>60</v>
      </c>
      <c r="AC340" s="42" t="b">
        <v>1</v>
      </c>
      <c r="AD340" s="42" t="b">
        <v>1</v>
      </c>
      <c r="AE340" s="42" t="b">
        <v>1</v>
      </c>
      <c r="AF340" s="42" t="b">
        <v>1</v>
      </c>
      <c r="AG340" s="32" t="b">
        <v>1</v>
      </c>
      <c r="AH340" s="42" t="s">
        <v>38</v>
      </c>
      <c r="AI340" s="42" t="b">
        <v>1</v>
      </c>
      <c r="AJ340" s="42" t="s">
        <v>38</v>
      </c>
      <c r="AK340" s="42" t="b">
        <v>0</v>
      </c>
      <c r="AL340" s="42" t="b">
        <v>1</v>
      </c>
      <c r="AM340" s="42" t="b">
        <v>1</v>
      </c>
      <c r="AN340" s="87">
        <f>3/3</f>
        <v>1</v>
      </c>
      <c r="AO340" s="45" t="b" cm="1">
        <f t="array" ref="AO340">AND(COUNTIF(AC340:AN340,FALSE)=0,SUMPRODUCT(ISNUMBER(AC340:AN340)*1)=0)</f>
        <v>0</v>
      </c>
      <c r="AP340" s="59"/>
      <c r="AQ340" s="111">
        <f>IF(AB340="",99999999999,IFERROR(MATCH(AB340,{"Produção Parcial","Em Produção","Programado","Não Iniciado","Desenvolv.","Concluído"},0),7)*100000000+IF(ISNUMBER(J340),J340-46000,9999)*10000+IF(A340="",99,A340)*100+IF(C340="",99,CODE(LEFT(C340,1))))</f>
        <v>699990066</v>
      </c>
    </row>
    <row r="341" spans="1:43" s="36" customFormat="1" ht="25.15" hidden="1" customHeight="1" x14ac:dyDescent="0.25">
      <c r="A341" s="36">
        <v>0</v>
      </c>
      <c r="B341" s="38" t="s">
        <v>227</v>
      </c>
      <c r="C341" s="24" t="s">
        <v>228</v>
      </c>
      <c r="D341" s="24" t="s">
        <v>231</v>
      </c>
      <c r="E341" s="70" t="str">
        <f>INDEX([1]Produtos!$C:$C,MATCH($D341,[1]Produtos!$B:$B,0))&amp;IF($F341&lt;&gt;"-"," - "&amp;LEFT($F341,1),"")&amp;" &gt; "&amp;$B341</f>
        <v>HIDRATANTE MATTE DOCE SEDUÇÃO - 1 &gt; DAPOP - Pedido 360 mil</v>
      </c>
      <c r="F341" s="51">
        <v>1</v>
      </c>
      <c r="G341" s="38">
        <v>45828</v>
      </c>
      <c r="H341" s="39">
        <v>20000</v>
      </c>
      <c r="I341" s="24" t="s">
        <v>39</v>
      </c>
      <c r="J341" s="68" t="str" cm="1">
        <f t="array" ref="J341">IFERROR(INDEX('[2]Previsão Envase'!$D$5:$D$4867, MATCH(1,('[2]Previsão Envase'!$F$5:$F$4867=$E341)+('[2]Previsão Envase'!$G$5:$G$4867=$E341)+('[2]Previsão Envase'!$H$5:$H$4867=$E341),0)),"")</f>
        <v/>
      </c>
      <c r="K341" s="68" t="str">
        <f>IF(COUNTIF('[2]Previsão Envase'!$F:$F,E341)&gt;0,"Linha 1",
IF(COUNTIF('[2]Previsão Envase'!$G:$G,E341)&gt;0,"Linha 2",
IF(COUNTIF('[2]Previsão Envase'!$H:$H,E341)&gt;0,"Linha 3","")))</f>
        <v/>
      </c>
      <c r="L341" s="96">
        <f>COUNTIF('[2]Previsão Envase'!$F:$H,E341)-COUNTIF('[2]Previsão Envase'!$F$1:$H$4,E341)</f>
        <v>0</v>
      </c>
      <c r="M341" s="35">
        <f t="shared" si="52"/>
        <v>0</v>
      </c>
      <c r="N341" s="68" t="str">
        <f>IFERROR(MAX(_xlfn.MAXIFS('[2]Controle de Produção'!$C:$C,'[2]Controle de Produção'!$L:$L,$D341,'[2]Controle de Produção'!$P:$P,$C341,'[2]Controle de Produção'!$G:$G,$B341),_xlfn.MAXIFS([3]EXPEDIÇÃO!$N:$N,[3]EXPEDIÇÃO!$E:$E,$D341,[3]EXPEDIÇÃO!$D:$D,$C341,[3]EXPEDIÇÃO!$N:$N,"&gt;="&amp;$G341)),"")</f>
        <v/>
      </c>
      <c r="O341" s="70">
        <f>INDEX([1]Produtos!$E:$E,MATCH($D341,[1]Produtos!$B:$B,0))</f>
        <v>120</v>
      </c>
      <c r="P341" s="70" t="str">
        <f>INDEX([1]Produtos!$F:$F,MATCH($D341,[1]Produtos!$B:$B,0))</f>
        <v>ml</v>
      </c>
      <c r="Q341" s="105">
        <f>INDEX([1]Produtos!$Y:$Y,MATCH($D341,[1]Produtos!$B:$B,0))</f>
        <v>0</v>
      </c>
      <c r="R341" s="35">
        <f t="shared" si="53"/>
        <v>5520.5897431648482</v>
      </c>
      <c r="S341" s="27">
        <f>IFERROR(INDEX([1]Produtos!$L:$L,MATCH(D341,[1]Produtos!$B:$B,0)), "")</f>
        <v>613.39886035164977</v>
      </c>
      <c r="T341" s="28">
        <f t="shared" si="54"/>
        <v>32.700000000000003</v>
      </c>
      <c r="U341" s="28" t="str">
        <f t="shared" si="55"/>
        <v>3D e 7h</v>
      </c>
      <c r="V341" s="27">
        <f>IFERROR(SUMIFS('[2]Controle de Produção'!$K:$K,'[2]Controle de Produção'!$L:$L,D341,'[2]Controle de Produção'!$P:$P,C341,'[2]Controle de Produção'!$B:$B,"&gt;=" &amp; G341,'[2]Controle de Produção'!$C:$C,"&lt;=" &amp; N341, '[2]Controle de Produção'!$G:$G,B341), "")</f>
        <v>0</v>
      </c>
      <c r="W341" s="27" t="str">
        <f>IFERROR(SUMIFS([3]EXPEDIÇÃO!$K:$K,[3]EXPEDIÇÃO!$E:$E,D341,[3]EXPEDIÇÃO!$D:$D,C341,[3]EXPEDIÇÃO!$N:$N,"&gt;=" &amp; G341,[3]EXPEDIÇÃO!$N:$N,"&lt;="&amp;N341), "")</f>
        <v/>
      </c>
      <c r="X341" s="27">
        <f>COUNTIFS('[2]Controle de Produção'!$P:$P,C341,'[2]Controle de Produção'!$L:$L,D341,'[2]Controle de Produção'!$B:$B,"&gt;=" &amp; G341)</f>
        <v>9</v>
      </c>
      <c r="Y341" s="27">
        <f t="shared" si="56"/>
        <v>0</v>
      </c>
      <c r="Z341" s="27">
        <f>IFERROR(COUNTIFS('[2]Controle de Produção'!$L:$L,D341,'[2]Controle de Produção'!$P:$P,C341,'[2]Controle de Produção'!$B:$B,"&gt;=" &amp; G341,'[2]Controle de Produção'!$C:$C,"&lt;=" &amp; N341, '[2]Controle de Produção'!$G:$G,B341), "")</f>
        <v>0</v>
      </c>
      <c r="AA341" s="108" t="str">
        <f t="shared" si="57"/>
        <v/>
      </c>
      <c r="AB341" s="41" t="s">
        <v>60</v>
      </c>
      <c r="AC341" s="42" t="b">
        <v>1</v>
      </c>
      <c r="AD341" s="42" t="b">
        <v>1</v>
      </c>
      <c r="AE341" s="42" t="b">
        <v>1</v>
      </c>
      <c r="AF341" s="42" t="b">
        <v>1</v>
      </c>
      <c r="AG341" s="42" t="s">
        <v>38</v>
      </c>
      <c r="AH341" s="42" t="s">
        <v>38</v>
      </c>
      <c r="AI341" s="42" t="b">
        <v>1</v>
      </c>
      <c r="AJ341" s="42" t="b">
        <v>1</v>
      </c>
      <c r="AK341" s="42" t="b">
        <v>0</v>
      </c>
      <c r="AL341" s="42" t="b">
        <v>1</v>
      </c>
      <c r="AM341" s="42" t="b">
        <v>1</v>
      </c>
      <c r="AN341" s="87">
        <f>6/6</f>
        <v>1</v>
      </c>
      <c r="AO341" s="45" t="b" cm="1">
        <f t="array" ref="AO341">AND(COUNTIF(AC341:AN341,FALSE)=0,SUMPRODUCT(ISNUMBER(AC341:AN341)*1)=0)</f>
        <v>0</v>
      </c>
      <c r="AP341" s="59"/>
      <c r="AQ341" s="111">
        <f>IF(AB341="",99999999999,IFERROR(MATCH(AB341,{"Produção Parcial","Em Produção","Programado","Não Iniciado","Desenvolv.","Concluído"},0),7)*100000000+IF(ISNUMBER(J341),J341-46000,9999)*10000+IF(A341="",99,A341)*100+IF(C341="",99,CODE(LEFT(C341,1))))</f>
        <v>699990068</v>
      </c>
    </row>
    <row r="342" spans="1:43" s="36" customFormat="1" ht="25.15" hidden="1" customHeight="1" x14ac:dyDescent="0.25">
      <c r="A342" s="36">
        <v>0</v>
      </c>
      <c r="B342" s="38" t="s">
        <v>217</v>
      </c>
      <c r="C342" s="24" t="str">
        <f>INDEX([1]Produtos!$G:$G,MATCH($D342,[1]Produtos!$B:$B,0))</f>
        <v>GLOW MAKE UP</v>
      </c>
      <c r="D342" s="24" t="s">
        <v>103</v>
      </c>
      <c r="E342" s="70" t="str">
        <f>INDEX([1]Produtos!$C:$C,MATCH($D342,[1]Produtos!$B:$B,0))&amp;IF($F342&lt;&gt;"-"," - "&amp;LEFT($F342,1),"")&amp;" &gt; "&amp;$B342</f>
        <v>ÁGUA MICELAR COLÁGENO - 1 &gt; GLOW - Água Micelar</v>
      </c>
      <c r="F342" s="51" t="s">
        <v>94</v>
      </c>
      <c r="G342" s="38">
        <v>45824</v>
      </c>
      <c r="H342" s="39">
        <v>5000</v>
      </c>
      <c r="I342" s="24" t="s">
        <v>39</v>
      </c>
      <c r="J342" s="68" t="str" cm="1">
        <f t="array" ref="J342">IFERROR(INDEX('[2]Previsão Envase'!$D$5:$D$4867, MATCH(1,('[2]Previsão Envase'!$F$5:$F$4867=$E342)+('[2]Previsão Envase'!$G$5:$G$4867=$E342)+('[2]Previsão Envase'!$H$5:$H$4867=$E342),0)),"")</f>
        <v/>
      </c>
      <c r="K342" s="68" t="str">
        <f>IF(COUNTIF('[2]Previsão Envase'!$F:$F,E342)&gt;0,"Linha 1",
IF(COUNTIF('[2]Previsão Envase'!$G:$G,E342)&gt;0,"Linha 2",
IF(COUNTIF('[2]Previsão Envase'!$H:$H,E342)&gt;0,"Linha 3","")))</f>
        <v/>
      </c>
      <c r="L342" s="96">
        <f>COUNTIF('[2]Previsão Envase'!$F:$H,E342)-COUNTIF('[2]Previsão Envase'!$F$1:$H$4,E342)</f>
        <v>0</v>
      </c>
      <c r="M342" s="35">
        <f t="shared" si="52"/>
        <v>0</v>
      </c>
      <c r="N342" s="68" t="str">
        <f>IFERROR(MAX(_xlfn.MAXIFS('[2]Controle de Produção'!$C:$C,'[2]Controle de Produção'!$L:$L,$D342,'[2]Controle de Produção'!$P:$P,$C342,'[2]Controle de Produção'!$G:$G,$B342),_xlfn.MAXIFS([3]EXPEDIÇÃO!$N:$N,[3]EXPEDIÇÃO!$E:$E,$D342,[3]EXPEDIÇÃO!$D:$D,$C342,[3]EXPEDIÇÃO!$N:$N,"&gt;="&amp;$G342)),"")</f>
        <v/>
      </c>
      <c r="O342" s="70">
        <f>INDEX([1]Produtos!$E:$E,MATCH($D342,[1]Produtos!$B:$B,0))</f>
        <v>325</v>
      </c>
      <c r="P342" s="70" t="str">
        <f>INDEX([1]Produtos!$F:$F,MATCH($D342,[1]Produtos!$B:$B,0))</f>
        <v>ml</v>
      </c>
      <c r="Q342" s="105">
        <f>INDEX([1]Produtos!$Y:$Y,MATCH($D342,[1]Produtos!$B:$B,0))</f>
        <v>0</v>
      </c>
      <c r="R342" s="35">
        <f t="shared" si="53"/>
        <v>7288.9063376861359</v>
      </c>
      <c r="S342" s="27">
        <f>IFERROR(INDEX([1]Produtos!$L:$L,MATCH(D342,[1]Produtos!$B:$B,0)), "")</f>
        <v>809.87848196512618</v>
      </c>
      <c r="T342" s="28">
        <f t="shared" si="54"/>
        <v>6.1999999999999993</v>
      </c>
      <c r="U342" s="28" t="str">
        <f t="shared" si="55"/>
        <v>0D e 7h</v>
      </c>
      <c r="V342" s="27">
        <f>IFERROR(SUMIFS('[2]Controle de Produção'!$K:$K,'[2]Controle de Produção'!$L:$L,D342,'[2]Controle de Produção'!$P:$P,C342,'[2]Controle de Produção'!$B:$B,"&gt;=" &amp; G342,'[2]Controle de Produção'!$C:$C,"&lt;=" &amp; N342, '[2]Controle de Produção'!$G:$G,B342), "")</f>
        <v>0</v>
      </c>
      <c r="W342" s="27" t="str">
        <f>IFERROR(SUMIFS([3]EXPEDIÇÃO!$K:$K,[3]EXPEDIÇÃO!$E:$E,D342,[3]EXPEDIÇÃO!$D:$D,C342,[3]EXPEDIÇÃO!$N:$N,"&gt;=" &amp; G342,[3]EXPEDIÇÃO!$N:$N,"&lt;="&amp;N342), "")</f>
        <v/>
      </c>
      <c r="X342" s="27">
        <f>COUNTIFS('[2]Controle de Produção'!$P:$P,C342,'[2]Controle de Produção'!$L:$L,D342,'[2]Controle de Produção'!$B:$B,"&gt;=" &amp; G342)</f>
        <v>22</v>
      </c>
      <c r="Y342" s="27">
        <f t="shared" si="56"/>
        <v>0</v>
      </c>
      <c r="Z342" s="27">
        <f>IFERROR(COUNTIFS('[2]Controle de Produção'!$L:$L,D342,'[2]Controle de Produção'!$P:$P,C342,'[2]Controle de Produção'!$B:$B,"&gt;=" &amp; G342,'[2]Controle de Produção'!$C:$C,"&lt;=" &amp; N342, '[2]Controle de Produção'!$G:$G,B342), "")</f>
        <v>0</v>
      </c>
      <c r="AA342" s="108" t="str">
        <f t="shared" si="57"/>
        <v/>
      </c>
      <c r="AB342" s="41" t="s">
        <v>60</v>
      </c>
      <c r="AC342" s="42" t="b">
        <v>1</v>
      </c>
      <c r="AD342" s="42" t="b">
        <v>1</v>
      </c>
      <c r="AE342" s="42" t="s">
        <v>38</v>
      </c>
      <c r="AF342" s="42" t="b">
        <v>1</v>
      </c>
      <c r="AG342" s="42" t="b">
        <v>1</v>
      </c>
      <c r="AH342" s="42" t="s">
        <v>38</v>
      </c>
      <c r="AI342" s="42" t="s">
        <v>38</v>
      </c>
      <c r="AJ342" s="42" t="s">
        <v>38</v>
      </c>
      <c r="AK342" s="42" t="b">
        <v>0</v>
      </c>
      <c r="AL342" s="42" t="b">
        <v>1</v>
      </c>
      <c r="AM342" s="69" t="b">
        <v>1</v>
      </c>
      <c r="AN342" s="86" t="b">
        <v>1</v>
      </c>
      <c r="AO342" s="45" t="b" cm="1">
        <f t="array" ref="AO342">AND(COUNTIF(AC342:AN342,FALSE)=0,SUMPRODUCT(ISNUMBER(AC342:AN342)*1)=0)</f>
        <v>0</v>
      </c>
      <c r="AP342" s="59"/>
      <c r="AQ342" s="111">
        <f>IF(AB342="",99999999999,IFERROR(MATCH(AB342,{"Produção Parcial","Em Produção","Programado","Não Iniciado","Desenvolv.","Concluído"},0),7)*100000000+IF(ISNUMBER(J342),J342-46000,9999)*10000+IF(A342="",99,A342)*100+IF(C342="",99,CODE(LEFT(C342,1))))</f>
        <v>699990071</v>
      </c>
    </row>
    <row r="343" spans="1:43" s="36" customFormat="1" ht="25.15" hidden="1" customHeight="1" x14ac:dyDescent="0.25">
      <c r="A343" s="36">
        <v>0</v>
      </c>
      <c r="B343" s="38" t="s">
        <v>47</v>
      </c>
      <c r="C343" s="70" t="str">
        <f>INDEX([1]Produtos!$G:$G,MATCH($D343,[1]Produtos!$B:$B,0))</f>
        <v>KURYOS</v>
      </c>
      <c r="D343" s="24" t="s">
        <v>48</v>
      </c>
      <c r="E343" s="70" t="str">
        <f>INDEX([1]Produtos!$C:$C,MATCH($D343,[1]Produtos!$B:$B,0))&amp;IF($F343&lt;&gt;"-"," - "&amp;LEFT($F343,1),"")&amp;" &gt; "&amp;$B343</f>
        <v>BASE PARA PERFUME FINA BASE PREMIUM 1l &gt; CIDA 02.25</v>
      </c>
      <c r="F343" s="51" t="s">
        <v>38</v>
      </c>
      <c r="G343" s="38">
        <v>46009</v>
      </c>
      <c r="H343" s="39">
        <v>1092</v>
      </c>
      <c r="I343" s="24" t="s">
        <v>42</v>
      </c>
      <c r="J343" s="68" t="str" cm="1">
        <f t="array" ref="J343">IFERROR(INDEX('[2]Previsão Envase'!$D$5:$D$4867, MATCH(1,('[2]Previsão Envase'!$F$5:$F$4867=$E343)+('[2]Previsão Envase'!$G$5:$G$4867=$E343)+('[2]Previsão Envase'!$H$5:$H$4867=$E343),0)),"")</f>
        <v/>
      </c>
      <c r="K343" s="68" t="str">
        <f>IF(COUNTIF('[2]Previsão Envase'!$F:$F,E343)&gt;0,"Linha 1",
IF(COUNTIF('[2]Previsão Envase'!$G:$G,E343)&gt;0,"Linha 2",
IF(COUNTIF('[2]Previsão Envase'!$H:$H,E343)&gt;0,"Linha 3","")))</f>
        <v/>
      </c>
      <c r="L343" s="96">
        <f>COUNTIF('[2]Previsão Envase'!$F:$H,E343)-COUNTIF('[2]Previsão Envase'!$F$1:$H$4,E343)</f>
        <v>0</v>
      </c>
      <c r="M343" s="35">
        <f t="shared" si="52"/>
        <v>0</v>
      </c>
      <c r="N343" s="68" t="str">
        <f>IFERROR(MAX(_xlfn.MAXIFS('[2]Controle de Produção'!$C:$C,'[2]Controle de Produção'!$L:$L,$D343,'[2]Controle de Produção'!$P:$P,$C343,'[2]Controle de Produção'!$G:$G,$B343),_xlfn.MAXIFS([3]EXPEDIÇÃO!$N:$N,[3]EXPEDIÇÃO!$E:$E,$D343,[3]EXPEDIÇÃO!$D:$D,$C343,[3]EXPEDIÇÃO!$N:$N,"&gt;="&amp;$G343)),"")</f>
        <v/>
      </c>
      <c r="O343" s="70">
        <f>INDEX([1]Produtos!$E:$E,MATCH($D343,[1]Produtos!$B:$B,0))</f>
        <v>1000</v>
      </c>
      <c r="P343" s="70" t="str">
        <f>INDEX([1]Produtos!$F:$F,MATCH($D343,[1]Produtos!$B:$B,0))</f>
        <v>ml</v>
      </c>
      <c r="Q343" s="105">
        <f>INDEX([1]Produtos!$Y:$Y,MATCH($D343,[1]Produtos!$B:$B,0))</f>
        <v>0</v>
      </c>
      <c r="R343" s="35">
        <f t="shared" si="53"/>
        <v>2120.1944716590451</v>
      </c>
      <c r="S343" s="27">
        <f>IFERROR(INDEX([1]Produtos!$L:$L,MATCH(D343,[1]Produtos!$B:$B,0)), "")</f>
        <v>235.57716351767166</v>
      </c>
      <c r="T343" s="28">
        <f t="shared" si="54"/>
        <v>4.6999999999999993</v>
      </c>
      <c r="U343" s="28" t="str">
        <f t="shared" si="55"/>
        <v>0D e 5h</v>
      </c>
      <c r="V343" s="27">
        <f>IFERROR(SUMIFS('[2]Controle de Produção'!$K:$K,'[2]Controle de Produção'!$L:$L,D343,'[2]Controle de Produção'!$P:$P,C343,'[2]Controle de Produção'!$B:$B,"&gt;=" &amp; G343,'[2]Controle de Produção'!$C:$C,"&lt;=" &amp; N343, '[2]Controle de Produção'!$G:$G,B343), "")</f>
        <v>0</v>
      </c>
      <c r="W343" s="27" t="str">
        <f>IFERROR(SUMIFS([3]EXPEDIÇÃO!$K:$K,[3]EXPEDIÇÃO!$E:$E,D343,[3]EXPEDIÇÃO!$D:$D,C343,[3]EXPEDIÇÃO!$N:$N,"&gt;=" &amp; G343,[3]EXPEDIÇÃO!$N:$N,"&lt;="&amp;N343), "")</f>
        <v/>
      </c>
      <c r="X343" s="27">
        <f>COUNTIFS('[2]Controle de Produção'!$P:$P,C343,'[2]Controle de Produção'!$L:$L,D343,'[2]Controle de Produção'!$B:$B,"&gt;=" &amp; G343)</f>
        <v>2</v>
      </c>
      <c r="Y343" s="27">
        <f t="shared" si="56"/>
        <v>0</v>
      </c>
      <c r="Z343" s="27">
        <f>IFERROR(COUNTIFS('[2]Controle de Produção'!$L:$L,D343,'[2]Controle de Produção'!$P:$P,C343,'[2]Controle de Produção'!$B:$B,"&gt;=" &amp; G343,'[2]Controle de Produção'!$C:$C,"&lt;=" &amp; N343, '[2]Controle de Produção'!$G:$G,B343), "")</f>
        <v>0</v>
      </c>
      <c r="AA343" s="108" t="str">
        <f t="shared" si="57"/>
        <v/>
      </c>
      <c r="AB343" s="41" t="s">
        <v>60</v>
      </c>
      <c r="AC343" s="42" t="b">
        <v>1</v>
      </c>
      <c r="AD343" s="42" t="b">
        <v>1</v>
      </c>
      <c r="AE343" s="42" t="b">
        <v>1</v>
      </c>
      <c r="AF343" s="42" t="b">
        <v>1</v>
      </c>
      <c r="AG343" s="42" t="b">
        <v>1</v>
      </c>
      <c r="AH343" s="42" t="s">
        <v>38</v>
      </c>
      <c r="AI343" s="42" t="s">
        <v>38</v>
      </c>
      <c r="AJ343" s="42" t="s">
        <v>38</v>
      </c>
      <c r="AK343" s="42" t="s">
        <v>38</v>
      </c>
      <c r="AL343" s="42" t="b">
        <v>0</v>
      </c>
      <c r="AM343" s="42" t="s">
        <v>38</v>
      </c>
      <c r="AN343" s="42" t="b">
        <v>1</v>
      </c>
      <c r="AO343" s="45" t="b" cm="1">
        <f t="array" ref="AO343">AND(COUNTIF(AC343:AN343,FALSE)=0,SUMPRODUCT(ISNUMBER(AC343:AN343)*1)=0)</f>
        <v>0</v>
      </c>
      <c r="AP343" s="59"/>
      <c r="AQ343" s="111">
        <f>IF(AB343="",99999999999,IFERROR(MATCH(AB343,{"Produção Parcial","Em Produção","Programado","Não Iniciado","Desenvolv.","Concluído"},0),7)*100000000+IF(ISNUMBER(J343),J343-46000,9999)*10000+IF(A343="",99,A343)*100+IF(C343="",99,CODE(LEFT(C343,1))))</f>
        <v>699990075</v>
      </c>
    </row>
    <row r="344" spans="1:43" s="36" customFormat="1" ht="25.15" hidden="1" customHeight="1" x14ac:dyDescent="0.25">
      <c r="A344" s="36">
        <v>0</v>
      </c>
      <c r="B344" s="38" t="s">
        <v>47</v>
      </c>
      <c r="C344" s="70" t="str">
        <f>INDEX([1]Produtos!$G:$G,MATCH($D344,[1]Produtos!$B:$B,0))</f>
        <v>KURYOS</v>
      </c>
      <c r="D344" s="24" t="s">
        <v>72</v>
      </c>
      <c r="E344" s="70" t="str">
        <f>INDEX([1]Produtos!$C:$C,MATCH($D344,[1]Produtos!$B:$B,0))&amp;IF($F344&lt;&gt;"-"," - "&amp;LEFT($F344,1),"")&amp;" &gt; "&amp;$B344</f>
        <v>BASE PARA PERFUME FINA BASE PREMIUM 500ml &gt; CIDA 02.25</v>
      </c>
      <c r="F344" s="51" t="s">
        <v>38</v>
      </c>
      <c r="G344" s="38">
        <v>46009</v>
      </c>
      <c r="H344" s="39">
        <v>1080</v>
      </c>
      <c r="I344" s="24" t="s">
        <v>42</v>
      </c>
      <c r="J344" s="68" t="str" cm="1">
        <f t="array" ref="J344">IFERROR(INDEX('[2]Previsão Envase'!$D$5:$D$4867, MATCH(1,('[2]Previsão Envase'!$F$5:$F$4867=$E344)+('[2]Previsão Envase'!$G$5:$G$4867=$E344)+('[2]Previsão Envase'!$H$5:$H$4867=$E344),0)),"")</f>
        <v/>
      </c>
      <c r="K344" s="68" t="str">
        <f>IF(COUNTIF('[2]Previsão Envase'!$F:$F,E344)&gt;0,"Linha 1",
IF(COUNTIF('[2]Previsão Envase'!$G:$G,E344)&gt;0,"Linha 2",
IF(COUNTIF('[2]Previsão Envase'!$H:$H,E344)&gt;0,"Linha 3","")))</f>
        <v/>
      </c>
      <c r="L344" s="96">
        <f>COUNTIF('[2]Previsão Envase'!$F:$H,E344)-COUNTIF('[2]Previsão Envase'!$F$1:$H$4,E344)</f>
        <v>0</v>
      </c>
      <c r="M344" s="35">
        <f t="shared" si="52"/>
        <v>0</v>
      </c>
      <c r="N344" s="68" t="str">
        <f>IFERROR(MAX(_xlfn.MAXIFS('[2]Controle de Produção'!$C:$C,'[2]Controle de Produção'!$L:$L,$D344,'[2]Controle de Produção'!$P:$P,$C344,'[2]Controle de Produção'!$G:$G,$B344),_xlfn.MAXIFS([3]EXPEDIÇÃO!$N:$N,[3]EXPEDIÇÃO!$E:$E,$D344,[3]EXPEDIÇÃO!$D:$D,$C344,[3]EXPEDIÇÃO!$N:$N,"&gt;="&amp;$G344)),"")</f>
        <v/>
      </c>
      <c r="O344" s="70">
        <f>INDEX([1]Produtos!$E:$E,MATCH($D344,[1]Produtos!$B:$B,0))</f>
        <v>500</v>
      </c>
      <c r="P344" s="70" t="str">
        <f>INDEX([1]Produtos!$F:$F,MATCH($D344,[1]Produtos!$B:$B,0))</f>
        <v>ml</v>
      </c>
      <c r="Q344" s="105">
        <f>INDEX([1]Produtos!$Y:$Y,MATCH($D344,[1]Produtos!$B:$B,0))</f>
        <v>0</v>
      </c>
      <c r="R344" s="35">
        <f t="shared" si="53"/>
        <v>2120.1944716590451</v>
      </c>
      <c r="S344" s="27">
        <f>IFERROR(INDEX([1]Produtos!$L:$L,MATCH(D344,[1]Produtos!$B:$B,0)), "")</f>
        <v>235.57716351767166</v>
      </c>
      <c r="T344" s="28">
        <f t="shared" si="54"/>
        <v>4.5999999999999996</v>
      </c>
      <c r="U344" s="28" t="str">
        <f t="shared" si="55"/>
        <v>0D e 5h</v>
      </c>
      <c r="V344" s="27">
        <f>IFERROR(SUMIFS('[2]Controle de Produção'!$K:$K,'[2]Controle de Produção'!$L:$L,D344,'[2]Controle de Produção'!$P:$P,C344,'[2]Controle de Produção'!$B:$B,"&gt;=" &amp; G344,'[2]Controle de Produção'!$C:$C,"&lt;=" &amp; N344, '[2]Controle de Produção'!$G:$G,B344), "")</f>
        <v>0</v>
      </c>
      <c r="W344" s="27" t="str">
        <f>IFERROR(SUMIFS([3]EXPEDIÇÃO!$K:$K,[3]EXPEDIÇÃO!$E:$E,D344,[3]EXPEDIÇÃO!$D:$D,C344,[3]EXPEDIÇÃO!$N:$N,"&gt;=" &amp; G344,[3]EXPEDIÇÃO!$N:$N,"&lt;="&amp;N344), "")</f>
        <v/>
      </c>
      <c r="X344" s="27">
        <f>COUNTIFS('[2]Controle de Produção'!$P:$P,C344,'[2]Controle de Produção'!$L:$L,D344,'[2]Controle de Produção'!$B:$B,"&gt;=" &amp; G344)</f>
        <v>1</v>
      </c>
      <c r="Y344" s="27">
        <f t="shared" si="56"/>
        <v>0</v>
      </c>
      <c r="Z344" s="27">
        <f>IFERROR(COUNTIFS('[2]Controle de Produção'!$L:$L,D344,'[2]Controle de Produção'!$P:$P,C344,'[2]Controle de Produção'!$B:$B,"&gt;=" &amp; G344,'[2]Controle de Produção'!$C:$C,"&lt;=" &amp; N344, '[2]Controle de Produção'!$G:$G,B344), "")</f>
        <v>0</v>
      </c>
      <c r="AA344" s="108" t="str">
        <f t="shared" si="57"/>
        <v/>
      </c>
      <c r="AB344" s="41" t="s">
        <v>60</v>
      </c>
      <c r="AC344" s="42" t="b">
        <v>1</v>
      </c>
      <c r="AD344" s="42" t="b">
        <v>1</v>
      </c>
      <c r="AE344" s="42" t="b">
        <v>1</v>
      </c>
      <c r="AF344" s="42" t="b">
        <v>1</v>
      </c>
      <c r="AG344" s="42" t="b">
        <v>1</v>
      </c>
      <c r="AH344" s="42" t="s">
        <v>38</v>
      </c>
      <c r="AI344" s="42" t="s">
        <v>38</v>
      </c>
      <c r="AJ344" s="42" t="s">
        <v>38</v>
      </c>
      <c r="AK344" s="42" t="s">
        <v>38</v>
      </c>
      <c r="AL344" s="42" t="b">
        <v>0</v>
      </c>
      <c r="AM344" s="42" t="s">
        <v>38</v>
      </c>
      <c r="AN344" s="42" t="b">
        <v>1</v>
      </c>
      <c r="AO344" s="45" t="b" cm="1">
        <f t="array" ref="AO344">AND(COUNTIF(AC344:AN344,FALSE)=0,SUMPRODUCT(ISNUMBER(AC344:AN344)*1)=0)</f>
        <v>0</v>
      </c>
      <c r="AP344" s="59"/>
      <c r="AQ344" s="111">
        <f>IF(AB344="",99999999999,IFERROR(MATCH(AB344,{"Produção Parcial","Em Produção","Programado","Não Iniciado","Desenvolv.","Concluído"},0),7)*100000000+IF(ISNUMBER(J344),J344-46000,9999)*10000+IF(A344="",99,A344)*100+IF(C344="",99,CODE(LEFT(C344,1))))</f>
        <v>699990075</v>
      </c>
    </row>
    <row r="345" spans="1:43" s="36" customFormat="1" ht="25.15" customHeight="1" x14ac:dyDescent="0.25">
      <c r="A345" s="36">
        <v>0</v>
      </c>
      <c r="B345" s="38" t="s">
        <v>138</v>
      </c>
      <c r="C345" s="70" t="str">
        <f>INDEX([1]Produtos!$G:$G,MATCH($D345,[1]Produtos!$B:$B,0))</f>
        <v>MISS RÔSE</v>
      </c>
      <c r="D345" s="24" t="s">
        <v>148</v>
      </c>
      <c r="E345" s="70" t="str">
        <f>INDEX([1]Produtos!$C:$C,MATCH($D345,[1]Produtos!$B:$B,0))&amp;IF($F345&lt;&gt;"-"," - "&amp;LEFT($F345,1),"")&amp;" &gt; "&amp;$B345</f>
        <v>FIXADOR FIX MATTE 120ml - 1 &gt; FABIANO 03/02/26</v>
      </c>
      <c r="F345" s="51" t="s">
        <v>94</v>
      </c>
      <c r="G345" s="38">
        <v>46056</v>
      </c>
      <c r="H345" s="39">
        <v>48000</v>
      </c>
      <c r="I345" s="24" t="s">
        <v>39</v>
      </c>
      <c r="J345" s="68" t="str" cm="1">
        <f t="array" ref="J345">IFERROR(INDEX('[2]Previsão Envase'!$D$5:$D$4867, MATCH(1,('[2]Previsão Envase'!$F$5:$F$4867=$E345)+('[2]Previsão Envase'!$G$5:$G$4867=$E345)+('[2]Previsão Envase'!$H$5:$H$4867=$E345),0)),"")</f>
        <v/>
      </c>
      <c r="K345" s="68" t="str">
        <f>IF(COUNTIF('[2]Previsão Envase'!$F:$F,E345)&gt;0,"Linha 1",
IF(COUNTIF('[2]Previsão Envase'!$G:$G,E345)&gt;0,"Linha 2",
IF(COUNTIF('[2]Previsão Envase'!$H:$H,E345)&gt;0,"Linha 3","")))</f>
        <v/>
      </c>
      <c r="L345" s="96">
        <f>COUNTIF('[2]Previsão Envase'!$F:$H,E345)-COUNTIF('[2]Previsão Envase'!$F$1:$H$4,E345)</f>
        <v>0</v>
      </c>
      <c r="M345" s="35">
        <f t="shared" si="52"/>
        <v>0</v>
      </c>
      <c r="N345" s="68" t="str">
        <f>IFERROR(MAX(_xlfn.MAXIFS('[2]Controle de Produção'!$C:$C,'[2]Controle de Produção'!$L:$L,$D345,'[2]Controle de Produção'!$P:$P,$C345,'[2]Controle de Produção'!$G:$G,$B345),_xlfn.MAXIFS([3]EXPEDIÇÃO!$N:$N,[3]EXPEDIÇÃO!$E:$E,$D345,[3]EXPEDIÇÃO!$D:$D,$C345,[3]EXPEDIÇÃO!$N:$N,"&gt;="&amp;$G345)),"")</f>
        <v/>
      </c>
      <c r="O345" s="70">
        <f>INDEX([1]Produtos!$E:$E,MATCH($D345,[1]Produtos!$B:$B,0))</f>
        <v>120</v>
      </c>
      <c r="P345" s="70" t="str">
        <f>INDEX([1]Produtos!$F:$F,MATCH($D345,[1]Produtos!$B:$B,0))</f>
        <v>ml</v>
      </c>
      <c r="Q345" s="105">
        <f>INDEX([1]Produtos!$Y:$Y,MATCH($D345,[1]Produtos!$B:$B,0))</f>
        <v>0.55000000000000004</v>
      </c>
      <c r="R345" s="35">
        <f t="shared" si="53"/>
        <v>7069.6498915671636</v>
      </c>
      <c r="S345" s="27">
        <f>IFERROR(INDEX([1]Produtos!$L:$L,MATCH(D345,[1]Produtos!$B:$B,0)), "")</f>
        <v>785.51665461857374</v>
      </c>
      <c r="T345" s="28">
        <f t="shared" si="54"/>
        <v>61.2</v>
      </c>
      <c r="U345" s="28" t="str">
        <f t="shared" si="55"/>
        <v>6D e 9h</v>
      </c>
      <c r="V345" s="27">
        <f>IFERROR(SUMIFS('[2]Controle de Produção'!$K:$K,'[2]Controle de Produção'!$L:$L,D345,'[2]Controle de Produção'!$P:$P,C345,'[2]Controle de Produção'!$B:$B,"&gt;=" &amp; G345,'[2]Controle de Produção'!$C:$C,"&lt;=" &amp; N345, '[2]Controle de Produção'!$G:$G,B345), "")</f>
        <v>0</v>
      </c>
      <c r="W345" s="27" t="str">
        <f>IFERROR(SUMIFS([3]EXPEDIÇÃO!$K:$K,[3]EXPEDIÇÃO!$E:$E,D345,[3]EXPEDIÇÃO!$D:$D,C345,[3]EXPEDIÇÃO!$N:$N,"&gt;=" &amp; G345,[3]EXPEDIÇÃO!$N:$N,"&lt;="&amp;N345), "")</f>
        <v/>
      </c>
      <c r="X345" s="27">
        <f>COUNTIFS('[2]Controle de Produção'!$P:$P,C345,'[2]Controle de Produção'!$L:$L,D345,'[2]Controle de Produção'!$B:$B,"&gt;=" &amp; G345)</f>
        <v>14</v>
      </c>
      <c r="Y345" s="27">
        <f t="shared" si="56"/>
        <v>0</v>
      </c>
      <c r="Z345" s="27">
        <f>IFERROR(COUNTIFS('[2]Controle de Produção'!$L:$L,D345,'[2]Controle de Produção'!$P:$P,C345,'[2]Controle de Produção'!$B:$B,"&gt;=" &amp; G345,'[2]Controle de Produção'!$C:$C,"&lt;=" &amp; N345, '[2]Controle de Produção'!$G:$G,B345), "")</f>
        <v>0</v>
      </c>
      <c r="AA345" s="108" t="str">
        <f t="shared" si="57"/>
        <v/>
      </c>
      <c r="AB345" s="41" t="s">
        <v>60</v>
      </c>
      <c r="AC345" s="42" t="b">
        <v>1</v>
      </c>
      <c r="AD345" s="42" t="b">
        <v>1</v>
      </c>
      <c r="AE345" s="42" t="b">
        <v>1</v>
      </c>
      <c r="AF345" s="42" t="b">
        <v>1</v>
      </c>
      <c r="AG345" s="42" t="s">
        <v>38</v>
      </c>
      <c r="AH345" s="42" t="s">
        <v>38</v>
      </c>
      <c r="AI345" s="42" t="b">
        <v>1</v>
      </c>
      <c r="AJ345" s="42" t="b">
        <v>1</v>
      </c>
      <c r="AK345" s="42" t="b">
        <v>1</v>
      </c>
      <c r="AL345" s="42" t="b">
        <v>1</v>
      </c>
      <c r="AM345" s="42" t="b">
        <v>1</v>
      </c>
      <c r="AN345" s="42" t="b">
        <v>1</v>
      </c>
      <c r="AO345" s="45" t="b" cm="1">
        <f t="array" ref="AO345">AND(COUNTIF(AC345:AN345,FALSE)=0,SUMPRODUCT(ISNUMBER(AC345:AN345)*1)=0)</f>
        <v>1</v>
      </c>
      <c r="AP345" s="59"/>
      <c r="AQ345" s="111">
        <f>IF(AB345="",99999999999,IFERROR(MATCH(AB345,{"Produção Parcial","Em Produção","Programado","Não Iniciado","Desenvolv.","Concluído"},0),7)*100000000+IF(ISNUMBER(J345),J345-46000,9999)*10000+IF(A345="",99,A345)*100+IF(C345="",99,CODE(LEFT(C345,1))))</f>
        <v>699990077</v>
      </c>
    </row>
    <row r="346" spans="1:43" s="36" customFormat="1" ht="25.15" hidden="1" customHeight="1" x14ac:dyDescent="0.25">
      <c r="A346" s="36">
        <v>0</v>
      </c>
      <c r="B346" s="38" t="s">
        <v>36</v>
      </c>
      <c r="C346" s="70" t="str">
        <f>INDEX([1]Produtos!$G:$G,MATCH($D346,[1]Produtos!$B:$B,0))</f>
        <v>MISS RÔSE</v>
      </c>
      <c r="D346" s="24" t="s">
        <v>37</v>
      </c>
      <c r="E346" s="70" t="str">
        <f>INDEX([1]Produtos!$C:$C,MATCH($D346,[1]Produtos!$B:$B,0))&amp;IF($F346&lt;&gt;"-"," - "&amp;LEFT($F346,1),"")&amp;" &gt; "&amp;$B346</f>
        <v>BODY SPLASH ROSA RAINHA 200ml &gt; FABIANO 09/12</v>
      </c>
      <c r="F346" s="51" t="s">
        <v>38</v>
      </c>
      <c r="G346" s="38">
        <v>46000</v>
      </c>
      <c r="H346" s="39">
        <v>15000</v>
      </c>
      <c r="I346" s="24" t="s">
        <v>39</v>
      </c>
      <c r="J346" s="68" t="str" cm="1">
        <f t="array" ref="J346">IFERROR(INDEX('[2]Previsão Envase'!$D$5:$D$4867, MATCH(1,('[2]Previsão Envase'!$F$5:$F$4867=$E346)+('[2]Previsão Envase'!$G$5:$G$4867=$E346)+('[2]Previsão Envase'!$H$5:$H$4867=$E346),0)),"")</f>
        <v/>
      </c>
      <c r="K346" s="68" t="str">
        <f>IF(COUNTIF('[2]Previsão Envase'!$F:$F,E346)&gt;0,"Linha 1",
IF(COUNTIF('[2]Previsão Envase'!$G:$G,E346)&gt;0,"Linha 2",
IF(COUNTIF('[2]Previsão Envase'!$H:$H,E346)&gt;0,"Linha 3","")))</f>
        <v/>
      </c>
      <c r="L346" s="96">
        <f>COUNTIF('[2]Previsão Envase'!$F:$H,E346)-COUNTIF('[2]Previsão Envase'!$F$1:$H$4,E346)</f>
        <v>0</v>
      </c>
      <c r="M346" s="35">
        <f t="shared" si="52"/>
        <v>0</v>
      </c>
      <c r="N346" s="68" t="str">
        <f>IFERROR(MAX(_xlfn.MAXIFS('[2]Controle de Produção'!$C:$C,'[2]Controle de Produção'!$L:$L,$D346,'[2]Controle de Produção'!$P:$P,$C346,'[2]Controle de Produção'!$G:$G,$B346),_xlfn.MAXIFS([3]EXPEDIÇÃO!$N:$N,[3]EXPEDIÇÃO!$E:$E,$D346,[3]EXPEDIÇÃO!$D:$D,$C346,[3]EXPEDIÇÃO!$N:$N,"&gt;="&amp;$G346)),"")</f>
        <v/>
      </c>
      <c r="O346" s="70">
        <f>INDEX([1]Produtos!$E:$E,MATCH($D346,[1]Produtos!$B:$B,0))</f>
        <v>215</v>
      </c>
      <c r="P346" s="70" t="str">
        <f>INDEX([1]Produtos!$F:$F,MATCH($D346,[1]Produtos!$B:$B,0))</f>
        <v>ml</v>
      </c>
      <c r="Q346" s="105">
        <f>INDEX([1]Produtos!$Y:$Y,MATCH($D346,[1]Produtos!$B:$B,0))</f>
        <v>0.85</v>
      </c>
      <c r="R346" s="35">
        <f t="shared" si="53"/>
        <v>7592.2902086267013</v>
      </c>
      <c r="S346" s="27">
        <f>IFERROR(INDEX([1]Produtos!$L:$L,MATCH(D346,[1]Produtos!$B:$B,0)), "")</f>
        <v>843.58780095852239</v>
      </c>
      <c r="T346" s="28">
        <f t="shared" si="54"/>
        <v>17.8</v>
      </c>
      <c r="U346" s="28" t="str">
        <f t="shared" si="55"/>
        <v>2D e 1h</v>
      </c>
      <c r="V346" s="27">
        <f>IFERROR(SUMIFS('[2]Controle de Produção'!$K:$K,'[2]Controle de Produção'!$L:$L,D346,'[2]Controle de Produção'!$P:$P,C346,'[2]Controle de Produção'!$B:$B,"&gt;=" &amp; G346,'[2]Controle de Produção'!$C:$C,"&lt;=" &amp; N346, '[2]Controle de Produção'!$G:$G,B346), "")</f>
        <v>0</v>
      </c>
      <c r="W346" s="27" t="str">
        <f>IFERROR(SUMIFS([3]EXPEDIÇÃO!$K:$K,[3]EXPEDIÇÃO!$E:$E,D346,[3]EXPEDIÇÃO!$D:$D,C346,[3]EXPEDIÇÃO!$N:$N,"&gt;=" &amp; G346,[3]EXPEDIÇÃO!$N:$N,"&lt;="&amp;N346), "")</f>
        <v/>
      </c>
      <c r="X346" s="27">
        <f>COUNTIFS('[2]Controle de Produção'!$P:$P,C346,'[2]Controle de Produção'!$L:$L,D346,'[2]Controle de Produção'!$B:$B,"&gt;=" &amp; G346)</f>
        <v>12</v>
      </c>
      <c r="Y346" s="27">
        <f t="shared" si="56"/>
        <v>0</v>
      </c>
      <c r="Z346" s="27">
        <f>IFERROR(COUNTIFS('[2]Controle de Produção'!$L:$L,D346,'[2]Controle de Produção'!$P:$P,C346,'[2]Controle de Produção'!$B:$B,"&gt;=" &amp; G346,'[2]Controle de Produção'!$C:$C,"&lt;=" &amp; N346, '[2]Controle de Produção'!$G:$G,B346), "")</f>
        <v>0</v>
      </c>
      <c r="AA346" s="108" t="str">
        <f t="shared" si="57"/>
        <v/>
      </c>
      <c r="AB346" s="41" t="s">
        <v>60</v>
      </c>
      <c r="AC346" s="42" t="b">
        <v>1</v>
      </c>
      <c r="AD346" s="42" t="b">
        <v>1</v>
      </c>
      <c r="AE346" s="42" t="b">
        <v>1</v>
      </c>
      <c r="AF346" s="42" t="b">
        <v>1</v>
      </c>
      <c r="AG346" s="42" t="b">
        <v>1</v>
      </c>
      <c r="AH346" s="42" t="s">
        <v>38</v>
      </c>
      <c r="AI346" s="42" t="b">
        <v>1</v>
      </c>
      <c r="AJ346" s="42" t="s">
        <v>38</v>
      </c>
      <c r="AK346" s="42" t="s">
        <v>38</v>
      </c>
      <c r="AL346" s="42" t="b">
        <v>1</v>
      </c>
      <c r="AM346" s="42" t="b">
        <v>1</v>
      </c>
      <c r="AN346" s="42" t="b">
        <v>1</v>
      </c>
      <c r="AO346" s="45" t="b" cm="1">
        <f t="array" ref="AO346">AND(COUNTIF(AC346:AN346,FALSE)=0,SUMPRODUCT(ISNUMBER(AC346:AN346)*1)=0)</f>
        <v>1</v>
      </c>
      <c r="AP346" s="59"/>
      <c r="AQ346" s="111">
        <f>IF(AB346="",99999999999,IFERROR(MATCH(AB346,{"Produção Parcial","Em Produção","Programado","Não Iniciado","Desenvolv.","Concluído"},0),7)*100000000+IF(ISNUMBER(J346),J346-46000,9999)*10000+IF(A346="",99,A346)*100+IF(C346="",99,CODE(LEFT(C346,1))))</f>
        <v>699990077</v>
      </c>
    </row>
    <row r="347" spans="1:43" s="36" customFormat="1" ht="25.15" hidden="1" customHeight="1" x14ac:dyDescent="0.25">
      <c r="A347" s="36">
        <v>0</v>
      </c>
      <c r="B347" s="38" t="s">
        <v>62</v>
      </c>
      <c r="C347" s="70" t="str">
        <f>INDEX([1]Produtos!$G:$G,MATCH($D347,[1]Produtos!$B:$B,0))</f>
        <v>MISS RÔSE</v>
      </c>
      <c r="D347" s="24" t="s">
        <v>70</v>
      </c>
      <c r="E347" s="70" t="str">
        <f>INDEX([1]Produtos!$C:$C,MATCH($D347,[1]Produtos!$B:$B,0))&amp;IF($F347&lt;&gt;"-"," - "&amp;LEFT($F347,1),"")&amp;" &gt; "&amp;$B347</f>
        <v>BODY SPLASH ECLIPSE DOURADO - 2 &gt; FABIANO 19/11</v>
      </c>
      <c r="F347" s="51">
        <v>2</v>
      </c>
      <c r="G347" s="38">
        <v>46008</v>
      </c>
      <c r="H347" s="39">
        <v>7000</v>
      </c>
      <c r="I347" s="24" t="s">
        <v>42</v>
      </c>
      <c r="J347" s="68" t="str" cm="1">
        <f t="array" ref="J347">IFERROR(INDEX('[2]Previsão Envase'!$D$5:$D$4867, MATCH(1,('[2]Previsão Envase'!$F$5:$F$4867=$E347)+('[2]Previsão Envase'!$G$5:$G$4867=$E347)+('[2]Previsão Envase'!$H$5:$H$4867=$E347),0)),"")</f>
        <v/>
      </c>
      <c r="K347" s="68" t="str">
        <f>IF(COUNTIF('[2]Previsão Envase'!$F:$F,E347)&gt;0,"Linha 1",
IF(COUNTIF('[2]Previsão Envase'!$G:$G,E347)&gt;0,"Linha 2",
IF(COUNTIF('[2]Previsão Envase'!$H:$H,E347)&gt;0,"Linha 3","")))</f>
        <v/>
      </c>
      <c r="L347" s="96">
        <f>COUNTIF('[2]Previsão Envase'!$F:$H,E347)-COUNTIF('[2]Previsão Envase'!$F$1:$H$4,E347)</f>
        <v>0</v>
      </c>
      <c r="M347" s="35">
        <f t="shared" si="52"/>
        <v>0</v>
      </c>
      <c r="N347" s="68" t="str">
        <f>IFERROR(MAX(_xlfn.MAXIFS('[2]Controle de Produção'!$C:$C,'[2]Controle de Produção'!$L:$L,$D347,'[2]Controle de Produção'!$P:$P,$C347,'[2]Controle de Produção'!$G:$G,$B347),_xlfn.MAXIFS([3]EXPEDIÇÃO!$N:$N,[3]EXPEDIÇÃO!$E:$E,$D347,[3]EXPEDIÇÃO!$D:$D,$C347,[3]EXPEDIÇÃO!$N:$N,"&gt;="&amp;$G347)),"")</f>
        <v/>
      </c>
      <c r="O347" s="70">
        <f>INDEX([1]Produtos!$E:$E,MATCH($D347,[1]Produtos!$B:$B,0))</f>
        <v>220</v>
      </c>
      <c r="P347" s="70" t="str">
        <f>INDEX([1]Produtos!$F:$F,MATCH($D347,[1]Produtos!$B:$B,0))</f>
        <v>ml</v>
      </c>
      <c r="Q347" s="105">
        <f>INDEX([1]Produtos!$Y:$Y,MATCH($D347,[1]Produtos!$B:$B,0))</f>
        <v>0.51</v>
      </c>
      <c r="R347" s="35">
        <f t="shared" si="53"/>
        <v>7592.2902086267013</v>
      </c>
      <c r="S347" s="27">
        <f>IFERROR(INDEX([1]Produtos!$L:$L,MATCH(D347,[1]Produtos!$B:$B,0)), "")</f>
        <v>843.58780095852239</v>
      </c>
      <c r="T347" s="28">
        <f t="shared" si="54"/>
        <v>8.2999999999999989</v>
      </c>
      <c r="U347" s="28" t="str">
        <f t="shared" si="55"/>
        <v>0D e 9h</v>
      </c>
      <c r="V347" s="27">
        <f>IFERROR(SUMIFS('[2]Controle de Produção'!$K:$K,'[2]Controle de Produção'!$L:$L,D347,'[2]Controle de Produção'!$P:$P,C347,'[2]Controle de Produção'!$B:$B,"&gt;=" &amp; G347,'[2]Controle de Produção'!$C:$C,"&lt;=" &amp; N347, '[2]Controle de Produção'!$G:$G,B347), "")</f>
        <v>0</v>
      </c>
      <c r="W347" s="27" t="str">
        <f>IFERROR(SUMIFS([3]EXPEDIÇÃO!$K:$K,[3]EXPEDIÇÃO!$E:$E,D347,[3]EXPEDIÇÃO!$D:$D,C347,[3]EXPEDIÇÃO!$N:$N,"&gt;=" &amp; G347,[3]EXPEDIÇÃO!$N:$N,"&lt;="&amp;N347), "")</f>
        <v/>
      </c>
      <c r="X347" s="27">
        <f>COUNTIFS('[2]Controle de Produção'!$P:$P,C347,'[2]Controle de Produção'!$L:$L,D347,'[2]Controle de Produção'!$B:$B,"&gt;=" &amp; G347)</f>
        <v>12</v>
      </c>
      <c r="Y347" s="27">
        <f t="shared" si="56"/>
        <v>0</v>
      </c>
      <c r="Z347" s="27">
        <f>IFERROR(COUNTIFS('[2]Controle de Produção'!$L:$L,D347,'[2]Controle de Produção'!$P:$P,C347,'[2]Controle de Produção'!$B:$B,"&gt;=" &amp; G347,'[2]Controle de Produção'!$C:$C,"&lt;=" &amp; N347, '[2]Controle de Produção'!$G:$G,B347), "")</f>
        <v>0</v>
      </c>
      <c r="AA347" s="108" t="str">
        <f t="shared" si="57"/>
        <v/>
      </c>
      <c r="AB347" s="41" t="s">
        <v>60</v>
      </c>
      <c r="AC347" s="42" t="b">
        <v>1</v>
      </c>
      <c r="AD347" s="42" t="b">
        <v>1</v>
      </c>
      <c r="AE347" s="42" t="b">
        <v>0</v>
      </c>
      <c r="AF347" s="42" t="b">
        <v>1</v>
      </c>
      <c r="AG347" s="42" t="s">
        <v>38</v>
      </c>
      <c r="AH347" s="42" t="s">
        <v>38</v>
      </c>
      <c r="AI347" s="42" t="b">
        <v>1</v>
      </c>
      <c r="AJ347" s="42" t="s">
        <v>38</v>
      </c>
      <c r="AK347" s="42" t="s">
        <v>38</v>
      </c>
      <c r="AL347" s="42" t="b">
        <v>1</v>
      </c>
      <c r="AM347" s="42" t="b">
        <v>1</v>
      </c>
      <c r="AN347" s="42" t="b">
        <v>0</v>
      </c>
      <c r="AO347" s="45" t="b" cm="1">
        <f t="array" ref="AO347">AND(COUNTIF(AC347:AN347,FALSE)=0,SUMPRODUCT(ISNUMBER(AC347:AN347)*1)=0)</f>
        <v>0</v>
      </c>
      <c r="AP347" s="59"/>
      <c r="AQ347" s="111">
        <f>IF(AB347="",99999999999,IFERROR(MATCH(AB347,{"Produção Parcial","Em Produção","Programado","Não Iniciado","Desenvolv.","Concluído"},0),7)*100000000+IF(ISNUMBER(J347),J347-46000,9999)*10000+IF(A347="",99,A347)*100+IF(C347="",99,CODE(LEFT(C347,1))))</f>
        <v>699990077</v>
      </c>
    </row>
    <row r="348" spans="1:43" s="36" customFormat="1" ht="25.15" hidden="1" customHeight="1" x14ac:dyDescent="0.25">
      <c r="A348" s="36">
        <v>0</v>
      </c>
      <c r="B348" s="38" t="s">
        <v>62</v>
      </c>
      <c r="C348" s="70" t="str">
        <f>INDEX([1]Produtos!$G:$G,MATCH($D348,[1]Produtos!$B:$B,0))</f>
        <v>MISS RÔSE</v>
      </c>
      <c r="D348" s="24" t="s">
        <v>68</v>
      </c>
      <c r="E348" s="70" t="str">
        <f>INDEX([1]Produtos!$C:$C,MATCH($D348,[1]Produtos!$B:$B,0))&amp;IF($F348&lt;&gt;"-"," - "&amp;LEFT($F348,1),"")&amp;" &gt; "&amp;$B348</f>
        <v>CREME HIDRATANTE CORPORAL AURORA IMPERIAL &gt; FABIANO 19/11</v>
      </c>
      <c r="F348" s="51" t="s">
        <v>38</v>
      </c>
      <c r="G348" s="38">
        <v>45887</v>
      </c>
      <c r="H348" s="39">
        <v>6480</v>
      </c>
      <c r="I348" s="24" t="s">
        <v>42</v>
      </c>
      <c r="J348" s="68" t="str" cm="1">
        <f t="array" ref="J348">IFERROR(INDEX('[2]Previsão Envase'!$D$5:$D$4867, MATCH(1,('[2]Previsão Envase'!$F$5:$F$4867=$E348)+('[2]Previsão Envase'!$G$5:$G$4867=$E348)+('[2]Previsão Envase'!$H$5:$H$4867=$E348),0)),"")</f>
        <v/>
      </c>
      <c r="K348" s="68" t="str">
        <f>IF(COUNTIF('[2]Previsão Envase'!$F:$F,E348)&gt;0,"Linha 1",
IF(COUNTIF('[2]Previsão Envase'!$G:$G,E348)&gt;0,"Linha 2",
IF(COUNTIF('[2]Previsão Envase'!$H:$H,E348)&gt;0,"Linha 3","")))</f>
        <v/>
      </c>
      <c r="L348" s="96">
        <f>COUNTIF('[2]Previsão Envase'!$F:$H,E348)-COUNTIF('[2]Previsão Envase'!$F$1:$H$4,E348)</f>
        <v>0</v>
      </c>
      <c r="M348" s="35">
        <f t="shared" si="52"/>
        <v>0</v>
      </c>
      <c r="N348" s="68" t="str">
        <f>IFERROR(MAX(_xlfn.MAXIFS('[2]Controle de Produção'!$C:$C,'[2]Controle de Produção'!$L:$L,$D348,'[2]Controle de Produção'!$P:$P,$C348,'[2]Controle de Produção'!$G:$G,$B348),_xlfn.MAXIFS([3]EXPEDIÇÃO!$N:$N,[3]EXPEDIÇÃO!$E:$E,$D348,[3]EXPEDIÇÃO!$D:$D,$C348,[3]EXPEDIÇÃO!$N:$N,"&gt;="&amp;$G348)),"")</f>
        <v/>
      </c>
      <c r="O348" s="70">
        <f>INDEX([1]Produtos!$E:$E,MATCH($D348,[1]Produtos!$B:$B,0))</f>
        <v>200</v>
      </c>
      <c r="P348" s="70" t="str">
        <f>INDEX([1]Produtos!$F:$F,MATCH($D348,[1]Produtos!$B:$B,0))</f>
        <v>ml</v>
      </c>
      <c r="Q348" s="105">
        <f>INDEX([1]Produtos!$Y:$Y,MATCH($D348,[1]Produtos!$B:$B,0))</f>
        <v>0</v>
      </c>
      <c r="R348" s="35">
        <f t="shared" si="53"/>
        <v>5520.5897431648482</v>
      </c>
      <c r="S348" s="27">
        <f>IFERROR(INDEX([1]Produtos!$L:$L,MATCH(D348,[1]Produtos!$B:$B,0)), "")</f>
        <v>613.39886035164977</v>
      </c>
      <c r="T348" s="28">
        <f t="shared" si="54"/>
        <v>10.6</v>
      </c>
      <c r="U348" s="28" t="str">
        <f t="shared" si="55"/>
        <v>1D e 2h</v>
      </c>
      <c r="V348" s="27">
        <f>IFERROR(SUMIFS('[2]Controle de Produção'!$K:$K,'[2]Controle de Produção'!$L:$L,D348,'[2]Controle de Produção'!$P:$P,C348,'[2]Controle de Produção'!$B:$B,"&gt;=" &amp; G348,'[2]Controle de Produção'!$C:$C,"&lt;=" &amp; N348, '[2]Controle de Produção'!$G:$G,B348), "")</f>
        <v>0</v>
      </c>
      <c r="W348" s="27" t="str">
        <f>IFERROR(SUMIFS([3]EXPEDIÇÃO!$K:$K,[3]EXPEDIÇÃO!$E:$E,D348,[3]EXPEDIÇÃO!$D:$D,C348,[3]EXPEDIÇÃO!$N:$N,"&gt;=" &amp; G348,[3]EXPEDIÇÃO!$N:$N,"&lt;="&amp;N348), "")</f>
        <v/>
      </c>
      <c r="X348" s="27">
        <f>COUNTIFS('[2]Controle de Produção'!$P:$P,C348,'[2]Controle de Produção'!$L:$L,D348,'[2]Controle de Produção'!$B:$B,"&gt;=" &amp; G348)</f>
        <v>3</v>
      </c>
      <c r="Y348" s="27">
        <f t="shared" si="56"/>
        <v>0</v>
      </c>
      <c r="Z348" s="27">
        <f>IFERROR(COUNTIFS('[2]Controle de Produção'!$L:$L,D348,'[2]Controle de Produção'!$P:$P,C348,'[2]Controle de Produção'!$B:$B,"&gt;=" &amp; G348,'[2]Controle de Produção'!$C:$C,"&lt;=" &amp; N348, '[2]Controle de Produção'!$G:$G,B348), "")</f>
        <v>0</v>
      </c>
      <c r="AA348" s="108" t="str">
        <f t="shared" si="57"/>
        <v/>
      </c>
      <c r="AB348" s="41" t="s">
        <v>60</v>
      </c>
      <c r="AC348" s="42" t="b">
        <v>1</v>
      </c>
      <c r="AD348" s="42" t="b">
        <v>1</v>
      </c>
      <c r="AE348" s="42" t="b">
        <v>1</v>
      </c>
      <c r="AF348" s="42" t="b">
        <v>1</v>
      </c>
      <c r="AG348" s="42" t="s">
        <v>38</v>
      </c>
      <c r="AH348" s="42" t="s">
        <v>38</v>
      </c>
      <c r="AI348" s="42" t="b">
        <v>1</v>
      </c>
      <c r="AJ348" s="42" t="s">
        <v>38</v>
      </c>
      <c r="AK348" s="42" t="b">
        <v>0</v>
      </c>
      <c r="AL348" s="42" t="b">
        <v>1</v>
      </c>
      <c r="AM348" s="42" t="b">
        <v>1</v>
      </c>
      <c r="AN348" s="42" t="b">
        <v>0</v>
      </c>
      <c r="AO348" s="45" t="b" cm="1">
        <f t="array" ref="AO348">AND(COUNTIF(AC348:AN348,FALSE)=0,SUMPRODUCT(ISNUMBER(AC348:AN348)*1)=0)</f>
        <v>0</v>
      </c>
      <c r="AP348" s="59"/>
      <c r="AQ348" s="111">
        <f>IF(AB348="",99999999999,IFERROR(MATCH(AB348,{"Produção Parcial","Em Produção","Programado","Não Iniciado","Desenvolv.","Concluído"},0),7)*100000000+IF(ISNUMBER(J348),J348-46000,9999)*10000+IF(A348="",99,A348)*100+IF(C348="",99,CODE(LEFT(C348,1))))</f>
        <v>699990077</v>
      </c>
    </row>
    <row r="349" spans="1:43" s="36" customFormat="1" ht="25.15" hidden="1" customHeight="1" x14ac:dyDescent="0.25">
      <c r="A349" s="36">
        <v>0</v>
      </c>
      <c r="B349" s="38" t="s">
        <v>79</v>
      </c>
      <c r="C349" s="70" t="str">
        <f>INDEX([1]Produtos!$G:$G,MATCH($D349,[1]Produtos!$B:$B,0))</f>
        <v>MISS RÔSE</v>
      </c>
      <c r="D349" s="24" t="s">
        <v>70</v>
      </c>
      <c r="E349" s="70" t="str">
        <f>INDEX([1]Produtos!$C:$C,MATCH($D349,[1]Produtos!$B:$B,0))&amp;IF($F349&lt;&gt;"-"," - "&amp;LEFT($F349,1),"")&amp;" &gt; "&amp;$B349</f>
        <v>BODY SPLASH ECLIPSE DOURADO &gt; Fabiano 22/09</v>
      </c>
      <c r="F349" s="51" t="s">
        <v>38</v>
      </c>
      <c r="G349" s="38">
        <v>45922</v>
      </c>
      <c r="H349" s="39">
        <v>4000</v>
      </c>
      <c r="I349" s="24" t="s">
        <v>42</v>
      </c>
      <c r="J349" s="68" t="str" cm="1">
        <f t="array" ref="J349">IFERROR(INDEX('[2]Previsão Envase'!$D$5:$D$4867, MATCH(1,('[2]Previsão Envase'!$F$5:$F$4867=$E349)+('[2]Previsão Envase'!$G$5:$G$4867=$E349)+('[2]Previsão Envase'!$H$5:$H$4867=$E349),0)),"")</f>
        <v/>
      </c>
      <c r="K349" s="68" t="str">
        <f>IF(COUNTIF('[2]Previsão Envase'!$F:$F,E349)&gt;0,"Linha 1",
IF(COUNTIF('[2]Previsão Envase'!$G:$G,E349)&gt;0,"Linha 2",
IF(COUNTIF('[2]Previsão Envase'!$H:$H,E349)&gt;0,"Linha 3","")))</f>
        <v/>
      </c>
      <c r="L349" s="96">
        <f>COUNTIF('[2]Previsão Envase'!$F:$H,E349)-COUNTIF('[2]Previsão Envase'!$F$1:$H$4,E349)</f>
        <v>0</v>
      </c>
      <c r="M349" s="35">
        <f t="shared" si="52"/>
        <v>0</v>
      </c>
      <c r="N349" s="68" t="str">
        <f>IFERROR(MAX(_xlfn.MAXIFS('[2]Controle de Produção'!$C:$C,'[2]Controle de Produção'!$L:$L,$D349,'[2]Controle de Produção'!$P:$P,$C349,'[2]Controle de Produção'!$G:$G,$B349),_xlfn.MAXIFS([3]EXPEDIÇÃO!$N:$N,[3]EXPEDIÇÃO!$E:$E,$D349,[3]EXPEDIÇÃO!$D:$D,$C349,[3]EXPEDIÇÃO!$N:$N,"&gt;="&amp;$G349)),"")</f>
        <v/>
      </c>
      <c r="O349" s="70">
        <f>INDEX([1]Produtos!$E:$E,MATCH($D349,[1]Produtos!$B:$B,0))</f>
        <v>220</v>
      </c>
      <c r="P349" s="70" t="str">
        <f>INDEX([1]Produtos!$F:$F,MATCH($D349,[1]Produtos!$B:$B,0))</f>
        <v>ml</v>
      </c>
      <c r="Q349" s="105">
        <f>INDEX([1]Produtos!$Y:$Y,MATCH($D349,[1]Produtos!$B:$B,0))</f>
        <v>0.51</v>
      </c>
      <c r="R349" s="35">
        <f t="shared" si="53"/>
        <v>7592.2902086267013</v>
      </c>
      <c r="S349" s="27">
        <f>IFERROR(INDEX([1]Produtos!$L:$L,MATCH(D349,[1]Produtos!$B:$B,0)), "")</f>
        <v>843.58780095852239</v>
      </c>
      <c r="T349" s="28">
        <f t="shared" si="54"/>
        <v>4.8</v>
      </c>
      <c r="U349" s="28" t="str">
        <f t="shared" si="55"/>
        <v>0D e 5h</v>
      </c>
      <c r="V349" s="27">
        <f>IFERROR(SUMIFS('[2]Controle de Produção'!$K:$K,'[2]Controle de Produção'!$L:$L,D349,'[2]Controle de Produção'!$P:$P,C349,'[2]Controle de Produção'!$B:$B,"&gt;=" &amp; G349,'[2]Controle de Produção'!$C:$C,"&lt;=" &amp; N349, '[2]Controle de Produção'!$G:$G,B349), "")</f>
        <v>0</v>
      </c>
      <c r="W349" s="27" t="str">
        <f>IFERROR(SUMIFS([3]EXPEDIÇÃO!$K:$K,[3]EXPEDIÇÃO!$E:$E,D349,[3]EXPEDIÇÃO!$D:$D,C349,[3]EXPEDIÇÃO!$N:$N,"&gt;=" &amp; G349,[3]EXPEDIÇÃO!$N:$N,"&lt;="&amp;N349), "")</f>
        <v/>
      </c>
      <c r="X349" s="27">
        <f>COUNTIFS('[2]Controle de Produção'!$P:$P,C349,'[2]Controle de Produção'!$L:$L,D349,'[2]Controle de Produção'!$B:$B,"&gt;=" &amp; G349)</f>
        <v>24</v>
      </c>
      <c r="Y349" s="27">
        <f t="shared" si="56"/>
        <v>0</v>
      </c>
      <c r="Z349" s="27">
        <f>IFERROR(COUNTIFS('[2]Controle de Produção'!$L:$L,D349,'[2]Controle de Produção'!$P:$P,C349,'[2]Controle de Produção'!$B:$B,"&gt;=" &amp; G349,'[2]Controle de Produção'!$C:$C,"&lt;=" &amp; N349, '[2]Controle de Produção'!$G:$G,B349), "")</f>
        <v>0</v>
      </c>
      <c r="AA349" s="108" t="str">
        <f t="shared" si="57"/>
        <v/>
      </c>
      <c r="AB349" s="41" t="s">
        <v>60</v>
      </c>
      <c r="AC349" s="42" t="b">
        <v>1</v>
      </c>
      <c r="AD349" s="42" t="b">
        <v>1</v>
      </c>
      <c r="AE349" s="67" t="b">
        <v>1</v>
      </c>
      <c r="AF349" s="42" t="b">
        <v>1</v>
      </c>
      <c r="AG349" s="42" t="s">
        <v>38</v>
      </c>
      <c r="AH349" s="42" t="s">
        <v>38</v>
      </c>
      <c r="AI349" s="42" t="b">
        <v>1</v>
      </c>
      <c r="AJ349" s="42" t="s">
        <v>38</v>
      </c>
      <c r="AK349" s="42" t="b">
        <v>0</v>
      </c>
      <c r="AL349" s="42" t="b">
        <v>1</v>
      </c>
      <c r="AM349" s="42" t="b">
        <v>1</v>
      </c>
      <c r="AN349" s="42" t="b">
        <v>1</v>
      </c>
      <c r="AO349" s="45" t="b" cm="1">
        <f t="array" ref="AO349">AND(COUNTIF(AC349:AN349,FALSE)=0,SUMPRODUCT(ISNUMBER(AC349:AN349)*1)=0)</f>
        <v>0</v>
      </c>
      <c r="AP349" s="59"/>
      <c r="AQ349" s="111">
        <f>IF(AB349="",99999999999,IFERROR(MATCH(AB349,{"Produção Parcial","Em Produção","Programado","Não Iniciado","Desenvolv.","Concluído"},0),7)*100000000+IF(ISNUMBER(J349),J349-46000,9999)*10000+IF(A349="",99,A349)*100+IF(C349="",99,CODE(LEFT(C349,1))))</f>
        <v>699990077</v>
      </c>
    </row>
    <row r="350" spans="1:43" s="36" customFormat="1" ht="25.15" hidden="1" customHeight="1" x14ac:dyDescent="0.25">
      <c r="A350" s="36">
        <v>0</v>
      </c>
      <c r="B350" s="62" t="s">
        <v>66</v>
      </c>
      <c r="C350" s="24" t="str">
        <f>INDEX([1]Produtos!$G:$G,MATCH($D350,[1]Produtos!$B:$B,0))</f>
        <v>MISS RÔSE</v>
      </c>
      <c r="D350" s="24" t="s">
        <v>68</v>
      </c>
      <c r="E350" s="70" t="str">
        <f>INDEX([1]Produtos!$C:$C,MATCH($D350,[1]Produtos!$B:$B,0))&amp;IF($F350&lt;&gt;"-"," - "&amp;LEFT($F350,1),"")&amp;" &gt; "&amp;$B350</f>
        <v>CREME HIDRATANTE CORPORAL AURORA IMPERIAL &gt; Miss Rôse - Hidratante</v>
      </c>
      <c r="F350" s="51" t="s">
        <v>38</v>
      </c>
      <c r="G350" s="38">
        <v>45799</v>
      </c>
      <c r="H350" s="39">
        <v>10000</v>
      </c>
      <c r="I350" s="24" t="s">
        <v>39</v>
      </c>
      <c r="J350" s="68" t="str" cm="1">
        <f t="array" ref="J350">IFERROR(INDEX('[2]Previsão Envase'!$D$5:$D$4867, MATCH(1,('[2]Previsão Envase'!$F$5:$F$4867=$E350)+('[2]Previsão Envase'!$G$5:$G$4867=$E350)+('[2]Previsão Envase'!$H$5:$H$4867=$E350),0)),"")</f>
        <v/>
      </c>
      <c r="K350" s="68" t="str">
        <f>IF(COUNTIF('[2]Previsão Envase'!$F:$F,E350)&gt;0,"Linha 1",
IF(COUNTIF('[2]Previsão Envase'!$G:$G,E350)&gt;0,"Linha 2",
IF(COUNTIF('[2]Previsão Envase'!$H:$H,E350)&gt;0,"Linha 3","")))</f>
        <v/>
      </c>
      <c r="L350" s="96">
        <f>COUNTIF('[2]Previsão Envase'!$F:$H,E350)-COUNTIF('[2]Previsão Envase'!$F$1:$H$4,E350)</f>
        <v>0</v>
      </c>
      <c r="M350" s="35">
        <f t="shared" si="52"/>
        <v>0</v>
      </c>
      <c r="N350" s="68" t="str">
        <f>IFERROR(MAX(_xlfn.MAXIFS('[2]Controle de Produção'!$C:$C,'[2]Controle de Produção'!$L:$L,$D350,'[2]Controle de Produção'!$P:$P,$C350,'[2]Controle de Produção'!$G:$G,$B350),_xlfn.MAXIFS([3]EXPEDIÇÃO!$N:$N,[3]EXPEDIÇÃO!$E:$E,$D350,[3]EXPEDIÇÃO!$D:$D,$C350,[3]EXPEDIÇÃO!$N:$N,"&gt;="&amp;$G350)),"")</f>
        <v/>
      </c>
      <c r="O350" s="70">
        <f>INDEX([1]Produtos!$E:$E,MATCH($D350,[1]Produtos!$B:$B,0))</f>
        <v>200</v>
      </c>
      <c r="P350" s="70" t="str">
        <f>INDEX([1]Produtos!$F:$F,MATCH($D350,[1]Produtos!$B:$B,0))</f>
        <v>ml</v>
      </c>
      <c r="Q350" s="105">
        <f>INDEX([1]Produtos!$Y:$Y,MATCH($D350,[1]Produtos!$B:$B,0))</f>
        <v>0</v>
      </c>
      <c r="R350" s="35">
        <f t="shared" si="53"/>
        <v>5520.5897431648482</v>
      </c>
      <c r="S350" s="27">
        <f>IFERROR(INDEX([1]Produtos!$L:$L,MATCH(D350,[1]Produtos!$B:$B,0)), "")</f>
        <v>613.39886035164977</v>
      </c>
      <c r="T350" s="28">
        <f t="shared" si="54"/>
        <v>16.400000000000002</v>
      </c>
      <c r="U350" s="28" t="str">
        <f t="shared" si="55"/>
        <v>1D e 8h</v>
      </c>
      <c r="V350" s="27">
        <f>IFERROR(SUMIFS('[2]Controle de Produção'!$K:$K,'[2]Controle de Produção'!$L:$L,D350,'[2]Controle de Produção'!$P:$P,C350,'[2]Controle de Produção'!$B:$B,"&gt;=" &amp; G350,'[2]Controle de Produção'!$C:$C,"&lt;=" &amp; N350, '[2]Controle de Produção'!$G:$G,B350), "")</f>
        <v>0</v>
      </c>
      <c r="W350" s="27" t="str">
        <f>IFERROR(SUMIFS([3]EXPEDIÇÃO!$K:$K,[3]EXPEDIÇÃO!$E:$E,D350,[3]EXPEDIÇÃO!$D:$D,C350,[3]EXPEDIÇÃO!$N:$N,"&gt;=" &amp; G350,[3]EXPEDIÇÃO!$N:$N,"&lt;="&amp;N350), "")</f>
        <v/>
      </c>
      <c r="X350" s="27">
        <f>COUNTIFS('[2]Controle de Produção'!$P:$P,C350,'[2]Controle de Produção'!$L:$L,D350,'[2]Controle de Produção'!$B:$B,"&gt;=" &amp; G350)</f>
        <v>8</v>
      </c>
      <c r="Y350" s="27">
        <f t="shared" si="56"/>
        <v>0</v>
      </c>
      <c r="Z350" s="27">
        <f>IFERROR(COUNTIFS('[2]Controle de Produção'!$L:$L,D350,'[2]Controle de Produção'!$P:$P,C350,'[2]Controle de Produção'!$B:$B,"&gt;=" &amp; G350,'[2]Controle de Produção'!$C:$C,"&lt;=" &amp; N350, '[2]Controle de Produção'!$G:$G,B350), "")</f>
        <v>0</v>
      </c>
      <c r="AA350" s="108" t="str">
        <f t="shared" si="57"/>
        <v/>
      </c>
      <c r="AB350" s="41" t="s">
        <v>60</v>
      </c>
      <c r="AC350" s="42" t="b">
        <v>1</v>
      </c>
      <c r="AD350" s="42" t="b">
        <v>1</v>
      </c>
      <c r="AE350" s="67" t="b">
        <v>1</v>
      </c>
      <c r="AF350" s="42" t="b">
        <v>1</v>
      </c>
      <c r="AG350" s="42" t="s">
        <v>38</v>
      </c>
      <c r="AH350" s="42" t="s">
        <v>38</v>
      </c>
      <c r="AI350" s="42" t="b">
        <v>1</v>
      </c>
      <c r="AJ350" s="42" t="s">
        <v>38</v>
      </c>
      <c r="AK350" s="42" t="b">
        <v>0</v>
      </c>
      <c r="AL350" s="42" t="b">
        <v>1</v>
      </c>
      <c r="AM350" s="42" t="b">
        <v>1</v>
      </c>
      <c r="AN350" s="42" t="b">
        <v>0</v>
      </c>
      <c r="AO350" s="45" t="b" cm="1">
        <f t="array" ref="AO350">AND(COUNTIF(AC350:AN350,FALSE)=0,SUMPRODUCT(ISNUMBER(AC350:AN350)*1)=0)</f>
        <v>0</v>
      </c>
      <c r="AP350" s="59"/>
      <c r="AQ350" s="111">
        <f>IF(AB350="",99999999999,IFERROR(MATCH(AB350,{"Produção Parcial","Em Produção","Programado","Não Iniciado","Desenvolv.","Concluído"},0),7)*100000000+IF(ISNUMBER(J350),J350-46000,9999)*10000+IF(A350="",99,A350)*100+IF(C350="",99,CODE(LEFT(C350,1))))</f>
        <v>699990077</v>
      </c>
    </row>
    <row r="351" spans="1:43" s="36" customFormat="1" ht="25.15" hidden="1" customHeight="1" x14ac:dyDescent="0.25">
      <c r="A351" s="36">
        <v>1</v>
      </c>
      <c r="B351" s="38" t="s">
        <v>158</v>
      </c>
      <c r="C351" s="70" t="str">
        <f>INDEX([1]Produtos!$G:$G,MATCH($D351,[1]Produtos!$B:$B,0))</f>
        <v>AMEERATI</v>
      </c>
      <c r="D351" s="24" t="s">
        <v>205</v>
      </c>
      <c r="E351" s="70" t="str">
        <f>INDEX([1]Produtos!$C:$C,MATCH($D351,[1]Produtos!$B:$B,0))&amp;IF($F351&lt;&gt;"-"," - "&amp;LEFT($F351,1),"")&amp;" &gt; "&amp;$B351</f>
        <v>BODY CREAM ROSA IMPERIAL - 2 &gt; AMEERATI 01</v>
      </c>
      <c r="F351" s="51">
        <v>2</v>
      </c>
      <c r="G351" s="38">
        <v>46013</v>
      </c>
      <c r="H351" s="39">
        <f>3360-840</f>
        <v>2520</v>
      </c>
      <c r="I351" s="24" t="s">
        <v>39</v>
      </c>
      <c r="J351" s="68" t="str" cm="1">
        <f t="array" ref="J351">IFERROR(INDEX('[2]Previsão Envase'!$D$5:$D$4867, MATCH(1,('[2]Previsão Envase'!$F$5:$F$4867=$E351)+('[2]Previsão Envase'!$G$5:$G$4867=$E351)+('[2]Previsão Envase'!$H$5:$H$4867=$E351),0)),"")</f>
        <v/>
      </c>
      <c r="K351" s="68" t="str">
        <f>IF(COUNTIF('[2]Previsão Envase'!$F:$F,E351)&gt;0,"Linha 1",
IF(COUNTIF('[2]Previsão Envase'!$G:$G,E351)&gt;0,"Linha 2",
IF(COUNTIF('[2]Previsão Envase'!$H:$H,E351)&gt;0,"Linha 3","")))</f>
        <v/>
      </c>
      <c r="L351" s="96">
        <f>COUNTIF('[2]Previsão Envase'!$F:$H,E351)-COUNTIF('[2]Previsão Envase'!$F$1:$H$4,E351)</f>
        <v>0</v>
      </c>
      <c r="M351" s="35">
        <f t="shared" si="52"/>
        <v>0</v>
      </c>
      <c r="N351" s="68" t="str">
        <f>IFERROR(MAX(_xlfn.MAXIFS('[2]Controle de Produção'!$C:$C,'[2]Controle de Produção'!$L:$L,$D351,'[2]Controle de Produção'!$P:$P,$C351,'[2]Controle de Produção'!$G:$G,$B351),_xlfn.MAXIFS([3]EXPEDIÇÃO!$N:$N,[3]EXPEDIÇÃO!$E:$E,$D351,[3]EXPEDIÇÃO!$D:$D,$C351,[3]EXPEDIÇÃO!$N:$N,"&gt;="&amp;$G351)),"")</f>
        <v/>
      </c>
      <c r="O351" s="70">
        <f>INDEX([1]Produtos!$E:$E,MATCH($D351,[1]Produtos!$B:$B,0))</f>
        <v>240</v>
      </c>
      <c r="P351" s="70" t="str">
        <f>INDEX([1]Produtos!$F:$F,MATCH($D351,[1]Produtos!$B:$B,0))</f>
        <v>ml</v>
      </c>
      <c r="Q351" s="105">
        <f>INDEX([1]Produtos!$Y:$Y,MATCH($D351,[1]Produtos!$B:$B,0))</f>
        <v>1.48</v>
      </c>
      <c r="R351" s="35">
        <f t="shared" si="53"/>
        <v>5520.5897431648482</v>
      </c>
      <c r="S351" s="27">
        <f>IFERROR(INDEX([1]Produtos!$L:$L,MATCH(D351,[1]Produtos!$B:$B,0)), "")</f>
        <v>613.39886035164977</v>
      </c>
      <c r="T351" s="28">
        <f t="shared" si="54"/>
        <v>4.1999999999999993</v>
      </c>
      <c r="U351" s="28" t="str">
        <f t="shared" si="55"/>
        <v>0D e 5h</v>
      </c>
      <c r="V351" s="27">
        <f>IFERROR(SUMIFS('[2]Controle de Produção'!$K:$K,'[2]Controle de Produção'!$L:$L,D351,'[2]Controle de Produção'!$P:$P,C351,'[2]Controle de Produção'!$B:$B,"&gt;=" &amp; G351,'[2]Controle de Produção'!$C:$C,"&lt;=" &amp; N351, '[2]Controle de Produção'!$G:$G,B351), "")</f>
        <v>0</v>
      </c>
      <c r="W351" s="27" t="str">
        <f>IFERROR(SUMIFS([3]EXPEDIÇÃO!$K:$K,[3]EXPEDIÇÃO!$E:$E,D351,[3]EXPEDIÇÃO!$D:$D,C351,[3]EXPEDIÇÃO!$N:$N,"&gt;=" &amp; G351,[3]EXPEDIÇÃO!$N:$N,"&lt;="&amp;N351), "")</f>
        <v/>
      </c>
      <c r="X351" s="27">
        <f>COUNTIFS('[2]Controle de Produção'!$P:$P,C351,'[2]Controle de Produção'!$L:$L,D351,'[2]Controle de Produção'!$B:$B,"&gt;=" &amp; G351)</f>
        <v>1</v>
      </c>
      <c r="Y351" s="27">
        <f t="shared" si="56"/>
        <v>0</v>
      </c>
      <c r="Z351" s="27">
        <f>IFERROR(COUNTIFS('[2]Controle de Produção'!$L:$L,D351,'[2]Controle de Produção'!$P:$P,C351,'[2]Controle de Produção'!$B:$B,"&gt;=" &amp; G351,'[2]Controle de Produção'!$C:$C,"&lt;=" &amp; N351, '[2]Controle de Produção'!$G:$G,B351), "")</f>
        <v>0</v>
      </c>
      <c r="AA351" s="108" t="str">
        <f t="shared" si="57"/>
        <v/>
      </c>
      <c r="AB351" s="41" t="s">
        <v>60</v>
      </c>
      <c r="AC351" s="42" t="b">
        <v>1</v>
      </c>
      <c r="AD351" s="42" t="b">
        <v>1</v>
      </c>
      <c r="AE351" s="42" t="b">
        <v>1</v>
      </c>
      <c r="AF351" s="42" t="b">
        <v>1</v>
      </c>
      <c r="AG351" s="42" t="s">
        <v>38</v>
      </c>
      <c r="AH351" s="42" t="s">
        <v>38</v>
      </c>
      <c r="AI351" s="42" t="b">
        <v>1</v>
      </c>
      <c r="AJ351" s="42" t="s">
        <v>38</v>
      </c>
      <c r="AK351" s="42" t="s">
        <v>38</v>
      </c>
      <c r="AL351" s="42" t="b">
        <v>1</v>
      </c>
      <c r="AM351" s="42" t="b">
        <v>1</v>
      </c>
      <c r="AN351" s="42" t="b">
        <v>1</v>
      </c>
      <c r="AO351" s="45" t="b" cm="1">
        <f t="array" ref="AO351">AND(COUNTIF(AC351:AN351,FALSE)=0,SUMPRODUCT(ISNUMBER(AC351:AN351)*1)=0)</f>
        <v>1</v>
      </c>
      <c r="AP351" s="59"/>
      <c r="AQ351" s="111">
        <f>IF(AB351="",99999999999,IFERROR(MATCH(AB351,{"Produção Parcial","Em Produção","Programado","Não Iniciado","Desenvolv.","Concluído"},0),7)*100000000+IF(ISNUMBER(J351),J351-46000,9999)*10000+IF(A351="",99,A351)*100+IF(C351="",99,CODE(LEFT(C351,1))))</f>
        <v>699990165</v>
      </c>
    </row>
    <row r="352" spans="1:43" s="36" customFormat="1" ht="25.15" hidden="1" customHeight="1" x14ac:dyDescent="0.25">
      <c r="A352" s="36">
        <v>1</v>
      </c>
      <c r="B352" s="38" t="s">
        <v>254</v>
      </c>
      <c r="C352" s="24" t="s">
        <v>255</v>
      </c>
      <c r="D352" s="24" t="s">
        <v>257</v>
      </c>
      <c r="E352" s="70" t="str">
        <f>INDEX([1]Produtos!$C:$C,MATCH($D352,[1]Produtos!$B:$B,0))&amp;IF($F352&lt;&gt;"-"," - "&amp;LEFT($F352,1),"")&amp;" &gt; "&amp;$B352</f>
        <v>BODY SPLASH BIO BALM SUNRISE MUSE &gt; 01_08</v>
      </c>
      <c r="F352" s="51" t="s">
        <v>38</v>
      </c>
      <c r="G352" s="38">
        <v>45854</v>
      </c>
      <c r="H352" s="39">
        <v>7500</v>
      </c>
      <c r="I352" s="24" t="s">
        <v>39</v>
      </c>
      <c r="J352" s="68" t="str" cm="1">
        <f t="array" ref="J352">IFERROR(INDEX('[2]Previsão Envase'!$D$5:$D$4867, MATCH(1,('[2]Previsão Envase'!$F$5:$F$4867=$E352)+('[2]Previsão Envase'!$G$5:$G$4867=$E352)+('[2]Previsão Envase'!$H$5:$H$4867=$E352),0)),"")</f>
        <v/>
      </c>
      <c r="K352" s="68" t="str">
        <f>IF(COUNTIF('[2]Previsão Envase'!$F:$F,E352)&gt;0,"Linha 1",
IF(COUNTIF('[2]Previsão Envase'!$G:$G,E352)&gt;0,"Linha 2",
IF(COUNTIF('[2]Previsão Envase'!$H:$H,E352)&gt;0,"Linha 3","")))</f>
        <v/>
      </c>
      <c r="L352" s="96">
        <f>COUNTIF('[2]Previsão Envase'!$F:$H,E352)-COUNTIF('[2]Previsão Envase'!$F$1:$H$4,E352)</f>
        <v>0</v>
      </c>
      <c r="M352" s="35">
        <f t="shared" si="52"/>
        <v>0</v>
      </c>
      <c r="N352" s="68" t="str">
        <f>IFERROR(MAX(_xlfn.MAXIFS('[2]Controle de Produção'!$C:$C,'[2]Controle de Produção'!$L:$L,$D352,'[2]Controle de Produção'!$P:$P,$C352,'[2]Controle de Produção'!$G:$G,$B352),_xlfn.MAXIFS([3]EXPEDIÇÃO!$N:$N,[3]EXPEDIÇÃO!$E:$E,$D352,[3]EXPEDIÇÃO!$D:$D,$C352,[3]EXPEDIÇÃO!$N:$N,"&gt;="&amp;$G352)),"")</f>
        <v/>
      </c>
      <c r="O352" s="70">
        <f>INDEX([1]Produtos!$E:$E,MATCH($D352,[1]Produtos!$B:$B,0))</f>
        <v>200</v>
      </c>
      <c r="P352" s="70" t="str">
        <f>INDEX([1]Produtos!$F:$F,MATCH($D352,[1]Produtos!$B:$B,0))</f>
        <v>ml</v>
      </c>
      <c r="Q352" s="105">
        <f>INDEX([1]Produtos!$Y:$Y,MATCH($D352,[1]Produtos!$B:$B,0))</f>
        <v>1.7000000000000002</v>
      </c>
      <c r="R352" s="35">
        <f t="shared" si="53"/>
        <v>7592.2902086267013</v>
      </c>
      <c r="S352" s="27">
        <f>IFERROR(INDEX([1]Produtos!$L:$L,MATCH(D352,[1]Produtos!$B:$B,0)), "")</f>
        <v>843.58780095852239</v>
      </c>
      <c r="T352" s="28">
        <f t="shared" si="54"/>
        <v>8.9</v>
      </c>
      <c r="U352" s="28" t="str">
        <f t="shared" si="55"/>
        <v>1D e 1h</v>
      </c>
      <c r="V352" s="27">
        <f>IFERROR(SUMIFS('[2]Controle de Produção'!$K:$K,'[2]Controle de Produção'!$L:$L,D352,'[2]Controle de Produção'!$P:$P,C352,'[2]Controle de Produção'!$B:$B,"&gt;=" &amp; G352,'[2]Controle de Produção'!$C:$C,"&lt;=" &amp; N352, '[2]Controle de Produção'!$G:$G,B352), "")</f>
        <v>0</v>
      </c>
      <c r="W352" s="27" t="str">
        <f>IFERROR(SUMIFS([3]EXPEDIÇÃO!$K:$K,[3]EXPEDIÇÃO!$E:$E,D352,[3]EXPEDIÇÃO!$D:$D,C352,[3]EXPEDIÇÃO!$N:$N,"&gt;=" &amp; G352,[3]EXPEDIÇÃO!$N:$N,"&lt;="&amp;N352), "")</f>
        <v/>
      </c>
      <c r="X352" s="27">
        <f>COUNTIFS('[2]Controle de Produção'!$P:$P,C352,'[2]Controle de Produção'!$L:$L,D352,'[2]Controle de Produção'!$B:$B,"&gt;=" &amp; G352)</f>
        <v>4</v>
      </c>
      <c r="Y352" s="27">
        <f t="shared" si="56"/>
        <v>0</v>
      </c>
      <c r="Z352" s="27">
        <f>IFERROR(COUNTIFS('[2]Controle de Produção'!$L:$L,D352,'[2]Controle de Produção'!$P:$P,C352,'[2]Controle de Produção'!$B:$B,"&gt;=" &amp; G352,'[2]Controle de Produção'!$C:$C,"&lt;=" &amp; N352, '[2]Controle de Produção'!$G:$G,B352), "")</f>
        <v>0</v>
      </c>
      <c r="AA352" s="108" t="str">
        <f t="shared" si="57"/>
        <v/>
      </c>
      <c r="AB352" s="41" t="s">
        <v>60</v>
      </c>
      <c r="AC352" s="42" t="b">
        <v>1</v>
      </c>
      <c r="AD352" s="42" t="b">
        <v>1</v>
      </c>
      <c r="AE352" s="42" t="b">
        <v>1</v>
      </c>
      <c r="AF352" s="42" t="b">
        <v>1</v>
      </c>
      <c r="AG352" s="42" t="b">
        <v>1</v>
      </c>
      <c r="AH352" s="42" t="s">
        <v>38</v>
      </c>
      <c r="AI352" s="42" t="b">
        <v>1</v>
      </c>
      <c r="AJ352" s="42" t="s">
        <v>38</v>
      </c>
      <c r="AK352" s="42" t="b">
        <v>0</v>
      </c>
      <c r="AL352" s="42" t="b">
        <v>1</v>
      </c>
      <c r="AM352" s="42" t="b">
        <v>1</v>
      </c>
      <c r="AN352" s="87">
        <f>3/3</f>
        <v>1</v>
      </c>
      <c r="AO352" s="45" t="b" cm="1">
        <f t="array" ref="AO352">AND(COUNTIF(AC352:AN352,FALSE)=0,SUMPRODUCT(ISNUMBER(AC352:AN352)*1)=0)</f>
        <v>0</v>
      </c>
      <c r="AP352" s="59"/>
      <c r="AQ352" s="111">
        <f>IF(AB352="",99999999999,IFERROR(MATCH(AB352,{"Produção Parcial","Em Produção","Programado","Não Iniciado","Desenvolv.","Concluído"},0),7)*100000000+IF(ISNUMBER(J352),J352-46000,9999)*10000+IF(A352="",99,A352)*100+IF(C352="",99,CODE(LEFT(C352,1))))</f>
        <v>699990166</v>
      </c>
    </row>
    <row r="353" spans="1:43" s="36" customFormat="1" ht="25.15" hidden="1" customHeight="1" x14ac:dyDescent="0.25">
      <c r="A353" s="36">
        <v>1</v>
      </c>
      <c r="B353" s="38" t="s">
        <v>254</v>
      </c>
      <c r="C353" s="24" t="s">
        <v>255</v>
      </c>
      <c r="D353" s="24" t="s">
        <v>256</v>
      </c>
      <c r="E353" s="70" t="str">
        <f>INDEX([1]Produtos!$C:$C,MATCH($D353,[1]Produtos!$B:$B,0))&amp;IF($F353&lt;&gt;"-"," - "&amp;LEFT($F353,1),"")&amp;" &gt; "&amp;$B353</f>
        <v>BODY SPLASH BIO BALM V DREAM &gt; 01_08</v>
      </c>
      <c r="F353" s="51" t="s">
        <v>38</v>
      </c>
      <c r="G353" s="38">
        <v>45854</v>
      </c>
      <c r="H353" s="39">
        <v>7500</v>
      </c>
      <c r="I353" s="24" t="s">
        <v>39</v>
      </c>
      <c r="J353" s="68" t="str" cm="1">
        <f t="array" ref="J353">IFERROR(INDEX('[2]Previsão Envase'!$D$5:$D$4867, MATCH(1,('[2]Previsão Envase'!$F$5:$F$4867=$E353)+('[2]Previsão Envase'!$G$5:$G$4867=$E353)+('[2]Previsão Envase'!$H$5:$H$4867=$E353),0)),"")</f>
        <v/>
      </c>
      <c r="K353" s="68" t="str">
        <f>IF(COUNTIF('[2]Previsão Envase'!$F:$F,E353)&gt;0,"Linha 1",
IF(COUNTIF('[2]Previsão Envase'!$G:$G,E353)&gt;0,"Linha 2",
IF(COUNTIF('[2]Previsão Envase'!$H:$H,E353)&gt;0,"Linha 3","")))</f>
        <v/>
      </c>
      <c r="L353" s="96">
        <f>COUNTIF('[2]Previsão Envase'!$F:$H,E353)-COUNTIF('[2]Previsão Envase'!$F$1:$H$4,E353)</f>
        <v>0</v>
      </c>
      <c r="M353" s="35">
        <f t="shared" si="52"/>
        <v>0</v>
      </c>
      <c r="N353" s="68" t="str">
        <f>IFERROR(MAX(_xlfn.MAXIFS('[2]Controle de Produção'!$C:$C,'[2]Controle de Produção'!$L:$L,$D353,'[2]Controle de Produção'!$P:$P,$C353,'[2]Controle de Produção'!$G:$G,$B353),_xlfn.MAXIFS([3]EXPEDIÇÃO!$N:$N,[3]EXPEDIÇÃO!$E:$E,$D353,[3]EXPEDIÇÃO!$D:$D,$C353,[3]EXPEDIÇÃO!$N:$N,"&gt;="&amp;$G353)),"")</f>
        <v/>
      </c>
      <c r="O353" s="70">
        <f>INDEX([1]Produtos!$E:$E,MATCH($D353,[1]Produtos!$B:$B,0))</f>
        <v>200</v>
      </c>
      <c r="P353" s="70" t="str">
        <f>INDEX([1]Produtos!$F:$F,MATCH($D353,[1]Produtos!$B:$B,0))</f>
        <v>ml</v>
      </c>
      <c r="Q353" s="105">
        <f>INDEX([1]Produtos!$Y:$Y,MATCH($D353,[1]Produtos!$B:$B,0))</f>
        <v>1.7000000000000002</v>
      </c>
      <c r="R353" s="35">
        <f t="shared" si="53"/>
        <v>7592.2902086267013</v>
      </c>
      <c r="S353" s="27">
        <f>IFERROR(INDEX([1]Produtos!$L:$L,MATCH(D353,[1]Produtos!$B:$B,0)), "")</f>
        <v>843.58780095852239</v>
      </c>
      <c r="T353" s="28">
        <f t="shared" si="54"/>
        <v>8.9</v>
      </c>
      <c r="U353" s="28" t="str">
        <f t="shared" si="55"/>
        <v>1D e 1h</v>
      </c>
      <c r="V353" s="27">
        <f>IFERROR(SUMIFS('[2]Controle de Produção'!$K:$K,'[2]Controle de Produção'!$L:$L,D353,'[2]Controle de Produção'!$P:$P,C353,'[2]Controle de Produção'!$B:$B,"&gt;=" &amp; G353,'[2]Controle de Produção'!$C:$C,"&lt;=" &amp; N353, '[2]Controle de Produção'!$G:$G,B353), "")</f>
        <v>0</v>
      </c>
      <c r="W353" s="27" t="str">
        <f>IFERROR(SUMIFS([3]EXPEDIÇÃO!$K:$K,[3]EXPEDIÇÃO!$E:$E,D353,[3]EXPEDIÇÃO!$D:$D,C353,[3]EXPEDIÇÃO!$N:$N,"&gt;=" &amp; G353,[3]EXPEDIÇÃO!$N:$N,"&lt;="&amp;N353), "")</f>
        <v/>
      </c>
      <c r="X353" s="27">
        <f>COUNTIFS('[2]Controle de Produção'!$P:$P,C353,'[2]Controle de Produção'!$L:$L,D353,'[2]Controle de Produção'!$B:$B,"&gt;=" &amp; G353)</f>
        <v>4</v>
      </c>
      <c r="Y353" s="27">
        <f t="shared" si="56"/>
        <v>0</v>
      </c>
      <c r="Z353" s="27">
        <f>IFERROR(COUNTIFS('[2]Controle de Produção'!$L:$L,D353,'[2]Controle de Produção'!$P:$P,C353,'[2]Controle de Produção'!$B:$B,"&gt;=" &amp; G353,'[2]Controle de Produção'!$C:$C,"&lt;=" &amp; N353, '[2]Controle de Produção'!$G:$G,B353), "")</f>
        <v>0</v>
      </c>
      <c r="AA353" s="108" t="str">
        <f t="shared" si="57"/>
        <v/>
      </c>
      <c r="AB353" s="41" t="s">
        <v>60</v>
      </c>
      <c r="AC353" s="42" t="b">
        <v>1</v>
      </c>
      <c r="AD353" s="42" t="b">
        <v>1</v>
      </c>
      <c r="AE353" s="42" t="b">
        <v>1</v>
      </c>
      <c r="AF353" s="42" t="b">
        <v>1</v>
      </c>
      <c r="AG353" s="42" t="b">
        <v>1</v>
      </c>
      <c r="AH353" s="42" t="s">
        <v>38</v>
      </c>
      <c r="AI353" s="42" t="b">
        <v>1</v>
      </c>
      <c r="AJ353" s="42" t="s">
        <v>38</v>
      </c>
      <c r="AK353" s="42" t="b">
        <v>0</v>
      </c>
      <c r="AL353" s="42" t="b">
        <v>1</v>
      </c>
      <c r="AM353" s="42" t="b">
        <v>1</v>
      </c>
      <c r="AN353" s="87">
        <f>3/3</f>
        <v>1</v>
      </c>
      <c r="AO353" s="45" t="b" cm="1">
        <f t="array" ref="AO353">AND(COUNTIF(AC353:AN353,FALSE)=0,SUMPRODUCT(ISNUMBER(AC353:AN353)*1)=0)</f>
        <v>0</v>
      </c>
      <c r="AP353" s="59"/>
      <c r="AQ353" s="111">
        <f>IF(AB353="",99999999999,IFERROR(MATCH(AB353,{"Produção Parcial","Em Produção","Programado","Não Iniciado","Desenvolv.","Concluído"},0),7)*100000000+IF(ISNUMBER(J353),J353-46000,9999)*10000+IF(A353="",99,A353)*100+IF(C353="",99,CODE(LEFT(C353,1))))</f>
        <v>699990166</v>
      </c>
    </row>
    <row r="354" spans="1:43" s="36" customFormat="1" ht="25.15" hidden="1" customHeight="1" x14ac:dyDescent="0.25">
      <c r="A354" s="36">
        <v>1</v>
      </c>
      <c r="B354" s="38" t="s">
        <v>43</v>
      </c>
      <c r="C354" s="70" t="str">
        <f>INDEX([1]Produtos!$G:$G,MATCH($D354,[1]Produtos!$B:$B,0))</f>
        <v>BRIA BEAUTY</v>
      </c>
      <c r="D354" s="24" t="s">
        <v>113</v>
      </c>
      <c r="E354" s="70" t="str">
        <f>INDEX([1]Produtos!$C:$C,MATCH($D354,[1]Produtos!$B:$B,0))&amp;IF($F354&lt;&gt;"-"," - "&amp;LEFT($F354,1),"")&amp;" &gt; "&amp;$B354</f>
        <v>BODY SPLASH SOL TROPICAL 58 120ml &gt; BRIA 01</v>
      </c>
      <c r="F354" s="51" t="s">
        <v>38</v>
      </c>
      <c r="G354" s="38">
        <v>45934</v>
      </c>
      <c r="H354" s="39">
        <v>20000</v>
      </c>
      <c r="I354" s="24" t="s">
        <v>39</v>
      </c>
      <c r="J354" s="68" t="str" cm="1">
        <f t="array" ref="J354">IFERROR(INDEX('[2]Previsão Envase'!$D$5:$D$4867, MATCH(1,('[2]Previsão Envase'!$F$5:$F$4867=$E354)+('[2]Previsão Envase'!$G$5:$G$4867=$E354)+('[2]Previsão Envase'!$H$5:$H$4867=$E354),0)),"")</f>
        <v/>
      </c>
      <c r="K354" s="68" t="str">
        <f>IF(COUNTIF('[2]Previsão Envase'!$F:$F,E354)&gt;0,"Linha 1",
IF(COUNTIF('[2]Previsão Envase'!$G:$G,E354)&gt;0,"Linha 2",
IF(COUNTIF('[2]Previsão Envase'!$H:$H,E354)&gt;0,"Linha 3","")))</f>
        <v/>
      </c>
      <c r="L354" s="96">
        <f>COUNTIF('[2]Previsão Envase'!$F:$H,E354)-COUNTIF('[2]Previsão Envase'!$F$1:$H$4,E354)</f>
        <v>0</v>
      </c>
      <c r="M354" s="35">
        <f t="shared" si="52"/>
        <v>0</v>
      </c>
      <c r="N354" s="68" t="str">
        <f>IFERROR(MAX(_xlfn.MAXIFS('[2]Controle de Produção'!$C:$C,'[2]Controle de Produção'!$L:$L,$D354,'[2]Controle de Produção'!$P:$P,$C354,'[2]Controle de Produção'!$G:$G,$B354),_xlfn.MAXIFS([3]EXPEDIÇÃO!$N:$N,[3]EXPEDIÇÃO!$E:$E,$D354,[3]EXPEDIÇÃO!$D:$D,$C354,[3]EXPEDIÇÃO!$N:$N,"&gt;="&amp;$G354)),"")</f>
        <v/>
      </c>
      <c r="O354" s="70">
        <f>INDEX([1]Produtos!$E:$E,MATCH($D354,[1]Produtos!$B:$B,0))</f>
        <v>120</v>
      </c>
      <c r="P354" s="70" t="str">
        <f>INDEX([1]Produtos!$F:$F,MATCH($D354,[1]Produtos!$B:$B,0))</f>
        <v>ml</v>
      </c>
      <c r="Q354" s="105">
        <f>INDEX([1]Produtos!$Y:$Y,MATCH($D354,[1]Produtos!$B:$B,0))</f>
        <v>1.08</v>
      </c>
      <c r="R354" s="35">
        <f t="shared" si="53"/>
        <v>7592.2902086267013</v>
      </c>
      <c r="S354" s="27">
        <f>IFERROR(INDEX([1]Produtos!$L:$L,MATCH(D354,[1]Produtos!$B:$B,0)), "")</f>
        <v>843.58780095852239</v>
      </c>
      <c r="T354" s="28">
        <f t="shared" si="54"/>
        <v>23.8</v>
      </c>
      <c r="U354" s="28" t="str">
        <f t="shared" si="55"/>
        <v>2D e 7h</v>
      </c>
      <c r="V354" s="27">
        <f>IFERROR(SUMIFS('[2]Controle de Produção'!$K:$K,'[2]Controle de Produção'!$L:$L,D354,'[2]Controle de Produção'!$P:$P,C354,'[2]Controle de Produção'!$B:$B,"&gt;=" &amp; G354,'[2]Controle de Produção'!$C:$C,"&lt;=" &amp; N354, '[2]Controle de Produção'!$G:$G,B354), "")</f>
        <v>0</v>
      </c>
      <c r="W354" s="27" t="str">
        <f>IFERROR(SUMIFS([3]EXPEDIÇÃO!$K:$K,[3]EXPEDIÇÃO!$E:$E,D354,[3]EXPEDIÇÃO!$D:$D,C354,[3]EXPEDIÇÃO!$N:$N,"&gt;=" &amp; G354,[3]EXPEDIÇÃO!$N:$N,"&lt;="&amp;N354), "")</f>
        <v/>
      </c>
      <c r="X354" s="27">
        <f>COUNTIFS('[2]Controle de Produção'!$P:$P,C354,'[2]Controle de Produção'!$L:$L,D354,'[2]Controle de Produção'!$B:$B,"&gt;=" &amp; G354)</f>
        <v>8</v>
      </c>
      <c r="Y354" s="27">
        <f t="shared" si="56"/>
        <v>0</v>
      </c>
      <c r="Z354" s="27">
        <f>IFERROR(COUNTIFS('[2]Controle de Produção'!$L:$L,D354,'[2]Controle de Produção'!$P:$P,C354,'[2]Controle de Produção'!$B:$B,"&gt;=" &amp; G354,'[2]Controle de Produção'!$C:$C,"&lt;=" &amp; N354, '[2]Controle de Produção'!$G:$G,B354), "")</f>
        <v>0</v>
      </c>
      <c r="AA354" s="108" t="str">
        <f t="shared" si="57"/>
        <v/>
      </c>
      <c r="AB354" s="41" t="s">
        <v>60</v>
      </c>
      <c r="AC354" s="42" t="b">
        <v>1</v>
      </c>
      <c r="AD354" s="42" t="b">
        <v>1</v>
      </c>
      <c r="AE354" s="42" t="b">
        <v>1</v>
      </c>
      <c r="AF354" s="42" t="b">
        <v>1</v>
      </c>
      <c r="AG354" s="42" t="s">
        <v>38</v>
      </c>
      <c r="AH354" s="42" t="s">
        <v>38</v>
      </c>
      <c r="AI354" s="42" t="b">
        <v>1</v>
      </c>
      <c r="AJ354" s="42" t="s">
        <v>38</v>
      </c>
      <c r="AK354" s="42" t="b">
        <v>0</v>
      </c>
      <c r="AL354" s="42" t="b">
        <v>1</v>
      </c>
      <c r="AM354" s="42" t="b">
        <v>1</v>
      </c>
      <c r="AN354" s="42" t="b">
        <v>1</v>
      </c>
      <c r="AO354" s="45" t="b" cm="1">
        <f t="array" ref="AO354">AND(COUNTIF(AC354:AN354,FALSE)=0,SUMPRODUCT(ISNUMBER(AC354:AN354)*1)=0)</f>
        <v>0</v>
      </c>
      <c r="AP354" s="59"/>
      <c r="AQ354" s="111">
        <f>IF(AB354="",99999999999,IFERROR(MATCH(AB354,{"Produção Parcial","Em Produção","Programado","Não Iniciado","Desenvolv.","Concluído"},0),7)*100000000+IF(ISNUMBER(J354),J354-46000,9999)*10000+IF(A354="",99,A354)*100+IF(C354="",99,CODE(LEFT(C354,1))))</f>
        <v>699990166</v>
      </c>
    </row>
    <row r="355" spans="1:43" s="36" customFormat="1" ht="25.15" hidden="1" customHeight="1" x14ac:dyDescent="0.25">
      <c r="A355" s="36">
        <v>1</v>
      </c>
      <c r="B355" s="38" t="s">
        <v>43</v>
      </c>
      <c r="C355" s="70" t="str">
        <f>INDEX([1]Produtos!$G:$G,MATCH($D355,[1]Produtos!$B:$B,0))</f>
        <v>BRIA BEAUTY</v>
      </c>
      <c r="D355" s="24" t="s">
        <v>117</v>
      </c>
      <c r="E355" s="70" t="str">
        <f>INDEX([1]Produtos!$C:$C,MATCH($D355,[1]Produtos!$B:$B,0))&amp;IF($F355&lt;&gt;"-"," - "&amp;LEFT($F355,1),"")&amp;" &gt; "&amp;$B355</f>
        <v>BODY SPLASH SOL TROPICAL 61 120ml &gt; BRIA 01</v>
      </c>
      <c r="F355" s="51" t="s">
        <v>38</v>
      </c>
      <c r="G355" s="38">
        <v>45934</v>
      </c>
      <c r="H355" s="39">
        <v>20000</v>
      </c>
      <c r="I355" s="24" t="s">
        <v>39</v>
      </c>
      <c r="J355" s="68" t="str" cm="1">
        <f t="array" ref="J355">IFERROR(INDEX('[2]Previsão Envase'!$D$5:$D$4867, MATCH(1,('[2]Previsão Envase'!$F$5:$F$4867=$E355)+('[2]Previsão Envase'!$G$5:$G$4867=$E355)+('[2]Previsão Envase'!$H$5:$H$4867=$E355),0)),"")</f>
        <v/>
      </c>
      <c r="K355" s="68" t="str">
        <f>IF(COUNTIF('[2]Previsão Envase'!$F:$F,E355)&gt;0,"Linha 1",
IF(COUNTIF('[2]Previsão Envase'!$G:$G,E355)&gt;0,"Linha 2",
IF(COUNTIF('[2]Previsão Envase'!$H:$H,E355)&gt;0,"Linha 3","")))</f>
        <v/>
      </c>
      <c r="L355" s="96">
        <f>COUNTIF('[2]Previsão Envase'!$F:$H,E355)-COUNTIF('[2]Previsão Envase'!$F$1:$H$4,E355)</f>
        <v>0</v>
      </c>
      <c r="M355" s="35">
        <f t="shared" si="52"/>
        <v>0</v>
      </c>
      <c r="N355" s="68" t="str">
        <f>IFERROR(MAX(_xlfn.MAXIFS('[2]Controle de Produção'!$C:$C,'[2]Controle de Produção'!$L:$L,$D355,'[2]Controle de Produção'!$P:$P,$C355,'[2]Controle de Produção'!$G:$G,$B355),_xlfn.MAXIFS([3]EXPEDIÇÃO!$N:$N,[3]EXPEDIÇÃO!$E:$E,$D355,[3]EXPEDIÇÃO!$D:$D,$C355,[3]EXPEDIÇÃO!$N:$N,"&gt;="&amp;$G355)),"")</f>
        <v/>
      </c>
      <c r="O355" s="70">
        <f>INDEX([1]Produtos!$E:$E,MATCH($D355,[1]Produtos!$B:$B,0))</f>
        <v>120</v>
      </c>
      <c r="P355" s="70" t="str">
        <f>INDEX([1]Produtos!$F:$F,MATCH($D355,[1]Produtos!$B:$B,0))</f>
        <v>ml</v>
      </c>
      <c r="Q355" s="105">
        <f>INDEX([1]Produtos!$Y:$Y,MATCH($D355,[1]Produtos!$B:$B,0))</f>
        <v>1.08</v>
      </c>
      <c r="R355" s="35">
        <f t="shared" si="53"/>
        <v>7592.2902086267013</v>
      </c>
      <c r="S355" s="27">
        <f>IFERROR(INDEX([1]Produtos!$L:$L,MATCH(D355,[1]Produtos!$B:$B,0)), "")</f>
        <v>843.58780095852239</v>
      </c>
      <c r="T355" s="28">
        <f t="shared" si="54"/>
        <v>23.8</v>
      </c>
      <c r="U355" s="28" t="str">
        <f t="shared" si="55"/>
        <v>2D e 7h</v>
      </c>
      <c r="V355" s="27">
        <f>IFERROR(SUMIFS('[2]Controle de Produção'!$K:$K,'[2]Controle de Produção'!$L:$L,D355,'[2]Controle de Produção'!$P:$P,C355,'[2]Controle de Produção'!$B:$B,"&gt;=" &amp; G355,'[2]Controle de Produção'!$C:$C,"&lt;=" &amp; N355, '[2]Controle de Produção'!$G:$G,B355), "")</f>
        <v>0</v>
      </c>
      <c r="W355" s="27" t="str">
        <f>IFERROR(SUMIFS([3]EXPEDIÇÃO!$K:$K,[3]EXPEDIÇÃO!$E:$E,D355,[3]EXPEDIÇÃO!$D:$D,C355,[3]EXPEDIÇÃO!$N:$N,"&gt;=" &amp; G355,[3]EXPEDIÇÃO!$N:$N,"&lt;="&amp;N355), "")</f>
        <v/>
      </c>
      <c r="X355" s="27">
        <f>COUNTIFS('[2]Controle de Produção'!$P:$P,C355,'[2]Controle de Produção'!$L:$L,D355,'[2]Controle de Produção'!$B:$B,"&gt;=" &amp; G355)</f>
        <v>9</v>
      </c>
      <c r="Y355" s="27">
        <f t="shared" si="56"/>
        <v>0</v>
      </c>
      <c r="Z355" s="27">
        <f>IFERROR(COUNTIFS('[2]Controle de Produção'!$L:$L,D355,'[2]Controle de Produção'!$P:$P,C355,'[2]Controle de Produção'!$B:$B,"&gt;=" &amp; G355,'[2]Controle de Produção'!$C:$C,"&lt;=" &amp; N355, '[2]Controle de Produção'!$G:$G,B355), "")</f>
        <v>0</v>
      </c>
      <c r="AA355" s="108" t="str">
        <f t="shared" si="57"/>
        <v/>
      </c>
      <c r="AB355" s="41" t="s">
        <v>60</v>
      </c>
      <c r="AC355" s="42" t="b">
        <v>1</v>
      </c>
      <c r="AD355" s="42" t="b">
        <v>1</v>
      </c>
      <c r="AE355" s="42" t="b">
        <v>1</v>
      </c>
      <c r="AF355" s="42" t="b">
        <v>1</v>
      </c>
      <c r="AG355" s="42" t="s">
        <v>38</v>
      </c>
      <c r="AH355" s="42" t="s">
        <v>38</v>
      </c>
      <c r="AI355" s="42" t="b">
        <v>1</v>
      </c>
      <c r="AJ355" s="42" t="s">
        <v>38</v>
      </c>
      <c r="AK355" s="42" t="b">
        <v>0</v>
      </c>
      <c r="AL355" s="42" t="b">
        <v>1</v>
      </c>
      <c r="AM355" s="42" t="b">
        <v>1</v>
      </c>
      <c r="AN355" s="42" t="b">
        <v>1</v>
      </c>
      <c r="AO355" s="45" t="b" cm="1">
        <f t="array" ref="AO355">AND(COUNTIF(AC355:AN355,FALSE)=0,SUMPRODUCT(ISNUMBER(AC355:AN355)*1)=0)</f>
        <v>0</v>
      </c>
      <c r="AP355" s="59"/>
      <c r="AQ355" s="111">
        <f>IF(AB355="",99999999999,IFERROR(MATCH(AB355,{"Produção Parcial","Em Produção","Programado","Não Iniciado","Desenvolv.","Concluído"},0),7)*100000000+IF(ISNUMBER(J355),J355-46000,9999)*10000+IF(A355="",99,A355)*100+IF(C355="",99,CODE(LEFT(C355,1))))</f>
        <v>699990166</v>
      </c>
    </row>
    <row r="356" spans="1:43" s="36" customFormat="1" ht="25.15" hidden="1" customHeight="1" x14ac:dyDescent="0.25">
      <c r="A356" s="36">
        <v>1</v>
      </c>
      <c r="B356" s="38" t="s">
        <v>43</v>
      </c>
      <c r="C356" s="70" t="str">
        <f>INDEX([1]Produtos!$G:$G,MATCH($D356,[1]Produtos!$B:$B,0))</f>
        <v>BRIA BEAUTY</v>
      </c>
      <c r="D356" s="24" t="s">
        <v>115</v>
      </c>
      <c r="E356" s="70" t="str">
        <f>INDEX([1]Produtos!$C:$C,MATCH($D356,[1]Produtos!$B:$B,0))&amp;IF($F356&lt;&gt;"-"," - "&amp;LEFT($F356,1),"")&amp;" &gt; "&amp;$B356</f>
        <v>BODY SPLASH SOL TROPICAL 86 120ml &gt; BRIA 01</v>
      </c>
      <c r="F356" s="51" t="s">
        <v>38</v>
      </c>
      <c r="G356" s="38">
        <v>45934</v>
      </c>
      <c r="H356" s="39">
        <v>20000</v>
      </c>
      <c r="I356" s="24" t="s">
        <v>39</v>
      </c>
      <c r="J356" s="68" t="str" cm="1">
        <f t="array" ref="J356">IFERROR(INDEX('[2]Previsão Envase'!$D$5:$D$4867, MATCH(1,('[2]Previsão Envase'!$F$5:$F$4867=$E356)+('[2]Previsão Envase'!$G$5:$G$4867=$E356)+('[2]Previsão Envase'!$H$5:$H$4867=$E356),0)),"")</f>
        <v/>
      </c>
      <c r="K356" s="68" t="str">
        <f>IF(COUNTIF('[2]Previsão Envase'!$F:$F,E356)&gt;0,"Linha 1",
IF(COUNTIF('[2]Previsão Envase'!$G:$G,E356)&gt;0,"Linha 2",
IF(COUNTIF('[2]Previsão Envase'!$H:$H,E356)&gt;0,"Linha 3","")))</f>
        <v/>
      </c>
      <c r="L356" s="96">
        <f>COUNTIF('[2]Previsão Envase'!$F:$H,E356)-COUNTIF('[2]Previsão Envase'!$F$1:$H$4,E356)</f>
        <v>0</v>
      </c>
      <c r="M356" s="35">
        <f t="shared" si="52"/>
        <v>0</v>
      </c>
      <c r="N356" s="68" t="str">
        <f>IFERROR(MAX(_xlfn.MAXIFS('[2]Controle de Produção'!$C:$C,'[2]Controle de Produção'!$L:$L,$D356,'[2]Controle de Produção'!$P:$P,$C356,'[2]Controle de Produção'!$G:$G,$B356),_xlfn.MAXIFS([3]EXPEDIÇÃO!$N:$N,[3]EXPEDIÇÃO!$E:$E,$D356,[3]EXPEDIÇÃO!$D:$D,$C356,[3]EXPEDIÇÃO!$N:$N,"&gt;="&amp;$G356)),"")</f>
        <v/>
      </c>
      <c r="O356" s="70">
        <f>INDEX([1]Produtos!$E:$E,MATCH($D356,[1]Produtos!$B:$B,0))</f>
        <v>120</v>
      </c>
      <c r="P356" s="70" t="str">
        <f>INDEX([1]Produtos!$F:$F,MATCH($D356,[1]Produtos!$B:$B,0))</f>
        <v>ml</v>
      </c>
      <c r="Q356" s="105">
        <f>INDEX([1]Produtos!$Y:$Y,MATCH($D356,[1]Produtos!$B:$B,0))</f>
        <v>1.08</v>
      </c>
      <c r="R356" s="35">
        <f t="shared" si="53"/>
        <v>7592.2902086267013</v>
      </c>
      <c r="S356" s="27">
        <f>IFERROR(INDEX([1]Produtos!$L:$L,MATCH(D356,[1]Produtos!$B:$B,0)), "")</f>
        <v>843.58780095852239</v>
      </c>
      <c r="T356" s="28">
        <f t="shared" si="54"/>
        <v>23.8</v>
      </c>
      <c r="U356" s="28" t="str">
        <f t="shared" si="55"/>
        <v>2D e 7h</v>
      </c>
      <c r="V356" s="27">
        <f>IFERROR(SUMIFS('[2]Controle de Produção'!$K:$K,'[2]Controle de Produção'!$L:$L,D356,'[2]Controle de Produção'!$P:$P,C356,'[2]Controle de Produção'!$B:$B,"&gt;=" &amp; G356,'[2]Controle de Produção'!$C:$C,"&lt;=" &amp; N356, '[2]Controle de Produção'!$G:$G,B356), "")</f>
        <v>0</v>
      </c>
      <c r="W356" s="27" t="str">
        <f>IFERROR(SUMIFS([3]EXPEDIÇÃO!$K:$K,[3]EXPEDIÇÃO!$E:$E,D356,[3]EXPEDIÇÃO!$D:$D,C356,[3]EXPEDIÇÃO!$N:$N,"&gt;=" &amp; G356,[3]EXPEDIÇÃO!$N:$N,"&lt;="&amp;N356), "")</f>
        <v/>
      </c>
      <c r="X356" s="27">
        <f>COUNTIFS('[2]Controle de Produção'!$P:$P,C356,'[2]Controle de Produção'!$L:$L,D356,'[2]Controle de Produção'!$B:$B,"&gt;=" &amp; G356)</f>
        <v>10</v>
      </c>
      <c r="Y356" s="27">
        <f t="shared" si="56"/>
        <v>0</v>
      </c>
      <c r="Z356" s="27">
        <f>IFERROR(COUNTIFS('[2]Controle de Produção'!$L:$L,D356,'[2]Controle de Produção'!$P:$P,C356,'[2]Controle de Produção'!$B:$B,"&gt;=" &amp; G356,'[2]Controle de Produção'!$C:$C,"&lt;=" &amp; N356, '[2]Controle de Produção'!$G:$G,B356), "")</f>
        <v>0</v>
      </c>
      <c r="AA356" s="108" t="str">
        <f t="shared" si="57"/>
        <v/>
      </c>
      <c r="AB356" s="41" t="s">
        <v>60</v>
      </c>
      <c r="AC356" s="42" t="b">
        <v>1</v>
      </c>
      <c r="AD356" s="42" t="b">
        <v>1</v>
      </c>
      <c r="AE356" s="42" t="b">
        <v>1</v>
      </c>
      <c r="AF356" s="42" t="b">
        <v>1</v>
      </c>
      <c r="AG356" s="42" t="s">
        <v>38</v>
      </c>
      <c r="AH356" s="42" t="s">
        <v>38</v>
      </c>
      <c r="AI356" s="42" t="b">
        <v>1</v>
      </c>
      <c r="AJ356" s="42" t="s">
        <v>38</v>
      </c>
      <c r="AK356" s="42" t="b">
        <v>0</v>
      </c>
      <c r="AL356" s="42" t="b">
        <v>1</v>
      </c>
      <c r="AM356" s="42" t="b">
        <v>1</v>
      </c>
      <c r="AN356" s="42" t="b">
        <v>1</v>
      </c>
      <c r="AO356" s="45" t="b" cm="1">
        <f t="array" ref="AO356">AND(COUNTIF(AC356:AN356,FALSE)=0,SUMPRODUCT(ISNUMBER(AC356:AN356)*1)=0)</f>
        <v>0</v>
      </c>
      <c r="AP356" s="59"/>
      <c r="AQ356" s="111">
        <f>IF(AB356="",99999999999,IFERROR(MATCH(AB356,{"Produção Parcial","Em Produção","Programado","Não Iniciado","Desenvolv.","Concluído"},0),7)*100000000+IF(ISNUMBER(J356),J356-46000,9999)*10000+IF(A356="",99,A356)*100+IF(C356="",99,CODE(LEFT(C356,1))))</f>
        <v>699990166</v>
      </c>
    </row>
    <row r="357" spans="1:43" s="36" customFormat="1" ht="25.15" hidden="1" customHeight="1" x14ac:dyDescent="0.25">
      <c r="A357" s="36">
        <v>1</v>
      </c>
      <c r="B357" s="38" t="s">
        <v>43</v>
      </c>
      <c r="C357" s="70" t="str">
        <f>INDEX([1]Produtos!$G:$G,MATCH($D357,[1]Produtos!$B:$B,0))</f>
        <v>BRIA BEAUTY</v>
      </c>
      <c r="D357" s="24" t="s">
        <v>111</v>
      </c>
      <c r="E357" s="70" t="str">
        <f>INDEX([1]Produtos!$C:$C,MATCH($D357,[1]Produtos!$B:$B,0))&amp;IF($F357&lt;&gt;"-"," - "&amp;LEFT($F357,1),"")&amp;" &gt; "&amp;$B357</f>
        <v>BODY SPLASH ZAHRA 120ml &gt; BRIA 01</v>
      </c>
      <c r="F357" s="51" t="s">
        <v>38</v>
      </c>
      <c r="G357" s="38">
        <v>45934</v>
      </c>
      <c r="H357" s="39">
        <v>20000</v>
      </c>
      <c r="I357" s="24" t="s">
        <v>39</v>
      </c>
      <c r="J357" s="68" t="str" cm="1">
        <f t="array" ref="J357">IFERROR(INDEX('[2]Previsão Envase'!$D$5:$D$4867, MATCH(1,('[2]Previsão Envase'!$F$5:$F$4867=$E357)+('[2]Previsão Envase'!$G$5:$G$4867=$E357)+('[2]Previsão Envase'!$H$5:$H$4867=$E357),0)),"")</f>
        <v/>
      </c>
      <c r="K357" s="68" t="str">
        <f>IF(COUNTIF('[2]Previsão Envase'!$F:$F,E357)&gt;0,"Linha 1",
IF(COUNTIF('[2]Previsão Envase'!$G:$G,E357)&gt;0,"Linha 2",
IF(COUNTIF('[2]Previsão Envase'!$H:$H,E357)&gt;0,"Linha 3","")))</f>
        <v/>
      </c>
      <c r="L357" s="96">
        <f>COUNTIF('[2]Previsão Envase'!$F:$H,E357)-COUNTIF('[2]Previsão Envase'!$F$1:$H$4,E357)</f>
        <v>0</v>
      </c>
      <c r="M357" s="35">
        <f t="shared" si="52"/>
        <v>0</v>
      </c>
      <c r="N357" s="68" t="str">
        <f>IFERROR(MAX(_xlfn.MAXIFS('[2]Controle de Produção'!$C:$C,'[2]Controle de Produção'!$L:$L,$D357,'[2]Controle de Produção'!$P:$P,$C357,'[2]Controle de Produção'!$G:$G,$B357),_xlfn.MAXIFS([3]EXPEDIÇÃO!$N:$N,[3]EXPEDIÇÃO!$E:$E,$D357,[3]EXPEDIÇÃO!$D:$D,$C357,[3]EXPEDIÇÃO!$N:$N,"&gt;="&amp;$G357)),"")</f>
        <v/>
      </c>
      <c r="O357" s="70">
        <f>INDEX([1]Produtos!$E:$E,MATCH($D357,[1]Produtos!$B:$B,0))</f>
        <v>120</v>
      </c>
      <c r="P357" s="70" t="str">
        <f>INDEX([1]Produtos!$F:$F,MATCH($D357,[1]Produtos!$B:$B,0))</f>
        <v>ml</v>
      </c>
      <c r="Q357" s="105">
        <f>INDEX([1]Produtos!$Y:$Y,MATCH($D357,[1]Produtos!$B:$B,0))</f>
        <v>1.08</v>
      </c>
      <c r="R357" s="35">
        <f t="shared" si="53"/>
        <v>7592.2902086267013</v>
      </c>
      <c r="S357" s="27">
        <f>IFERROR(INDEX([1]Produtos!$L:$L,MATCH(D357,[1]Produtos!$B:$B,0)), "")</f>
        <v>843.58780095852239</v>
      </c>
      <c r="T357" s="28">
        <f t="shared" si="54"/>
        <v>23.8</v>
      </c>
      <c r="U357" s="28" t="str">
        <f t="shared" si="55"/>
        <v>2D e 7h</v>
      </c>
      <c r="V357" s="27">
        <f>IFERROR(SUMIFS('[2]Controle de Produção'!$K:$K,'[2]Controle de Produção'!$L:$L,D357,'[2]Controle de Produção'!$P:$P,C357,'[2]Controle de Produção'!$B:$B,"&gt;=" &amp; G357,'[2]Controle de Produção'!$C:$C,"&lt;=" &amp; N357, '[2]Controle de Produção'!$G:$G,B357), "")</f>
        <v>0</v>
      </c>
      <c r="W357" s="27" t="str">
        <f>IFERROR(SUMIFS([3]EXPEDIÇÃO!$K:$K,[3]EXPEDIÇÃO!$E:$E,D357,[3]EXPEDIÇÃO!$D:$D,C357,[3]EXPEDIÇÃO!$N:$N,"&gt;=" &amp; G357,[3]EXPEDIÇÃO!$N:$N,"&lt;="&amp;N357), "")</f>
        <v/>
      </c>
      <c r="X357" s="27">
        <f>COUNTIFS('[2]Controle de Produção'!$P:$P,C357,'[2]Controle de Produção'!$L:$L,D357,'[2]Controle de Produção'!$B:$B,"&gt;=" &amp; G357)</f>
        <v>12</v>
      </c>
      <c r="Y357" s="27">
        <f t="shared" si="56"/>
        <v>0</v>
      </c>
      <c r="Z357" s="27">
        <f>IFERROR(COUNTIFS('[2]Controle de Produção'!$L:$L,D357,'[2]Controle de Produção'!$P:$P,C357,'[2]Controle de Produção'!$B:$B,"&gt;=" &amp; G357,'[2]Controle de Produção'!$C:$C,"&lt;=" &amp; N357, '[2]Controle de Produção'!$G:$G,B357), "")</f>
        <v>0</v>
      </c>
      <c r="AA357" s="108" t="str">
        <f t="shared" si="57"/>
        <v/>
      </c>
      <c r="AB357" s="41" t="s">
        <v>60</v>
      </c>
      <c r="AC357" s="42" t="b">
        <v>1</v>
      </c>
      <c r="AD357" s="42" t="b">
        <v>1</v>
      </c>
      <c r="AE357" s="42" t="b">
        <v>1</v>
      </c>
      <c r="AF357" s="42" t="b">
        <v>1</v>
      </c>
      <c r="AG357" s="42" t="s">
        <v>38</v>
      </c>
      <c r="AH357" s="42" t="s">
        <v>38</v>
      </c>
      <c r="AI357" s="42" t="b">
        <v>1</v>
      </c>
      <c r="AJ357" s="42" t="s">
        <v>38</v>
      </c>
      <c r="AK357" s="42" t="b">
        <v>0</v>
      </c>
      <c r="AL357" s="42" t="b">
        <v>1</v>
      </c>
      <c r="AM357" s="42" t="b">
        <v>1</v>
      </c>
      <c r="AN357" s="42" t="b">
        <v>1</v>
      </c>
      <c r="AO357" s="45" t="b" cm="1">
        <f t="array" ref="AO357">AND(COUNTIF(AC357:AN357,FALSE)=0,SUMPRODUCT(ISNUMBER(AC357:AN357)*1)=0)</f>
        <v>0</v>
      </c>
      <c r="AP357" s="59"/>
      <c r="AQ357" s="111">
        <f>IF(AB357="",99999999999,IFERROR(MATCH(AB357,{"Produção Parcial","Em Produção","Programado","Não Iniciado","Desenvolv.","Concluído"},0),7)*100000000+IF(ISNUMBER(J357),J357-46000,9999)*10000+IF(A357="",99,A357)*100+IF(C357="",99,CODE(LEFT(C357,1))))</f>
        <v>699990166</v>
      </c>
    </row>
    <row r="358" spans="1:43" s="36" customFormat="1" ht="25.15" hidden="1" customHeight="1" x14ac:dyDescent="0.25">
      <c r="A358" s="36">
        <v>1</v>
      </c>
      <c r="B358" s="38" t="s">
        <v>56</v>
      </c>
      <c r="C358" s="70" t="str">
        <f>INDEX([1]Produtos!$G:$G,MATCH($D358,[1]Produtos!$B:$B,0))</f>
        <v>BIOFLORA</v>
      </c>
      <c r="D358" s="24" t="s">
        <v>59</v>
      </c>
      <c r="E358" s="70" t="str">
        <f>INDEX([1]Produtos!$C:$C,MATCH($D358,[1]Produtos!$B:$B,0))&amp;IF($F358&lt;&gt;"-"," - "&amp;LEFT($F358,1),"")&amp;" &gt; "&amp;$B358</f>
        <v>RE.BODY SPLASH B.BALM &gt; RETRABALHO</v>
      </c>
      <c r="F358" s="51" t="s">
        <v>38</v>
      </c>
      <c r="G358" s="38">
        <v>45919</v>
      </c>
      <c r="H358" s="39">
        <v>1800</v>
      </c>
      <c r="I358" s="24" t="s">
        <v>58</v>
      </c>
      <c r="J358" s="68" t="str" cm="1">
        <f t="array" ref="J358">IFERROR(INDEX('[2]Previsão Envase'!$D$5:$D$4867, MATCH(1,('[2]Previsão Envase'!$F$5:$F$4867=$E358)+('[2]Previsão Envase'!$G$5:$G$4867=$E358)+('[2]Previsão Envase'!$H$5:$H$4867=$E358),0)),"")</f>
        <v/>
      </c>
      <c r="K358" s="68" t="str">
        <f>IF(COUNTIF('[2]Previsão Envase'!$F:$F,E358)&gt;0,"Linha 1",
IF(COUNTIF('[2]Previsão Envase'!$G:$G,E358)&gt;0,"Linha 2",
IF(COUNTIF('[2]Previsão Envase'!$H:$H,E358)&gt;0,"Linha 3","")))</f>
        <v/>
      </c>
      <c r="L358" s="96">
        <f>COUNTIF('[2]Previsão Envase'!$F:$H,E358)-COUNTIF('[2]Previsão Envase'!$F$1:$H$4,E358)</f>
        <v>0</v>
      </c>
      <c r="M358" s="35">
        <f t="shared" si="52"/>
        <v>0</v>
      </c>
      <c r="N358" s="68" t="str">
        <f>IFERROR(MAX(_xlfn.MAXIFS('[2]Controle de Produção'!$C:$C,'[2]Controle de Produção'!$L:$L,$D358,'[2]Controle de Produção'!$P:$P,$C358,'[2]Controle de Produção'!$G:$G,$B358),_xlfn.MAXIFS([3]EXPEDIÇÃO!$N:$N,[3]EXPEDIÇÃO!$E:$E,$D358,[3]EXPEDIÇÃO!$D:$D,$C358,[3]EXPEDIÇÃO!$N:$N,"&gt;="&amp;$G358)),"")</f>
        <v/>
      </c>
      <c r="O358" s="70">
        <f>INDEX([1]Produtos!$E:$E,MATCH($D358,[1]Produtos!$B:$B,0))</f>
        <v>250</v>
      </c>
      <c r="P358" s="70" t="str">
        <f>INDEX([1]Produtos!$F:$F,MATCH($D358,[1]Produtos!$B:$B,0))</f>
        <v>ml</v>
      </c>
      <c r="Q358" s="105">
        <f>INDEX([1]Produtos!$Y:$Y,MATCH($D358,[1]Produtos!$B:$B,0))</f>
        <v>0</v>
      </c>
      <c r="R358" s="35">
        <f t="shared" si="53"/>
        <v>7592.2902086267013</v>
      </c>
      <c r="S358" s="27">
        <f>IFERROR(INDEX([1]Produtos!$L:$L,MATCH(D358,[1]Produtos!$B:$B,0)), "")</f>
        <v>843.58780095852239</v>
      </c>
      <c r="T358" s="28">
        <f t="shared" si="54"/>
        <v>2.2000000000000002</v>
      </c>
      <c r="U358" s="28" t="str">
        <f t="shared" si="55"/>
        <v>0D e 3h</v>
      </c>
      <c r="V358" s="27">
        <f>IFERROR(SUMIFS('[2]Controle de Produção'!$K:$K,'[2]Controle de Produção'!$L:$L,D358,'[2]Controle de Produção'!$P:$P,C358,'[2]Controle de Produção'!$B:$B,"&gt;=" &amp; G358,'[2]Controle de Produção'!$C:$C,"&lt;=" &amp; N358, '[2]Controle de Produção'!$G:$G,B358), "")</f>
        <v>0</v>
      </c>
      <c r="W358" s="27" t="str">
        <f>IFERROR(SUMIFS([3]EXPEDIÇÃO!$K:$K,[3]EXPEDIÇÃO!$E:$E,D358,[3]EXPEDIÇÃO!$D:$D,C358,[3]EXPEDIÇÃO!$N:$N,"&gt;=" &amp; G358,[3]EXPEDIÇÃO!$N:$N,"&lt;="&amp;N358), "")</f>
        <v/>
      </c>
      <c r="X358" s="27">
        <f>COUNTIFS('[2]Controle de Produção'!$P:$P,C358,'[2]Controle de Produção'!$L:$L,D358,'[2]Controle de Produção'!$B:$B,"&gt;=" &amp; G358)</f>
        <v>0</v>
      </c>
      <c r="Y358" s="27" t="str">
        <f t="shared" si="56"/>
        <v>-</v>
      </c>
      <c r="Z358" s="27">
        <f>IFERROR(COUNTIFS('[2]Controle de Produção'!$L:$L,D358,'[2]Controle de Produção'!$P:$P,C358,'[2]Controle de Produção'!$B:$B,"&gt;=" &amp; G358,'[2]Controle de Produção'!$C:$C,"&lt;=" &amp; N358, '[2]Controle de Produção'!$G:$G,B358), "")</f>
        <v>0</v>
      </c>
      <c r="AA358" s="108" t="str">
        <f t="shared" si="57"/>
        <v/>
      </c>
      <c r="AB358" s="41" t="s">
        <v>60</v>
      </c>
      <c r="AC358" s="42" t="b">
        <v>0</v>
      </c>
      <c r="AD358" s="42" t="b">
        <v>0</v>
      </c>
      <c r="AE358" s="42" t="b">
        <v>0</v>
      </c>
      <c r="AF358" s="42" t="b">
        <v>1</v>
      </c>
      <c r="AG358" s="42" t="b">
        <v>1</v>
      </c>
      <c r="AH358" s="42" t="b">
        <v>0</v>
      </c>
      <c r="AI358" s="42" t="b">
        <v>0</v>
      </c>
      <c r="AJ358" s="42" t="b">
        <v>0</v>
      </c>
      <c r="AK358" s="42" t="b">
        <v>0</v>
      </c>
      <c r="AL358" s="42" t="b">
        <v>0</v>
      </c>
      <c r="AM358" s="42" t="b">
        <v>0</v>
      </c>
      <c r="AN358" s="91" t="b">
        <v>0</v>
      </c>
      <c r="AO358" s="45" t="b" cm="1">
        <f t="array" ref="AO358">AND(COUNTIF(AC358:AN358,FALSE)=0,SUMPRODUCT(ISNUMBER(AC358:AN358)*1)=0)</f>
        <v>0</v>
      </c>
      <c r="AP358" s="59"/>
      <c r="AQ358" s="111">
        <f>IF(AB358="",99999999999,IFERROR(MATCH(AB358,{"Produção Parcial","Em Produção","Programado","Não Iniciado","Desenvolv.","Concluído"},0),7)*100000000+IF(ISNUMBER(J358),J358-46000,9999)*10000+IF(A358="",99,A358)*100+IF(C358="",99,CODE(LEFT(C358,1))))</f>
        <v>699990166</v>
      </c>
    </row>
    <row r="359" spans="1:43" s="36" customFormat="1" ht="25.15" hidden="1" customHeight="1" x14ac:dyDescent="0.25">
      <c r="A359" s="36">
        <v>1</v>
      </c>
      <c r="B359" s="38" t="s">
        <v>425</v>
      </c>
      <c r="C359" s="70" t="str">
        <f>INDEX([1]Produtos!$G:$G,MATCH($D359,[1]Produtos!$B:$B,0))</f>
        <v>CAMIE BEAUTY</v>
      </c>
      <c r="D359" s="24" t="s">
        <v>427</v>
      </c>
      <c r="E359" s="70" t="str">
        <f>INDEX([1]Produtos!$C:$C,MATCH($D359,[1]Produtos!$B:$B,0))&amp;IF($F359&lt;&gt;"-"," - "&amp;LEFT($F359,1),"")&amp;" &gt; "&amp;$B359</f>
        <v>OLEO CAPILAR CAMIE BEAUTY 60mL &gt; CAMIE 04/03</v>
      </c>
      <c r="F359" s="51" t="s">
        <v>38</v>
      </c>
      <c r="G359" s="38">
        <v>46085</v>
      </c>
      <c r="H359" s="39">
        <v>3000</v>
      </c>
      <c r="I359" s="24" t="s">
        <v>39</v>
      </c>
      <c r="J359" s="68" t="str" cm="1">
        <f t="array" ref="J359">IFERROR(INDEX('[2]Previsão Envase'!$D$5:$D$4867, MATCH(1,('[2]Previsão Envase'!$F$5:$F$4867=$E359)+('[2]Previsão Envase'!$G$5:$G$4867=$E359)+('[2]Previsão Envase'!$H$5:$H$4867=$E359),0)),"")</f>
        <v/>
      </c>
      <c r="K359" s="68" t="str">
        <f>IF(COUNTIF('[2]Previsão Envase'!$F:$F,E359)&gt;0,"Linha 1",
IF(COUNTIF('[2]Previsão Envase'!$G:$G,E359)&gt;0,"Linha 2",
IF(COUNTIF('[2]Previsão Envase'!$H:$H,E359)&gt;0,"Linha 3","")))</f>
        <v/>
      </c>
      <c r="L359" s="96">
        <f>COUNTIF('[2]Previsão Envase'!$F:$H,E359)-COUNTIF('[2]Previsão Envase'!$F$1:$H$4,E359)</f>
        <v>0</v>
      </c>
      <c r="M359" s="35">
        <f t="shared" si="52"/>
        <v>0</v>
      </c>
      <c r="N359" s="68" t="str">
        <f>IFERROR(MAX(_xlfn.MAXIFS('[2]Controle de Produção'!$C:$C,'[2]Controle de Produção'!$L:$L,$D359,'[2]Controle de Produção'!$P:$P,$C359,'[2]Controle de Produção'!$G:$G,$B359),_xlfn.MAXIFS([3]EXPEDIÇÃO!$N:$N,[3]EXPEDIÇÃO!$E:$E,$D359,[3]EXPEDIÇÃO!$D:$D,$C359,[3]EXPEDIÇÃO!$N:$N,"&gt;="&amp;$G359)),"")</f>
        <v/>
      </c>
      <c r="O359" s="70">
        <f>INDEX([1]Produtos!$E:$E,MATCH($D359,[1]Produtos!$B:$B,0))</f>
        <v>60</v>
      </c>
      <c r="P359" s="70" t="str">
        <f>INDEX([1]Produtos!$F:$F,MATCH($D359,[1]Produtos!$B:$B,0))</f>
        <v>ml</v>
      </c>
      <c r="Q359" s="105">
        <f>INDEX([1]Produtos!$Y:$Y,MATCH($D359,[1]Produtos!$B:$B,0))</f>
        <v>0</v>
      </c>
      <c r="R359" s="35">
        <f t="shared" si="53"/>
        <v>5487.9999998580251</v>
      </c>
      <c r="S359" s="27">
        <f>IFERROR(INDEX([1]Produtos!$L:$L,MATCH(D359,[1]Produtos!$B:$B,0)), "")</f>
        <v>609.77777776200276</v>
      </c>
      <c r="T359" s="28">
        <f t="shared" si="54"/>
        <v>5</v>
      </c>
      <c r="U359" s="28" t="str">
        <f t="shared" si="55"/>
        <v>0D e 5h</v>
      </c>
      <c r="V359" s="27">
        <f>IFERROR(SUMIFS('[2]Controle de Produção'!$K:$K,'[2]Controle de Produção'!$L:$L,D359,'[2]Controle de Produção'!$P:$P,C359,'[2]Controle de Produção'!$B:$B,"&gt;=" &amp; G359,'[2]Controle de Produção'!$C:$C,"&lt;=" &amp; N359, '[2]Controle de Produção'!$G:$G,B359), "")</f>
        <v>0</v>
      </c>
      <c r="W359" s="27" t="str">
        <f>IFERROR(SUMIFS([3]EXPEDIÇÃO!$K:$K,[3]EXPEDIÇÃO!$E:$E,D359,[3]EXPEDIÇÃO!$D:$D,C359,[3]EXPEDIÇÃO!$N:$N,"&gt;=" &amp; G359,[3]EXPEDIÇÃO!$N:$N,"&lt;="&amp;N359), "")</f>
        <v/>
      </c>
      <c r="X359" s="27">
        <f>COUNTIFS('[2]Controle de Produção'!$P:$P,C359,'[2]Controle de Produção'!$L:$L,D359,'[2]Controle de Produção'!$B:$B,"&gt;=" &amp; G359)</f>
        <v>1</v>
      </c>
      <c r="Y359" s="27">
        <f t="shared" si="56"/>
        <v>0</v>
      </c>
      <c r="Z359" s="27">
        <f>IFERROR(COUNTIFS('[2]Controle de Produção'!$L:$L,D359,'[2]Controle de Produção'!$P:$P,C359,'[2]Controle de Produção'!$B:$B,"&gt;=" &amp; G359,'[2]Controle de Produção'!$C:$C,"&lt;=" &amp; N359, '[2]Controle de Produção'!$G:$G,B359), "")</f>
        <v>0</v>
      </c>
      <c r="AA359" s="108" t="str">
        <f t="shared" si="57"/>
        <v/>
      </c>
      <c r="AB359" s="41" t="s">
        <v>60</v>
      </c>
      <c r="AC359" s="42" t="b">
        <v>1</v>
      </c>
      <c r="AD359" s="42" t="b">
        <v>1</v>
      </c>
      <c r="AE359" s="42" t="b">
        <v>1</v>
      </c>
      <c r="AF359" s="42" t="b">
        <v>1</v>
      </c>
      <c r="AG359" s="42" t="s">
        <v>38</v>
      </c>
      <c r="AH359" s="42" t="s">
        <v>38</v>
      </c>
      <c r="AI359" s="67">
        <v>46104</v>
      </c>
      <c r="AJ359" s="42" t="s">
        <v>38</v>
      </c>
      <c r="AK359" s="42" t="s">
        <v>38</v>
      </c>
      <c r="AL359" s="42" t="b">
        <v>0</v>
      </c>
      <c r="AM359" s="42" t="b">
        <v>1</v>
      </c>
      <c r="AN359" s="42" t="b">
        <v>1</v>
      </c>
      <c r="AO359" s="45" t="b" cm="1">
        <f t="array" ref="AO359">AND(COUNTIF(AC359:AN359,FALSE)=0,SUMPRODUCT(ISNUMBER(AC359:AN359)*1)=0)</f>
        <v>0</v>
      </c>
      <c r="AP359" s="59"/>
      <c r="AQ359" s="111">
        <f>IF(AB359="",99999999999,IFERROR(MATCH(AB359,{"Produção Parcial","Em Produção","Programado","Não Iniciado","Desenvolv.","Concluído"},0),7)*100000000+IF(ISNUMBER(J359),J359-46000,9999)*10000+IF(A359="",99,A359)*100+IF(C359="",99,CODE(LEFT(C359,1))))</f>
        <v>699990167</v>
      </c>
    </row>
    <row r="360" spans="1:43" s="36" customFormat="1" ht="25.15" hidden="1" customHeight="1" x14ac:dyDescent="0.25">
      <c r="A360" s="36">
        <v>1</v>
      </c>
      <c r="B360" s="38" t="s">
        <v>250</v>
      </c>
      <c r="C360" s="24" t="str">
        <f>INDEX([1]Produtos!$G:$G,MATCH($D360,[1]Produtos!$B:$B,0))</f>
        <v>CURADERM</v>
      </c>
      <c r="D360" s="24" t="s">
        <v>251</v>
      </c>
      <c r="E360" s="70" t="str">
        <f>INDEX([1]Produtos!$C:$C,MATCH($D360,[1]Produtos!$B:$B,0))&amp;IF($F360&lt;&gt;"-"," - "&amp;LEFT($F360,1),"")&amp;" &gt; "&amp;$B360</f>
        <v>POMADA CURADERM &gt; Curaderm</v>
      </c>
      <c r="F360" s="51" t="s">
        <v>38</v>
      </c>
      <c r="G360" s="38">
        <v>45778</v>
      </c>
      <c r="H360" s="39">
        <v>2500</v>
      </c>
      <c r="I360" s="24" t="s">
        <v>42</v>
      </c>
      <c r="J360" s="68" t="str" cm="1">
        <f t="array" ref="J360">IFERROR(INDEX('[2]Previsão Envase'!$D$5:$D$4867, MATCH(1,('[2]Previsão Envase'!$F$5:$F$4867=$E360)+('[2]Previsão Envase'!$G$5:$G$4867=$E360)+('[2]Previsão Envase'!$H$5:$H$4867=$E360),0)),"")</f>
        <v/>
      </c>
      <c r="K360" s="68" t="str">
        <f>IF(COUNTIF('[2]Previsão Envase'!$F:$F,E360)&gt;0,"Linha 1",
IF(COUNTIF('[2]Previsão Envase'!$G:$G,E360)&gt;0,"Linha 2",
IF(COUNTIF('[2]Previsão Envase'!$H:$H,E360)&gt;0,"Linha 3","")))</f>
        <v/>
      </c>
      <c r="L360" s="96">
        <f>COUNTIF('[2]Previsão Envase'!$F:$H,E360)-COUNTIF('[2]Previsão Envase'!$F$1:$H$4,E360)</f>
        <v>0</v>
      </c>
      <c r="M360" s="35">
        <f t="shared" si="52"/>
        <v>0</v>
      </c>
      <c r="N360" s="68" t="str">
        <f>IFERROR(MAX(_xlfn.MAXIFS('[2]Controle de Produção'!$C:$C,'[2]Controle de Produção'!$L:$L,$D360,'[2]Controle de Produção'!$P:$P,$C360,'[2]Controle de Produção'!$G:$G,$B360),_xlfn.MAXIFS([3]EXPEDIÇÃO!$N:$N,[3]EXPEDIÇÃO!$E:$E,$D360,[3]EXPEDIÇÃO!$D:$D,$C360,[3]EXPEDIÇÃO!$N:$N,"&gt;="&amp;$G360)),"")</f>
        <v/>
      </c>
      <c r="O360" s="70">
        <f>INDEX([1]Produtos!$E:$E,MATCH($D360,[1]Produtos!$B:$B,0))</f>
        <v>30</v>
      </c>
      <c r="P360" s="70" t="str">
        <f>INDEX([1]Produtos!$F:$F,MATCH($D360,[1]Produtos!$B:$B,0))</f>
        <v>ml</v>
      </c>
      <c r="Q360" s="105">
        <f>INDEX([1]Produtos!$Y:$Y,MATCH($D360,[1]Produtos!$B:$B,0))</f>
        <v>0</v>
      </c>
      <c r="R360" s="35">
        <f t="shared" si="53"/>
        <v>6657.0000001291628</v>
      </c>
      <c r="S360" s="27">
        <f>IFERROR(INDEX([1]Produtos!$L:$L,MATCH(D360,[1]Produtos!$B:$B,0)), "")</f>
        <v>739.66666668101811</v>
      </c>
      <c r="T360" s="28">
        <f t="shared" si="54"/>
        <v>3.4</v>
      </c>
      <c r="U360" s="28" t="str">
        <f t="shared" si="55"/>
        <v>0D e 4h</v>
      </c>
      <c r="V360" s="27">
        <f>IFERROR(SUMIFS('[2]Controle de Produção'!$K:$K,'[2]Controle de Produção'!$L:$L,D360,'[2]Controle de Produção'!$P:$P,C360,'[2]Controle de Produção'!$B:$B,"&gt;=" &amp; G360,'[2]Controle de Produção'!$C:$C,"&lt;=" &amp; N360, '[2]Controle de Produção'!$G:$G,B360), "")</f>
        <v>0</v>
      </c>
      <c r="W360" s="27" t="str">
        <f>IFERROR(SUMIFS([3]EXPEDIÇÃO!$K:$K,[3]EXPEDIÇÃO!$E:$E,D360,[3]EXPEDIÇÃO!$D:$D,C360,[3]EXPEDIÇÃO!$N:$N,"&gt;=" &amp; G360,[3]EXPEDIÇÃO!$N:$N,"&lt;="&amp;N360), "")</f>
        <v/>
      </c>
      <c r="X360" s="27">
        <f>COUNTIFS('[2]Controle de Produção'!$P:$P,C360,'[2]Controle de Produção'!$L:$L,D360,'[2]Controle de Produção'!$B:$B,"&gt;=" &amp; G360)</f>
        <v>1</v>
      </c>
      <c r="Y360" s="27">
        <f t="shared" si="56"/>
        <v>0</v>
      </c>
      <c r="Z360" s="27">
        <f>IFERROR(COUNTIFS('[2]Controle de Produção'!$L:$L,D360,'[2]Controle de Produção'!$P:$P,C360,'[2]Controle de Produção'!$B:$B,"&gt;=" &amp; G360,'[2]Controle de Produção'!$C:$C,"&lt;=" &amp; N360, '[2]Controle de Produção'!$G:$G,B360), "")</f>
        <v>0</v>
      </c>
      <c r="AA360" s="108" t="str">
        <f t="shared" si="57"/>
        <v/>
      </c>
      <c r="AB360" s="41" t="s">
        <v>60</v>
      </c>
      <c r="AC360" s="42" t="b">
        <v>1</v>
      </c>
      <c r="AD360" s="42" t="b">
        <v>1</v>
      </c>
      <c r="AE360" s="42" t="b">
        <v>1</v>
      </c>
      <c r="AF360" s="42" t="b">
        <v>1</v>
      </c>
      <c r="AG360" s="42" t="b">
        <v>1</v>
      </c>
      <c r="AH360" s="42" t="b">
        <v>1</v>
      </c>
      <c r="AI360" s="42" t="b">
        <v>1</v>
      </c>
      <c r="AJ360" s="42" t="b">
        <v>1</v>
      </c>
      <c r="AK360" s="42" t="b">
        <v>0</v>
      </c>
      <c r="AL360" s="42" t="b">
        <v>1</v>
      </c>
      <c r="AM360" s="42" t="b">
        <v>1</v>
      </c>
      <c r="AN360" s="91" t="b">
        <v>1</v>
      </c>
      <c r="AO360" s="45" t="b" cm="1">
        <f t="array" ref="AO360">AND(COUNTIF(AC360:AN360,FALSE)=0,SUMPRODUCT(ISNUMBER(AC360:AN360)*1)=0)</f>
        <v>0</v>
      </c>
      <c r="AP360" s="59"/>
      <c r="AQ360" s="111">
        <f>IF(AB360="",99999999999,IFERROR(MATCH(AB360,{"Produção Parcial","Em Produção","Programado","Não Iniciado","Desenvolv.","Concluído"},0),7)*100000000+IF(ISNUMBER(J360),J360-46000,9999)*10000+IF(A360="",99,A360)*100+IF(C360="",99,CODE(LEFT(C360,1))))</f>
        <v>699990167</v>
      </c>
    </row>
    <row r="361" spans="1:43" s="36" customFormat="1" ht="25.15" hidden="1" customHeight="1" x14ac:dyDescent="0.25">
      <c r="A361" s="36">
        <v>1</v>
      </c>
      <c r="B361" s="38" t="s">
        <v>227</v>
      </c>
      <c r="C361" s="70" t="str">
        <f>INDEX([1]Produtos!$G:$G,MATCH($D361,[1]Produtos!$B:$B,0))</f>
        <v>DAPOP</v>
      </c>
      <c r="D361" s="24" t="s">
        <v>234</v>
      </c>
      <c r="E361" s="70" t="str">
        <f>INDEX([1]Produtos!$C:$C,MATCH($D361,[1]Produtos!$B:$B,0))&amp;IF($F361&lt;&gt;"-"," - "&amp;LEFT($F361,1),"")&amp;" &gt; "&amp;$B361</f>
        <v>ESFOLIANTE MATTE DOCE SEDUÇÃO - 1 &gt; DAPOP - Pedido 360 mil</v>
      </c>
      <c r="F361" s="51">
        <v>1</v>
      </c>
      <c r="G361" s="38">
        <v>45828</v>
      </c>
      <c r="H361" s="39">
        <v>7000</v>
      </c>
      <c r="I361" s="24" t="s">
        <v>39</v>
      </c>
      <c r="J361" s="68" t="str" cm="1">
        <f t="array" ref="J361">IFERROR(INDEX('[2]Previsão Envase'!$D$5:$D$4867, MATCH(1,('[2]Previsão Envase'!$F$5:$F$4867=$E361)+('[2]Previsão Envase'!$G$5:$G$4867=$E361)+('[2]Previsão Envase'!$H$5:$H$4867=$E361),0)),"")</f>
        <v/>
      </c>
      <c r="K361" s="68" t="str">
        <f>IF(COUNTIF('[2]Previsão Envase'!$F:$F,E361)&gt;0,"Linha 1",
IF(COUNTIF('[2]Previsão Envase'!$G:$G,E361)&gt;0,"Linha 2",
IF(COUNTIF('[2]Previsão Envase'!$H:$H,E361)&gt;0,"Linha 3","")))</f>
        <v/>
      </c>
      <c r="L361" s="96">
        <f>COUNTIF('[2]Previsão Envase'!$F:$H,E361)-COUNTIF('[2]Previsão Envase'!$F$1:$H$4,E361)</f>
        <v>0</v>
      </c>
      <c r="M361" s="35">
        <f t="shared" si="52"/>
        <v>0</v>
      </c>
      <c r="N361" s="68" t="str">
        <f>IFERROR(MAX(_xlfn.MAXIFS('[2]Controle de Produção'!$C:$C,'[2]Controle de Produção'!$L:$L,$D361,'[2]Controle de Produção'!$P:$P,$C361,'[2]Controle de Produção'!$G:$G,$B361),_xlfn.MAXIFS([3]EXPEDIÇÃO!$N:$N,[3]EXPEDIÇÃO!$E:$E,$D361,[3]EXPEDIÇÃO!$D:$D,$C361,[3]EXPEDIÇÃO!$N:$N,"&gt;="&amp;$G361)),"")</f>
        <v/>
      </c>
      <c r="O361" s="70">
        <f>INDEX([1]Produtos!$E:$E,MATCH($D361,[1]Produtos!$B:$B,0))</f>
        <v>150</v>
      </c>
      <c r="P361" s="70" t="str">
        <f>INDEX([1]Produtos!$F:$F,MATCH($D361,[1]Produtos!$B:$B,0))</f>
        <v>g</v>
      </c>
      <c r="Q361" s="105">
        <f>INDEX([1]Produtos!$Y:$Y,MATCH($D361,[1]Produtos!$B:$B,0))</f>
        <v>0</v>
      </c>
      <c r="R361" s="35">
        <f t="shared" si="53"/>
        <v>6490.0564190605701</v>
      </c>
      <c r="S361" s="27">
        <f>IFERROR(INDEX([1]Produtos!$L:$L,MATCH(D361,[1]Produtos!$B:$B,0)), "")</f>
        <v>721.11737989561891</v>
      </c>
      <c r="T361" s="28">
        <f t="shared" si="54"/>
        <v>9.7999999999999989</v>
      </c>
      <c r="U361" s="28" t="str">
        <f t="shared" si="55"/>
        <v>1D e 1h</v>
      </c>
      <c r="V361" s="27">
        <f>IFERROR(SUMIFS('[2]Controle de Produção'!$K:$K,'[2]Controle de Produção'!$L:$L,D361,'[2]Controle de Produção'!$P:$P,C361,'[2]Controle de Produção'!$B:$B,"&gt;=" &amp; G361,'[2]Controle de Produção'!$C:$C,"&lt;=" &amp; N361, '[2]Controle de Produção'!$G:$G,B361), "")</f>
        <v>0</v>
      </c>
      <c r="W361" s="27" t="str">
        <f>IFERROR(SUMIFS([3]EXPEDIÇÃO!$K:$K,[3]EXPEDIÇÃO!$E:$E,D361,[3]EXPEDIÇÃO!$D:$D,C361,[3]EXPEDIÇÃO!$N:$N,"&gt;=" &amp; G361,[3]EXPEDIÇÃO!$N:$N,"&lt;="&amp;N361), "")</f>
        <v/>
      </c>
      <c r="X361" s="27">
        <f>COUNTIFS('[2]Controle de Produção'!$P:$P,C361,'[2]Controle de Produção'!$L:$L,D361,'[2]Controle de Produção'!$B:$B,"&gt;=" &amp; G361)</f>
        <v>2</v>
      </c>
      <c r="Y361" s="27">
        <f t="shared" si="56"/>
        <v>0</v>
      </c>
      <c r="Z361" s="27">
        <f>IFERROR(COUNTIFS('[2]Controle de Produção'!$L:$L,D361,'[2]Controle de Produção'!$P:$P,C361,'[2]Controle de Produção'!$B:$B,"&gt;=" &amp; G361,'[2]Controle de Produção'!$C:$C,"&lt;=" &amp; N361, '[2]Controle de Produção'!$G:$G,B361), "")</f>
        <v>0</v>
      </c>
      <c r="AA361" s="108" t="str">
        <f t="shared" si="57"/>
        <v/>
      </c>
      <c r="AB361" s="41" t="s">
        <v>60</v>
      </c>
      <c r="AC361" s="42" t="b">
        <v>1</v>
      </c>
      <c r="AD361" s="42" t="b">
        <v>1</v>
      </c>
      <c r="AE361" s="42" t="b">
        <v>1</v>
      </c>
      <c r="AF361" s="42" t="b">
        <v>1</v>
      </c>
      <c r="AG361" s="42" t="b">
        <v>1</v>
      </c>
      <c r="AH361" s="42" t="s">
        <v>38</v>
      </c>
      <c r="AI361" s="42" t="s">
        <v>38</v>
      </c>
      <c r="AJ361" s="42" t="b">
        <v>1</v>
      </c>
      <c r="AK361" s="42" t="b">
        <v>0</v>
      </c>
      <c r="AL361" s="42" t="b">
        <v>1</v>
      </c>
      <c r="AM361" s="42" t="b">
        <v>1</v>
      </c>
      <c r="AN361" s="42" t="b">
        <v>1</v>
      </c>
      <c r="AO361" s="45" t="b" cm="1">
        <f t="array" ref="AO361">AND(COUNTIF(AC361:AN361,FALSE)=0,SUMPRODUCT(ISNUMBER(AC361:AN361)*1)=0)</f>
        <v>0</v>
      </c>
      <c r="AP361" s="59"/>
      <c r="AQ361" s="111">
        <f>IF(AB361="",99999999999,IFERROR(MATCH(AB361,{"Produção Parcial","Em Produção","Programado","Não Iniciado","Desenvolv.","Concluído"},0),7)*100000000+IF(ISNUMBER(J361),J361-46000,9999)*10000+IF(A361="",99,A361)*100+IF(C361="",99,CODE(LEFT(C361,1))))</f>
        <v>699990168</v>
      </c>
    </row>
    <row r="362" spans="1:43" s="36" customFormat="1" ht="25.15" hidden="1" customHeight="1" x14ac:dyDescent="0.25">
      <c r="A362" s="36">
        <v>1</v>
      </c>
      <c r="B362" s="38" t="s">
        <v>227</v>
      </c>
      <c r="C362" s="70" t="str">
        <f>INDEX([1]Produtos!$G:$G,MATCH($D362,[1]Produtos!$B:$B,0))</f>
        <v>DAPOP</v>
      </c>
      <c r="D362" s="24" t="s">
        <v>232</v>
      </c>
      <c r="E362" s="70" t="str">
        <f>INDEX([1]Produtos!$C:$C,MATCH($D362,[1]Produtos!$B:$B,0))&amp;IF($F362&lt;&gt;"-"," - "&amp;LEFT($F362,1),"")&amp;" &gt; "&amp;$B362</f>
        <v>ESFOLIANTE MATTE OITAVA MARAVILHA - 1 &gt; DAPOP - Pedido 360 mil</v>
      </c>
      <c r="F362" s="51">
        <v>1</v>
      </c>
      <c r="G362" s="38">
        <v>45828</v>
      </c>
      <c r="H362" s="39">
        <v>7000</v>
      </c>
      <c r="I362" s="24" t="s">
        <v>39</v>
      </c>
      <c r="J362" s="68" t="str" cm="1">
        <f t="array" ref="J362">IFERROR(INDEX('[2]Previsão Envase'!$D$5:$D$4867, MATCH(1,('[2]Previsão Envase'!$F$5:$F$4867=$E362)+('[2]Previsão Envase'!$G$5:$G$4867=$E362)+('[2]Previsão Envase'!$H$5:$H$4867=$E362),0)),"")</f>
        <v/>
      </c>
      <c r="K362" s="68" t="str">
        <f>IF(COUNTIF('[2]Previsão Envase'!$F:$F,E362)&gt;0,"Linha 1",
IF(COUNTIF('[2]Previsão Envase'!$G:$G,E362)&gt;0,"Linha 2",
IF(COUNTIF('[2]Previsão Envase'!$H:$H,E362)&gt;0,"Linha 3","")))</f>
        <v/>
      </c>
      <c r="L362" s="96">
        <f>COUNTIF('[2]Previsão Envase'!$F:$H,E362)-COUNTIF('[2]Previsão Envase'!$F$1:$H$4,E362)</f>
        <v>0</v>
      </c>
      <c r="M362" s="35">
        <f t="shared" si="52"/>
        <v>0</v>
      </c>
      <c r="N362" s="68" t="str">
        <f>IFERROR(MAX(_xlfn.MAXIFS('[2]Controle de Produção'!$C:$C,'[2]Controle de Produção'!$L:$L,$D362,'[2]Controle de Produção'!$P:$P,$C362,'[2]Controle de Produção'!$G:$G,$B362),_xlfn.MAXIFS([3]EXPEDIÇÃO!$N:$N,[3]EXPEDIÇÃO!$E:$E,$D362,[3]EXPEDIÇÃO!$D:$D,$C362,[3]EXPEDIÇÃO!$N:$N,"&gt;="&amp;$G362)),"")</f>
        <v/>
      </c>
      <c r="O362" s="70">
        <f>INDEX([1]Produtos!$E:$E,MATCH($D362,[1]Produtos!$B:$B,0))</f>
        <v>150</v>
      </c>
      <c r="P362" s="70" t="str">
        <f>INDEX([1]Produtos!$F:$F,MATCH($D362,[1]Produtos!$B:$B,0))</f>
        <v>g</v>
      </c>
      <c r="Q362" s="105">
        <f>INDEX([1]Produtos!$Y:$Y,MATCH($D362,[1]Produtos!$B:$B,0))</f>
        <v>0</v>
      </c>
      <c r="R362" s="35">
        <f t="shared" si="53"/>
        <v>6490.0564190605701</v>
      </c>
      <c r="S362" s="27">
        <f>IFERROR(INDEX([1]Produtos!$L:$L,MATCH(D362,[1]Produtos!$B:$B,0)), "")</f>
        <v>721.11737989561891</v>
      </c>
      <c r="T362" s="28">
        <f t="shared" si="54"/>
        <v>9.7999999999999989</v>
      </c>
      <c r="U362" s="28" t="str">
        <f t="shared" si="55"/>
        <v>1D e 1h</v>
      </c>
      <c r="V362" s="27">
        <f>IFERROR(SUMIFS('[2]Controle de Produção'!$K:$K,'[2]Controle de Produção'!$L:$L,D362,'[2]Controle de Produção'!$P:$P,C362,'[2]Controle de Produção'!$B:$B,"&gt;=" &amp; G362,'[2]Controle de Produção'!$C:$C,"&lt;=" &amp; N362, '[2]Controle de Produção'!$G:$G,B362), "")</f>
        <v>0</v>
      </c>
      <c r="W362" s="27" t="str">
        <f>IFERROR(SUMIFS([3]EXPEDIÇÃO!$K:$K,[3]EXPEDIÇÃO!$E:$E,D362,[3]EXPEDIÇÃO!$D:$D,C362,[3]EXPEDIÇÃO!$N:$N,"&gt;=" &amp; G362,[3]EXPEDIÇÃO!$N:$N,"&lt;="&amp;N362), "")</f>
        <v/>
      </c>
      <c r="X362" s="27">
        <f>COUNTIFS('[2]Controle de Produção'!$P:$P,C362,'[2]Controle de Produção'!$L:$L,D362,'[2]Controle de Produção'!$B:$B,"&gt;=" &amp; G362)</f>
        <v>2</v>
      </c>
      <c r="Y362" s="27">
        <f t="shared" si="56"/>
        <v>0</v>
      </c>
      <c r="Z362" s="27">
        <f>IFERROR(COUNTIFS('[2]Controle de Produção'!$L:$L,D362,'[2]Controle de Produção'!$P:$P,C362,'[2]Controle de Produção'!$B:$B,"&gt;=" &amp; G362,'[2]Controle de Produção'!$C:$C,"&lt;=" &amp; N362, '[2]Controle de Produção'!$G:$G,B362), "")</f>
        <v>0</v>
      </c>
      <c r="AA362" s="108" t="str">
        <f t="shared" si="57"/>
        <v/>
      </c>
      <c r="AB362" s="41" t="s">
        <v>60</v>
      </c>
      <c r="AC362" s="42" t="b">
        <v>1</v>
      </c>
      <c r="AD362" s="42" t="b">
        <v>1</v>
      </c>
      <c r="AE362" s="42" t="b">
        <v>0</v>
      </c>
      <c r="AF362" s="42" t="b">
        <v>1</v>
      </c>
      <c r="AG362" s="42" t="b">
        <v>1</v>
      </c>
      <c r="AH362" s="42" t="s">
        <v>38</v>
      </c>
      <c r="AI362" s="42" t="s">
        <v>38</v>
      </c>
      <c r="AJ362" s="42" t="b">
        <v>1</v>
      </c>
      <c r="AK362" s="42" t="b">
        <v>0</v>
      </c>
      <c r="AL362" s="42" t="b">
        <v>1</v>
      </c>
      <c r="AM362" s="42" t="b">
        <v>1</v>
      </c>
      <c r="AN362" s="42" t="b">
        <v>1</v>
      </c>
      <c r="AO362" s="45" t="b" cm="1">
        <f t="array" ref="AO362">AND(COUNTIF(AC362:AN362,FALSE)=0,SUMPRODUCT(ISNUMBER(AC362:AN362)*1)=0)</f>
        <v>0</v>
      </c>
      <c r="AP362" s="59"/>
      <c r="AQ362" s="111">
        <f>IF(AB362="",99999999999,IFERROR(MATCH(AB362,{"Produção Parcial","Em Produção","Programado","Não Iniciado","Desenvolv.","Concluído"},0),7)*100000000+IF(ISNUMBER(J362),J362-46000,9999)*10000+IF(A362="",99,A362)*100+IF(C362="",99,CODE(LEFT(C362,1))))</f>
        <v>699990168</v>
      </c>
    </row>
    <row r="363" spans="1:43" s="36" customFormat="1" ht="25.15" hidden="1" customHeight="1" x14ac:dyDescent="0.25">
      <c r="A363" s="36">
        <v>1</v>
      </c>
      <c r="B363" s="38" t="s">
        <v>151</v>
      </c>
      <c r="C363" s="70" t="str">
        <f>INDEX([1]Produtos!$G:$G,MATCH($D363,[1]Produtos!$B:$B,0))</f>
        <v>DYNASTY</v>
      </c>
      <c r="D363" s="24" t="s">
        <v>226</v>
      </c>
      <c r="E363" s="70" t="str">
        <f>INDEX([1]Produtos!$C:$C,MATCH($D363,[1]Produtos!$B:$B,0))&amp;IF($F363&lt;&gt;"-"," - "&amp;LEFT($F363,1),"")&amp;" &gt; "&amp;$B363</f>
        <v>PERFUME DALINA &gt; SMAYKEL 01</v>
      </c>
      <c r="F363" s="51" t="s">
        <v>38</v>
      </c>
      <c r="G363" s="38">
        <v>45931</v>
      </c>
      <c r="H363" s="39">
        <v>1500</v>
      </c>
      <c r="I363" s="24" t="s">
        <v>39</v>
      </c>
      <c r="J363" s="68" t="str" cm="1">
        <f t="array" ref="J363">IFERROR(INDEX('[2]Previsão Envase'!$D$5:$D$4867, MATCH(1,('[2]Previsão Envase'!$F$5:$F$4867=$E363)+('[2]Previsão Envase'!$G$5:$G$4867=$E363)+('[2]Previsão Envase'!$H$5:$H$4867=$E363),0)),"")</f>
        <v/>
      </c>
      <c r="K363" s="68" t="str">
        <f>IF(COUNTIF('[2]Previsão Envase'!$F:$F,E363)&gt;0,"Linha 1",
IF(COUNTIF('[2]Previsão Envase'!$G:$G,E363)&gt;0,"Linha 2",
IF(COUNTIF('[2]Previsão Envase'!$H:$H,E363)&gt;0,"Linha 3","")))</f>
        <v/>
      </c>
      <c r="L363" s="96">
        <f>COUNTIF('[2]Previsão Envase'!$F:$H,E363)-COUNTIF('[2]Previsão Envase'!$F$1:$H$4,E363)</f>
        <v>0</v>
      </c>
      <c r="M363" s="35">
        <f t="shared" si="52"/>
        <v>0</v>
      </c>
      <c r="N363" s="68" t="str">
        <f>IFERROR(MAX(_xlfn.MAXIFS('[2]Controle de Produção'!$C:$C,'[2]Controle de Produção'!$L:$L,$D363,'[2]Controle de Produção'!$P:$P,$C363,'[2]Controle de Produção'!$G:$G,$B363),_xlfn.MAXIFS([3]EXPEDIÇÃO!$N:$N,[3]EXPEDIÇÃO!$E:$E,$D363,[3]EXPEDIÇÃO!$D:$D,$C363,[3]EXPEDIÇÃO!$N:$N,"&gt;="&amp;$G363)),"")</f>
        <v/>
      </c>
      <c r="O363" s="70">
        <f>INDEX([1]Produtos!$E:$E,MATCH($D363,[1]Produtos!$B:$B,0))</f>
        <v>57</v>
      </c>
      <c r="P363" s="70" t="str">
        <f>INDEX([1]Produtos!$F:$F,MATCH($D363,[1]Produtos!$B:$B,0))</f>
        <v>ml</v>
      </c>
      <c r="Q363" s="105">
        <f>INDEX([1]Produtos!$Y:$Y,MATCH($D363,[1]Produtos!$B:$B,0))</f>
        <v>0</v>
      </c>
      <c r="R363" s="35">
        <f t="shared" si="53"/>
        <v>1577.3766463727152</v>
      </c>
      <c r="S363" s="27">
        <f>IFERROR(INDEX([1]Produtos!$L:$L,MATCH(D363,[1]Produtos!$B:$B,0)), "")</f>
        <v>175.26407181919058</v>
      </c>
      <c r="T363" s="28">
        <f t="shared" si="54"/>
        <v>8.6</v>
      </c>
      <c r="U363" s="28" t="str">
        <f t="shared" si="55"/>
        <v>0D e 9h</v>
      </c>
      <c r="V363" s="27">
        <f>IFERROR(SUMIFS('[2]Controle de Produção'!$K:$K,'[2]Controle de Produção'!$L:$L,D363,'[2]Controle de Produção'!$P:$P,C363,'[2]Controle de Produção'!$B:$B,"&gt;=" &amp; G363,'[2]Controle de Produção'!$C:$C,"&lt;=" &amp; N363, '[2]Controle de Produção'!$G:$G,B363), "")</f>
        <v>0</v>
      </c>
      <c r="W363" s="27" t="str">
        <f>IFERROR(SUMIFS([3]EXPEDIÇÃO!$K:$K,[3]EXPEDIÇÃO!$E:$E,D363,[3]EXPEDIÇÃO!$D:$D,C363,[3]EXPEDIÇÃO!$N:$N,"&gt;=" &amp; G363,[3]EXPEDIÇÃO!$N:$N,"&lt;="&amp;N363), "")</f>
        <v/>
      </c>
      <c r="X363" s="27">
        <f>COUNTIFS('[2]Controle de Produção'!$P:$P,C363,'[2]Controle de Produção'!$L:$L,D363,'[2]Controle de Produção'!$B:$B,"&gt;=" &amp; G363)</f>
        <v>1</v>
      </c>
      <c r="Y363" s="27">
        <f t="shared" si="56"/>
        <v>0</v>
      </c>
      <c r="Z363" s="27">
        <f>IFERROR(COUNTIFS('[2]Controle de Produção'!$L:$L,D363,'[2]Controle de Produção'!$P:$P,C363,'[2]Controle de Produção'!$B:$B,"&gt;=" &amp; G363,'[2]Controle de Produção'!$C:$C,"&lt;=" &amp; N363, '[2]Controle de Produção'!$G:$G,B363), "")</f>
        <v>0</v>
      </c>
      <c r="AA363" s="108" t="str">
        <f t="shared" si="57"/>
        <v/>
      </c>
      <c r="AB363" s="41" t="s">
        <v>60</v>
      </c>
      <c r="AC363" s="42" t="b">
        <v>1</v>
      </c>
      <c r="AD363" s="42" t="b">
        <v>1</v>
      </c>
      <c r="AE363" s="42" t="b">
        <v>1</v>
      </c>
      <c r="AF363" s="42" t="b">
        <v>1</v>
      </c>
      <c r="AG363" s="42" t="b">
        <v>1</v>
      </c>
      <c r="AH363" s="42" t="b">
        <v>1</v>
      </c>
      <c r="AI363" s="42" t="b">
        <v>1</v>
      </c>
      <c r="AJ363" s="42" t="b">
        <v>1</v>
      </c>
      <c r="AK363" s="42" t="b">
        <v>0</v>
      </c>
      <c r="AL363" s="42" t="b">
        <v>1</v>
      </c>
      <c r="AM363" s="42" t="b">
        <v>1</v>
      </c>
      <c r="AN363" s="42" t="b">
        <v>1</v>
      </c>
      <c r="AO363" s="45" t="b" cm="1">
        <f t="array" ref="AO363">AND(COUNTIF(AC363:AN363,FALSE)=0,SUMPRODUCT(ISNUMBER(AC363:AN363)*1)=0)</f>
        <v>0</v>
      </c>
      <c r="AP363" s="59"/>
      <c r="AQ363" s="111">
        <f>IF(AB363="",99999999999,IFERROR(MATCH(AB363,{"Produção Parcial","Em Produção","Programado","Não Iniciado","Desenvolv.","Concluído"},0),7)*100000000+IF(ISNUMBER(J363),J363-46000,9999)*10000+IF(A363="",99,A363)*100+IF(C363="",99,CODE(LEFT(C363,1))))</f>
        <v>699990168</v>
      </c>
    </row>
    <row r="364" spans="1:43" s="36" customFormat="1" ht="25.15" hidden="1" customHeight="1" x14ac:dyDescent="0.25">
      <c r="A364" s="36">
        <v>2</v>
      </c>
      <c r="B364" s="38" t="s">
        <v>47</v>
      </c>
      <c r="C364" s="70" t="str">
        <f>INDEX([1]Produtos!$G:$G,MATCH($D364,[1]Produtos!$B:$B,0))</f>
        <v>KURYOS</v>
      </c>
      <c r="D364" s="24" t="s">
        <v>61</v>
      </c>
      <c r="E364" s="70" t="str">
        <f>INDEX([1]Produtos!$C:$C,MATCH($D364,[1]Produtos!$B:$B,0))&amp;IF($F364&lt;&gt;"-"," - "&amp;LEFT($F364,1),"")&amp;" &gt; "&amp;$B364</f>
        <v>BASE PARA PERFUME FINA BASE 1l &gt; CIDA 02.25</v>
      </c>
      <c r="F364" s="51" t="s">
        <v>38</v>
      </c>
      <c r="G364" s="38">
        <v>46009</v>
      </c>
      <c r="H364" s="39">
        <v>1080</v>
      </c>
      <c r="I364" s="24" t="s">
        <v>42</v>
      </c>
      <c r="J364" s="68" t="str" cm="1">
        <f t="array" ref="J364">IFERROR(INDEX('[2]Previsão Envase'!$D$5:$D$4867, MATCH(1,('[2]Previsão Envase'!$F$5:$F$4867=$E364)+('[2]Previsão Envase'!$G$5:$G$4867=$E364)+('[2]Previsão Envase'!$H$5:$H$4867=$E364),0)),"")</f>
        <v/>
      </c>
      <c r="K364" s="68" t="str">
        <f>IF(COUNTIF('[2]Previsão Envase'!$F:$F,E364)&gt;0,"Linha 1",
IF(COUNTIF('[2]Previsão Envase'!$G:$G,E364)&gt;0,"Linha 2",
IF(COUNTIF('[2]Previsão Envase'!$H:$H,E364)&gt;0,"Linha 3","")))</f>
        <v/>
      </c>
      <c r="L364" s="96">
        <f>COUNTIF('[2]Previsão Envase'!$F:$H,E364)-COUNTIF('[2]Previsão Envase'!$F$1:$H$4,E364)</f>
        <v>0</v>
      </c>
      <c r="M364" s="35">
        <f t="shared" si="52"/>
        <v>0</v>
      </c>
      <c r="N364" s="68" t="str">
        <f>IFERROR(MAX(_xlfn.MAXIFS('[2]Controle de Produção'!$C:$C,'[2]Controle de Produção'!$L:$L,$D364,'[2]Controle de Produção'!$P:$P,$C364,'[2]Controle de Produção'!$G:$G,$B364),_xlfn.MAXIFS([3]EXPEDIÇÃO!$N:$N,[3]EXPEDIÇÃO!$E:$E,$D364,[3]EXPEDIÇÃO!$D:$D,$C364,[3]EXPEDIÇÃO!$N:$N,"&gt;="&amp;$G364)),"")</f>
        <v/>
      </c>
      <c r="O364" s="70">
        <f>INDEX([1]Produtos!$E:$E,MATCH($D364,[1]Produtos!$B:$B,0))</f>
        <v>1000</v>
      </c>
      <c r="P364" s="70" t="str">
        <f>INDEX([1]Produtos!$F:$F,MATCH($D364,[1]Produtos!$B:$B,0))</f>
        <v>ml</v>
      </c>
      <c r="Q364" s="105">
        <f>INDEX([1]Produtos!$Y:$Y,MATCH($D364,[1]Produtos!$B:$B,0))</f>
        <v>0</v>
      </c>
      <c r="R364" s="35">
        <f t="shared" si="53"/>
        <v>2120.1944716590451</v>
      </c>
      <c r="S364" s="27">
        <f>IFERROR(INDEX([1]Produtos!$L:$L,MATCH(D364,[1]Produtos!$B:$B,0)), "")</f>
        <v>235.57716351767166</v>
      </c>
      <c r="T364" s="28">
        <f t="shared" si="54"/>
        <v>4.5999999999999996</v>
      </c>
      <c r="U364" s="28" t="str">
        <f t="shared" si="55"/>
        <v>0D e 5h</v>
      </c>
      <c r="V364" s="27">
        <f>IFERROR(SUMIFS('[2]Controle de Produção'!$K:$K,'[2]Controle de Produção'!$L:$L,D364,'[2]Controle de Produção'!$P:$P,C364,'[2]Controle de Produção'!$B:$B,"&gt;=" &amp; G364,'[2]Controle de Produção'!$C:$C,"&lt;=" &amp; N364, '[2]Controle de Produção'!$G:$G,B364), "")</f>
        <v>0</v>
      </c>
      <c r="W364" s="27" t="str">
        <f>IFERROR(SUMIFS([3]EXPEDIÇÃO!$K:$K,[3]EXPEDIÇÃO!$E:$E,D364,[3]EXPEDIÇÃO!$D:$D,C364,[3]EXPEDIÇÃO!$N:$N,"&gt;=" &amp; G364,[3]EXPEDIÇÃO!$N:$N,"&lt;="&amp;N364), "")</f>
        <v/>
      </c>
      <c r="X364" s="27">
        <f>COUNTIFS('[2]Controle de Produção'!$P:$P,C364,'[2]Controle de Produção'!$L:$L,D364,'[2]Controle de Produção'!$B:$B,"&gt;=" &amp; G364)</f>
        <v>2</v>
      </c>
      <c r="Y364" s="27">
        <f t="shared" si="56"/>
        <v>0</v>
      </c>
      <c r="Z364" s="27">
        <f>IFERROR(COUNTIFS('[2]Controle de Produção'!$L:$L,D364,'[2]Controle de Produção'!$P:$P,C364,'[2]Controle de Produção'!$B:$B,"&gt;=" &amp; G364,'[2]Controle de Produção'!$C:$C,"&lt;=" &amp; N364, '[2]Controle de Produção'!$G:$G,B364), "")</f>
        <v>0</v>
      </c>
      <c r="AA364" s="108" t="str">
        <f t="shared" si="57"/>
        <v/>
      </c>
      <c r="AB364" s="41" t="s">
        <v>60</v>
      </c>
      <c r="AC364" s="42" t="b">
        <v>1</v>
      </c>
      <c r="AD364" s="42" t="b">
        <v>1</v>
      </c>
      <c r="AE364" s="42" t="b">
        <v>1</v>
      </c>
      <c r="AF364" s="42" t="b">
        <v>0</v>
      </c>
      <c r="AG364" s="42" t="b">
        <v>1</v>
      </c>
      <c r="AH364" s="42" t="s">
        <v>38</v>
      </c>
      <c r="AI364" s="42" t="s">
        <v>38</v>
      </c>
      <c r="AJ364" s="42" t="s">
        <v>38</v>
      </c>
      <c r="AK364" s="42" t="s">
        <v>38</v>
      </c>
      <c r="AL364" s="42" t="b">
        <v>0</v>
      </c>
      <c r="AM364" s="42" t="s">
        <v>38</v>
      </c>
      <c r="AN364" s="42" t="b">
        <v>0</v>
      </c>
      <c r="AO364" s="45" t="b" cm="1">
        <f t="array" ref="AO364">AND(COUNTIF(AC364:AN364,FALSE)=0,SUMPRODUCT(ISNUMBER(AC364:AN364)*1)=0)</f>
        <v>0</v>
      </c>
      <c r="AP364" s="59"/>
      <c r="AQ364" s="111">
        <f>IF(AB364="",99999999999,IFERROR(MATCH(AB364,{"Produção Parcial","Em Produção","Programado","Não Iniciado","Desenvolv.","Concluído"},0),7)*100000000+IF(ISNUMBER(J364),J364-46000,9999)*10000+IF(A364="",99,A364)*100+IF(C364="",99,CODE(LEFT(C364,1))))</f>
        <v>699990275</v>
      </c>
    </row>
    <row r="365" spans="1:43" s="36" customFormat="1" ht="25.15" hidden="1" customHeight="1" x14ac:dyDescent="0.25">
      <c r="A365" s="36">
        <v>2</v>
      </c>
      <c r="B365" s="38" t="s">
        <v>173</v>
      </c>
      <c r="C365" s="70" t="str">
        <f>INDEX([1]Produtos!$G:$G,MATCH($D365,[1]Produtos!$B:$B,0))</f>
        <v>KURYOS</v>
      </c>
      <c r="D365" s="24" t="s">
        <v>48</v>
      </c>
      <c r="E365" s="70" t="str">
        <f>INDEX([1]Produtos!$C:$C,MATCH($D365,[1]Produtos!$B:$B,0))&amp;IF($F365&lt;&gt;"-"," - "&amp;LEFT($F365,1),"")&amp;" &gt; "&amp;$B365</f>
        <v>BASE PARA PERFUME FINA BASE PREMIUM 1l - 1 &gt; CIDA 11/11</v>
      </c>
      <c r="F365" s="51">
        <v>1</v>
      </c>
      <c r="G365" s="38">
        <v>45972</v>
      </c>
      <c r="H365" s="39">
        <v>480</v>
      </c>
      <c r="I365" s="24" t="s">
        <v>42</v>
      </c>
      <c r="J365" s="68" t="str" cm="1">
        <f t="array" ref="J365">IFERROR(INDEX('[2]Previsão Envase'!$D$5:$D$4867, MATCH(1,('[2]Previsão Envase'!$F$5:$F$4867=$E365)+('[2]Previsão Envase'!$G$5:$G$4867=$E365)+('[2]Previsão Envase'!$H$5:$H$4867=$E365),0)),"")</f>
        <v/>
      </c>
      <c r="K365" s="68" t="str">
        <f>IF(COUNTIF('[2]Previsão Envase'!$F:$F,E365)&gt;0,"Linha 1",
IF(COUNTIF('[2]Previsão Envase'!$G:$G,E365)&gt;0,"Linha 2",
IF(COUNTIF('[2]Previsão Envase'!$H:$H,E365)&gt;0,"Linha 3","")))</f>
        <v/>
      </c>
      <c r="L365" s="96">
        <f>COUNTIF('[2]Previsão Envase'!$F:$H,E365)-COUNTIF('[2]Previsão Envase'!$F$1:$H$4,E365)</f>
        <v>0</v>
      </c>
      <c r="M365" s="35">
        <f t="shared" si="52"/>
        <v>0</v>
      </c>
      <c r="N365" s="68" t="str">
        <f>IFERROR(MAX(_xlfn.MAXIFS('[2]Controle de Produção'!$C:$C,'[2]Controle de Produção'!$L:$L,$D365,'[2]Controle de Produção'!$P:$P,$C365,'[2]Controle de Produção'!$G:$G,$B365),_xlfn.MAXIFS([3]EXPEDIÇÃO!$N:$N,[3]EXPEDIÇÃO!$E:$E,$D365,[3]EXPEDIÇÃO!$D:$D,$C365,[3]EXPEDIÇÃO!$N:$N,"&gt;="&amp;$G365)),"")</f>
        <v/>
      </c>
      <c r="O365" s="70">
        <f>INDEX([1]Produtos!$E:$E,MATCH($D365,[1]Produtos!$B:$B,0))</f>
        <v>1000</v>
      </c>
      <c r="P365" s="70" t="str">
        <f>INDEX([1]Produtos!$F:$F,MATCH($D365,[1]Produtos!$B:$B,0))</f>
        <v>ml</v>
      </c>
      <c r="Q365" s="105">
        <f>INDEX([1]Produtos!$Y:$Y,MATCH($D365,[1]Produtos!$B:$B,0))</f>
        <v>0</v>
      </c>
      <c r="R365" s="35">
        <f t="shared" si="53"/>
        <v>2120.1944716590451</v>
      </c>
      <c r="S365" s="27">
        <f>IFERROR(INDEX([1]Produtos!$L:$L,MATCH(D365,[1]Produtos!$B:$B,0)), "")</f>
        <v>235.57716351767166</v>
      </c>
      <c r="T365" s="28">
        <f t="shared" si="54"/>
        <v>2.1</v>
      </c>
      <c r="U365" s="28" t="str">
        <f t="shared" si="55"/>
        <v>0D e 3h</v>
      </c>
      <c r="V365" s="27">
        <f>IFERROR(SUMIFS('[2]Controle de Produção'!$K:$K,'[2]Controle de Produção'!$L:$L,D365,'[2]Controle de Produção'!$P:$P,C365,'[2]Controle de Produção'!$B:$B,"&gt;=" &amp; G365,'[2]Controle de Produção'!$C:$C,"&lt;=" &amp; N365, '[2]Controle de Produção'!$G:$G,B365), "")</f>
        <v>0</v>
      </c>
      <c r="W365" s="27" t="str">
        <f>IFERROR(SUMIFS([3]EXPEDIÇÃO!$K:$K,[3]EXPEDIÇÃO!$E:$E,D365,[3]EXPEDIÇÃO!$D:$D,C365,[3]EXPEDIÇÃO!$N:$N,"&gt;=" &amp; G365,[3]EXPEDIÇÃO!$N:$N,"&lt;="&amp;N365), "")</f>
        <v/>
      </c>
      <c r="X365" s="27">
        <f>COUNTIFS('[2]Controle de Produção'!$P:$P,C365,'[2]Controle de Produção'!$L:$L,D365,'[2]Controle de Produção'!$B:$B,"&gt;=" &amp; G365)</f>
        <v>5</v>
      </c>
      <c r="Y365" s="27">
        <f t="shared" si="56"/>
        <v>0</v>
      </c>
      <c r="Z365" s="27">
        <f>IFERROR(COUNTIFS('[2]Controle de Produção'!$L:$L,D365,'[2]Controle de Produção'!$P:$P,C365,'[2]Controle de Produção'!$B:$B,"&gt;=" &amp; G365,'[2]Controle de Produção'!$C:$C,"&lt;=" &amp; N365, '[2]Controle de Produção'!$G:$G,B365), "")</f>
        <v>0</v>
      </c>
      <c r="AA365" s="108" t="str">
        <f t="shared" si="57"/>
        <v/>
      </c>
      <c r="AB365" s="41" t="s">
        <v>60</v>
      </c>
      <c r="AC365" s="42" t="b">
        <v>1</v>
      </c>
      <c r="AD365" s="42" t="b">
        <v>1</v>
      </c>
      <c r="AE365" s="42" t="b">
        <v>1</v>
      </c>
      <c r="AF365" s="42" t="b">
        <v>1</v>
      </c>
      <c r="AG365" s="42" t="b">
        <v>1</v>
      </c>
      <c r="AH365" s="42" t="s">
        <v>38</v>
      </c>
      <c r="AI365" s="42" t="s">
        <v>38</v>
      </c>
      <c r="AJ365" s="42" t="s">
        <v>38</v>
      </c>
      <c r="AK365" s="42" t="b">
        <v>0</v>
      </c>
      <c r="AL365" s="42" t="b">
        <v>0</v>
      </c>
      <c r="AM365" s="42" t="s">
        <v>38</v>
      </c>
      <c r="AN365" s="42" t="b">
        <v>1</v>
      </c>
      <c r="AO365" s="45" t="b" cm="1">
        <f t="array" ref="AO365">AND(COUNTIF(AC365:AN365,FALSE)=0,SUMPRODUCT(ISNUMBER(AC365:AN365)*1)=0)</f>
        <v>0</v>
      </c>
      <c r="AP365" s="59"/>
      <c r="AQ365" s="111">
        <f>IF(AB365="",99999999999,IFERROR(MATCH(AB365,{"Produção Parcial","Em Produção","Programado","Não Iniciado","Desenvolv.","Concluído"},0),7)*100000000+IF(ISNUMBER(J365),J365-46000,9999)*10000+IF(A365="",99,A365)*100+IF(C365="",99,CODE(LEFT(C365,1))))</f>
        <v>699990275</v>
      </c>
    </row>
    <row r="366" spans="1:43" s="36" customFormat="1" ht="25.15" hidden="1" customHeight="1" x14ac:dyDescent="0.25">
      <c r="A366" s="36">
        <v>3</v>
      </c>
      <c r="B366" s="38" t="s">
        <v>238</v>
      </c>
      <c r="C366" s="70" t="str">
        <f>INDEX([1]Produtos!$G:$G,MATCH($D366,[1]Produtos!$B:$B,0))</f>
        <v>DAPOP</v>
      </c>
      <c r="D366" s="24" t="s">
        <v>241</v>
      </c>
      <c r="E366" s="70" t="str">
        <f>INDEX([1]Produtos!$C:$C,MATCH($D366,[1]Produtos!$B:$B,0))&amp;IF($F366&lt;&gt;"-"," - "&amp;LEFT($F366,1),"")&amp;" &gt; "&amp;$B366</f>
        <v>BODY SPLASH DAPOP HONEY BLOOM &gt; 02_07</v>
      </c>
      <c r="F366" s="51" t="s">
        <v>38</v>
      </c>
      <c r="G366" s="38">
        <v>45854</v>
      </c>
      <c r="H366" s="39">
        <v>30000</v>
      </c>
      <c r="I366" s="24" t="s">
        <v>39</v>
      </c>
      <c r="J366" s="68" t="str" cm="1">
        <f t="array" ref="J366">IFERROR(INDEX('[2]Previsão Envase'!$D$5:$D$4867, MATCH(1,('[2]Previsão Envase'!$F$5:$F$4867=$E366)+('[2]Previsão Envase'!$G$5:$G$4867=$E366)+('[2]Previsão Envase'!$H$5:$H$4867=$E366),0)),"")</f>
        <v/>
      </c>
      <c r="K366" s="68" t="str">
        <f>IF(COUNTIF('[2]Previsão Envase'!$F:$F,E366)&gt;0,"Linha 1",
IF(COUNTIF('[2]Previsão Envase'!$G:$G,E366)&gt;0,"Linha 2",
IF(COUNTIF('[2]Previsão Envase'!$H:$H,E366)&gt;0,"Linha 3","")))</f>
        <v/>
      </c>
      <c r="L366" s="96">
        <f>COUNTIF('[2]Previsão Envase'!$F:$H,E366)-COUNTIF('[2]Previsão Envase'!$F$1:$H$4,E366)</f>
        <v>0</v>
      </c>
      <c r="M366" s="35">
        <f t="shared" si="52"/>
        <v>0</v>
      </c>
      <c r="N366" s="68" t="str">
        <f>IFERROR(MAX(_xlfn.MAXIFS('[2]Controle de Produção'!$C:$C,'[2]Controle de Produção'!$L:$L,$D366,'[2]Controle de Produção'!$P:$P,$C366,'[2]Controle de Produção'!$G:$G,$B366),_xlfn.MAXIFS([3]EXPEDIÇÃO!$N:$N,[3]EXPEDIÇÃO!$E:$E,$D366,[3]EXPEDIÇÃO!$D:$D,$C366,[3]EXPEDIÇÃO!$N:$N,"&gt;="&amp;$G366)),"")</f>
        <v/>
      </c>
      <c r="O366" s="70">
        <f>INDEX([1]Produtos!$E:$E,MATCH($D366,[1]Produtos!$B:$B,0))</f>
        <v>120</v>
      </c>
      <c r="P366" s="70" t="str">
        <f>INDEX([1]Produtos!$F:$F,MATCH($D366,[1]Produtos!$B:$B,0))</f>
        <v>ml</v>
      </c>
      <c r="Q366" s="105">
        <f>INDEX([1]Produtos!$Y:$Y,MATCH($D366,[1]Produtos!$B:$B,0))</f>
        <v>0</v>
      </c>
      <c r="R366" s="35">
        <f t="shared" si="53"/>
        <v>7592.2902086267013</v>
      </c>
      <c r="S366" s="27">
        <f>IFERROR(INDEX([1]Produtos!$L:$L,MATCH(D366,[1]Produtos!$B:$B,0)), "")</f>
        <v>843.58780095852239</v>
      </c>
      <c r="T366" s="28">
        <f t="shared" si="54"/>
        <v>35.6</v>
      </c>
      <c r="U366" s="28" t="str">
        <f t="shared" si="55"/>
        <v>4D e 1h</v>
      </c>
      <c r="V366" s="27">
        <f>IFERROR(SUMIFS('[2]Controle de Produção'!$K:$K,'[2]Controle de Produção'!$L:$L,D366,'[2]Controle de Produção'!$P:$P,C366,'[2]Controle de Produção'!$B:$B,"&gt;=" &amp; G366,'[2]Controle de Produção'!$C:$C,"&lt;=" &amp; N366, '[2]Controle de Produção'!$G:$G,B366), "")</f>
        <v>0</v>
      </c>
      <c r="W366" s="27" t="str">
        <f>IFERROR(SUMIFS([3]EXPEDIÇÃO!$K:$K,[3]EXPEDIÇÃO!$E:$E,D366,[3]EXPEDIÇÃO!$D:$D,C366,[3]EXPEDIÇÃO!$N:$N,"&gt;=" &amp; G366,[3]EXPEDIÇÃO!$N:$N,"&lt;="&amp;N366), "")</f>
        <v/>
      </c>
      <c r="X366" s="27">
        <f>COUNTIFS('[2]Controle de Produção'!$P:$P,C366,'[2]Controle de Produção'!$L:$L,D366,'[2]Controle de Produção'!$B:$B,"&gt;=" &amp; G366)</f>
        <v>6</v>
      </c>
      <c r="Y366" s="27">
        <f t="shared" si="56"/>
        <v>0</v>
      </c>
      <c r="Z366" s="27">
        <f>IFERROR(COUNTIFS('[2]Controle de Produção'!$L:$L,D366,'[2]Controle de Produção'!$P:$P,C366,'[2]Controle de Produção'!$B:$B,"&gt;=" &amp; G366,'[2]Controle de Produção'!$C:$C,"&lt;=" &amp; N366, '[2]Controle de Produção'!$G:$G,B366), "")</f>
        <v>0</v>
      </c>
      <c r="AA366" s="108" t="str">
        <f t="shared" si="57"/>
        <v/>
      </c>
      <c r="AB366" s="41" t="s">
        <v>60</v>
      </c>
      <c r="AC366" s="42" t="b">
        <v>1</v>
      </c>
      <c r="AD366" s="42" t="b">
        <v>1</v>
      </c>
      <c r="AE366" s="42" t="b">
        <v>1</v>
      </c>
      <c r="AF366" s="42" t="b">
        <v>1</v>
      </c>
      <c r="AG366" s="42" t="s">
        <v>38</v>
      </c>
      <c r="AH366" s="42" t="s">
        <v>38</v>
      </c>
      <c r="AI366" s="42" t="b">
        <v>1</v>
      </c>
      <c r="AJ366" s="42" t="b">
        <v>1</v>
      </c>
      <c r="AK366" s="42" t="b">
        <v>0</v>
      </c>
      <c r="AL366" s="42" t="b">
        <v>1</v>
      </c>
      <c r="AM366" s="42" t="b">
        <v>1</v>
      </c>
      <c r="AN366" s="91">
        <f>5/5</f>
        <v>1</v>
      </c>
      <c r="AO366" s="45" t="b" cm="1">
        <f t="array" ref="AO366">AND(COUNTIF(AC366:AN366,FALSE)=0,SUMPRODUCT(ISNUMBER(AC366:AN366)*1)=0)</f>
        <v>0</v>
      </c>
      <c r="AP366" s="59"/>
      <c r="AQ366" s="111">
        <f>IF(AB366="",99999999999,IFERROR(MATCH(AB366,{"Produção Parcial","Em Produção","Programado","Não Iniciado","Desenvolv.","Concluído"},0),7)*100000000+IF(ISNUMBER(J366),J366-46000,9999)*10000+IF(A366="",99,A366)*100+IF(C366="",99,CODE(LEFT(C366,1))))</f>
        <v>699990368</v>
      </c>
    </row>
    <row r="367" spans="1:43" s="36" customFormat="1" ht="25.15" hidden="1" customHeight="1" x14ac:dyDescent="0.25">
      <c r="A367" s="36">
        <v>3</v>
      </c>
      <c r="B367" s="38" t="s">
        <v>99</v>
      </c>
      <c r="C367" s="70" t="str">
        <f>INDEX([1]Produtos!$G:$G,MATCH($D367,[1]Produtos!$B:$B,0))</f>
        <v>GLOW MAKE UP</v>
      </c>
      <c r="D367" s="24" t="s">
        <v>100</v>
      </c>
      <c r="E367" s="70" t="str">
        <f>INDEX([1]Produtos!$C:$C,MATCH($D367,[1]Produtos!$B:$B,0))&amp;IF($F367&lt;&gt;"-"," - "&amp;LEFT($F367,1),"")&amp;" &gt; "&amp;$B367</f>
        <v>ÁGUA MICELAR BABA GLOW &gt; ANDRE 14/01/26</v>
      </c>
      <c r="F367" s="51" t="s">
        <v>38</v>
      </c>
      <c r="G367" s="38">
        <v>46036</v>
      </c>
      <c r="H367" s="39">
        <v>15000</v>
      </c>
      <c r="I367" s="24" t="s">
        <v>42</v>
      </c>
      <c r="J367" s="68" t="str" cm="1">
        <f t="array" ref="J367">IFERROR(INDEX('[2]Previsão Envase'!$D$5:$D$4867, MATCH(1,('[2]Previsão Envase'!$F$5:$F$4867=$E367)+('[2]Previsão Envase'!$G$5:$G$4867=$E367)+('[2]Previsão Envase'!$H$5:$H$4867=$E367),0)),"")</f>
        <v/>
      </c>
      <c r="K367" s="68" t="str">
        <f>IF(COUNTIF('[2]Previsão Envase'!$F:$F,E367)&gt;0,"Linha 1",
IF(COUNTIF('[2]Previsão Envase'!$G:$G,E367)&gt;0,"Linha 2",
IF(COUNTIF('[2]Previsão Envase'!$H:$H,E367)&gt;0,"Linha 3","")))</f>
        <v/>
      </c>
      <c r="L367" s="96">
        <f>COUNTIF('[2]Previsão Envase'!$F:$H,E367)-COUNTIF('[2]Previsão Envase'!$F$1:$H$4,E367)</f>
        <v>0</v>
      </c>
      <c r="M367" s="35">
        <f t="shared" si="52"/>
        <v>0</v>
      </c>
      <c r="N367" s="68" t="str">
        <f>IFERROR(MAX(_xlfn.MAXIFS('[2]Controle de Produção'!$C:$C,'[2]Controle de Produção'!$L:$L,$D367,'[2]Controle de Produção'!$P:$P,$C367,'[2]Controle de Produção'!$G:$G,$B367),_xlfn.MAXIFS([3]EXPEDIÇÃO!$N:$N,[3]EXPEDIÇÃO!$E:$E,$D367,[3]EXPEDIÇÃO!$D:$D,$C367,[3]EXPEDIÇÃO!$N:$N,"&gt;="&amp;$G367)),"")</f>
        <v/>
      </c>
      <c r="O367" s="70">
        <f>INDEX([1]Produtos!$E:$E,MATCH($D367,[1]Produtos!$B:$B,0))</f>
        <v>325</v>
      </c>
      <c r="P367" s="70" t="str">
        <f>INDEX([1]Produtos!$F:$F,MATCH($D367,[1]Produtos!$B:$B,0))</f>
        <v>ml</v>
      </c>
      <c r="Q367" s="105">
        <f>INDEX([1]Produtos!$Y:$Y,MATCH($D367,[1]Produtos!$B:$B,0))</f>
        <v>0.85999999999999988</v>
      </c>
      <c r="R367" s="35">
        <f t="shared" si="53"/>
        <v>7288.9063376861359</v>
      </c>
      <c r="S367" s="27">
        <f>IFERROR(INDEX([1]Produtos!$L:$L,MATCH(D367,[1]Produtos!$B:$B,0)), "")</f>
        <v>809.87848196512618</v>
      </c>
      <c r="T367" s="28">
        <f t="shared" si="54"/>
        <v>18.600000000000001</v>
      </c>
      <c r="U367" s="28" t="str">
        <f t="shared" si="55"/>
        <v>2D e 1h</v>
      </c>
      <c r="V367" s="27">
        <f>IFERROR(SUMIFS('[2]Controle de Produção'!$K:$K,'[2]Controle de Produção'!$L:$L,D367,'[2]Controle de Produção'!$P:$P,C367,'[2]Controle de Produção'!$B:$B,"&gt;=" &amp; G367,'[2]Controle de Produção'!$C:$C,"&lt;=" &amp; N367, '[2]Controle de Produção'!$G:$G,B367), "")</f>
        <v>0</v>
      </c>
      <c r="W367" s="27" t="str">
        <f>IFERROR(SUMIFS([3]EXPEDIÇÃO!$K:$K,[3]EXPEDIÇÃO!$E:$E,D367,[3]EXPEDIÇÃO!$D:$D,C367,[3]EXPEDIÇÃO!$N:$N,"&gt;=" &amp; G367,[3]EXPEDIÇÃO!$N:$N,"&lt;="&amp;N367), "")</f>
        <v/>
      </c>
      <c r="X367" s="27">
        <f>COUNTIFS('[2]Controle de Produção'!$P:$P,C367,'[2]Controle de Produção'!$L:$L,D367,'[2]Controle de Produção'!$B:$B,"&gt;=" &amp; G367)</f>
        <v>9</v>
      </c>
      <c r="Y367" s="27">
        <f t="shared" si="56"/>
        <v>0</v>
      </c>
      <c r="Z367" s="27">
        <f>IFERROR(COUNTIFS('[2]Controle de Produção'!$L:$L,D367,'[2]Controle de Produção'!$P:$P,C367,'[2]Controle de Produção'!$B:$B,"&gt;=" &amp; G367,'[2]Controle de Produção'!$C:$C,"&lt;=" &amp; N367, '[2]Controle de Produção'!$G:$G,B367), "")</f>
        <v>0</v>
      </c>
      <c r="AA367" s="108" t="str">
        <f t="shared" si="57"/>
        <v/>
      </c>
      <c r="AB367" s="41" t="s">
        <v>60</v>
      </c>
      <c r="AC367" s="42" t="b">
        <v>1</v>
      </c>
      <c r="AD367" s="42" t="b">
        <v>1</v>
      </c>
      <c r="AE367" s="42" t="s">
        <v>38</v>
      </c>
      <c r="AF367" s="42" t="b">
        <v>1</v>
      </c>
      <c r="AG367" s="42" t="b">
        <v>1</v>
      </c>
      <c r="AH367" s="42" t="s">
        <v>38</v>
      </c>
      <c r="AI367" s="42" t="s">
        <v>38</v>
      </c>
      <c r="AJ367" s="42" t="s">
        <v>38</v>
      </c>
      <c r="AK367" s="42" t="s">
        <v>38</v>
      </c>
      <c r="AL367" s="42" t="b">
        <v>1</v>
      </c>
      <c r="AM367" s="42" t="b">
        <v>1</v>
      </c>
      <c r="AN367" s="42" t="b">
        <v>1</v>
      </c>
      <c r="AO367" s="45" t="b" cm="1">
        <f t="array" ref="AO367">AND(COUNTIF(AC367:AN367,FALSE)=0,SUMPRODUCT(ISNUMBER(AC367:AN367)*1)=0)</f>
        <v>1</v>
      </c>
      <c r="AP367" s="59"/>
      <c r="AQ367" s="111">
        <f>IF(AB367="",99999999999,IFERROR(MATCH(AB367,{"Produção Parcial","Em Produção","Programado","Não Iniciado","Desenvolv.","Concluído"},0),7)*100000000+IF(ISNUMBER(J367),J367-46000,9999)*10000+IF(A367="",99,A367)*100+IF(C367="",99,CODE(LEFT(C367,1))))</f>
        <v>699990371</v>
      </c>
    </row>
    <row r="368" spans="1:43" s="36" customFormat="1" ht="25.15" hidden="1" customHeight="1" x14ac:dyDescent="0.25">
      <c r="A368" s="36">
        <v>3</v>
      </c>
      <c r="B368" s="38" t="s">
        <v>217</v>
      </c>
      <c r="C368" s="24" t="str">
        <f>INDEX([1]Produtos!$G:$G,MATCH($D368,[1]Produtos!$B:$B,0))</f>
        <v>GLOW MAKE UP</v>
      </c>
      <c r="D368" s="24" t="s">
        <v>220</v>
      </c>
      <c r="E368" s="70" t="str">
        <f>INDEX([1]Produtos!$C:$C,MATCH($D368,[1]Produtos!$B:$B,0))&amp;IF($F368&lt;&gt;"-"," - "&amp;LEFT($F368,1),"")&amp;" &gt; "&amp;$B368</f>
        <v>ÁGUA MICELAR 3 EM 1 - 1 &gt; GLOW - Água Micelar</v>
      </c>
      <c r="F368" s="51" t="s">
        <v>94</v>
      </c>
      <c r="G368" s="38">
        <v>45824</v>
      </c>
      <c r="H368" s="39">
        <v>5000</v>
      </c>
      <c r="I368" s="24" t="s">
        <v>39</v>
      </c>
      <c r="J368" s="68" t="str" cm="1">
        <f t="array" ref="J368">IFERROR(INDEX('[2]Previsão Envase'!$D$5:$D$4867, MATCH(1,('[2]Previsão Envase'!$F$5:$F$4867=$E368)+('[2]Previsão Envase'!$G$5:$G$4867=$E368)+('[2]Previsão Envase'!$H$5:$H$4867=$E368),0)),"")</f>
        <v/>
      </c>
      <c r="K368" s="68" t="str">
        <f>IF(COUNTIF('[2]Previsão Envase'!$F:$F,E368)&gt;0,"Linha 1",
IF(COUNTIF('[2]Previsão Envase'!$G:$G,E368)&gt;0,"Linha 2",
IF(COUNTIF('[2]Previsão Envase'!$H:$H,E368)&gt;0,"Linha 3","")))</f>
        <v/>
      </c>
      <c r="L368" s="96">
        <f>COUNTIF('[2]Previsão Envase'!$F:$H,E368)-COUNTIF('[2]Previsão Envase'!$F$1:$H$4,E368)</f>
        <v>0</v>
      </c>
      <c r="M368" s="35">
        <f t="shared" si="52"/>
        <v>0</v>
      </c>
      <c r="N368" s="68" t="str">
        <f>IFERROR(MAX(_xlfn.MAXIFS('[2]Controle de Produção'!$C:$C,'[2]Controle de Produção'!$L:$L,$D368,'[2]Controle de Produção'!$P:$P,$C368,'[2]Controle de Produção'!$G:$G,$B368),_xlfn.MAXIFS([3]EXPEDIÇÃO!$N:$N,[3]EXPEDIÇÃO!$E:$E,$D368,[3]EXPEDIÇÃO!$D:$D,$C368,[3]EXPEDIÇÃO!$N:$N,"&gt;="&amp;$G368)),"")</f>
        <v/>
      </c>
      <c r="O368" s="70">
        <f>INDEX([1]Produtos!$E:$E,MATCH($D368,[1]Produtos!$B:$B,0))</f>
        <v>325</v>
      </c>
      <c r="P368" s="70" t="str">
        <f>INDEX([1]Produtos!$F:$F,MATCH($D368,[1]Produtos!$B:$B,0))</f>
        <v>ml</v>
      </c>
      <c r="Q368" s="105">
        <f>INDEX([1]Produtos!$Y:$Y,MATCH($D368,[1]Produtos!$B:$B,0))</f>
        <v>0</v>
      </c>
      <c r="R368" s="35">
        <f t="shared" si="53"/>
        <v>7288.9063376861359</v>
      </c>
      <c r="S368" s="27">
        <f>IFERROR(INDEX([1]Produtos!$L:$L,MATCH(D368,[1]Produtos!$B:$B,0)), "")</f>
        <v>809.87848196512618</v>
      </c>
      <c r="T368" s="28">
        <f t="shared" si="54"/>
        <v>6.1999999999999993</v>
      </c>
      <c r="U368" s="28" t="str">
        <f t="shared" si="55"/>
        <v>0D e 7h</v>
      </c>
      <c r="V368" s="27">
        <f>IFERROR(SUMIFS('[2]Controle de Produção'!$K:$K,'[2]Controle de Produção'!$L:$L,D368,'[2]Controle de Produção'!$P:$P,C368,'[2]Controle de Produção'!$B:$B,"&gt;=" &amp; G368,'[2]Controle de Produção'!$C:$C,"&lt;=" &amp; N368, '[2]Controle de Produção'!$G:$G,B368), "")</f>
        <v>0</v>
      </c>
      <c r="W368" s="27" t="str">
        <f>IFERROR(SUMIFS([3]EXPEDIÇÃO!$K:$K,[3]EXPEDIÇÃO!$E:$E,D368,[3]EXPEDIÇÃO!$D:$D,C368,[3]EXPEDIÇÃO!$N:$N,"&gt;=" &amp; G368,[3]EXPEDIÇÃO!$N:$N,"&lt;="&amp;N368), "")</f>
        <v/>
      </c>
      <c r="X368" s="27">
        <f>COUNTIFS('[2]Controle de Produção'!$P:$P,C368,'[2]Controle de Produção'!$L:$L,D368,'[2]Controle de Produção'!$B:$B,"&gt;=" &amp; G368)</f>
        <v>14</v>
      </c>
      <c r="Y368" s="27">
        <f t="shared" si="56"/>
        <v>0</v>
      </c>
      <c r="Z368" s="27">
        <f>IFERROR(COUNTIFS('[2]Controle de Produção'!$L:$L,D368,'[2]Controle de Produção'!$P:$P,C368,'[2]Controle de Produção'!$B:$B,"&gt;=" &amp; G368,'[2]Controle de Produção'!$C:$C,"&lt;=" &amp; N368, '[2]Controle de Produção'!$G:$G,B368), "")</f>
        <v>0</v>
      </c>
      <c r="AA368" s="108" t="str">
        <f t="shared" ref="AA368:AA399" si="58">IF(OR(V368=0,H368=0),"",IF(V368="","",(V368-H368)/H368))</f>
        <v/>
      </c>
      <c r="AB368" s="41" t="s">
        <v>60</v>
      </c>
      <c r="AC368" s="42" t="b">
        <v>1</v>
      </c>
      <c r="AD368" s="42" t="b">
        <v>1</v>
      </c>
      <c r="AE368" s="42" t="s">
        <v>38</v>
      </c>
      <c r="AF368" s="42" t="b">
        <v>1</v>
      </c>
      <c r="AG368" s="42" t="b">
        <v>1</v>
      </c>
      <c r="AH368" s="42" t="s">
        <v>38</v>
      </c>
      <c r="AI368" s="42" t="s">
        <v>38</v>
      </c>
      <c r="AJ368" s="42" t="s">
        <v>38</v>
      </c>
      <c r="AK368" s="42" t="b">
        <v>0</v>
      </c>
      <c r="AL368" s="42" t="b">
        <v>1</v>
      </c>
      <c r="AM368" s="69" t="b">
        <v>1</v>
      </c>
      <c r="AN368" s="86" t="b">
        <v>1</v>
      </c>
      <c r="AO368" s="45" t="b" cm="1">
        <f t="array" ref="AO368">AND(COUNTIF(AC368:AN368,FALSE)=0,SUMPRODUCT(ISNUMBER(AC368:AN368)*1)=0)</f>
        <v>0</v>
      </c>
      <c r="AP368" s="59"/>
      <c r="AQ368" s="111">
        <f>IF(AB368="",99999999999,IFERROR(MATCH(AB368,{"Produção Parcial","Em Produção","Programado","Não Iniciado","Desenvolv.","Concluído"},0),7)*100000000+IF(ISNUMBER(J368),J368-46000,9999)*10000+IF(A368="",99,A368)*100+IF(C368="",99,CODE(LEFT(C368,1))))</f>
        <v>699990371</v>
      </c>
    </row>
    <row r="369" spans="1:702" s="36" customFormat="1" ht="25.15" hidden="1" customHeight="1" x14ac:dyDescent="0.25">
      <c r="A369" s="36">
        <v>4</v>
      </c>
      <c r="B369" s="38" t="s">
        <v>158</v>
      </c>
      <c r="C369" s="70" t="str">
        <f>INDEX([1]Produtos!$G:$G,MATCH($D369,[1]Produtos!$B:$B,0))</f>
        <v>AMEERATI</v>
      </c>
      <c r="D369" s="24" t="s">
        <v>160</v>
      </c>
      <c r="E369" s="70" t="str">
        <f>INDEX([1]Produtos!$C:$C,MATCH($D369,[1]Produtos!$B:$B,0))&amp;IF($F369&lt;&gt;"-"," - "&amp;LEFT($F369,1),"")&amp;" &gt; "&amp;$B369</f>
        <v>BODY CREAM BOUQUET CARMIM - 2 &gt; AMEERATI 01</v>
      </c>
      <c r="F369" s="51">
        <v>2</v>
      </c>
      <c r="G369" s="38">
        <v>46013</v>
      </c>
      <c r="H369" s="39">
        <f t="shared" ref="H369:H375" si="59">3360-840</f>
        <v>2520</v>
      </c>
      <c r="I369" s="24" t="s">
        <v>39</v>
      </c>
      <c r="J369" s="68" t="str" cm="1">
        <f t="array" ref="J369">IFERROR(INDEX('[2]Previsão Envase'!$D$5:$D$4867, MATCH(1,('[2]Previsão Envase'!$F$5:$F$4867=$E369)+('[2]Previsão Envase'!$G$5:$G$4867=$E369)+('[2]Previsão Envase'!$H$5:$H$4867=$E369),0)),"")</f>
        <v/>
      </c>
      <c r="K369" s="68" t="str">
        <f>IF(COUNTIF('[2]Previsão Envase'!$F:$F,E369)&gt;0,"Linha 1",
IF(COUNTIF('[2]Previsão Envase'!$G:$G,E369)&gt;0,"Linha 2",
IF(COUNTIF('[2]Previsão Envase'!$H:$H,E369)&gt;0,"Linha 3","")))</f>
        <v/>
      </c>
      <c r="L369" s="96">
        <f>COUNTIF('[2]Previsão Envase'!$F:$H,E369)-COUNTIF('[2]Previsão Envase'!$F$1:$H$4,E369)</f>
        <v>0</v>
      </c>
      <c r="M369" s="35">
        <f t="shared" si="52"/>
        <v>0</v>
      </c>
      <c r="N369" s="68" t="str">
        <f>IFERROR(MAX(_xlfn.MAXIFS('[2]Controle de Produção'!$C:$C,'[2]Controle de Produção'!$L:$L,$D369,'[2]Controle de Produção'!$P:$P,$C369,'[2]Controle de Produção'!$G:$G,$B369),_xlfn.MAXIFS([3]EXPEDIÇÃO!$N:$N,[3]EXPEDIÇÃO!$E:$E,$D369,[3]EXPEDIÇÃO!$D:$D,$C369,[3]EXPEDIÇÃO!$N:$N,"&gt;="&amp;$G369)),"")</f>
        <v/>
      </c>
      <c r="O369" s="70">
        <f>INDEX([1]Produtos!$E:$E,MATCH($D369,[1]Produtos!$B:$B,0))</f>
        <v>240</v>
      </c>
      <c r="P369" s="70" t="str">
        <f>INDEX([1]Produtos!$F:$F,MATCH($D369,[1]Produtos!$B:$B,0))</f>
        <v>ml</v>
      </c>
      <c r="Q369" s="105">
        <f>INDEX([1]Produtos!$Y:$Y,MATCH($D369,[1]Produtos!$B:$B,0))</f>
        <v>1.48</v>
      </c>
      <c r="R369" s="35">
        <f t="shared" si="53"/>
        <v>5520.5897431648482</v>
      </c>
      <c r="S369" s="27">
        <f>IFERROR(INDEX([1]Produtos!$L:$L,MATCH(D369,[1]Produtos!$B:$B,0)), "")</f>
        <v>613.39886035164977</v>
      </c>
      <c r="T369" s="28">
        <f t="shared" si="54"/>
        <v>4.1999999999999993</v>
      </c>
      <c r="U369" s="28" t="str">
        <f t="shared" si="55"/>
        <v>0D e 5h</v>
      </c>
      <c r="V369" s="27">
        <f>IFERROR(SUMIFS('[2]Controle de Produção'!$K:$K,'[2]Controle de Produção'!$L:$L,D369,'[2]Controle de Produção'!$P:$P,C369,'[2]Controle de Produção'!$B:$B,"&gt;=" &amp; G369,'[2]Controle de Produção'!$C:$C,"&lt;=" &amp; N369, '[2]Controle de Produção'!$G:$G,B369), "")</f>
        <v>0</v>
      </c>
      <c r="W369" s="27" t="str">
        <f>IFERROR(SUMIFS([3]EXPEDIÇÃO!$K:$K,[3]EXPEDIÇÃO!$E:$E,D369,[3]EXPEDIÇÃO!$D:$D,C369,[3]EXPEDIÇÃO!$N:$N,"&gt;=" &amp; G369,[3]EXPEDIÇÃO!$N:$N,"&lt;="&amp;N369), "")</f>
        <v/>
      </c>
      <c r="X369" s="27">
        <f>COUNTIFS('[2]Controle de Produção'!$P:$P,C369,'[2]Controle de Produção'!$L:$L,D369,'[2]Controle de Produção'!$B:$B,"&gt;=" &amp; G369)</f>
        <v>1</v>
      </c>
      <c r="Y369" s="27">
        <f t="shared" si="56"/>
        <v>0</v>
      </c>
      <c r="Z369" s="27">
        <f>IFERROR(COUNTIFS('[2]Controle de Produção'!$L:$L,D369,'[2]Controle de Produção'!$P:$P,C369,'[2]Controle de Produção'!$B:$B,"&gt;=" &amp; G369,'[2]Controle de Produção'!$C:$C,"&lt;=" &amp; N369, '[2]Controle de Produção'!$G:$G,B369), "")</f>
        <v>0</v>
      </c>
      <c r="AA369" s="108" t="str">
        <f t="shared" si="58"/>
        <v/>
      </c>
      <c r="AB369" s="41" t="s">
        <v>60</v>
      </c>
      <c r="AC369" s="42" t="b">
        <v>1</v>
      </c>
      <c r="AD369" s="42" t="b">
        <v>1</v>
      </c>
      <c r="AE369" s="42" t="b">
        <v>1</v>
      </c>
      <c r="AF369" s="42" t="b">
        <v>1</v>
      </c>
      <c r="AG369" s="42" t="s">
        <v>38</v>
      </c>
      <c r="AH369" s="42" t="s">
        <v>38</v>
      </c>
      <c r="AI369" s="42" t="b">
        <v>1</v>
      </c>
      <c r="AJ369" s="42" t="b">
        <v>1</v>
      </c>
      <c r="AK369" s="42" t="s">
        <v>38</v>
      </c>
      <c r="AL369" s="42" t="b">
        <v>1</v>
      </c>
      <c r="AM369" s="42" t="b">
        <v>1</v>
      </c>
      <c r="AN369" s="42" t="b">
        <v>1</v>
      </c>
      <c r="AO369" s="45" t="b" cm="1">
        <f t="array" ref="AO369">AND(COUNTIF(AC369:AN369,FALSE)=0,SUMPRODUCT(ISNUMBER(AC369:AN369)*1)=0)</f>
        <v>1</v>
      </c>
      <c r="AP369" s="59"/>
      <c r="AQ369" s="111">
        <f>IF(AB369="",99999999999,IFERROR(MATCH(AB369,{"Produção Parcial","Em Produção","Programado","Não Iniciado","Desenvolv.","Concluído"},0),7)*100000000+IF(ISNUMBER(J369),J369-46000,9999)*10000+IF(A369="",99,A369)*100+IF(C369="",99,CODE(LEFT(C369,1))))</f>
        <v>699990465</v>
      </c>
    </row>
    <row r="370" spans="1:702" s="36" customFormat="1" ht="25.15" hidden="1" customHeight="1" x14ac:dyDescent="0.25">
      <c r="A370" s="36">
        <v>4</v>
      </c>
      <c r="B370" s="38" t="s">
        <v>158</v>
      </c>
      <c r="C370" s="70" t="str">
        <f>INDEX([1]Produtos!$G:$G,MATCH($D370,[1]Produtos!$B:$B,0))</f>
        <v>AMEERATI</v>
      </c>
      <c r="D370" s="24" t="s">
        <v>204</v>
      </c>
      <c r="E370" s="70" t="str">
        <f>INDEX([1]Produtos!$C:$C,MATCH($D370,[1]Produtos!$B:$B,0))&amp;IF($F370&lt;&gt;"-"," - "&amp;LEFT($F370,1),"")&amp;" &gt; "&amp;$B370</f>
        <v>BODY CREAM ENCANTO PERSA - 2 &gt; AMEERATI 01</v>
      </c>
      <c r="F370" s="51">
        <v>2</v>
      </c>
      <c r="G370" s="38">
        <v>46013</v>
      </c>
      <c r="H370" s="39">
        <f t="shared" si="59"/>
        <v>2520</v>
      </c>
      <c r="I370" s="24" t="s">
        <v>39</v>
      </c>
      <c r="J370" s="68" t="str" cm="1">
        <f t="array" ref="J370">IFERROR(INDEX('[2]Previsão Envase'!$D$5:$D$4867, MATCH(1,('[2]Previsão Envase'!$F$5:$F$4867=$E370)+('[2]Previsão Envase'!$G$5:$G$4867=$E370)+('[2]Previsão Envase'!$H$5:$H$4867=$E370),0)),"")</f>
        <v/>
      </c>
      <c r="K370" s="68" t="str">
        <f>IF(COUNTIF('[2]Previsão Envase'!$F:$F,E370)&gt;0,"Linha 1",
IF(COUNTIF('[2]Previsão Envase'!$G:$G,E370)&gt;0,"Linha 2",
IF(COUNTIF('[2]Previsão Envase'!$H:$H,E370)&gt;0,"Linha 3","")))</f>
        <v/>
      </c>
      <c r="L370" s="96">
        <f>COUNTIF('[2]Previsão Envase'!$F:$H,E370)-COUNTIF('[2]Previsão Envase'!$F$1:$H$4,E370)</f>
        <v>0</v>
      </c>
      <c r="M370" s="35">
        <f t="shared" si="52"/>
        <v>0</v>
      </c>
      <c r="N370" s="68" t="str">
        <f>IFERROR(MAX(_xlfn.MAXIFS('[2]Controle de Produção'!$C:$C,'[2]Controle de Produção'!$L:$L,$D370,'[2]Controle de Produção'!$P:$P,$C370,'[2]Controle de Produção'!$G:$G,$B370),_xlfn.MAXIFS([3]EXPEDIÇÃO!$N:$N,[3]EXPEDIÇÃO!$E:$E,$D370,[3]EXPEDIÇÃO!$D:$D,$C370,[3]EXPEDIÇÃO!$N:$N,"&gt;="&amp;$G370)),"")</f>
        <v/>
      </c>
      <c r="O370" s="70">
        <f>INDEX([1]Produtos!$E:$E,MATCH($D370,[1]Produtos!$B:$B,0))</f>
        <v>240</v>
      </c>
      <c r="P370" s="70" t="str">
        <f>INDEX([1]Produtos!$F:$F,MATCH($D370,[1]Produtos!$B:$B,0))</f>
        <v>ml</v>
      </c>
      <c r="Q370" s="105">
        <f>INDEX([1]Produtos!$Y:$Y,MATCH($D370,[1]Produtos!$B:$B,0))</f>
        <v>1.48</v>
      </c>
      <c r="R370" s="35">
        <f t="shared" si="53"/>
        <v>5520.5897431648482</v>
      </c>
      <c r="S370" s="27">
        <f>IFERROR(INDEX([1]Produtos!$L:$L,MATCH(D370,[1]Produtos!$B:$B,0)), "")</f>
        <v>613.39886035164977</v>
      </c>
      <c r="T370" s="28">
        <f t="shared" si="54"/>
        <v>4.1999999999999993</v>
      </c>
      <c r="U370" s="28" t="str">
        <f t="shared" si="55"/>
        <v>0D e 5h</v>
      </c>
      <c r="V370" s="27">
        <f>IFERROR(SUMIFS('[2]Controle de Produção'!$K:$K,'[2]Controle de Produção'!$L:$L,D370,'[2]Controle de Produção'!$P:$P,C370,'[2]Controle de Produção'!$B:$B,"&gt;=" &amp; G370,'[2]Controle de Produção'!$C:$C,"&lt;=" &amp; N370, '[2]Controle de Produção'!$G:$G,B370), "")</f>
        <v>0</v>
      </c>
      <c r="W370" s="27" t="str">
        <f>IFERROR(SUMIFS([3]EXPEDIÇÃO!$K:$K,[3]EXPEDIÇÃO!$E:$E,D370,[3]EXPEDIÇÃO!$D:$D,C370,[3]EXPEDIÇÃO!$N:$N,"&gt;=" &amp; G370,[3]EXPEDIÇÃO!$N:$N,"&lt;="&amp;N370), "")</f>
        <v/>
      </c>
      <c r="X370" s="27">
        <f>COUNTIFS('[2]Controle de Produção'!$P:$P,C370,'[2]Controle de Produção'!$L:$L,D370,'[2]Controle de Produção'!$B:$B,"&gt;=" &amp; G370)</f>
        <v>1</v>
      </c>
      <c r="Y370" s="27">
        <f t="shared" si="56"/>
        <v>0</v>
      </c>
      <c r="Z370" s="27">
        <f>IFERROR(COUNTIFS('[2]Controle de Produção'!$L:$L,D370,'[2]Controle de Produção'!$P:$P,C370,'[2]Controle de Produção'!$B:$B,"&gt;=" &amp; G370,'[2]Controle de Produção'!$C:$C,"&lt;=" &amp; N370, '[2]Controle de Produção'!$G:$G,B370), "")</f>
        <v>0</v>
      </c>
      <c r="AA370" s="108" t="str">
        <f t="shared" si="58"/>
        <v/>
      </c>
      <c r="AB370" s="41" t="s">
        <v>60</v>
      </c>
      <c r="AC370" s="42" t="b">
        <v>1</v>
      </c>
      <c r="AD370" s="42" t="b">
        <v>1</v>
      </c>
      <c r="AE370" s="42" t="b">
        <v>1</v>
      </c>
      <c r="AF370" s="42" t="b">
        <v>1</v>
      </c>
      <c r="AG370" s="42" t="s">
        <v>38</v>
      </c>
      <c r="AH370" s="42" t="s">
        <v>38</v>
      </c>
      <c r="AI370" s="42" t="b">
        <v>1</v>
      </c>
      <c r="AJ370" s="42" t="b">
        <v>1</v>
      </c>
      <c r="AK370" s="42" t="s">
        <v>38</v>
      </c>
      <c r="AL370" s="42" t="b">
        <v>1</v>
      </c>
      <c r="AM370" s="42" t="b">
        <v>1</v>
      </c>
      <c r="AN370" s="42" t="b">
        <v>1</v>
      </c>
      <c r="AO370" s="45" t="b" cm="1">
        <f t="array" ref="AO370">AND(COUNTIF(AC370:AN370,FALSE)=0,SUMPRODUCT(ISNUMBER(AC370:AN370)*1)=0)</f>
        <v>1</v>
      </c>
      <c r="AP370" s="59"/>
      <c r="AQ370" s="111">
        <f>IF(AB370="",99999999999,IFERROR(MATCH(AB370,{"Produção Parcial","Em Produção","Programado","Não Iniciado","Desenvolv.","Concluído"},0),7)*100000000+IF(ISNUMBER(J370),J370-46000,9999)*10000+IF(A370="",99,A370)*100+IF(C370="",99,CODE(LEFT(C370,1))))</f>
        <v>699990465</v>
      </c>
    </row>
    <row r="371" spans="1:702" s="36" customFormat="1" ht="25.15" hidden="1" customHeight="1" x14ac:dyDescent="0.25">
      <c r="A371" s="36">
        <v>4</v>
      </c>
      <c r="B371" s="38" t="s">
        <v>158</v>
      </c>
      <c r="C371" s="70" t="str">
        <f>INDEX([1]Produtos!$G:$G,MATCH($D371,[1]Produtos!$B:$B,0))</f>
        <v>AMEERATI</v>
      </c>
      <c r="D371" s="24" t="s">
        <v>196</v>
      </c>
      <c r="E371" s="70" t="str">
        <f>INDEX([1]Produtos!$C:$C,MATCH($D371,[1]Produtos!$B:$B,0))&amp;IF($F371&lt;&gt;"-"," - "&amp;LEFT($F371,1),"")&amp;" &gt; "&amp;$B371</f>
        <v>BODY CREAM MEL DE ESPECIARIAS - 2 &gt; AMEERATI 01</v>
      </c>
      <c r="F371" s="51">
        <v>2</v>
      </c>
      <c r="G371" s="38">
        <v>46013</v>
      </c>
      <c r="H371" s="39">
        <f t="shared" si="59"/>
        <v>2520</v>
      </c>
      <c r="I371" s="24" t="s">
        <v>39</v>
      </c>
      <c r="J371" s="68" t="str" cm="1">
        <f t="array" ref="J371">IFERROR(INDEX('[2]Previsão Envase'!$D$5:$D$4867, MATCH(1,('[2]Previsão Envase'!$F$5:$F$4867=$E371)+('[2]Previsão Envase'!$G$5:$G$4867=$E371)+('[2]Previsão Envase'!$H$5:$H$4867=$E371),0)),"")</f>
        <v/>
      </c>
      <c r="K371" s="68" t="str">
        <f>IF(COUNTIF('[2]Previsão Envase'!$F:$F,E371)&gt;0,"Linha 1",
IF(COUNTIF('[2]Previsão Envase'!$G:$G,E371)&gt;0,"Linha 2",
IF(COUNTIF('[2]Previsão Envase'!$H:$H,E371)&gt;0,"Linha 3","")))</f>
        <v/>
      </c>
      <c r="L371" s="96">
        <f>COUNTIF('[2]Previsão Envase'!$F:$H,E371)-COUNTIF('[2]Previsão Envase'!$F$1:$H$4,E371)</f>
        <v>0</v>
      </c>
      <c r="M371" s="35">
        <f t="shared" si="52"/>
        <v>0</v>
      </c>
      <c r="N371" s="68" t="str">
        <f>IFERROR(MAX(_xlfn.MAXIFS('[2]Controle de Produção'!$C:$C,'[2]Controle de Produção'!$L:$L,$D371,'[2]Controle de Produção'!$P:$P,$C371,'[2]Controle de Produção'!$G:$G,$B371),_xlfn.MAXIFS([3]EXPEDIÇÃO!$N:$N,[3]EXPEDIÇÃO!$E:$E,$D371,[3]EXPEDIÇÃO!$D:$D,$C371,[3]EXPEDIÇÃO!$N:$N,"&gt;="&amp;$G371)),"")</f>
        <v/>
      </c>
      <c r="O371" s="70">
        <f>INDEX([1]Produtos!$E:$E,MATCH($D371,[1]Produtos!$B:$B,0))</f>
        <v>240</v>
      </c>
      <c r="P371" s="70" t="str">
        <f>INDEX([1]Produtos!$F:$F,MATCH($D371,[1]Produtos!$B:$B,0))</f>
        <v>ml</v>
      </c>
      <c r="Q371" s="105">
        <f>INDEX([1]Produtos!$Y:$Y,MATCH($D371,[1]Produtos!$B:$B,0))</f>
        <v>1.48</v>
      </c>
      <c r="R371" s="35">
        <f t="shared" si="53"/>
        <v>5520.5897431648482</v>
      </c>
      <c r="S371" s="27">
        <f>IFERROR(INDEX([1]Produtos!$L:$L,MATCH(D371,[1]Produtos!$B:$B,0)), "")</f>
        <v>613.39886035164977</v>
      </c>
      <c r="T371" s="28">
        <f t="shared" si="54"/>
        <v>4.1999999999999993</v>
      </c>
      <c r="U371" s="28" t="str">
        <f t="shared" si="55"/>
        <v>0D e 5h</v>
      </c>
      <c r="V371" s="27">
        <f>IFERROR(SUMIFS('[2]Controle de Produção'!$K:$K,'[2]Controle de Produção'!$L:$L,D371,'[2]Controle de Produção'!$P:$P,C371,'[2]Controle de Produção'!$B:$B,"&gt;=" &amp; G371,'[2]Controle de Produção'!$C:$C,"&lt;=" &amp; N371, '[2]Controle de Produção'!$G:$G,B371), "")</f>
        <v>0</v>
      </c>
      <c r="W371" s="27" t="str">
        <f>IFERROR(SUMIFS([3]EXPEDIÇÃO!$K:$K,[3]EXPEDIÇÃO!$E:$E,D371,[3]EXPEDIÇÃO!$D:$D,C371,[3]EXPEDIÇÃO!$N:$N,"&gt;=" &amp; G371,[3]EXPEDIÇÃO!$N:$N,"&lt;="&amp;N371), "")</f>
        <v/>
      </c>
      <c r="X371" s="27">
        <f>COUNTIFS('[2]Controle de Produção'!$P:$P,C371,'[2]Controle de Produção'!$L:$L,D371,'[2]Controle de Produção'!$B:$B,"&gt;=" &amp; G371)</f>
        <v>1</v>
      </c>
      <c r="Y371" s="27">
        <f t="shared" si="56"/>
        <v>0</v>
      </c>
      <c r="Z371" s="27">
        <f>IFERROR(COUNTIFS('[2]Controle de Produção'!$L:$L,D371,'[2]Controle de Produção'!$P:$P,C371,'[2]Controle de Produção'!$B:$B,"&gt;=" &amp; G371,'[2]Controle de Produção'!$C:$C,"&lt;=" &amp; N371, '[2]Controle de Produção'!$G:$G,B371), "")</f>
        <v>0</v>
      </c>
      <c r="AA371" s="108" t="str">
        <f t="shared" si="58"/>
        <v/>
      </c>
      <c r="AB371" s="41" t="s">
        <v>60</v>
      </c>
      <c r="AC371" s="42" t="b">
        <v>1</v>
      </c>
      <c r="AD371" s="42" t="b">
        <v>1</v>
      </c>
      <c r="AE371" s="42" t="b">
        <v>1</v>
      </c>
      <c r="AF371" s="42" t="b">
        <v>1</v>
      </c>
      <c r="AG371" s="42" t="s">
        <v>38</v>
      </c>
      <c r="AH371" s="42" t="s">
        <v>38</v>
      </c>
      <c r="AI371" s="42" t="b">
        <v>1</v>
      </c>
      <c r="AJ371" s="42" t="b">
        <v>1</v>
      </c>
      <c r="AK371" s="42" t="s">
        <v>38</v>
      </c>
      <c r="AL371" s="42" t="b">
        <v>1</v>
      </c>
      <c r="AM371" s="42" t="b">
        <v>1</v>
      </c>
      <c r="AN371" s="42" t="b">
        <v>1</v>
      </c>
      <c r="AO371" s="45" t="b" cm="1">
        <f t="array" ref="AO371">AND(COUNTIF(AC371:AN371,FALSE)=0,SUMPRODUCT(ISNUMBER(AC371:AN371)*1)=0)</f>
        <v>1</v>
      </c>
      <c r="AP371" s="59"/>
      <c r="AQ371" s="111">
        <f>IF(AB371="",99999999999,IFERROR(MATCH(AB371,{"Produção Parcial","Em Produção","Programado","Não Iniciado","Desenvolv.","Concluído"},0),7)*100000000+IF(ISNUMBER(J371),J371-46000,9999)*10000+IF(A371="",99,A371)*100+IF(C371="",99,CODE(LEFT(C371,1))))</f>
        <v>699990465</v>
      </c>
    </row>
    <row r="372" spans="1:702" s="36" customFormat="1" ht="25.15" hidden="1" customHeight="1" x14ac:dyDescent="0.25">
      <c r="A372" s="36">
        <v>4</v>
      </c>
      <c r="B372" s="38" t="s">
        <v>158</v>
      </c>
      <c r="C372" s="70" t="str">
        <f>INDEX([1]Produtos!$G:$G,MATCH($D372,[1]Produtos!$B:$B,0))</f>
        <v>AMEERATI</v>
      </c>
      <c r="D372" s="24" t="s">
        <v>206</v>
      </c>
      <c r="E372" s="70" t="str">
        <f>INDEX([1]Produtos!$C:$C,MATCH($D372,[1]Produtos!$B:$B,0))&amp;IF($F372&lt;&gt;"-"," - "&amp;LEFT($F372,1),"")&amp;" &gt; "&amp;$B372</f>
        <v>BODY CREAM PEROLA DO DESERTO - 2 &gt; AMEERATI 01</v>
      </c>
      <c r="F372" s="51">
        <v>2</v>
      </c>
      <c r="G372" s="38">
        <v>46013</v>
      </c>
      <c r="H372" s="39">
        <f t="shared" si="59"/>
        <v>2520</v>
      </c>
      <c r="I372" s="24" t="s">
        <v>39</v>
      </c>
      <c r="J372" s="68" t="str" cm="1">
        <f t="array" ref="J372">IFERROR(INDEX('[2]Previsão Envase'!$D$5:$D$4867, MATCH(1,('[2]Previsão Envase'!$F$5:$F$4867=$E372)+('[2]Previsão Envase'!$G$5:$G$4867=$E372)+('[2]Previsão Envase'!$H$5:$H$4867=$E372),0)),"")</f>
        <v/>
      </c>
      <c r="K372" s="68" t="str">
        <f>IF(COUNTIF('[2]Previsão Envase'!$F:$F,E372)&gt;0,"Linha 1",
IF(COUNTIF('[2]Previsão Envase'!$G:$G,E372)&gt;0,"Linha 2",
IF(COUNTIF('[2]Previsão Envase'!$H:$H,E372)&gt;0,"Linha 3","")))</f>
        <v/>
      </c>
      <c r="L372" s="96">
        <f>COUNTIF('[2]Previsão Envase'!$F:$H,E372)-COUNTIF('[2]Previsão Envase'!$F$1:$H$4,E372)</f>
        <v>0</v>
      </c>
      <c r="M372" s="35">
        <f t="shared" si="52"/>
        <v>0</v>
      </c>
      <c r="N372" s="68" t="str">
        <f>IFERROR(MAX(_xlfn.MAXIFS('[2]Controle de Produção'!$C:$C,'[2]Controle de Produção'!$L:$L,$D372,'[2]Controle de Produção'!$P:$P,$C372,'[2]Controle de Produção'!$G:$G,$B372),_xlfn.MAXIFS([3]EXPEDIÇÃO!$N:$N,[3]EXPEDIÇÃO!$E:$E,$D372,[3]EXPEDIÇÃO!$D:$D,$C372,[3]EXPEDIÇÃO!$N:$N,"&gt;="&amp;$G372)),"")</f>
        <v/>
      </c>
      <c r="O372" s="70">
        <f>INDEX([1]Produtos!$E:$E,MATCH($D372,[1]Produtos!$B:$B,0))</f>
        <v>240</v>
      </c>
      <c r="P372" s="70" t="str">
        <f>INDEX([1]Produtos!$F:$F,MATCH($D372,[1]Produtos!$B:$B,0))</f>
        <v>ml</v>
      </c>
      <c r="Q372" s="105">
        <f>INDEX([1]Produtos!$Y:$Y,MATCH($D372,[1]Produtos!$B:$B,0))</f>
        <v>1.48</v>
      </c>
      <c r="R372" s="35">
        <f t="shared" si="53"/>
        <v>5520.5897431648482</v>
      </c>
      <c r="S372" s="27">
        <f>IFERROR(INDEX([1]Produtos!$L:$L,MATCH(D372,[1]Produtos!$B:$B,0)), "")</f>
        <v>613.39886035164977</v>
      </c>
      <c r="T372" s="28">
        <f t="shared" si="54"/>
        <v>4.1999999999999993</v>
      </c>
      <c r="U372" s="28" t="str">
        <f t="shared" si="55"/>
        <v>0D e 5h</v>
      </c>
      <c r="V372" s="27">
        <f>IFERROR(SUMIFS('[2]Controle de Produção'!$K:$K,'[2]Controle de Produção'!$L:$L,D372,'[2]Controle de Produção'!$P:$P,C372,'[2]Controle de Produção'!$B:$B,"&gt;=" &amp; G372,'[2]Controle de Produção'!$C:$C,"&lt;=" &amp; N372, '[2]Controle de Produção'!$G:$G,B372), "")</f>
        <v>0</v>
      </c>
      <c r="W372" s="27" t="str">
        <f>IFERROR(SUMIFS([3]EXPEDIÇÃO!$K:$K,[3]EXPEDIÇÃO!$E:$E,D372,[3]EXPEDIÇÃO!$D:$D,C372,[3]EXPEDIÇÃO!$N:$N,"&gt;=" &amp; G372,[3]EXPEDIÇÃO!$N:$N,"&lt;="&amp;N372), "")</f>
        <v/>
      </c>
      <c r="X372" s="27">
        <f>COUNTIFS('[2]Controle de Produção'!$P:$P,C372,'[2]Controle de Produção'!$L:$L,D372,'[2]Controle de Produção'!$B:$B,"&gt;=" &amp; G372)</f>
        <v>1</v>
      </c>
      <c r="Y372" s="27">
        <f t="shared" si="56"/>
        <v>0</v>
      </c>
      <c r="Z372" s="27">
        <f>IFERROR(COUNTIFS('[2]Controle de Produção'!$L:$L,D372,'[2]Controle de Produção'!$P:$P,C372,'[2]Controle de Produção'!$B:$B,"&gt;=" &amp; G372,'[2]Controle de Produção'!$C:$C,"&lt;=" &amp; N372, '[2]Controle de Produção'!$G:$G,B372), "")</f>
        <v>0</v>
      </c>
      <c r="AA372" s="108" t="str">
        <f t="shared" si="58"/>
        <v/>
      </c>
      <c r="AB372" s="41" t="s">
        <v>60</v>
      </c>
      <c r="AC372" s="42" t="b">
        <v>1</v>
      </c>
      <c r="AD372" s="42" t="b">
        <v>1</v>
      </c>
      <c r="AE372" s="42" t="b">
        <v>1</v>
      </c>
      <c r="AF372" s="42" t="b">
        <v>1</v>
      </c>
      <c r="AG372" s="42" t="s">
        <v>38</v>
      </c>
      <c r="AH372" s="42" t="s">
        <v>38</v>
      </c>
      <c r="AI372" s="42" t="b">
        <v>1</v>
      </c>
      <c r="AJ372" s="42" t="b">
        <v>1</v>
      </c>
      <c r="AK372" s="42" t="s">
        <v>38</v>
      </c>
      <c r="AL372" s="42" t="b">
        <v>1</v>
      </c>
      <c r="AM372" s="42" t="b">
        <v>1</v>
      </c>
      <c r="AN372" s="42" t="b">
        <v>1</v>
      </c>
      <c r="AO372" s="45" t="b" cm="1">
        <f t="array" ref="AO372">AND(COUNTIF(AC372:AN372,FALSE)=0,SUMPRODUCT(ISNUMBER(AC372:AN372)*1)=0)</f>
        <v>1</v>
      </c>
      <c r="AP372" s="59"/>
      <c r="AQ372" s="111">
        <f>IF(AB372="",99999999999,IFERROR(MATCH(AB372,{"Produção Parcial","Em Produção","Programado","Não Iniciado","Desenvolv.","Concluído"},0),7)*100000000+IF(ISNUMBER(J372),J372-46000,9999)*10000+IF(A372="",99,A372)*100+IF(C372="",99,CODE(LEFT(C372,1))))</f>
        <v>699990465</v>
      </c>
    </row>
    <row r="373" spans="1:702" s="36" customFormat="1" ht="25.15" hidden="1" customHeight="1" x14ac:dyDescent="0.25">
      <c r="A373" s="36">
        <v>4</v>
      </c>
      <c r="B373" s="38" t="s">
        <v>158</v>
      </c>
      <c r="C373" s="70" t="str">
        <f>INDEX([1]Produtos!$G:$G,MATCH($D373,[1]Produtos!$B:$B,0))</f>
        <v>AMEERATI</v>
      </c>
      <c r="D373" s="24" t="s">
        <v>164</v>
      </c>
      <c r="E373" s="70" t="str">
        <f>INDEX([1]Produtos!$C:$C,MATCH($D373,[1]Produtos!$B:$B,0))&amp;IF($F373&lt;&gt;"-"," - "&amp;LEFT($F373,1),"")&amp;" &gt; "&amp;$B373</f>
        <v>BODY CREAM SONHO DE PISTACHE - 2 &gt; AMEERATI 01</v>
      </c>
      <c r="F373" s="51">
        <v>2</v>
      </c>
      <c r="G373" s="38">
        <v>46013</v>
      </c>
      <c r="H373" s="39">
        <f t="shared" si="59"/>
        <v>2520</v>
      </c>
      <c r="I373" s="24" t="s">
        <v>39</v>
      </c>
      <c r="J373" s="68" t="str" cm="1">
        <f t="array" ref="J373">IFERROR(INDEX('[2]Previsão Envase'!$D$5:$D$4867, MATCH(1,('[2]Previsão Envase'!$F$5:$F$4867=$E373)+('[2]Previsão Envase'!$G$5:$G$4867=$E373)+('[2]Previsão Envase'!$H$5:$H$4867=$E373),0)),"")</f>
        <v/>
      </c>
      <c r="K373" s="68" t="str">
        <f>IF(COUNTIF('[2]Previsão Envase'!$F:$F,E373)&gt;0,"Linha 1",
IF(COUNTIF('[2]Previsão Envase'!$G:$G,E373)&gt;0,"Linha 2",
IF(COUNTIF('[2]Previsão Envase'!$H:$H,E373)&gt;0,"Linha 3","")))</f>
        <v/>
      </c>
      <c r="L373" s="96">
        <f>COUNTIF('[2]Previsão Envase'!$F:$H,E373)-COUNTIF('[2]Previsão Envase'!$F$1:$H$4,E373)</f>
        <v>0</v>
      </c>
      <c r="M373" s="35">
        <f t="shared" si="52"/>
        <v>0</v>
      </c>
      <c r="N373" s="68" t="str">
        <f>IFERROR(MAX(_xlfn.MAXIFS('[2]Controle de Produção'!$C:$C,'[2]Controle de Produção'!$L:$L,$D373,'[2]Controle de Produção'!$P:$P,$C373,'[2]Controle de Produção'!$G:$G,$B373),_xlfn.MAXIFS([3]EXPEDIÇÃO!$N:$N,[3]EXPEDIÇÃO!$E:$E,$D373,[3]EXPEDIÇÃO!$D:$D,$C373,[3]EXPEDIÇÃO!$N:$N,"&gt;="&amp;$G373)),"")</f>
        <v/>
      </c>
      <c r="O373" s="70">
        <f>INDEX([1]Produtos!$E:$E,MATCH($D373,[1]Produtos!$B:$B,0))</f>
        <v>240</v>
      </c>
      <c r="P373" s="70" t="str">
        <f>INDEX([1]Produtos!$F:$F,MATCH($D373,[1]Produtos!$B:$B,0))</f>
        <v>ml</v>
      </c>
      <c r="Q373" s="105">
        <f>INDEX([1]Produtos!$Y:$Y,MATCH($D373,[1]Produtos!$B:$B,0))</f>
        <v>1.48</v>
      </c>
      <c r="R373" s="35">
        <f t="shared" si="53"/>
        <v>5520.5897431648482</v>
      </c>
      <c r="S373" s="27">
        <f>IFERROR(INDEX([1]Produtos!$L:$L,MATCH(D373,[1]Produtos!$B:$B,0)), "")</f>
        <v>613.39886035164977</v>
      </c>
      <c r="T373" s="28">
        <f t="shared" si="54"/>
        <v>4.1999999999999993</v>
      </c>
      <c r="U373" s="28" t="str">
        <f t="shared" si="55"/>
        <v>0D e 5h</v>
      </c>
      <c r="V373" s="27">
        <f>IFERROR(SUMIFS('[2]Controle de Produção'!$K:$K,'[2]Controle de Produção'!$L:$L,D373,'[2]Controle de Produção'!$P:$P,C373,'[2]Controle de Produção'!$B:$B,"&gt;=" &amp; G373,'[2]Controle de Produção'!$C:$C,"&lt;=" &amp; N373, '[2]Controle de Produção'!$G:$G,B373), "")</f>
        <v>0</v>
      </c>
      <c r="W373" s="27" t="str">
        <f>IFERROR(SUMIFS([3]EXPEDIÇÃO!$K:$K,[3]EXPEDIÇÃO!$E:$E,D373,[3]EXPEDIÇÃO!$D:$D,C373,[3]EXPEDIÇÃO!$N:$N,"&gt;=" &amp; G373,[3]EXPEDIÇÃO!$N:$N,"&lt;="&amp;N373), "")</f>
        <v/>
      </c>
      <c r="X373" s="27">
        <f>COUNTIFS('[2]Controle de Produção'!$P:$P,C373,'[2]Controle de Produção'!$L:$L,D373,'[2]Controle de Produção'!$B:$B,"&gt;=" &amp; G373)</f>
        <v>1</v>
      </c>
      <c r="Y373" s="27">
        <f t="shared" si="56"/>
        <v>0</v>
      </c>
      <c r="Z373" s="27">
        <f>IFERROR(COUNTIFS('[2]Controle de Produção'!$L:$L,D373,'[2]Controle de Produção'!$P:$P,C373,'[2]Controle de Produção'!$B:$B,"&gt;=" &amp; G373,'[2]Controle de Produção'!$C:$C,"&lt;=" &amp; N373, '[2]Controle de Produção'!$G:$G,B373), "")</f>
        <v>0</v>
      </c>
      <c r="AA373" s="108" t="str">
        <f t="shared" si="58"/>
        <v/>
      </c>
      <c r="AB373" s="41" t="s">
        <v>60</v>
      </c>
      <c r="AC373" s="42" t="b">
        <v>1</v>
      </c>
      <c r="AD373" s="42" t="b">
        <v>1</v>
      </c>
      <c r="AE373" s="42" t="b">
        <v>1</v>
      </c>
      <c r="AF373" s="42" t="b">
        <v>1</v>
      </c>
      <c r="AG373" s="42" t="s">
        <v>38</v>
      </c>
      <c r="AH373" s="42" t="s">
        <v>38</v>
      </c>
      <c r="AI373" s="42" t="b">
        <v>1</v>
      </c>
      <c r="AJ373" s="42" t="s">
        <v>38</v>
      </c>
      <c r="AK373" s="42" t="s">
        <v>38</v>
      </c>
      <c r="AL373" s="42" t="b">
        <v>1</v>
      </c>
      <c r="AM373" s="42" t="b">
        <v>1</v>
      </c>
      <c r="AN373" s="42" t="b">
        <v>1</v>
      </c>
      <c r="AO373" s="45" t="b" cm="1">
        <f t="array" ref="AO373">AND(COUNTIF(AC373:AN373,FALSE)=0,SUMPRODUCT(ISNUMBER(AC373:AN373)*1)=0)</f>
        <v>1</v>
      </c>
      <c r="AP373" s="59"/>
      <c r="AQ373" s="111">
        <f>IF(AB373="",99999999999,IFERROR(MATCH(AB373,{"Produção Parcial","Em Produção","Programado","Não Iniciado","Desenvolv.","Concluído"},0),7)*100000000+IF(ISNUMBER(J373),J373-46000,9999)*10000+IF(A373="",99,A373)*100+IF(C373="",99,CODE(LEFT(C373,1))))</f>
        <v>699990465</v>
      </c>
    </row>
    <row r="374" spans="1:702" s="36" customFormat="1" ht="25.15" hidden="1" customHeight="1" x14ac:dyDescent="0.25">
      <c r="A374" s="36">
        <v>4</v>
      </c>
      <c r="B374" s="38" t="s">
        <v>158</v>
      </c>
      <c r="C374" s="70" t="str">
        <f>INDEX([1]Produtos!$G:$G,MATCH($D374,[1]Produtos!$B:$B,0))</f>
        <v>AMEERATI</v>
      </c>
      <c r="D374" s="24" t="s">
        <v>159</v>
      </c>
      <c r="E374" s="70" t="str">
        <f>INDEX([1]Produtos!$C:$C,MATCH($D374,[1]Produtos!$B:$B,0))&amp;IF($F374&lt;&gt;"-"," - "&amp;LEFT($F374,1),"")&amp;" &gt; "&amp;$B374</f>
        <v>BODY CREAM SUBLIME CEREJA - 2 &gt; AMEERATI 01</v>
      </c>
      <c r="F374" s="51">
        <v>2</v>
      </c>
      <c r="G374" s="38">
        <v>46013</v>
      </c>
      <c r="H374" s="39">
        <f t="shared" si="59"/>
        <v>2520</v>
      </c>
      <c r="I374" s="24" t="s">
        <v>39</v>
      </c>
      <c r="J374" s="68" t="str" cm="1">
        <f t="array" ref="J374">IFERROR(INDEX('[2]Previsão Envase'!$D$5:$D$4867, MATCH(1,('[2]Previsão Envase'!$F$5:$F$4867=$E374)+('[2]Previsão Envase'!$G$5:$G$4867=$E374)+('[2]Previsão Envase'!$H$5:$H$4867=$E374),0)),"")</f>
        <v/>
      </c>
      <c r="K374" s="68" t="str">
        <f>IF(COUNTIF('[2]Previsão Envase'!$F:$F,E374)&gt;0,"Linha 1",
IF(COUNTIF('[2]Previsão Envase'!$G:$G,E374)&gt;0,"Linha 2",
IF(COUNTIF('[2]Previsão Envase'!$H:$H,E374)&gt;0,"Linha 3","")))</f>
        <v/>
      </c>
      <c r="L374" s="96">
        <f>COUNTIF('[2]Previsão Envase'!$F:$H,E374)-COUNTIF('[2]Previsão Envase'!$F$1:$H$4,E374)</f>
        <v>0</v>
      </c>
      <c r="M374" s="35">
        <f t="shared" si="52"/>
        <v>0</v>
      </c>
      <c r="N374" s="68" t="str">
        <f>IFERROR(MAX(_xlfn.MAXIFS('[2]Controle de Produção'!$C:$C,'[2]Controle de Produção'!$L:$L,$D374,'[2]Controle de Produção'!$P:$P,$C374,'[2]Controle de Produção'!$G:$G,$B374),_xlfn.MAXIFS([3]EXPEDIÇÃO!$N:$N,[3]EXPEDIÇÃO!$E:$E,$D374,[3]EXPEDIÇÃO!$D:$D,$C374,[3]EXPEDIÇÃO!$N:$N,"&gt;="&amp;$G374)),"")</f>
        <v/>
      </c>
      <c r="O374" s="70">
        <f>INDEX([1]Produtos!$E:$E,MATCH($D374,[1]Produtos!$B:$B,0))</f>
        <v>240</v>
      </c>
      <c r="P374" s="70" t="str">
        <f>INDEX([1]Produtos!$F:$F,MATCH($D374,[1]Produtos!$B:$B,0))</f>
        <v>ml</v>
      </c>
      <c r="Q374" s="105">
        <f>INDEX([1]Produtos!$Y:$Y,MATCH($D374,[1]Produtos!$B:$B,0))</f>
        <v>1.48</v>
      </c>
      <c r="R374" s="35">
        <f t="shared" si="53"/>
        <v>5520.5897431648482</v>
      </c>
      <c r="S374" s="27">
        <f>IFERROR(INDEX([1]Produtos!$L:$L,MATCH(D374,[1]Produtos!$B:$B,0)), "")</f>
        <v>613.39886035164977</v>
      </c>
      <c r="T374" s="28">
        <f t="shared" si="54"/>
        <v>4.1999999999999993</v>
      </c>
      <c r="U374" s="28" t="str">
        <f t="shared" si="55"/>
        <v>0D e 5h</v>
      </c>
      <c r="V374" s="27">
        <f>IFERROR(SUMIFS('[2]Controle de Produção'!$K:$K,'[2]Controle de Produção'!$L:$L,D374,'[2]Controle de Produção'!$P:$P,C374,'[2]Controle de Produção'!$B:$B,"&gt;=" &amp; G374,'[2]Controle de Produção'!$C:$C,"&lt;=" &amp; N374, '[2]Controle de Produção'!$G:$G,B374), "")</f>
        <v>0</v>
      </c>
      <c r="W374" s="27" t="str">
        <f>IFERROR(SUMIFS([3]EXPEDIÇÃO!$K:$K,[3]EXPEDIÇÃO!$E:$E,D374,[3]EXPEDIÇÃO!$D:$D,C374,[3]EXPEDIÇÃO!$N:$N,"&gt;=" &amp; G374,[3]EXPEDIÇÃO!$N:$N,"&lt;="&amp;N374), "")</f>
        <v/>
      </c>
      <c r="X374" s="27">
        <f>COUNTIFS('[2]Controle de Produção'!$P:$P,C374,'[2]Controle de Produção'!$L:$L,D374,'[2]Controle de Produção'!$B:$B,"&gt;=" &amp; G374)</f>
        <v>1</v>
      </c>
      <c r="Y374" s="27">
        <f t="shared" si="56"/>
        <v>0</v>
      </c>
      <c r="Z374" s="27">
        <f>IFERROR(COUNTIFS('[2]Controle de Produção'!$L:$L,D374,'[2]Controle de Produção'!$P:$P,C374,'[2]Controle de Produção'!$B:$B,"&gt;=" &amp; G374,'[2]Controle de Produção'!$C:$C,"&lt;=" &amp; N374, '[2]Controle de Produção'!$G:$G,B374), "")</f>
        <v>0</v>
      </c>
      <c r="AA374" s="108" t="str">
        <f t="shared" si="58"/>
        <v/>
      </c>
      <c r="AB374" s="41" t="s">
        <v>60</v>
      </c>
      <c r="AC374" s="42" t="b">
        <v>1</v>
      </c>
      <c r="AD374" s="42" t="b">
        <v>1</v>
      </c>
      <c r="AE374" s="42" t="b">
        <v>1</v>
      </c>
      <c r="AF374" s="42" t="b">
        <v>1</v>
      </c>
      <c r="AG374" s="42" t="s">
        <v>38</v>
      </c>
      <c r="AH374" s="42" t="s">
        <v>38</v>
      </c>
      <c r="AI374" s="42" t="b">
        <v>1</v>
      </c>
      <c r="AJ374" s="42" t="s">
        <v>38</v>
      </c>
      <c r="AK374" s="42" t="s">
        <v>38</v>
      </c>
      <c r="AL374" s="42" t="b">
        <v>1</v>
      </c>
      <c r="AM374" s="42" t="b">
        <v>1</v>
      </c>
      <c r="AN374" s="42" t="b">
        <v>1</v>
      </c>
      <c r="AO374" s="45" t="b" cm="1">
        <f t="array" ref="AO374">AND(COUNTIF(AC374:AN374,FALSE)=0,SUMPRODUCT(ISNUMBER(AC374:AN374)*1)=0)</f>
        <v>1</v>
      </c>
      <c r="AP374" s="59"/>
      <c r="AQ374" s="111">
        <f>IF(AB374="",99999999999,IFERROR(MATCH(AB374,{"Produção Parcial","Em Produção","Programado","Não Iniciado","Desenvolv.","Concluído"},0),7)*100000000+IF(ISNUMBER(J374),J374-46000,9999)*10000+IF(A374="",99,A374)*100+IF(C374="",99,CODE(LEFT(C374,1))))</f>
        <v>699990465</v>
      </c>
    </row>
    <row r="375" spans="1:702" s="36" customFormat="1" ht="25.15" hidden="1" customHeight="1" x14ac:dyDescent="0.25">
      <c r="A375" s="36">
        <v>4</v>
      </c>
      <c r="B375" s="38" t="s">
        <v>158</v>
      </c>
      <c r="C375" s="70" t="str">
        <f>INDEX([1]Produtos!$G:$G,MATCH($D375,[1]Produtos!$B:$B,0))</f>
        <v>AMEERATI</v>
      </c>
      <c r="D375" s="24" t="s">
        <v>163</v>
      </c>
      <c r="E375" s="70" t="str">
        <f>INDEX([1]Produtos!$C:$C,MATCH($D375,[1]Produtos!$B:$B,0))&amp;IF($F375&lt;&gt;"-"," - "&amp;LEFT($F375,1),"")&amp;" &gt; "&amp;$B375</f>
        <v>BODY CREAM DOCE ROSA - 2 &gt; AMEERATI 01</v>
      </c>
      <c r="F375" s="51">
        <v>2</v>
      </c>
      <c r="G375" s="38">
        <v>46013</v>
      </c>
      <c r="H375" s="39">
        <f t="shared" si="59"/>
        <v>2520</v>
      </c>
      <c r="I375" s="24" t="s">
        <v>39</v>
      </c>
      <c r="J375" s="68" t="str" cm="1">
        <f t="array" ref="J375">IFERROR(INDEX('[2]Previsão Envase'!$D$5:$D$4867, MATCH(1,('[2]Previsão Envase'!$F$5:$F$4867=$E375)+('[2]Previsão Envase'!$G$5:$G$4867=$E375)+('[2]Previsão Envase'!$H$5:$H$4867=$E375),0)),"")</f>
        <v/>
      </c>
      <c r="K375" s="68" t="str">
        <f>IF(COUNTIF('[2]Previsão Envase'!$F:$F,E375)&gt;0,"Linha 1",
IF(COUNTIF('[2]Previsão Envase'!$G:$G,E375)&gt;0,"Linha 2",
IF(COUNTIF('[2]Previsão Envase'!$H:$H,E375)&gt;0,"Linha 3","")))</f>
        <v/>
      </c>
      <c r="L375" s="96">
        <f>COUNTIF('[2]Previsão Envase'!$F:$H,E375)-COUNTIF('[2]Previsão Envase'!$F$1:$H$4,E375)</f>
        <v>0</v>
      </c>
      <c r="M375" s="35">
        <f t="shared" si="52"/>
        <v>0</v>
      </c>
      <c r="N375" s="68" t="str">
        <f>IFERROR(MAX(_xlfn.MAXIFS('[2]Controle de Produção'!$C:$C,'[2]Controle de Produção'!$L:$L,$D375,'[2]Controle de Produção'!$P:$P,$C375,'[2]Controle de Produção'!$G:$G,$B375),_xlfn.MAXIFS([3]EXPEDIÇÃO!$N:$N,[3]EXPEDIÇÃO!$E:$E,$D375,[3]EXPEDIÇÃO!$D:$D,$C375,[3]EXPEDIÇÃO!$N:$N,"&gt;="&amp;$G375)),"")</f>
        <v/>
      </c>
      <c r="O375" s="70">
        <f>INDEX([1]Produtos!$E:$E,MATCH($D375,[1]Produtos!$B:$B,0))</f>
        <v>240</v>
      </c>
      <c r="P375" s="70" t="str">
        <f>INDEX([1]Produtos!$F:$F,MATCH($D375,[1]Produtos!$B:$B,0))</f>
        <v>ml</v>
      </c>
      <c r="Q375" s="105">
        <f>INDEX([1]Produtos!$Y:$Y,MATCH($D375,[1]Produtos!$B:$B,0))</f>
        <v>1.48</v>
      </c>
      <c r="R375" s="35">
        <f t="shared" si="53"/>
        <v>5520.5897431648482</v>
      </c>
      <c r="S375" s="27">
        <f>IFERROR(INDEX([1]Produtos!$L:$L,MATCH(D375,[1]Produtos!$B:$B,0)), "")</f>
        <v>613.39886035164977</v>
      </c>
      <c r="T375" s="28">
        <f t="shared" si="54"/>
        <v>4.1999999999999993</v>
      </c>
      <c r="U375" s="28" t="str">
        <f t="shared" si="55"/>
        <v>0D e 5h</v>
      </c>
      <c r="V375" s="27">
        <f>IFERROR(SUMIFS('[2]Controle de Produção'!$K:$K,'[2]Controle de Produção'!$L:$L,D375,'[2]Controle de Produção'!$P:$P,C375,'[2]Controle de Produção'!$B:$B,"&gt;=" &amp; G375,'[2]Controle de Produção'!$C:$C,"&lt;=" &amp; N375, '[2]Controle de Produção'!$G:$G,B375), "")</f>
        <v>0</v>
      </c>
      <c r="W375" s="27" t="str">
        <f>IFERROR(SUMIFS([3]EXPEDIÇÃO!$K:$K,[3]EXPEDIÇÃO!$E:$E,D375,[3]EXPEDIÇÃO!$D:$D,C375,[3]EXPEDIÇÃO!$N:$N,"&gt;=" &amp; G375,[3]EXPEDIÇÃO!$N:$N,"&lt;="&amp;N375), "")</f>
        <v/>
      </c>
      <c r="X375" s="27">
        <f>COUNTIFS('[2]Controle de Produção'!$P:$P,C375,'[2]Controle de Produção'!$L:$L,D375,'[2]Controle de Produção'!$B:$B,"&gt;=" &amp; G375)</f>
        <v>1</v>
      </c>
      <c r="Y375" s="27">
        <f t="shared" si="56"/>
        <v>0</v>
      </c>
      <c r="Z375" s="27">
        <f>IFERROR(COUNTIFS('[2]Controle de Produção'!$L:$L,D375,'[2]Controle de Produção'!$P:$P,C375,'[2]Controle de Produção'!$B:$B,"&gt;=" &amp; G375,'[2]Controle de Produção'!$C:$C,"&lt;=" &amp; N375, '[2]Controle de Produção'!$G:$G,B375), "")</f>
        <v>0</v>
      </c>
      <c r="AA375" s="108" t="str">
        <f t="shared" si="58"/>
        <v/>
      </c>
      <c r="AB375" s="41" t="s">
        <v>60</v>
      </c>
      <c r="AC375" s="42" t="b">
        <v>1</v>
      </c>
      <c r="AD375" s="42" t="b">
        <v>1</v>
      </c>
      <c r="AE375" s="42" t="b">
        <v>1</v>
      </c>
      <c r="AF375" s="42" t="b">
        <v>1</v>
      </c>
      <c r="AG375" s="42" t="s">
        <v>38</v>
      </c>
      <c r="AH375" s="42" t="s">
        <v>38</v>
      </c>
      <c r="AI375" s="42" t="b">
        <v>1</v>
      </c>
      <c r="AJ375" s="42" t="b">
        <v>1</v>
      </c>
      <c r="AK375" s="42" t="s">
        <v>38</v>
      </c>
      <c r="AL375" s="42" t="b">
        <v>1</v>
      </c>
      <c r="AM375" s="42" t="b">
        <v>1</v>
      </c>
      <c r="AN375" s="42" t="b">
        <v>1</v>
      </c>
      <c r="AO375" s="45" t="b" cm="1">
        <f t="array" ref="AO375">AND(COUNTIF(AC375:AN375,FALSE)=0,SUMPRODUCT(ISNUMBER(AC375:AN375)*1)=0)</f>
        <v>1</v>
      </c>
      <c r="AP375" s="59"/>
      <c r="AQ375" s="111">
        <f>IF(AB375="",99999999999,IFERROR(MATCH(AB375,{"Produção Parcial","Em Produção","Programado","Não Iniciado","Desenvolv.","Concluído"},0),7)*100000000+IF(ISNUMBER(J375),J375-46000,9999)*10000+IF(A375="",99,A375)*100+IF(C375="",99,CODE(LEFT(C375,1))))</f>
        <v>699990465</v>
      </c>
    </row>
    <row r="376" spans="1:702" s="36" customFormat="1" ht="0" hidden="1" customHeight="1" x14ac:dyDescent="0.25">
      <c r="A376"/>
      <c r="B376" s="38" t="s">
        <v>158</v>
      </c>
      <c r="C376" s="70" t="str">
        <f>INDEX([1]Produtos!$G:$G,MATCH($D376,[1]Produtos!$B:$B,0))</f>
        <v>AMEERATI</v>
      </c>
      <c r="D376" s="24" t="s">
        <v>265</v>
      </c>
      <c r="E376" s="70" t="str">
        <f>INDEX([1]Produtos!$C:$C,MATCH($D376,[1]Produtos!$B:$B,0))&amp;IF($F376&lt;&gt;"-"," - "&amp;LEFT($F376,1),"")&amp;" &gt; "&amp;$B376</f>
        <v>BODY MIST JARDINS DO ORIENTE - 1 &gt; AMEERATI 01</v>
      </c>
      <c r="F376" s="51">
        <v>1</v>
      </c>
      <c r="G376" s="38">
        <v>45959</v>
      </c>
      <c r="H376" s="39">
        <v>840</v>
      </c>
      <c r="I376" s="24" t="s">
        <v>39</v>
      </c>
      <c r="J376" s="68" t="str" cm="1">
        <f t="array" ref="J376">IFERROR(INDEX('[2]Previsão Envase'!$D$5:$D$4867, MATCH(1,('[2]Previsão Envase'!$F$5:$F$4867=$E376)+('[2]Previsão Envase'!$G$5:$G$4867=$E376)+('[2]Previsão Envase'!$H$5:$H$4867=$E376),0)),"")</f>
        <v/>
      </c>
      <c r="K376" s="68" t="str">
        <f>IF(COUNTIF('[2]Previsão Envase'!$F:$F,E376)&gt;0,"Linha 1",
IF(COUNTIF('[2]Previsão Envase'!$G:$G,E376)&gt;0,"Linha 2",
IF(COUNTIF('[2]Previsão Envase'!$H:$H,E376)&gt;0,"Linha 3","")))</f>
        <v/>
      </c>
      <c r="L376" s="96">
        <f>COUNTIF('[2]Previsão Envase'!$F:$H,E376)-COUNTIF('[2]Previsão Envase'!$F$1:$H$4,E376)</f>
        <v>0</v>
      </c>
      <c r="M376" s="35">
        <f t="shared" si="52"/>
        <v>0</v>
      </c>
      <c r="N376" s="68" t="str">
        <f>IFERROR(MAX(_xlfn.MAXIFS('[2]Controle de Produção'!$C:$C,'[2]Controle de Produção'!$L:$L,$D376,'[2]Controle de Produção'!$P:$P,$C376,'[2]Controle de Produção'!$G:$G,$B376),_xlfn.MAXIFS([3]EXPEDIÇÃO!$N:$N,[3]EXPEDIÇÃO!$E:$E,$D376,[3]EXPEDIÇÃO!$D:$D,$C376,[3]EXPEDIÇÃO!$N:$N,"&gt;="&amp;$G376)),"")</f>
        <v/>
      </c>
      <c r="O376" s="70">
        <f>INDEX([1]Produtos!$E:$E,MATCH($D376,[1]Produtos!$B:$B,0))</f>
        <v>250</v>
      </c>
      <c r="P376" s="70" t="str">
        <f>INDEX([1]Produtos!$F:$F,MATCH($D376,[1]Produtos!$B:$B,0))</f>
        <v>ml</v>
      </c>
      <c r="Q376" s="105">
        <f>INDEX([1]Produtos!$Y:$Y,MATCH($D376,[1]Produtos!$B:$B,0))</f>
        <v>1.35</v>
      </c>
      <c r="R376" s="35">
        <f t="shared" si="53"/>
        <v>7592.2902086267013</v>
      </c>
      <c r="S376" s="27">
        <f>IFERROR(INDEX([1]Produtos!$L:$L,MATCH(D376,[1]Produtos!$B:$B,0)), "")</f>
        <v>843.58780095852239</v>
      </c>
      <c r="T376" s="28">
        <f t="shared" si="54"/>
        <v>1</v>
      </c>
      <c r="U376" s="28" t="str">
        <f t="shared" si="55"/>
        <v>0D e 1h</v>
      </c>
      <c r="V376" s="27">
        <f>IFERROR(SUMIFS('[2]Controle de Produção'!$K:$K,'[2]Controle de Produção'!$L:$L,D376,'[2]Controle de Produção'!$P:$P,C376,'[2]Controle de Produção'!$B:$B,"&gt;=" &amp; G376,'[2]Controle de Produção'!$C:$C,"&lt;=" &amp; N376, '[2]Controle de Produção'!$G:$G,B376), "")</f>
        <v>0</v>
      </c>
      <c r="W376" s="27" t="str">
        <f>IFERROR(SUMIFS([3]EXPEDIÇÃO!$K:$K,[3]EXPEDIÇÃO!$E:$E,D376,[3]EXPEDIÇÃO!$D:$D,C376,[3]EXPEDIÇÃO!$N:$N,"&gt;=" &amp; G376,[3]EXPEDIÇÃO!$N:$N,"&lt;="&amp;N376), "")</f>
        <v/>
      </c>
      <c r="X376" s="27">
        <f>COUNTIFS('[2]Controle de Produção'!$P:$P,C376,'[2]Controle de Produção'!$L:$L,D376,'[2]Controle de Produção'!$B:$B,"&gt;=" &amp; G376)</f>
        <v>3</v>
      </c>
      <c r="Y376" s="27">
        <f t="shared" si="56"/>
        <v>0</v>
      </c>
      <c r="Z376" s="27">
        <f>IFERROR(COUNTIFS('[2]Controle de Produção'!$L:$L,D376,'[2]Controle de Produção'!$P:$P,C376,'[2]Controle de Produção'!$B:$B,"&gt;=" &amp; G376,'[2]Controle de Produção'!$C:$C,"&lt;=" &amp; N376, '[2]Controle de Produção'!$G:$G,B376), "")</f>
        <v>0</v>
      </c>
      <c r="AA376" s="108" t="str">
        <f t="shared" si="58"/>
        <v/>
      </c>
      <c r="AB376" s="41" t="str" cm="1">
        <f t="array" ref="AB376">_xlfn.IFS((H376*0.95)&lt;=V376,"Concluído",AND(V376 =0, J376&lt;&gt;""),"Programado",AND(V376=0,D376=""),"Desenvolv.",V376=0,"Não Iniciado",AND(V376&gt;0,V376&lt;H376,AO376=TRUE),"Em Produção",AND(V376&gt;0,V376&lt;H376,AO376=FALSE),"Produção Parcial")</f>
        <v>Não Iniciado</v>
      </c>
      <c r="AC376" s="42" t="b">
        <v>1</v>
      </c>
      <c r="AD376" s="42" t="b">
        <v>1</v>
      </c>
      <c r="AE376" s="42" t="b">
        <v>1</v>
      </c>
      <c r="AF376" s="42" t="b">
        <v>1</v>
      </c>
      <c r="AG376" s="42" t="s">
        <v>38</v>
      </c>
      <c r="AH376" s="42" t="s">
        <v>38</v>
      </c>
      <c r="AI376" s="42" t="b">
        <v>1</v>
      </c>
      <c r="AJ376" s="42" t="b">
        <v>1</v>
      </c>
      <c r="AK376" s="42" t="b">
        <v>0</v>
      </c>
      <c r="AL376" s="42" t="b">
        <v>1</v>
      </c>
      <c r="AM376" s="42" t="b">
        <v>1</v>
      </c>
      <c r="AN376" s="42" t="b">
        <v>1</v>
      </c>
      <c r="AO376" s="45" t="b" cm="1">
        <f t="array" ref="AO376">AND(COUNTIF(AC376:AN376,FALSE)=0,SUMPRODUCT(ISNUMBER(AC376:AN376)*1)=0)</f>
        <v>0</v>
      </c>
      <c r="AP376" s="59"/>
      <c r="AQ376" s="111">
        <f>IF(AB376="",99999999999,IFERROR(MATCH(AB376,{"Produção Parcial","Em Produção","Programado","Não Iniciado","Desenvolv.","Concluído"},0),7)*100000000+IF(ISNUMBER(J376),J376-46000,9999)*10000+IF(A376="",99,A376)*100+IF(C376="",99,CODE(LEFT(C376,1))))</f>
        <v>499999965</v>
      </c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</row>
    <row r="377" spans="1:702" s="36" customFormat="1" ht="0" hidden="1" customHeight="1" x14ac:dyDescent="0.25">
      <c r="A377"/>
      <c r="B377" s="38" t="s">
        <v>158</v>
      </c>
      <c r="C377" s="70" t="str">
        <f>INDEX([1]Produtos!$G:$G,MATCH($D377,[1]Produtos!$B:$B,0))</f>
        <v>AMEERATI</v>
      </c>
      <c r="D377" s="24" t="s">
        <v>266</v>
      </c>
      <c r="E377" s="70" t="str">
        <f>INDEX([1]Produtos!$C:$C,MATCH($D377,[1]Produtos!$B:$B,0))&amp;IF($F377&lt;&gt;"-"," - "&amp;LEFT($F377,1),"")&amp;" &gt; "&amp;$B377</f>
        <v>BODY MIST TESOURO DO OASIS - 1 &gt; AMEERATI 01</v>
      </c>
      <c r="F377" s="51">
        <v>1</v>
      </c>
      <c r="G377" s="38">
        <v>45959</v>
      </c>
      <c r="H377" s="39">
        <v>840</v>
      </c>
      <c r="I377" s="24" t="s">
        <v>39</v>
      </c>
      <c r="J377" s="68" t="str" cm="1">
        <f t="array" ref="J377">IFERROR(INDEX('[2]Previsão Envase'!$D$5:$D$4867, MATCH(1,('[2]Previsão Envase'!$F$5:$F$4867=$E377)+('[2]Previsão Envase'!$G$5:$G$4867=$E377)+('[2]Previsão Envase'!$H$5:$H$4867=$E377),0)),"")</f>
        <v/>
      </c>
      <c r="K377" s="68" t="str">
        <f>IF(COUNTIF('[2]Previsão Envase'!$F:$F,E377)&gt;0,"Linha 1",
IF(COUNTIF('[2]Previsão Envase'!$G:$G,E377)&gt;0,"Linha 2",
IF(COUNTIF('[2]Previsão Envase'!$H:$H,E377)&gt;0,"Linha 3","")))</f>
        <v/>
      </c>
      <c r="L377" s="96">
        <f>COUNTIF('[2]Previsão Envase'!$F:$H,E377)-COUNTIF('[2]Previsão Envase'!$F$1:$H$4,E377)</f>
        <v>0</v>
      </c>
      <c r="M377" s="35">
        <f t="shared" si="52"/>
        <v>0</v>
      </c>
      <c r="N377" s="68" t="str">
        <f>IFERROR(MAX(_xlfn.MAXIFS('[2]Controle de Produção'!$C:$C,'[2]Controle de Produção'!$L:$L,$D377,'[2]Controle de Produção'!$P:$P,$C377,'[2]Controle de Produção'!$G:$G,$B377),_xlfn.MAXIFS([3]EXPEDIÇÃO!$N:$N,[3]EXPEDIÇÃO!$E:$E,$D377,[3]EXPEDIÇÃO!$D:$D,$C377,[3]EXPEDIÇÃO!$N:$N,"&gt;="&amp;$G377)),"")</f>
        <v/>
      </c>
      <c r="O377" s="70">
        <f>INDEX([1]Produtos!$E:$E,MATCH($D377,[1]Produtos!$B:$B,0))</f>
        <v>250</v>
      </c>
      <c r="P377" s="70" t="str">
        <f>INDEX([1]Produtos!$F:$F,MATCH($D377,[1]Produtos!$B:$B,0))</f>
        <v>ml</v>
      </c>
      <c r="Q377" s="105">
        <f>INDEX([1]Produtos!$Y:$Y,MATCH($D377,[1]Produtos!$B:$B,0))</f>
        <v>1.35</v>
      </c>
      <c r="R377" s="35">
        <f t="shared" si="53"/>
        <v>7592.2902086267013</v>
      </c>
      <c r="S377" s="27">
        <f>IFERROR(INDEX([1]Produtos!$L:$L,MATCH(D377,[1]Produtos!$B:$B,0)), "")</f>
        <v>843.58780095852239</v>
      </c>
      <c r="T377" s="28">
        <f t="shared" si="54"/>
        <v>1</v>
      </c>
      <c r="U377" s="28" t="str">
        <f t="shared" si="55"/>
        <v>0D e 1h</v>
      </c>
      <c r="V377" s="27">
        <f>IFERROR(SUMIFS('[2]Controle de Produção'!$K:$K,'[2]Controle de Produção'!$L:$L,D377,'[2]Controle de Produção'!$P:$P,C377,'[2]Controle de Produção'!$B:$B,"&gt;=" &amp; G377,'[2]Controle de Produção'!$C:$C,"&lt;=" &amp; N377, '[2]Controle de Produção'!$G:$G,B377), "")</f>
        <v>0</v>
      </c>
      <c r="W377" s="27" t="str">
        <f>IFERROR(SUMIFS([3]EXPEDIÇÃO!$K:$K,[3]EXPEDIÇÃO!$E:$E,D377,[3]EXPEDIÇÃO!$D:$D,C377,[3]EXPEDIÇÃO!$N:$N,"&gt;=" &amp; G377,[3]EXPEDIÇÃO!$N:$N,"&lt;="&amp;N377), "")</f>
        <v/>
      </c>
      <c r="X377" s="27">
        <f>COUNTIFS('[2]Controle de Produção'!$P:$P,C377,'[2]Controle de Produção'!$L:$L,D377,'[2]Controle de Produção'!$B:$B,"&gt;=" &amp; G377)</f>
        <v>3</v>
      </c>
      <c r="Y377" s="27">
        <f t="shared" si="56"/>
        <v>0</v>
      </c>
      <c r="Z377" s="27">
        <f>IFERROR(COUNTIFS('[2]Controle de Produção'!$L:$L,D377,'[2]Controle de Produção'!$P:$P,C377,'[2]Controle de Produção'!$B:$B,"&gt;=" &amp; G377,'[2]Controle de Produção'!$C:$C,"&lt;=" &amp; N377, '[2]Controle de Produção'!$G:$G,B377), "")</f>
        <v>0</v>
      </c>
      <c r="AA377" s="108" t="str">
        <f t="shared" si="58"/>
        <v/>
      </c>
      <c r="AB377" s="41" t="str" cm="1">
        <f t="array" ref="AB377">_xlfn.IFS((H377*0.95)&lt;=V377,"Concluído",AND(V377 =0, J377&lt;&gt;""),"Programado",AND(V377=0,D377=""),"Desenvolv.",V377=0,"Não Iniciado",AND(V377&gt;0,V377&lt;H377,AO377=TRUE),"Em Produção",AND(V377&gt;0,V377&lt;H377,AO377=FALSE),"Produção Parcial")</f>
        <v>Não Iniciado</v>
      </c>
      <c r="AC377" s="42" t="b">
        <v>1</v>
      </c>
      <c r="AD377" s="42" t="b">
        <v>1</v>
      </c>
      <c r="AE377" s="42" t="b">
        <v>1</v>
      </c>
      <c r="AF377" s="42" t="b">
        <v>1</v>
      </c>
      <c r="AG377" s="42" t="s">
        <v>38</v>
      </c>
      <c r="AH377" s="42" t="s">
        <v>38</v>
      </c>
      <c r="AI377" s="42" t="b">
        <v>1</v>
      </c>
      <c r="AJ377" s="42" t="b">
        <v>1</v>
      </c>
      <c r="AK377" s="42" t="b">
        <v>0</v>
      </c>
      <c r="AL377" s="42" t="b">
        <v>1</v>
      </c>
      <c r="AM377" s="42" t="b">
        <v>1</v>
      </c>
      <c r="AN377" s="42" t="b">
        <v>1</v>
      </c>
      <c r="AO377" s="45" t="b" cm="1">
        <f t="array" ref="AO377">AND(COUNTIF(AC377:AN377,FALSE)=0,SUMPRODUCT(ISNUMBER(AC377:AN377)*1)=0)</f>
        <v>0</v>
      </c>
      <c r="AP377" s="59"/>
      <c r="AQ377" s="111">
        <f>IF(AB377="",99999999999,IFERROR(MATCH(AB377,{"Produção Parcial","Em Produção","Programado","Não Iniciado","Desenvolv.","Concluído"},0),7)*100000000+IF(ISNUMBER(J377),J377-46000,9999)*10000+IF(A377="",99,A377)*100+IF(C377="",99,CODE(LEFT(C377,1))))</f>
        <v>499999965</v>
      </c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</row>
    <row r="378" spans="1:702" s="36" customFormat="1" ht="0" hidden="1" customHeight="1" x14ac:dyDescent="0.25">
      <c r="A378"/>
      <c r="B378" s="38" t="s">
        <v>420</v>
      </c>
      <c r="C378" s="70" t="str">
        <f>INDEX([1]Produtos!$G:$G,MATCH($D378,[1]Produtos!$B:$B,0))</f>
        <v>FILATO BENE</v>
      </c>
      <c r="D378" s="24" t="s">
        <v>418</v>
      </c>
      <c r="E378" s="70" t="str">
        <f>INDEX([1]Produtos!$C:$C,MATCH($D378,[1]Produtos!$B:$B,0))&amp;IF($F378&lt;&gt;"-"," - "&amp;LEFT($F378,1),"")&amp;" &gt; "&amp;$B378</f>
        <v>PERFUME RAFINATTO 100ML - 2 &gt; FILATO 02/26</v>
      </c>
      <c r="F378" s="51">
        <v>2</v>
      </c>
      <c r="G378" s="38">
        <v>46076</v>
      </c>
      <c r="H378" s="39">
        <v>1000</v>
      </c>
      <c r="I378" s="24" t="s">
        <v>42</v>
      </c>
      <c r="J378" s="68" t="str" cm="1">
        <f t="array" ref="J378">IFERROR(INDEX('[2]Previsão Envase'!$D$5:$D$4867, MATCH(1,('[2]Previsão Envase'!$F$5:$F$4867=$E378)+('[2]Previsão Envase'!$G$5:$G$4867=$E378)+('[2]Previsão Envase'!$H$5:$H$4867=$E378),0)),"")</f>
        <v/>
      </c>
      <c r="K378" s="68" t="str">
        <f>IF(COUNTIF('[2]Previsão Envase'!$F:$F,E378)&gt;0,"Linha 1",
IF(COUNTIF('[2]Previsão Envase'!$G:$G,E378)&gt;0,"Linha 2",
IF(COUNTIF('[2]Previsão Envase'!$H:$H,E378)&gt;0,"Linha 3","")))</f>
        <v/>
      </c>
      <c r="L378" s="96">
        <f>COUNTIF('[2]Previsão Envase'!$F:$H,E378)-COUNTIF('[2]Previsão Envase'!$F$1:$H$4,E378)</f>
        <v>0</v>
      </c>
      <c r="M378" s="35">
        <f t="shared" si="52"/>
        <v>0</v>
      </c>
      <c r="N378" s="68" t="str">
        <f>IFERROR(MAX(_xlfn.MAXIFS('[2]Controle de Produção'!$C:$C,'[2]Controle de Produção'!$L:$L,$D378,'[2]Controle de Produção'!$P:$P,$C378,'[2]Controle de Produção'!$G:$G,$B378),_xlfn.MAXIFS([3]EXPEDIÇÃO!$N:$N,[3]EXPEDIÇÃO!$E:$E,$D378,[3]EXPEDIÇÃO!$D:$D,$C378,[3]EXPEDIÇÃO!$N:$N,"&gt;="&amp;$G378)),"")</f>
        <v/>
      </c>
      <c r="O378" s="70">
        <f>INDEX([1]Produtos!$E:$E,MATCH($D378,[1]Produtos!$B:$B,0))</f>
        <v>100</v>
      </c>
      <c r="P378" s="70" t="str">
        <f>INDEX([1]Produtos!$F:$F,MATCH($D378,[1]Produtos!$B:$B,0))</f>
        <v>ml</v>
      </c>
      <c r="Q378" s="105">
        <f>INDEX([1]Produtos!$Y:$Y,MATCH($D378,[1]Produtos!$B:$B,0))</f>
        <v>6.71</v>
      </c>
      <c r="R378" s="35">
        <f t="shared" si="53"/>
        <v>1577.3766463727152</v>
      </c>
      <c r="S378" s="27">
        <f>IFERROR(INDEX([1]Produtos!$L:$L,MATCH(D378,[1]Produtos!$B:$B,0)), "")</f>
        <v>175.26407181919058</v>
      </c>
      <c r="T378" s="28">
        <f t="shared" si="54"/>
        <v>5.8</v>
      </c>
      <c r="U378" s="28" t="str">
        <f t="shared" si="55"/>
        <v>0D e 6h</v>
      </c>
      <c r="V378" s="27">
        <f>IFERROR(SUMIFS('[2]Controle de Produção'!$K:$K,'[2]Controle de Produção'!$L:$L,D378,'[2]Controle de Produção'!$P:$P,C378,'[2]Controle de Produção'!$B:$B,"&gt;=" &amp; G378,'[2]Controle de Produção'!$C:$C,"&lt;=" &amp; N378, '[2]Controle de Produção'!$G:$G,B378), "")</f>
        <v>0</v>
      </c>
      <c r="W378" s="27" t="str">
        <f>IFERROR(SUMIFS([3]EXPEDIÇÃO!$K:$K,[3]EXPEDIÇÃO!$E:$E,D378,[3]EXPEDIÇÃO!$D:$D,C378,[3]EXPEDIÇÃO!$N:$N,"&gt;=" &amp; G378,[3]EXPEDIÇÃO!$N:$N,"&lt;="&amp;N378), "")</f>
        <v/>
      </c>
      <c r="X378" s="27">
        <f>COUNTIFS('[2]Controle de Produção'!$P:$P,C378,'[2]Controle de Produção'!$L:$L,D378,'[2]Controle de Produção'!$B:$B,"&gt;=" &amp; G378)</f>
        <v>2</v>
      </c>
      <c r="Y378" s="27">
        <f t="shared" si="56"/>
        <v>0</v>
      </c>
      <c r="Z378" s="27">
        <f>IFERROR(COUNTIFS('[2]Controle de Produção'!$L:$L,D378,'[2]Controle de Produção'!$P:$P,C378,'[2]Controle de Produção'!$B:$B,"&gt;=" &amp; G378,'[2]Controle de Produção'!$C:$C,"&lt;=" &amp; N378, '[2]Controle de Produção'!$G:$G,B378), "")</f>
        <v>0</v>
      </c>
      <c r="AA378" s="108" t="str">
        <f t="shared" si="58"/>
        <v/>
      </c>
      <c r="AB378" s="41" t="str" cm="1">
        <f t="array" ref="AB378">_xlfn.IFS((H378*0.95)&lt;=V378,"Concluído",AND(V378 =0, J378&lt;&gt;""),"Programado",AND(V378=0,D378=""),"Desenvolv.",V378=0,"Não Iniciado",AND(V378&gt;0,V378&lt;H378,AO378=TRUE),"Em Produção",AND(V378&gt;0,V378&lt;H378,AO378=FALSE),"Produção Parcial")</f>
        <v>Não Iniciado</v>
      </c>
      <c r="AC378" s="42" t="b">
        <v>1</v>
      </c>
      <c r="AD378" s="42" t="b">
        <v>1</v>
      </c>
      <c r="AE378" s="42" t="s">
        <v>38</v>
      </c>
      <c r="AF378" s="42" t="b">
        <v>1</v>
      </c>
      <c r="AG378" s="42" t="b">
        <v>1</v>
      </c>
      <c r="AH378" s="42" t="b">
        <v>1</v>
      </c>
      <c r="AI378" s="42" t="b">
        <v>1</v>
      </c>
      <c r="AJ378" s="42" t="b">
        <v>1</v>
      </c>
      <c r="AK378" s="42" t="s">
        <v>38</v>
      </c>
      <c r="AL378" s="42" t="b">
        <v>1</v>
      </c>
      <c r="AM378" s="42" t="b">
        <v>1</v>
      </c>
      <c r="AN378" s="42" t="b">
        <v>1</v>
      </c>
      <c r="AO378" s="45" t="b" cm="1">
        <f t="array" ref="AO378">AND(COUNTIF(AC378:AN378,FALSE)=0,SUMPRODUCT(ISNUMBER(AC378:AN378)*1)=0)</f>
        <v>1</v>
      </c>
      <c r="AP378" s="59"/>
      <c r="AQ378" s="111">
        <f>IF(AB378="",99999999999,IFERROR(MATCH(AB378,{"Produção Parcial","Em Produção","Programado","Não Iniciado","Desenvolv.","Concluído"},0),7)*100000000+IF(ISNUMBER(J378),J378-46000,9999)*10000+IF(A378="",99,A378)*100+IF(C378="",99,CODE(LEFT(C378,1))))</f>
        <v>499999970</v>
      </c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</row>
    <row r="379" spans="1:702" s="36" customFormat="1" ht="0" hidden="1" customHeight="1" x14ac:dyDescent="0.25">
      <c r="A379"/>
      <c r="B379" s="38" t="s">
        <v>420</v>
      </c>
      <c r="C379" s="70" t="str">
        <f>INDEX([1]Produtos!$G:$G,MATCH($D379,[1]Produtos!$B:$B,0))</f>
        <v>FILATO BENE</v>
      </c>
      <c r="D379" s="24" t="s">
        <v>419</v>
      </c>
      <c r="E379" s="70" t="str">
        <f>INDEX([1]Produtos!$C:$C,MATCH($D379,[1]Produtos!$B:$B,0))&amp;IF($F379&lt;&gt;"-"," - "&amp;LEFT($F379,1),"")&amp;" &gt; "&amp;$B379</f>
        <v>PERFUME OSTINATO 100ML - 2 &gt; FILATO 02/26</v>
      </c>
      <c r="F379" s="51">
        <v>2</v>
      </c>
      <c r="G379" s="38">
        <v>46076</v>
      </c>
      <c r="H379" s="39">
        <v>1000</v>
      </c>
      <c r="I379" s="24" t="s">
        <v>42</v>
      </c>
      <c r="J379" s="68" t="str" cm="1">
        <f t="array" ref="J379">IFERROR(INDEX('[2]Previsão Envase'!$D$5:$D$4867, MATCH(1,('[2]Previsão Envase'!$F$5:$F$4867=$E379)+('[2]Previsão Envase'!$G$5:$G$4867=$E379)+('[2]Previsão Envase'!$H$5:$H$4867=$E379),0)),"")</f>
        <v/>
      </c>
      <c r="K379" s="68" t="str">
        <f>IF(COUNTIF('[2]Previsão Envase'!$F:$F,E379)&gt;0,"Linha 1",
IF(COUNTIF('[2]Previsão Envase'!$G:$G,E379)&gt;0,"Linha 2",
IF(COUNTIF('[2]Previsão Envase'!$H:$H,E379)&gt;0,"Linha 3","")))</f>
        <v/>
      </c>
      <c r="L379" s="96">
        <f>COUNTIF('[2]Previsão Envase'!$F:$H,E379)-COUNTIF('[2]Previsão Envase'!$F$1:$H$4,E379)</f>
        <v>0</v>
      </c>
      <c r="M379" s="35">
        <f t="shared" si="52"/>
        <v>0</v>
      </c>
      <c r="N379" s="68" t="str">
        <f>IFERROR(MAX(_xlfn.MAXIFS('[2]Controle de Produção'!$C:$C,'[2]Controle de Produção'!$L:$L,$D379,'[2]Controle de Produção'!$P:$P,$C379,'[2]Controle de Produção'!$G:$G,$B379),_xlfn.MAXIFS([3]EXPEDIÇÃO!$N:$N,[3]EXPEDIÇÃO!$E:$E,$D379,[3]EXPEDIÇÃO!$D:$D,$C379,[3]EXPEDIÇÃO!$N:$N,"&gt;="&amp;$G379)),"")</f>
        <v/>
      </c>
      <c r="O379" s="70">
        <f>INDEX([1]Produtos!$E:$E,MATCH($D379,[1]Produtos!$B:$B,0))</f>
        <v>100</v>
      </c>
      <c r="P379" s="70" t="str">
        <f>INDEX([1]Produtos!$F:$F,MATCH($D379,[1]Produtos!$B:$B,0))</f>
        <v>ml</v>
      </c>
      <c r="Q379" s="105">
        <f>INDEX([1]Produtos!$Y:$Y,MATCH($D379,[1]Produtos!$B:$B,0))</f>
        <v>6.71</v>
      </c>
      <c r="R379" s="35">
        <f t="shared" si="53"/>
        <v>1577.3766463727152</v>
      </c>
      <c r="S379" s="27">
        <f>IFERROR(INDEX([1]Produtos!$L:$L,MATCH(D379,[1]Produtos!$B:$B,0)), "")</f>
        <v>175.26407181919058</v>
      </c>
      <c r="T379" s="28">
        <f t="shared" si="54"/>
        <v>5.8</v>
      </c>
      <c r="U379" s="28" t="str">
        <f t="shared" si="55"/>
        <v>0D e 6h</v>
      </c>
      <c r="V379" s="27">
        <f>IFERROR(SUMIFS('[2]Controle de Produção'!$K:$K,'[2]Controle de Produção'!$L:$L,D379,'[2]Controle de Produção'!$P:$P,C379,'[2]Controle de Produção'!$B:$B,"&gt;=" &amp; G379,'[2]Controle de Produção'!$C:$C,"&lt;=" &amp; N379, '[2]Controle de Produção'!$G:$G,B379), "")</f>
        <v>0</v>
      </c>
      <c r="W379" s="27" t="str">
        <f>IFERROR(SUMIFS([3]EXPEDIÇÃO!$K:$K,[3]EXPEDIÇÃO!$E:$E,D379,[3]EXPEDIÇÃO!$D:$D,C379,[3]EXPEDIÇÃO!$N:$N,"&gt;=" &amp; G379,[3]EXPEDIÇÃO!$N:$N,"&lt;="&amp;N379), "")</f>
        <v/>
      </c>
      <c r="X379" s="27">
        <f>COUNTIFS('[2]Controle de Produção'!$P:$P,C379,'[2]Controle de Produção'!$L:$L,D379,'[2]Controle de Produção'!$B:$B,"&gt;=" &amp; G379)</f>
        <v>2</v>
      </c>
      <c r="Y379" s="27">
        <f t="shared" si="56"/>
        <v>0</v>
      </c>
      <c r="Z379" s="27">
        <f>IFERROR(COUNTIFS('[2]Controle de Produção'!$L:$L,D379,'[2]Controle de Produção'!$P:$P,C379,'[2]Controle de Produção'!$B:$B,"&gt;=" &amp; G379,'[2]Controle de Produção'!$C:$C,"&lt;=" &amp; N379, '[2]Controle de Produção'!$G:$G,B379), "")</f>
        <v>0</v>
      </c>
      <c r="AA379" s="108" t="str">
        <f t="shared" si="58"/>
        <v/>
      </c>
      <c r="AB379" s="41" t="str" cm="1">
        <f t="array" ref="AB379">_xlfn.IFS((H379*0.95)&lt;=V379,"Concluído",AND(V379 =0, J379&lt;&gt;""),"Programado",AND(V379=0,D379=""),"Desenvolv.",V379=0,"Não Iniciado",AND(V379&gt;0,V379&lt;H379,AO379=TRUE),"Em Produção",AND(V379&gt;0,V379&lt;H379,AO379=FALSE),"Produção Parcial")</f>
        <v>Não Iniciado</v>
      </c>
      <c r="AC379" s="42" t="b">
        <v>1</v>
      </c>
      <c r="AD379" s="42" t="b">
        <v>1</v>
      </c>
      <c r="AE379" s="42" t="s">
        <v>38</v>
      </c>
      <c r="AF379" s="42" t="b">
        <v>1</v>
      </c>
      <c r="AG379" s="42" t="b">
        <v>1</v>
      </c>
      <c r="AH379" s="42" t="b">
        <v>1</v>
      </c>
      <c r="AI379" s="42" t="b">
        <v>1</v>
      </c>
      <c r="AJ379" s="42" t="b">
        <v>1</v>
      </c>
      <c r="AK379" s="42" t="s">
        <v>38</v>
      </c>
      <c r="AL379" s="42" t="b">
        <v>1</v>
      </c>
      <c r="AM379" s="42" t="b">
        <v>1</v>
      </c>
      <c r="AN379" s="42" t="b">
        <v>1</v>
      </c>
      <c r="AO379" s="45" t="b" cm="1">
        <f t="array" ref="AO379">AND(COUNTIF(AC379:AN379,FALSE)=0,SUMPRODUCT(ISNUMBER(AC379:AN379)*1)=0)</f>
        <v>1</v>
      </c>
      <c r="AP379" s="59"/>
      <c r="AQ379" s="111">
        <f>IF(AB379="",99999999999,IFERROR(MATCH(AB379,{"Produção Parcial","Em Produção","Programado","Não Iniciado","Desenvolv.","Concluído"},0),7)*100000000+IF(ISNUMBER(J379),J379-46000,9999)*10000+IF(A379="",99,A379)*100+IF(C379="",99,CODE(LEFT(C379,1))))</f>
        <v>499999970</v>
      </c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</row>
    <row r="380" spans="1:702" s="36" customFormat="1" ht="0" hidden="1" customHeight="1" x14ac:dyDescent="0.25">
      <c r="A380"/>
      <c r="B380" s="103" t="s">
        <v>99</v>
      </c>
      <c r="C380" s="70" t="str">
        <f>INDEX([1]Produtos!$G:$G,MATCH($D380,[1]Produtos!$B:$B,0))</f>
        <v>GLOW MAKE UP</v>
      </c>
      <c r="D380" s="24" t="s">
        <v>103</v>
      </c>
      <c r="E380" s="70" t="str">
        <f>INDEX([1]Produtos!$C:$C,MATCH($D380,[1]Produtos!$B:$B,0))&amp;IF($F380&lt;&gt;"-"," - "&amp;LEFT($F380,1),"")&amp;" &gt; "&amp;$B380</f>
        <v>ÁGUA MICELAR COLÁGENO &gt; ANDRE 14/01/26</v>
      </c>
      <c r="F380" s="51" t="s">
        <v>38</v>
      </c>
      <c r="G380" s="38">
        <v>46036</v>
      </c>
      <c r="H380" s="39">
        <v>15000</v>
      </c>
      <c r="I380" s="24" t="s">
        <v>42</v>
      </c>
      <c r="J380" s="68" t="str" cm="1">
        <f t="array" ref="J380">IFERROR(INDEX('[2]Previsão Envase'!$D$5:$D$4867, MATCH(1,('[2]Previsão Envase'!$F$5:$F$4867=$E380)+('[2]Previsão Envase'!$G$5:$G$4867=$E380)+('[2]Previsão Envase'!$H$5:$H$4867=$E380),0)),"")</f>
        <v/>
      </c>
      <c r="K380" s="68" t="str">
        <f>IF(COUNTIF('[2]Previsão Envase'!$F:$F,E380)&gt;0,"Linha 1",
IF(COUNTIF('[2]Previsão Envase'!$G:$G,E380)&gt;0,"Linha 2",
IF(COUNTIF('[2]Previsão Envase'!$H:$H,E380)&gt;0,"Linha 3","")))</f>
        <v/>
      </c>
      <c r="L380" s="96">
        <f>COUNTIF('[2]Previsão Envase'!$F:$H,E380)-COUNTIF('[2]Previsão Envase'!$F$1:$H$4,E380)</f>
        <v>0</v>
      </c>
      <c r="M380" s="35">
        <f t="shared" si="52"/>
        <v>0</v>
      </c>
      <c r="N380" s="68" t="str">
        <f>IFERROR(MAX(_xlfn.MAXIFS('[2]Controle de Produção'!$C:$C,'[2]Controle de Produção'!$L:$L,$D380,'[2]Controle de Produção'!$P:$P,$C380,'[2]Controle de Produção'!$G:$G,$B380),_xlfn.MAXIFS([3]EXPEDIÇÃO!$N:$N,[3]EXPEDIÇÃO!$E:$E,$D380,[3]EXPEDIÇÃO!$D:$D,$C380,[3]EXPEDIÇÃO!$N:$N,"&gt;="&amp;$G380)),"")</f>
        <v/>
      </c>
      <c r="O380" s="70">
        <f>INDEX([1]Produtos!$E:$E,MATCH($D380,[1]Produtos!$B:$B,0))</f>
        <v>325</v>
      </c>
      <c r="P380" s="70" t="str">
        <f>INDEX([1]Produtos!$F:$F,MATCH($D380,[1]Produtos!$B:$B,0))</f>
        <v>ml</v>
      </c>
      <c r="Q380" s="105">
        <f>INDEX([1]Produtos!$Y:$Y,MATCH($D380,[1]Produtos!$B:$B,0))</f>
        <v>0</v>
      </c>
      <c r="R380" s="35">
        <f t="shared" si="53"/>
        <v>7288.9063376861359</v>
      </c>
      <c r="S380" s="27">
        <f>IFERROR(INDEX([1]Produtos!$L:$L,MATCH(D380,[1]Produtos!$B:$B,0)), "")</f>
        <v>809.87848196512618</v>
      </c>
      <c r="T380" s="28">
        <f t="shared" si="54"/>
        <v>18.600000000000001</v>
      </c>
      <c r="U380" s="28" t="str">
        <f t="shared" si="55"/>
        <v>2D e 1h</v>
      </c>
      <c r="V380" s="27">
        <f>IFERROR(SUMIFS('[2]Controle de Produção'!$K:$K,'[2]Controle de Produção'!$L:$L,D380,'[2]Controle de Produção'!$P:$P,C380,'[2]Controle de Produção'!$B:$B,"&gt;=" &amp; G380,'[2]Controle de Produção'!$C:$C,"&lt;=" &amp; N380, '[2]Controle de Produção'!$G:$G,B380), "")</f>
        <v>0</v>
      </c>
      <c r="W380" s="27" t="str">
        <f>IFERROR(SUMIFS([3]EXPEDIÇÃO!$K:$K,[3]EXPEDIÇÃO!$E:$E,D380,[3]EXPEDIÇÃO!$D:$D,C380,[3]EXPEDIÇÃO!$N:$N,"&gt;=" &amp; G380,[3]EXPEDIÇÃO!$N:$N,"&lt;="&amp;N380), "")</f>
        <v/>
      </c>
      <c r="X380" s="27">
        <f>COUNTIFS('[2]Controle de Produção'!$P:$P,C380,'[2]Controle de Produção'!$L:$L,D380,'[2]Controle de Produção'!$B:$B,"&gt;=" &amp; G380)</f>
        <v>9</v>
      </c>
      <c r="Y380" s="27">
        <f t="shared" si="56"/>
        <v>0</v>
      </c>
      <c r="Z380" s="27">
        <f>IFERROR(COUNTIFS('[2]Controle de Produção'!$L:$L,D380,'[2]Controle de Produção'!$P:$P,C380,'[2]Controle de Produção'!$B:$B,"&gt;=" &amp; G380,'[2]Controle de Produção'!$C:$C,"&lt;=" &amp; N380, '[2]Controle de Produção'!$G:$G,B380), "")</f>
        <v>0</v>
      </c>
      <c r="AA380" s="108" t="str">
        <f t="shared" si="58"/>
        <v/>
      </c>
      <c r="AB380" s="41" t="str" cm="1">
        <f t="array" ref="AB380">_xlfn.IFS((H380*0.95)&lt;=V380,"Concluído",AND(V380 =0, J380&lt;&gt;""),"Programado",AND(V380=0,D380=""),"Desenvolv.",V380=0,"Não Iniciado",AND(V380&gt;0,V380&lt;H380,AO380=TRUE),"Em Produção",AND(V380&gt;0,V380&lt;H380,AO380=FALSE),"Produção Parcial")</f>
        <v>Não Iniciado</v>
      </c>
      <c r="AC380" s="42" t="b">
        <v>1</v>
      </c>
      <c r="AD380" s="42" t="b">
        <v>1</v>
      </c>
      <c r="AE380" s="42" t="s">
        <v>38</v>
      </c>
      <c r="AF380" s="42" t="b">
        <v>1</v>
      </c>
      <c r="AG380" s="42" t="b">
        <v>1</v>
      </c>
      <c r="AH380" s="42" t="s">
        <v>38</v>
      </c>
      <c r="AI380" s="42" t="s">
        <v>38</v>
      </c>
      <c r="AJ380" s="42" t="s">
        <v>38</v>
      </c>
      <c r="AK380" s="42" t="s">
        <v>38</v>
      </c>
      <c r="AL380" s="42" t="b">
        <v>1</v>
      </c>
      <c r="AM380" s="42" t="b">
        <v>1</v>
      </c>
      <c r="AN380" s="42" t="b">
        <v>1</v>
      </c>
      <c r="AO380" s="45" t="b" cm="1">
        <f t="array" ref="AO380">AND(COUNTIF(AC380:AN380,FALSE)=0,SUMPRODUCT(ISNUMBER(AC380:AN380)*1)=0)</f>
        <v>1</v>
      </c>
      <c r="AP380" s="59"/>
      <c r="AQ380" s="111">
        <f>IF(AB380="",99999999999,IFERROR(MATCH(AB380,{"Produção Parcial","Em Produção","Programado","Não Iniciado","Desenvolv.","Concluído"},0),7)*100000000+IF(ISNUMBER(J380),J380-46000,9999)*10000+IF(A380="",99,A380)*100+IF(C380="",99,CODE(LEFT(C380,1))))</f>
        <v>499999971</v>
      </c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</row>
    <row r="381" spans="1:702" s="36" customFormat="1" ht="0" hidden="1" customHeight="1" x14ac:dyDescent="0.25">
      <c r="A381"/>
      <c r="B381" s="103" t="s">
        <v>99</v>
      </c>
      <c r="C381" s="70" t="str">
        <f>INDEX([1]Produtos!$G:$G,MATCH($D381,[1]Produtos!$B:$B,0))</f>
        <v>GLOW MAKE UP</v>
      </c>
      <c r="D381" s="24" t="s">
        <v>102</v>
      </c>
      <c r="E381" s="70" t="str">
        <f>INDEX([1]Produtos!$C:$C,MATCH($D381,[1]Produtos!$B:$B,0))&amp;IF($F381&lt;&gt;"-"," - "&amp;LEFT($F381,1),"")&amp;" &gt; "&amp;$B381</f>
        <v>ÁGUA MICELAR ROSA MOSQUETA &gt; ANDRE 14/01/26</v>
      </c>
      <c r="F381" s="51" t="s">
        <v>38</v>
      </c>
      <c r="G381" s="38">
        <v>46036</v>
      </c>
      <c r="H381" s="39">
        <v>15000</v>
      </c>
      <c r="I381" s="24" t="s">
        <v>42</v>
      </c>
      <c r="J381" s="68" t="str" cm="1">
        <f t="array" ref="J381">IFERROR(INDEX('[2]Previsão Envase'!$D$5:$D$4867, MATCH(1,('[2]Previsão Envase'!$F$5:$F$4867=$E381)+('[2]Previsão Envase'!$G$5:$G$4867=$E381)+('[2]Previsão Envase'!$H$5:$H$4867=$E381),0)),"")</f>
        <v/>
      </c>
      <c r="K381" s="68" t="str">
        <f>IF(COUNTIF('[2]Previsão Envase'!$F:$F,E381)&gt;0,"Linha 1",
IF(COUNTIF('[2]Previsão Envase'!$G:$G,E381)&gt;0,"Linha 2",
IF(COUNTIF('[2]Previsão Envase'!$H:$H,E381)&gt;0,"Linha 3","")))</f>
        <v/>
      </c>
      <c r="L381" s="96">
        <f>COUNTIF('[2]Previsão Envase'!$F:$H,E381)-COUNTIF('[2]Previsão Envase'!$F$1:$H$4,E381)</f>
        <v>0</v>
      </c>
      <c r="M381" s="35">
        <f t="shared" si="52"/>
        <v>0</v>
      </c>
      <c r="N381" s="68" t="str">
        <f>IFERROR(MAX(_xlfn.MAXIFS('[2]Controle de Produção'!$C:$C,'[2]Controle de Produção'!$L:$L,$D381,'[2]Controle de Produção'!$P:$P,$C381,'[2]Controle de Produção'!$G:$G,$B381),_xlfn.MAXIFS([3]EXPEDIÇÃO!$N:$N,[3]EXPEDIÇÃO!$E:$E,$D381,[3]EXPEDIÇÃO!$D:$D,$C381,[3]EXPEDIÇÃO!$N:$N,"&gt;="&amp;$G381)),"")</f>
        <v/>
      </c>
      <c r="O381" s="70">
        <f>INDEX([1]Produtos!$E:$E,MATCH($D381,[1]Produtos!$B:$B,0))</f>
        <v>325</v>
      </c>
      <c r="P381" s="70" t="str">
        <f>INDEX([1]Produtos!$F:$F,MATCH($D381,[1]Produtos!$B:$B,0))</f>
        <v>ml</v>
      </c>
      <c r="Q381" s="105">
        <f>INDEX([1]Produtos!$Y:$Y,MATCH($D381,[1]Produtos!$B:$B,0))</f>
        <v>0</v>
      </c>
      <c r="R381" s="35">
        <f t="shared" si="53"/>
        <v>7288.9063376861359</v>
      </c>
      <c r="S381" s="27">
        <f>IFERROR(INDEX([1]Produtos!$L:$L,MATCH(D381,[1]Produtos!$B:$B,0)), "")</f>
        <v>809.87848196512618</v>
      </c>
      <c r="T381" s="28">
        <f t="shared" si="54"/>
        <v>18.600000000000001</v>
      </c>
      <c r="U381" s="28" t="str">
        <f t="shared" si="55"/>
        <v>2D e 1h</v>
      </c>
      <c r="V381" s="27">
        <f>IFERROR(SUMIFS('[2]Controle de Produção'!$K:$K,'[2]Controle de Produção'!$L:$L,D381,'[2]Controle de Produção'!$P:$P,C381,'[2]Controle de Produção'!$B:$B,"&gt;=" &amp; G381,'[2]Controle de Produção'!$C:$C,"&lt;=" &amp; N381, '[2]Controle de Produção'!$G:$G,B381), "")</f>
        <v>0</v>
      </c>
      <c r="W381" s="27" t="str">
        <f>IFERROR(SUMIFS([3]EXPEDIÇÃO!$K:$K,[3]EXPEDIÇÃO!$E:$E,D381,[3]EXPEDIÇÃO!$D:$D,C381,[3]EXPEDIÇÃO!$N:$N,"&gt;=" &amp; G381,[3]EXPEDIÇÃO!$N:$N,"&lt;="&amp;N381), "")</f>
        <v/>
      </c>
      <c r="X381" s="27">
        <f>COUNTIFS('[2]Controle de Produção'!$P:$P,C381,'[2]Controle de Produção'!$L:$L,D381,'[2]Controle de Produção'!$B:$B,"&gt;=" &amp; G381)</f>
        <v>10</v>
      </c>
      <c r="Y381" s="27">
        <f t="shared" si="56"/>
        <v>0</v>
      </c>
      <c r="Z381" s="27">
        <f>IFERROR(COUNTIFS('[2]Controle de Produção'!$L:$L,D381,'[2]Controle de Produção'!$P:$P,C381,'[2]Controle de Produção'!$B:$B,"&gt;=" &amp; G381,'[2]Controle de Produção'!$C:$C,"&lt;=" &amp; N381, '[2]Controle de Produção'!$G:$G,B381), "")</f>
        <v>0</v>
      </c>
      <c r="AA381" s="108" t="str">
        <f t="shared" si="58"/>
        <v/>
      </c>
      <c r="AB381" s="41" t="str" cm="1">
        <f t="array" ref="AB381">_xlfn.IFS((H381*0.95)&lt;=V381,"Concluído",AND(V381 =0, J381&lt;&gt;""),"Programado",AND(V381=0,D381=""),"Desenvolv.",V381=0,"Não Iniciado",AND(V381&gt;0,V381&lt;H381,AO381=TRUE),"Em Produção",AND(V381&gt;0,V381&lt;H381,AO381=FALSE),"Produção Parcial")</f>
        <v>Não Iniciado</v>
      </c>
      <c r="AC381" s="42" t="b">
        <v>1</v>
      </c>
      <c r="AD381" s="42" t="b">
        <v>1</v>
      </c>
      <c r="AE381" s="42" t="s">
        <v>38</v>
      </c>
      <c r="AF381" s="42" t="b">
        <v>1</v>
      </c>
      <c r="AG381" s="42" t="b">
        <v>1</v>
      </c>
      <c r="AH381" s="42" t="s">
        <v>38</v>
      </c>
      <c r="AI381" s="42" t="s">
        <v>38</v>
      </c>
      <c r="AJ381" s="42" t="s">
        <v>38</v>
      </c>
      <c r="AK381" s="42" t="s">
        <v>38</v>
      </c>
      <c r="AL381" s="42" t="b">
        <v>1</v>
      </c>
      <c r="AM381" s="42" t="b">
        <v>1</v>
      </c>
      <c r="AN381" s="42" t="b">
        <v>1</v>
      </c>
      <c r="AO381" s="45" t="b" cm="1">
        <f t="array" ref="AO381">AND(COUNTIF(AC381:AN381,FALSE)=0,SUMPRODUCT(ISNUMBER(AC381:AN381)*1)=0)</f>
        <v>1</v>
      </c>
      <c r="AP381" s="59"/>
      <c r="AQ381" s="111">
        <f>IF(AB381="",99999999999,IFERROR(MATCH(AB381,{"Produção Parcial","Em Produção","Programado","Não Iniciado","Desenvolv.","Concluído"},0),7)*100000000+IF(ISNUMBER(J381),J381-46000,9999)*10000+IF(A381="",99,A381)*100+IF(C381="",99,CODE(LEFT(C381,1))))</f>
        <v>499999971</v>
      </c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</row>
    <row r="382" spans="1:702" s="36" customFormat="1" ht="0" hidden="1" customHeight="1" x14ac:dyDescent="0.25">
      <c r="A382"/>
      <c r="B382" s="103" t="s">
        <v>99</v>
      </c>
      <c r="C382" s="70" t="str">
        <f>INDEX([1]Produtos!$G:$G,MATCH($D382,[1]Produtos!$B:$B,0))</f>
        <v>GLOW MAKE UP</v>
      </c>
      <c r="D382" s="24" t="s">
        <v>104</v>
      </c>
      <c r="E382" s="70" t="str">
        <f>INDEX([1]Produtos!$C:$C,MATCH($D382,[1]Produtos!$B:$B,0))&amp;IF($F382&lt;&gt;"-"," - "&amp;LEFT($F382,1),"")&amp;" &gt; "&amp;$B382</f>
        <v>ÁGUA MICELAR CARVÃO ATIVADO &gt; ANDRE 14/01/26</v>
      </c>
      <c r="F382" s="51" t="s">
        <v>38</v>
      </c>
      <c r="G382" s="38">
        <v>46036</v>
      </c>
      <c r="H382" s="39">
        <v>15000</v>
      </c>
      <c r="I382" s="24" t="s">
        <v>42</v>
      </c>
      <c r="J382" s="68" t="str" cm="1">
        <f t="array" ref="J382">IFERROR(INDEX('[2]Previsão Envase'!$D$5:$D$4867, MATCH(1,('[2]Previsão Envase'!$F$5:$F$4867=$E382)+('[2]Previsão Envase'!$G$5:$G$4867=$E382)+('[2]Previsão Envase'!$H$5:$H$4867=$E382),0)),"")</f>
        <v/>
      </c>
      <c r="K382" s="68" t="str">
        <f>IF(COUNTIF('[2]Previsão Envase'!$F:$F,E382)&gt;0,"Linha 1",
IF(COUNTIF('[2]Previsão Envase'!$G:$G,E382)&gt;0,"Linha 2",
IF(COUNTIF('[2]Previsão Envase'!$H:$H,E382)&gt;0,"Linha 3","")))</f>
        <v/>
      </c>
      <c r="L382" s="96">
        <f>COUNTIF('[2]Previsão Envase'!$F:$H,E382)-COUNTIF('[2]Previsão Envase'!$F$1:$H$4,E382)</f>
        <v>0</v>
      </c>
      <c r="M382" s="35">
        <f t="shared" si="52"/>
        <v>0</v>
      </c>
      <c r="N382" s="68" t="str">
        <f>IFERROR(MAX(_xlfn.MAXIFS('[2]Controle de Produção'!$C:$C,'[2]Controle de Produção'!$L:$L,$D382,'[2]Controle de Produção'!$P:$P,$C382,'[2]Controle de Produção'!$G:$G,$B382),_xlfn.MAXIFS([3]EXPEDIÇÃO!$N:$N,[3]EXPEDIÇÃO!$E:$E,$D382,[3]EXPEDIÇÃO!$D:$D,$C382,[3]EXPEDIÇÃO!$N:$N,"&gt;="&amp;$G382)),"")</f>
        <v/>
      </c>
      <c r="O382" s="70">
        <f>INDEX([1]Produtos!$E:$E,MATCH($D382,[1]Produtos!$B:$B,0))</f>
        <v>325</v>
      </c>
      <c r="P382" s="70" t="str">
        <f>INDEX([1]Produtos!$F:$F,MATCH($D382,[1]Produtos!$B:$B,0))</f>
        <v>ml</v>
      </c>
      <c r="Q382" s="105">
        <f>INDEX([1]Produtos!$Y:$Y,MATCH($D382,[1]Produtos!$B:$B,0))</f>
        <v>0</v>
      </c>
      <c r="R382" s="35">
        <f t="shared" si="53"/>
        <v>7288.9063376861359</v>
      </c>
      <c r="S382" s="27">
        <f>IFERROR(INDEX([1]Produtos!$L:$L,MATCH(D382,[1]Produtos!$B:$B,0)), "")</f>
        <v>809.87848196512618</v>
      </c>
      <c r="T382" s="28">
        <f t="shared" si="54"/>
        <v>18.600000000000001</v>
      </c>
      <c r="U382" s="28" t="str">
        <f t="shared" si="55"/>
        <v>2D e 1h</v>
      </c>
      <c r="V382" s="27">
        <f>IFERROR(SUMIFS('[2]Controle de Produção'!$K:$K,'[2]Controle de Produção'!$L:$L,D382,'[2]Controle de Produção'!$P:$P,C382,'[2]Controle de Produção'!$B:$B,"&gt;=" &amp; G382,'[2]Controle de Produção'!$C:$C,"&lt;=" &amp; N382, '[2]Controle de Produção'!$G:$G,B382), "")</f>
        <v>0</v>
      </c>
      <c r="W382" s="27" t="str">
        <f>IFERROR(SUMIFS([3]EXPEDIÇÃO!$K:$K,[3]EXPEDIÇÃO!$E:$E,D382,[3]EXPEDIÇÃO!$D:$D,C382,[3]EXPEDIÇÃO!$N:$N,"&gt;=" &amp; G382,[3]EXPEDIÇÃO!$N:$N,"&lt;="&amp;N382), "")</f>
        <v/>
      </c>
      <c r="X382" s="27">
        <f>COUNTIFS('[2]Controle de Produção'!$P:$P,C382,'[2]Controle de Produção'!$L:$L,D382,'[2]Controle de Produção'!$B:$B,"&gt;=" &amp; G382)</f>
        <v>9</v>
      </c>
      <c r="Y382" s="27">
        <f t="shared" si="56"/>
        <v>0</v>
      </c>
      <c r="Z382" s="27">
        <f>IFERROR(COUNTIFS('[2]Controle de Produção'!$L:$L,D382,'[2]Controle de Produção'!$P:$P,C382,'[2]Controle de Produção'!$B:$B,"&gt;=" &amp; G382,'[2]Controle de Produção'!$C:$C,"&lt;=" &amp; N382, '[2]Controle de Produção'!$G:$G,B382), "")</f>
        <v>0</v>
      </c>
      <c r="AA382" s="108" t="str">
        <f t="shared" si="58"/>
        <v/>
      </c>
      <c r="AB382" s="41" t="str" cm="1">
        <f t="array" ref="AB382">_xlfn.IFS((H382*0.95)&lt;=V382,"Concluído",AND(V382 =0, J382&lt;&gt;""),"Programado",AND(V382=0,D382=""),"Desenvolv.",V382=0,"Não Iniciado",AND(V382&gt;0,V382&lt;H382,AO382=TRUE),"Em Produção",AND(V382&gt;0,V382&lt;H382,AO382=FALSE),"Produção Parcial")</f>
        <v>Não Iniciado</v>
      </c>
      <c r="AC382" s="42" t="b">
        <v>1</v>
      </c>
      <c r="AD382" s="42" t="b">
        <v>1</v>
      </c>
      <c r="AE382" s="42" t="s">
        <v>38</v>
      </c>
      <c r="AF382" s="67">
        <v>46064</v>
      </c>
      <c r="AG382" s="42" t="b">
        <v>1</v>
      </c>
      <c r="AH382" s="42" t="s">
        <v>38</v>
      </c>
      <c r="AI382" s="42" t="s">
        <v>38</v>
      </c>
      <c r="AJ382" s="42" t="s">
        <v>38</v>
      </c>
      <c r="AK382" s="42" t="s">
        <v>38</v>
      </c>
      <c r="AL382" s="42" t="b">
        <v>1</v>
      </c>
      <c r="AM382" s="42" t="b">
        <v>1</v>
      </c>
      <c r="AN382" s="42" t="b">
        <v>0</v>
      </c>
      <c r="AO382" s="45" t="b" cm="1">
        <f t="array" ref="AO382">AND(COUNTIF(AC382:AN382,FALSE)=0,SUMPRODUCT(ISNUMBER(AC382:AN382)*1)=0)</f>
        <v>0</v>
      </c>
      <c r="AP382" s="59"/>
      <c r="AQ382" s="111">
        <f>IF(AB382="",99999999999,IFERROR(MATCH(AB382,{"Produção Parcial","Em Produção","Programado","Não Iniciado","Desenvolv.","Concluído"},0),7)*100000000+IF(ISNUMBER(J382),J382-46000,9999)*10000+IF(A382="",99,A382)*100+IF(C382="",99,CODE(LEFT(C382,1))))</f>
        <v>499999971</v>
      </c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</row>
    <row r="383" spans="1:702" s="36" customFormat="1" ht="0" hidden="1" customHeight="1" x14ac:dyDescent="0.25">
      <c r="A383"/>
      <c r="B383" s="103" t="s">
        <v>99</v>
      </c>
      <c r="C383" s="70" t="str">
        <f>INDEX([1]Produtos!$G:$G,MATCH($D383,[1]Produtos!$B:$B,0))</f>
        <v>GLOW MAKE UP</v>
      </c>
      <c r="D383" s="24" t="s">
        <v>105</v>
      </c>
      <c r="E383" s="70" t="str">
        <f>INDEX([1]Produtos!$C:$C,MATCH($D383,[1]Produtos!$B:$B,0))&amp;IF($F383&lt;&gt;"-"," - "&amp;LEFT($F383,1),"")&amp;" &gt; "&amp;$B383</f>
        <v>ÁGUA MICELAR ÁCIDO HIAULURÔNICO &gt; ANDRE 14/01/26</v>
      </c>
      <c r="F383" s="51" t="s">
        <v>38</v>
      </c>
      <c r="G383" s="38">
        <v>46036</v>
      </c>
      <c r="H383" s="39">
        <v>15000</v>
      </c>
      <c r="I383" s="24" t="s">
        <v>42</v>
      </c>
      <c r="J383" s="68" t="str" cm="1">
        <f t="array" ref="J383">IFERROR(INDEX('[2]Previsão Envase'!$D$5:$D$4867, MATCH(1,('[2]Previsão Envase'!$F$5:$F$4867=$E383)+('[2]Previsão Envase'!$G$5:$G$4867=$E383)+('[2]Previsão Envase'!$H$5:$H$4867=$E383),0)),"")</f>
        <v/>
      </c>
      <c r="K383" s="68" t="str">
        <f>IF(COUNTIF('[2]Previsão Envase'!$F:$F,E383)&gt;0,"Linha 1",
IF(COUNTIF('[2]Previsão Envase'!$G:$G,E383)&gt;0,"Linha 2",
IF(COUNTIF('[2]Previsão Envase'!$H:$H,E383)&gt;0,"Linha 3","")))</f>
        <v/>
      </c>
      <c r="L383" s="96">
        <f>COUNTIF('[2]Previsão Envase'!$F:$H,E383)-COUNTIF('[2]Previsão Envase'!$F$1:$H$4,E383)</f>
        <v>0</v>
      </c>
      <c r="M383" s="35">
        <f t="shared" si="52"/>
        <v>0</v>
      </c>
      <c r="N383" s="68" t="str">
        <f>IFERROR(MAX(_xlfn.MAXIFS('[2]Controle de Produção'!$C:$C,'[2]Controle de Produção'!$L:$L,$D383,'[2]Controle de Produção'!$P:$P,$C383,'[2]Controle de Produção'!$G:$G,$B383),_xlfn.MAXIFS([3]EXPEDIÇÃO!$N:$N,[3]EXPEDIÇÃO!$E:$E,$D383,[3]EXPEDIÇÃO!$D:$D,$C383,[3]EXPEDIÇÃO!$N:$N,"&gt;="&amp;$G383)),"")</f>
        <v/>
      </c>
      <c r="O383" s="70">
        <f>INDEX([1]Produtos!$E:$E,MATCH($D383,[1]Produtos!$B:$B,0))</f>
        <v>325</v>
      </c>
      <c r="P383" s="70" t="str">
        <f>INDEX([1]Produtos!$F:$F,MATCH($D383,[1]Produtos!$B:$B,0))</f>
        <v>ml</v>
      </c>
      <c r="Q383" s="105">
        <f>INDEX([1]Produtos!$Y:$Y,MATCH($D383,[1]Produtos!$B:$B,0))</f>
        <v>0</v>
      </c>
      <c r="R383" s="35">
        <f t="shared" si="53"/>
        <v>7288.9063376861359</v>
      </c>
      <c r="S383" s="27">
        <f>IFERROR(INDEX([1]Produtos!$L:$L,MATCH(D383,[1]Produtos!$B:$B,0)), "")</f>
        <v>809.87848196512618</v>
      </c>
      <c r="T383" s="28">
        <f t="shared" si="54"/>
        <v>18.600000000000001</v>
      </c>
      <c r="U383" s="28" t="str">
        <f t="shared" si="55"/>
        <v>2D e 1h</v>
      </c>
      <c r="V383" s="27">
        <f>IFERROR(SUMIFS('[2]Controle de Produção'!$K:$K,'[2]Controle de Produção'!$L:$L,D383,'[2]Controle de Produção'!$P:$P,C383,'[2]Controle de Produção'!$B:$B,"&gt;=" &amp; G383,'[2]Controle de Produção'!$C:$C,"&lt;=" &amp; N383, '[2]Controle de Produção'!$G:$G,B383), "")</f>
        <v>0</v>
      </c>
      <c r="W383" s="27" t="str">
        <f>IFERROR(SUMIFS([3]EXPEDIÇÃO!$K:$K,[3]EXPEDIÇÃO!$E:$E,D383,[3]EXPEDIÇÃO!$D:$D,C383,[3]EXPEDIÇÃO!$N:$N,"&gt;=" &amp; G383,[3]EXPEDIÇÃO!$N:$N,"&lt;="&amp;N383), "")</f>
        <v/>
      </c>
      <c r="X383" s="27">
        <f>COUNTIFS('[2]Controle de Produção'!$P:$P,C383,'[2]Controle de Produção'!$L:$L,D383,'[2]Controle de Produção'!$B:$B,"&gt;=" &amp; G383)</f>
        <v>9</v>
      </c>
      <c r="Y383" s="27">
        <f t="shared" si="56"/>
        <v>0</v>
      </c>
      <c r="Z383" s="27">
        <f>IFERROR(COUNTIFS('[2]Controle de Produção'!$L:$L,D383,'[2]Controle de Produção'!$P:$P,C383,'[2]Controle de Produção'!$B:$B,"&gt;=" &amp; G383,'[2]Controle de Produção'!$C:$C,"&lt;=" &amp; N383, '[2]Controle de Produção'!$G:$G,B383), "")</f>
        <v>0</v>
      </c>
      <c r="AA383" s="108" t="str">
        <f t="shared" si="58"/>
        <v/>
      </c>
      <c r="AB383" s="41" t="str" cm="1">
        <f t="array" ref="AB383">_xlfn.IFS((H383*0.95)&lt;=V383,"Concluído",AND(V383 =0, J383&lt;&gt;""),"Programado",AND(V383=0,D383=""),"Desenvolv.",V383=0,"Não Iniciado",AND(V383&gt;0,V383&lt;H383,AO383=TRUE),"Em Produção",AND(V383&gt;0,V383&lt;H383,AO383=FALSE),"Produção Parcial")</f>
        <v>Não Iniciado</v>
      </c>
      <c r="AC383" s="42" t="b">
        <v>1</v>
      </c>
      <c r="AD383" s="42" t="b">
        <v>1</v>
      </c>
      <c r="AE383" s="42" t="s">
        <v>38</v>
      </c>
      <c r="AF383" s="42" t="b">
        <v>1</v>
      </c>
      <c r="AG383" s="42" t="b">
        <v>1</v>
      </c>
      <c r="AH383" s="42" t="s">
        <v>38</v>
      </c>
      <c r="AI383" s="42" t="s">
        <v>38</v>
      </c>
      <c r="AJ383" s="42" t="s">
        <v>38</v>
      </c>
      <c r="AK383" s="42" t="s">
        <v>38</v>
      </c>
      <c r="AL383" s="42" t="b">
        <v>1</v>
      </c>
      <c r="AM383" s="42" t="b">
        <v>1</v>
      </c>
      <c r="AN383" s="42" t="b">
        <v>1</v>
      </c>
      <c r="AO383" s="45" t="b" cm="1">
        <f t="array" ref="AO383">AND(COUNTIF(AC383:AN383,FALSE)=0,SUMPRODUCT(ISNUMBER(AC383:AN383)*1)=0)</f>
        <v>1</v>
      </c>
      <c r="AP383" s="59"/>
      <c r="AQ383" s="111">
        <f>IF(AB383="",99999999999,IFERROR(MATCH(AB383,{"Produção Parcial","Em Produção","Programado","Não Iniciado","Desenvolv.","Concluído"},0),7)*100000000+IF(ISNUMBER(J383),J383-46000,9999)*10000+IF(A383="",99,A383)*100+IF(C383="",99,CODE(LEFT(C383,1))))</f>
        <v>499999971</v>
      </c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</row>
    <row r="384" spans="1:702" s="36" customFormat="1" ht="0" hidden="1" customHeight="1" x14ac:dyDescent="0.25">
      <c r="A384"/>
      <c r="B384" s="38" t="s">
        <v>62</v>
      </c>
      <c r="C384" s="70" t="str">
        <f>INDEX([1]Produtos!$G:$G,MATCH($D384,[1]Produtos!$B:$B,0))</f>
        <v>MISS RÔSE</v>
      </c>
      <c r="D384" s="24" t="s">
        <v>63</v>
      </c>
      <c r="E384" s="70" t="str">
        <f>INDEX([1]Produtos!$C:$C,MATCH($D384,[1]Produtos!$B:$B,0))&amp;IF($F384&lt;&gt;"-"," - "&amp;LEFT($F384,1),"")&amp;" &gt; "&amp;$B384</f>
        <v>CREME HIDRATANTE CORPORAL NÉCTAR DAS TÂMARAS &gt; FABIANO 19/11</v>
      </c>
      <c r="F384" s="51" t="s">
        <v>38</v>
      </c>
      <c r="G384" s="38">
        <v>45887</v>
      </c>
      <c r="H384" s="39">
        <v>6480</v>
      </c>
      <c r="I384" s="24" t="s">
        <v>42</v>
      </c>
      <c r="J384" s="68" t="str" cm="1">
        <f t="array" ref="J384">IFERROR(INDEX('[2]Previsão Envase'!$D$5:$D$4867, MATCH(1,('[2]Previsão Envase'!$F$5:$F$4867=$E384)+('[2]Previsão Envase'!$G$5:$G$4867=$E384)+('[2]Previsão Envase'!$H$5:$H$4867=$E384),0)),"")</f>
        <v/>
      </c>
      <c r="K384" s="68" t="str">
        <f>IF(COUNTIF('[2]Previsão Envase'!$F:$F,E384)&gt;0,"Linha 1",
IF(COUNTIF('[2]Previsão Envase'!$G:$G,E384)&gt;0,"Linha 2",
IF(COUNTIF('[2]Previsão Envase'!$H:$H,E384)&gt;0,"Linha 3","")))</f>
        <v/>
      </c>
      <c r="L384" s="96">
        <f>COUNTIF('[2]Previsão Envase'!$F:$H,E384)-COUNTIF('[2]Previsão Envase'!$F$1:$H$4,E384)</f>
        <v>0</v>
      </c>
      <c r="M384" s="35">
        <f t="shared" si="52"/>
        <v>0</v>
      </c>
      <c r="N384" s="68" t="str">
        <f>IFERROR(MAX(_xlfn.MAXIFS('[2]Controle de Produção'!$C:$C,'[2]Controle de Produção'!$L:$L,$D384,'[2]Controle de Produção'!$P:$P,$C384,'[2]Controle de Produção'!$G:$G,$B384),_xlfn.MAXIFS([3]EXPEDIÇÃO!$N:$N,[3]EXPEDIÇÃO!$E:$E,$D384,[3]EXPEDIÇÃO!$D:$D,$C384,[3]EXPEDIÇÃO!$N:$N,"&gt;="&amp;$G384)),"")</f>
        <v/>
      </c>
      <c r="O384" s="70">
        <f>INDEX([1]Produtos!$E:$E,MATCH($D384,[1]Produtos!$B:$B,0))</f>
        <v>200</v>
      </c>
      <c r="P384" s="70" t="str">
        <f>INDEX([1]Produtos!$F:$F,MATCH($D384,[1]Produtos!$B:$B,0))</f>
        <v>ml</v>
      </c>
      <c r="Q384" s="105">
        <f>INDEX([1]Produtos!$Y:$Y,MATCH($D384,[1]Produtos!$B:$B,0))</f>
        <v>0</v>
      </c>
      <c r="R384" s="35">
        <f t="shared" si="53"/>
        <v>5520.5897431648482</v>
      </c>
      <c r="S384" s="27">
        <f>IFERROR(INDEX([1]Produtos!$L:$L,MATCH(D384,[1]Produtos!$B:$B,0)), "")</f>
        <v>613.39886035164977</v>
      </c>
      <c r="T384" s="28">
        <f t="shared" si="54"/>
        <v>10.6</v>
      </c>
      <c r="U384" s="28" t="str">
        <f t="shared" si="55"/>
        <v>1D e 2h</v>
      </c>
      <c r="V384" s="27">
        <f>IFERROR(SUMIFS('[2]Controle de Produção'!$K:$K,'[2]Controle de Produção'!$L:$L,D384,'[2]Controle de Produção'!$P:$P,C384,'[2]Controle de Produção'!$B:$B,"&gt;=" &amp; G384,'[2]Controle de Produção'!$C:$C,"&lt;=" &amp; N384, '[2]Controle de Produção'!$G:$G,B384), "")</f>
        <v>0</v>
      </c>
      <c r="W384" s="27" t="str">
        <f>IFERROR(SUMIFS([3]EXPEDIÇÃO!$K:$K,[3]EXPEDIÇÃO!$E:$E,D384,[3]EXPEDIÇÃO!$D:$D,C384,[3]EXPEDIÇÃO!$N:$N,"&gt;=" &amp; G384,[3]EXPEDIÇÃO!$N:$N,"&lt;="&amp;N384), "")</f>
        <v/>
      </c>
      <c r="X384" s="27">
        <f>COUNTIFS('[2]Controle de Produção'!$P:$P,C384,'[2]Controle de Produção'!$L:$L,D384,'[2]Controle de Produção'!$B:$B,"&gt;=" &amp; G384)</f>
        <v>3</v>
      </c>
      <c r="Y384" s="27">
        <f t="shared" si="56"/>
        <v>0</v>
      </c>
      <c r="Z384" s="27">
        <f>IFERROR(COUNTIFS('[2]Controle de Produção'!$L:$L,D384,'[2]Controle de Produção'!$P:$P,C384,'[2]Controle de Produção'!$B:$B,"&gt;=" &amp; G384,'[2]Controle de Produção'!$C:$C,"&lt;=" &amp; N384, '[2]Controle de Produção'!$G:$G,B384), "")</f>
        <v>0</v>
      </c>
      <c r="AA384" s="108" t="str">
        <f t="shared" si="58"/>
        <v/>
      </c>
      <c r="AB384" s="41" t="str" cm="1">
        <f t="array" ref="AB384">_xlfn.IFS((H384*0.95)&lt;=V384,"Concluído",AND(V384 =0, J384&lt;&gt;""),"Programado",AND(V384=0,D384=""),"Desenvolv.",V384=0,"Não Iniciado",AND(V384&gt;0,V384&lt;H384,AO384=TRUE),"Em Produção",AND(V384&gt;0,V384&lt;H384,AO384=FALSE),"Produção Parcial")</f>
        <v>Não Iniciado</v>
      </c>
      <c r="AC384" s="42" t="b">
        <v>1</v>
      </c>
      <c r="AD384" s="42" t="b">
        <v>1</v>
      </c>
      <c r="AE384" s="42" t="b">
        <v>1</v>
      </c>
      <c r="AF384" s="42" t="b">
        <v>1</v>
      </c>
      <c r="AG384" s="42" t="s">
        <v>38</v>
      </c>
      <c r="AH384" s="42" t="s">
        <v>38</v>
      </c>
      <c r="AI384" s="42" t="b">
        <v>1</v>
      </c>
      <c r="AJ384" s="42" t="s">
        <v>38</v>
      </c>
      <c r="AK384" s="42" t="b">
        <v>0</v>
      </c>
      <c r="AL384" s="42" t="b">
        <v>1</v>
      </c>
      <c r="AM384" s="42" t="b">
        <v>1</v>
      </c>
      <c r="AN384" s="42" t="b">
        <v>0</v>
      </c>
      <c r="AO384" s="45" t="b" cm="1">
        <f t="array" ref="AO384">AND(COUNTIF(AC384:AN384,FALSE)=0,SUMPRODUCT(ISNUMBER(AC384:AN384)*1)=0)</f>
        <v>0</v>
      </c>
      <c r="AP384" s="59"/>
      <c r="AQ384" s="111">
        <f>IF(AB384="",99999999999,IFERROR(MATCH(AB384,{"Produção Parcial","Em Produção","Programado","Não Iniciado","Desenvolv.","Concluído"},0),7)*100000000+IF(ISNUMBER(J384),J384-46000,9999)*10000+IF(A384="",99,A384)*100+IF(C384="",99,CODE(LEFT(C384,1))))</f>
        <v>499999977</v>
      </c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</row>
    <row r="385" spans="1:702" s="36" customFormat="1" ht="0" hidden="1" customHeight="1" x14ac:dyDescent="0.25">
      <c r="A385"/>
      <c r="B385" s="38" t="s">
        <v>62</v>
      </c>
      <c r="C385" s="70" t="str">
        <f>INDEX([1]Produtos!$G:$G,MATCH($D385,[1]Produtos!$B:$B,0))</f>
        <v>MISS RÔSE</v>
      </c>
      <c r="D385" s="24" t="s">
        <v>64</v>
      </c>
      <c r="E385" s="70" t="str">
        <f>INDEX([1]Produtos!$C:$C,MATCH($D385,[1]Produtos!$B:$B,0))&amp;IF($F385&lt;&gt;"-"," - "&amp;LEFT($F385,1),"")&amp;" &gt; "&amp;$B385</f>
        <v>CREME HIDRATANTE CORPORAL ECLIPSE DOURADO &gt; FABIANO 19/11</v>
      </c>
      <c r="F385" s="51" t="s">
        <v>38</v>
      </c>
      <c r="G385" s="38">
        <v>45887</v>
      </c>
      <c r="H385" s="39">
        <v>6480</v>
      </c>
      <c r="I385" s="24" t="s">
        <v>42</v>
      </c>
      <c r="J385" s="68" t="str" cm="1">
        <f t="array" ref="J385">IFERROR(INDEX('[2]Previsão Envase'!$D$5:$D$4867, MATCH(1,('[2]Previsão Envase'!$F$5:$F$4867=$E385)+('[2]Previsão Envase'!$G$5:$G$4867=$E385)+('[2]Previsão Envase'!$H$5:$H$4867=$E385),0)),"")</f>
        <v/>
      </c>
      <c r="K385" s="68" t="str">
        <f>IF(COUNTIF('[2]Previsão Envase'!$F:$F,E385)&gt;0,"Linha 1",
IF(COUNTIF('[2]Previsão Envase'!$G:$G,E385)&gt;0,"Linha 2",
IF(COUNTIF('[2]Previsão Envase'!$H:$H,E385)&gt;0,"Linha 3","")))</f>
        <v/>
      </c>
      <c r="L385" s="96">
        <f>COUNTIF('[2]Previsão Envase'!$F:$H,E385)-COUNTIF('[2]Previsão Envase'!$F$1:$H$4,E385)</f>
        <v>0</v>
      </c>
      <c r="M385" s="35">
        <f t="shared" si="52"/>
        <v>0</v>
      </c>
      <c r="N385" s="68" t="str">
        <f>IFERROR(MAX(_xlfn.MAXIFS('[2]Controle de Produção'!$C:$C,'[2]Controle de Produção'!$L:$L,$D385,'[2]Controle de Produção'!$P:$P,$C385,'[2]Controle de Produção'!$G:$G,$B385),_xlfn.MAXIFS([3]EXPEDIÇÃO!$N:$N,[3]EXPEDIÇÃO!$E:$E,$D385,[3]EXPEDIÇÃO!$D:$D,$C385,[3]EXPEDIÇÃO!$N:$N,"&gt;="&amp;$G385)),"")</f>
        <v/>
      </c>
      <c r="O385" s="70">
        <f>INDEX([1]Produtos!$E:$E,MATCH($D385,[1]Produtos!$B:$B,0))</f>
        <v>200</v>
      </c>
      <c r="P385" s="70" t="str">
        <f>INDEX([1]Produtos!$F:$F,MATCH($D385,[1]Produtos!$B:$B,0))</f>
        <v>ml</v>
      </c>
      <c r="Q385" s="105">
        <f>INDEX([1]Produtos!$Y:$Y,MATCH($D385,[1]Produtos!$B:$B,0))</f>
        <v>0</v>
      </c>
      <c r="R385" s="35">
        <f t="shared" si="53"/>
        <v>5520.5897431648482</v>
      </c>
      <c r="S385" s="27">
        <f>IFERROR(INDEX([1]Produtos!$L:$L,MATCH(D385,[1]Produtos!$B:$B,0)), "")</f>
        <v>613.39886035164977</v>
      </c>
      <c r="T385" s="28">
        <f t="shared" si="54"/>
        <v>10.6</v>
      </c>
      <c r="U385" s="28" t="str">
        <f t="shared" si="55"/>
        <v>1D e 2h</v>
      </c>
      <c r="V385" s="27">
        <f>IFERROR(SUMIFS('[2]Controle de Produção'!$K:$K,'[2]Controle de Produção'!$L:$L,D385,'[2]Controle de Produção'!$P:$P,C385,'[2]Controle de Produção'!$B:$B,"&gt;=" &amp; G385,'[2]Controle de Produção'!$C:$C,"&lt;=" &amp; N385, '[2]Controle de Produção'!$G:$G,B385), "")</f>
        <v>0</v>
      </c>
      <c r="W385" s="27" t="str">
        <f>IFERROR(SUMIFS([3]EXPEDIÇÃO!$K:$K,[3]EXPEDIÇÃO!$E:$E,D385,[3]EXPEDIÇÃO!$D:$D,C385,[3]EXPEDIÇÃO!$N:$N,"&gt;=" &amp; G385,[3]EXPEDIÇÃO!$N:$N,"&lt;="&amp;N385), "")</f>
        <v/>
      </c>
      <c r="X385" s="27">
        <f>COUNTIFS('[2]Controle de Produção'!$P:$P,C385,'[2]Controle de Produção'!$L:$L,D385,'[2]Controle de Produção'!$B:$B,"&gt;=" &amp; G385)</f>
        <v>3</v>
      </c>
      <c r="Y385" s="27">
        <f t="shared" si="56"/>
        <v>0</v>
      </c>
      <c r="Z385" s="27">
        <f>IFERROR(COUNTIFS('[2]Controle de Produção'!$L:$L,D385,'[2]Controle de Produção'!$P:$P,C385,'[2]Controle de Produção'!$B:$B,"&gt;=" &amp; G385,'[2]Controle de Produção'!$C:$C,"&lt;=" &amp; N385, '[2]Controle de Produção'!$G:$G,B385), "")</f>
        <v>0</v>
      </c>
      <c r="AA385" s="108" t="str">
        <f t="shared" si="58"/>
        <v/>
      </c>
      <c r="AB385" s="41" t="str" cm="1">
        <f t="array" ref="AB385">_xlfn.IFS((H385*0.95)&lt;=V385,"Concluído",AND(V385 =0, J385&lt;&gt;""),"Programado",AND(V385=0,D385=""),"Desenvolv.",V385=0,"Não Iniciado",AND(V385&gt;0,V385&lt;H385,AO385=TRUE),"Em Produção",AND(V385&gt;0,V385&lt;H385,AO385=FALSE),"Produção Parcial")</f>
        <v>Não Iniciado</v>
      </c>
      <c r="AC385" s="42" t="b">
        <v>1</v>
      </c>
      <c r="AD385" s="42" t="b">
        <v>1</v>
      </c>
      <c r="AE385" s="42" t="b">
        <v>1</v>
      </c>
      <c r="AF385" s="42" t="b">
        <v>1</v>
      </c>
      <c r="AG385" s="42" t="s">
        <v>38</v>
      </c>
      <c r="AH385" s="42" t="s">
        <v>38</v>
      </c>
      <c r="AI385" s="42" t="b">
        <v>1</v>
      </c>
      <c r="AJ385" s="42" t="s">
        <v>38</v>
      </c>
      <c r="AK385" s="42" t="b">
        <v>0</v>
      </c>
      <c r="AL385" s="42" t="b">
        <v>1</v>
      </c>
      <c r="AM385" s="42" t="b">
        <v>1</v>
      </c>
      <c r="AN385" s="42" t="b">
        <v>0</v>
      </c>
      <c r="AO385" s="45" t="b" cm="1">
        <f t="array" ref="AO385">AND(COUNTIF(AC385:AN385,FALSE)=0,SUMPRODUCT(ISNUMBER(AC385:AN385)*1)=0)</f>
        <v>0</v>
      </c>
      <c r="AP385" s="59"/>
      <c r="AQ385" s="111">
        <f>IF(AB385="",99999999999,IFERROR(MATCH(AB385,{"Produção Parcial","Em Produção","Programado","Não Iniciado","Desenvolv.","Concluído"},0),7)*100000000+IF(ISNUMBER(J385),J385-46000,9999)*10000+IF(A385="",99,A385)*100+IF(C385="",99,CODE(LEFT(C385,1))))</f>
        <v>499999977</v>
      </c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</row>
    <row r="386" spans="1:702" s="36" customFormat="1" ht="0" hidden="1" customHeight="1" x14ac:dyDescent="0.25">
      <c r="A386"/>
      <c r="B386" s="38" t="s">
        <v>62</v>
      </c>
      <c r="C386" s="70" t="str">
        <f>INDEX([1]Produtos!$G:$G,MATCH($D386,[1]Produtos!$B:$B,0))</f>
        <v>MISS RÔSE</v>
      </c>
      <c r="D386" s="24" t="s">
        <v>65</v>
      </c>
      <c r="E386" s="70" t="str">
        <f>INDEX([1]Produtos!$C:$C,MATCH($D386,[1]Produtos!$B:$B,0))&amp;IF($F386&lt;&gt;"-"," - "&amp;LEFT($F386,1),"")&amp;" &gt; "&amp;$B386</f>
        <v>CREME HIDRATANTE CORPORAL DEUSA DO NILO &gt; FABIANO 19/11</v>
      </c>
      <c r="F386" s="51" t="s">
        <v>38</v>
      </c>
      <c r="G386" s="38">
        <v>45887</v>
      </c>
      <c r="H386" s="39">
        <v>6480</v>
      </c>
      <c r="I386" s="24" t="s">
        <v>42</v>
      </c>
      <c r="J386" s="68" t="str" cm="1">
        <f t="array" ref="J386">IFERROR(INDEX('[2]Previsão Envase'!$D$5:$D$4867, MATCH(1,('[2]Previsão Envase'!$F$5:$F$4867=$E386)+('[2]Previsão Envase'!$G$5:$G$4867=$E386)+('[2]Previsão Envase'!$H$5:$H$4867=$E386),0)),"")</f>
        <v/>
      </c>
      <c r="K386" s="68" t="str">
        <f>IF(COUNTIF('[2]Previsão Envase'!$F:$F,E386)&gt;0,"Linha 1",
IF(COUNTIF('[2]Previsão Envase'!$G:$G,E386)&gt;0,"Linha 2",
IF(COUNTIF('[2]Previsão Envase'!$H:$H,E386)&gt;0,"Linha 3","")))</f>
        <v/>
      </c>
      <c r="L386" s="96">
        <f>COUNTIF('[2]Previsão Envase'!$F:$H,E386)-COUNTIF('[2]Previsão Envase'!$F$1:$H$4,E386)</f>
        <v>0</v>
      </c>
      <c r="M386" s="35">
        <f t="shared" si="52"/>
        <v>0</v>
      </c>
      <c r="N386" s="68" t="str">
        <f>IFERROR(MAX(_xlfn.MAXIFS('[2]Controle de Produção'!$C:$C,'[2]Controle de Produção'!$L:$L,$D386,'[2]Controle de Produção'!$P:$P,$C386,'[2]Controle de Produção'!$G:$G,$B386),_xlfn.MAXIFS([3]EXPEDIÇÃO!$N:$N,[3]EXPEDIÇÃO!$E:$E,$D386,[3]EXPEDIÇÃO!$D:$D,$C386,[3]EXPEDIÇÃO!$N:$N,"&gt;="&amp;$G386)),"")</f>
        <v/>
      </c>
      <c r="O386" s="70">
        <f>INDEX([1]Produtos!$E:$E,MATCH($D386,[1]Produtos!$B:$B,0))</f>
        <v>200</v>
      </c>
      <c r="P386" s="70" t="str">
        <f>INDEX([1]Produtos!$F:$F,MATCH($D386,[1]Produtos!$B:$B,0))</f>
        <v>ml</v>
      </c>
      <c r="Q386" s="105">
        <f>INDEX([1]Produtos!$Y:$Y,MATCH($D386,[1]Produtos!$B:$B,0))</f>
        <v>0</v>
      </c>
      <c r="R386" s="35">
        <f t="shared" si="53"/>
        <v>5520.5897431648482</v>
      </c>
      <c r="S386" s="27">
        <f>IFERROR(INDEX([1]Produtos!$L:$L,MATCH(D386,[1]Produtos!$B:$B,0)), "")</f>
        <v>613.39886035164977</v>
      </c>
      <c r="T386" s="28">
        <f t="shared" si="54"/>
        <v>10.6</v>
      </c>
      <c r="U386" s="28" t="str">
        <f t="shared" si="55"/>
        <v>1D e 2h</v>
      </c>
      <c r="V386" s="27">
        <f>IFERROR(SUMIFS('[2]Controle de Produção'!$K:$K,'[2]Controle de Produção'!$L:$L,D386,'[2]Controle de Produção'!$P:$P,C386,'[2]Controle de Produção'!$B:$B,"&gt;=" &amp; G386,'[2]Controle de Produção'!$C:$C,"&lt;=" &amp; N386, '[2]Controle de Produção'!$G:$G,B386), "")</f>
        <v>0</v>
      </c>
      <c r="W386" s="27" t="str">
        <f>IFERROR(SUMIFS([3]EXPEDIÇÃO!$K:$K,[3]EXPEDIÇÃO!$E:$E,D386,[3]EXPEDIÇÃO!$D:$D,C386,[3]EXPEDIÇÃO!$N:$N,"&gt;=" &amp; G386,[3]EXPEDIÇÃO!$N:$N,"&lt;="&amp;N386), "")</f>
        <v/>
      </c>
      <c r="X386" s="27">
        <f>COUNTIFS('[2]Controle de Produção'!$P:$P,C386,'[2]Controle de Produção'!$L:$L,D386,'[2]Controle de Produção'!$B:$B,"&gt;=" &amp; G386)</f>
        <v>3</v>
      </c>
      <c r="Y386" s="27">
        <f t="shared" si="56"/>
        <v>0</v>
      </c>
      <c r="Z386" s="27">
        <f>IFERROR(COUNTIFS('[2]Controle de Produção'!$L:$L,D386,'[2]Controle de Produção'!$P:$P,C386,'[2]Controle de Produção'!$B:$B,"&gt;=" &amp; G386,'[2]Controle de Produção'!$C:$C,"&lt;=" &amp; N386, '[2]Controle de Produção'!$G:$G,B386), "")</f>
        <v>0</v>
      </c>
      <c r="AA386" s="108" t="str">
        <f t="shared" si="58"/>
        <v/>
      </c>
      <c r="AB386" s="41" t="str" cm="1">
        <f t="array" ref="AB386">_xlfn.IFS((H386*0.95)&lt;=V386,"Concluído",AND(V386 =0, J386&lt;&gt;""),"Programado",AND(V386=0,D386=""),"Desenvolv.",V386=0,"Não Iniciado",AND(V386&gt;0,V386&lt;H386,AO386=TRUE),"Em Produção",AND(V386&gt;0,V386&lt;H386,AO386=FALSE),"Produção Parcial")</f>
        <v>Não Iniciado</v>
      </c>
      <c r="AC386" s="42" t="b">
        <v>1</v>
      </c>
      <c r="AD386" s="42" t="b">
        <v>1</v>
      </c>
      <c r="AE386" s="42" t="b">
        <v>1</v>
      </c>
      <c r="AF386" s="42" t="b">
        <v>1</v>
      </c>
      <c r="AG386" s="42" t="s">
        <v>38</v>
      </c>
      <c r="AH386" s="42" t="s">
        <v>38</v>
      </c>
      <c r="AI386" s="42" t="b">
        <v>1</v>
      </c>
      <c r="AJ386" s="42" t="s">
        <v>38</v>
      </c>
      <c r="AK386" s="42" t="b">
        <v>0</v>
      </c>
      <c r="AL386" s="42" t="b">
        <v>1</v>
      </c>
      <c r="AM386" s="42" t="b">
        <v>1</v>
      </c>
      <c r="AN386" s="42" t="b">
        <v>0</v>
      </c>
      <c r="AO386" s="45" t="b" cm="1">
        <f t="array" ref="AO386">AND(COUNTIF(AC386:AN386,FALSE)=0,SUMPRODUCT(ISNUMBER(AC386:AN386)*1)=0)</f>
        <v>0</v>
      </c>
      <c r="AP386" s="59"/>
      <c r="AQ386" s="111">
        <f>IF(AB386="",99999999999,IFERROR(MATCH(AB386,{"Produção Parcial","Em Produção","Programado","Não Iniciado","Desenvolv.","Concluído"},0),7)*100000000+IF(ISNUMBER(J386),J386-46000,9999)*10000+IF(A386="",99,A386)*100+IF(C386="",99,CODE(LEFT(C386,1))))</f>
        <v>499999977</v>
      </c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</row>
    <row r="387" spans="1:702" s="36" customFormat="1" ht="0" hidden="1" customHeight="1" x14ac:dyDescent="0.25">
      <c r="A387"/>
      <c r="B387" s="38" t="s">
        <v>62</v>
      </c>
      <c r="C387" s="70" t="str">
        <f>INDEX([1]Produtos!$G:$G,MATCH($D387,[1]Produtos!$B:$B,0))</f>
        <v>MISS RÔSE</v>
      </c>
      <c r="D387" s="24" t="s">
        <v>70</v>
      </c>
      <c r="E387" s="70" t="str">
        <f>INDEX([1]Produtos!$C:$C,MATCH($D387,[1]Produtos!$B:$B,0))&amp;IF($F387&lt;&gt;"-"," - "&amp;LEFT($F387,1),"")&amp;" &gt; "&amp;$B387</f>
        <v>BODY SPLASH ECLIPSE DOURADO - 1 &gt; FABIANO 19/11</v>
      </c>
      <c r="F387" s="51">
        <v>1</v>
      </c>
      <c r="G387" s="38">
        <v>45980</v>
      </c>
      <c r="H387" s="39">
        <v>13000</v>
      </c>
      <c r="I387" s="24" t="s">
        <v>42</v>
      </c>
      <c r="J387" s="68" t="str" cm="1">
        <f t="array" ref="J387">IFERROR(INDEX('[2]Previsão Envase'!$D$5:$D$4867, MATCH(1,('[2]Previsão Envase'!$F$5:$F$4867=$E387)+('[2]Previsão Envase'!$G$5:$G$4867=$E387)+('[2]Previsão Envase'!$H$5:$H$4867=$E387),0)),"")</f>
        <v/>
      </c>
      <c r="K387" s="68" t="str">
        <f>IF(COUNTIF('[2]Previsão Envase'!$F:$F,E387)&gt;0,"Linha 1",
IF(COUNTIF('[2]Previsão Envase'!$G:$G,E387)&gt;0,"Linha 2",
IF(COUNTIF('[2]Previsão Envase'!$H:$H,E387)&gt;0,"Linha 3","")))</f>
        <v/>
      </c>
      <c r="L387" s="96">
        <f>COUNTIF('[2]Previsão Envase'!$F:$H,E387)-COUNTIF('[2]Previsão Envase'!$F$1:$H$4,E387)</f>
        <v>0</v>
      </c>
      <c r="M387" s="35">
        <f t="shared" si="52"/>
        <v>0</v>
      </c>
      <c r="N387" s="68" t="str">
        <f>IFERROR(MAX(_xlfn.MAXIFS('[2]Controle de Produção'!$C:$C,'[2]Controle de Produção'!$L:$L,$D387,'[2]Controle de Produção'!$P:$P,$C387,'[2]Controle de Produção'!$G:$G,$B387),_xlfn.MAXIFS([3]EXPEDIÇÃO!$N:$N,[3]EXPEDIÇÃO!$E:$E,$D387,[3]EXPEDIÇÃO!$D:$D,$C387,[3]EXPEDIÇÃO!$N:$N,"&gt;="&amp;$G387)),"")</f>
        <v/>
      </c>
      <c r="O387" s="70">
        <f>INDEX([1]Produtos!$E:$E,MATCH($D387,[1]Produtos!$B:$B,0))</f>
        <v>220</v>
      </c>
      <c r="P387" s="70" t="str">
        <f>INDEX([1]Produtos!$F:$F,MATCH($D387,[1]Produtos!$B:$B,0))</f>
        <v>ml</v>
      </c>
      <c r="Q387" s="105">
        <f>INDEX([1]Produtos!$Y:$Y,MATCH($D387,[1]Produtos!$B:$B,0))</f>
        <v>0.51</v>
      </c>
      <c r="R387" s="35">
        <f t="shared" si="53"/>
        <v>7592.2902086267013</v>
      </c>
      <c r="S387" s="27">
        <f>IFERROR(INDEX([1]Produtos!$L:$L,MATCH(D387,[1]Produtos!$B:$B,0)), "")</f>
        <v>843.58780095852239</v>
      </c>
      <c r="T387" s="28">
        <f t="shared" si="54"/>
        <v>15.5</v>
      </c>
      <c r="U387" s="28" t="str">
        <f t="shared" si="55"/>
        <v>1D e 7h</v>
      </c>
      <c r="V387" s="27">
        <f>IFERROR(SUMIFS('[2]Controle de Produção'!$K:$K,'[2]Controle de Produção'!$L:$L,D387,'[2]Controle de Produção'!$P:$P,C387,'[2]Controle de Produção'!$B:$B,"&gt;=" &amp; G387,'[2]Controle de Produção'!$C:$C,"&lt;=" &amp; N387, '[2]Controle de Produção'!$G:$G,B387), "")</f>
        <v>0</v>
      </c>
      <c r="W387" s="27" t="str">
        <f>IFERROR(SUMIFS([3]EXPEDIÇÃO!$K:$K,[3]EXPEDIÇÃO!$E:$E,D387,[3]EXPEDIÇÃO!$D:$D,C387,[3]EXPEDIÇÃO!$N:$N,"&gt;=" &amp; G387,[3]EXPEDIÇÃO!$N:$N,"&lt;="&amp;N387), "")</f>
        <v/>
      </c>
      <c r="X387" s="27">
        <f>COUNTIFS('[2]Controle de Produção'!$P:$P,C387,'[2]Controle de Produção'!$L:$L,D387,'[2]Controle de Produção'!$B:$B,"&gt;=" &amp; G387)</f>
        <v>17</v>
      </c>
      <c r="Y387" s="27">
        <f t="shared" si="56"/>
        <v>0</v>
      </c>
      <c r="Z387" s="27">
        <f>IFERROR(COUNTIFS('[2]Controle de Produção'!$L:$L,D387,'[2]Controle de Produção'!$P:$P,C387,'[2]Controle de Produção'!$B:$B,"&gt;=" &amp; G387,'[2]Controle de Produção'!$C:$C,"&lt;=" &amp; N387, '[2]Controle de Produção'!$G:$G,B387), "")</f>
        <v>0</v>
      </c>
      <c r="AA387" s="108" t="str">
        <f t="shared" si="58"/>
        <v/>
      </c>
      <c r="AB387" s="41" t="str" cm="1">
        <f t="array" ref="AB387">_xlfn.IFS((H387*0.95)&lt;=V387,"Concluído",AND(V387 =0, J387&lt;&gt;""),"Programado",AND(V387=0,D387=""),"Desenvolv.",V387=0,"Não Iniciado",AND(V387&gt;0,V387&lt;H387,AO387=TRUE),"Em Produção",AND(V387&gt;0,V387&lt;H387,AO387=FALSE),"Produção Parcial")</f>
        <v>Não Iniciado</v>
      </c>
      <c r="AC387" s="42" t="b">
        <v>1</v>
      </c>
      <c r="AD387" s="42" t="b">
        <v>1</v>
      </c>
      <c r="AE387" s="42" t="b">
        <v>1</v>
      </c>
      <c r="AF387" s="42" t="b">
        <v>1</v>
      </c>
      <c r="AG387" s="42" t="s">
        <v>38</v>
      </c>
      <c r="AH387" s="42" t="s">
        <v>38</v>
      </c>
      <c r="AI387" s="42" t="b">
        <v>1</v>
      </c>
      <c r="AJ387" s="42" t="s">
        <v>38</v>
      </c>
      <c r="AK387" s="42" t="b">
        <v>0</v>
      </c>
      <c r="AL387" s="42" t="b">
        <v>1</v>
      </c>
      <c r="AM387" s="42" t="b">
        <v>1</v>
      </c>
      <c r="AN387" s="42" t="b">
        <v>1</v>
      </c>
      <c r="AO387" s="45" t="b" cm="1">
        <f t="array" ref="AO387">AND(COUNTIF(AC387:AN387,FALSE)=0,SUMPRODUCT(ISNUMBER(AC387:AN387)*1)=0)</f>
        <v>0</v>
      </c>
      <c r="AP387" s="59"/>
      <c r="AQ387" s="111">
        <f>IF(AB387="",99999999999,IFERROR(MATCH(AB387,{"Produção Parcial","Em Produção","Programado","Não Iniciado","Desenvolv.","Concluído"},0),7)*100000000+IF(ISNUMBER(J387),J387-46000,9999)*10000+IF(A387="",99,A387)*100+IF(C387="",99,CODE(LEFT(C387,1))))</f>
        <v>499999977</v>
      </c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</row>
    <row r="388" spans="1:702" s="36" customFormat="1" ht="0" hidden="1" customHeight="1" x14ac:dyDescent="0.25">
      <c r="A388"/>
      <c r="B388" s="38" t="s">
        <v>158</v>
      </c>
      <c r="C388" s="70" t="str">
        <f>INDEX([1]Produtos!$G:$G,MATCH($D388,[1]Produtos!$B:$B,0))</f>
        <v>AMEERATI</v>
      </c>
      <c r="D388" s="24" t="s">
        <v>160</v>
      </c>
      <c r="E388" s="70" t="str">
        <f>INDEX([1]Produtos!$C:$C,MATCH($D388,[1]Produtos!$B:$B,0))&amp;IF($F388&lt;&gt;"-"," - "&amp;LEFT($F388,1),"")&amp;" &gt; "&amp;$B388</f>
        <v>BODY CREAM BOUQUET CARMIM - 1 &gt; AMEERATI 01</v>
      </c>
      <c r="F388" s="51">
        <v>1</v>
      </c>
      <c r="G388" s="38">
        <v>45959</v>
      </c>
      <c r="H388" s="39">
        <v>840</v>
      </c>
      <c r="I388" s="24" t="s">
        <v>39</v>
      </c>
      <c r="J388" s="68" t="str" cm="1">
        <f t="array" ref="J388">IFERROR(INDEX('[2]Previsão Envase'!$D$5:$D$4867, MATCH(1,('[2]Previsão Envase'!$F$5:$F$4867=$E388)+('[2]Previsão Envase'!$G$5:$G$4867=$E388)+('[2]Previsão Envase'!$H$5:$H$4867=$E388),0)),"")</f>
        <v/>
      </c>
      <c r="K388" s="68" t="str">
        <f>IF(COUNTIF('[2]Previsão Envase'!$F:$F,E388)&gt;0,"Linha 1",
IF(COUNTIF('[2]Previsão Envase'!$G:$G,E388)&gt;0,"Linha 2",
IF(COUNTIF('[2]Previsão Envase'!$H:$H,E388)&gt;0,"Linha 3","")))</f>
        <v/>
      </c>
      <c r="L388" s="96">
        <f>COUNTIF('[2]Previsão Envase'!$F:$H,E388)-COUNTIF('[2]Previsão Envase'!$F$1:$H$4,E388)</f>
        <v>0</v>
      </c>
      <c r="M388" s="35">
        <f t="shared" si="52"/>
        <v>0</v>
      </c>
      <c r="N388" s="68" t="str">
        <f>IFERROR(MAX(_xlfn.MAXIFS('[2]Controle de Produção'!$C:$C,'[2]Controle de Produção'!$L:$L,$D388,'[2]Controle de Produção'!$P:$P,$C388,'[2]Controle de Produção'!$G:$G,$B388),_xlfn.MAXIFS([3]EXPEDIÇÃO!$N:$N,[3]EXPEDIÇÃO!$E:$E,$D388,[3]EXPEDIÇÃO!$D:$D,$C388,[3]EXPEDIÇÃO!$N:$N,"&gt;="&amp;$G388)),"")</f>
        <v/>
      </c>
      <c r="O388" s="70">
        <f>INDEX([1]Produtos!$E:$E,MATCH($D388,[1]Produtos!$B:$B,0))</f>
        <v>240</v>
      </c>
      <c r="P388" s="70" t="str">
        <f>INDEX([1]Produtos!$F:$F,MATCH($D388,[1]Produtos!$B:$B,0))</f>
        <v>ml</v>
      </c>
      <c r="Q388" s="105">
        <f>INDEX([1]Produtos!$Y:$Y,MATCH($D388,[1]Produtos!$B:$B,0))</f>
        <v>1.48</v>
      </c>
      <c r="R388" s="35">
        <f t="shared" si="53"/>
        <v>5520.5897431648482</v>
      </c>
      <c r="S388" s="27">
        <f>IFERROR(INDEX([1]Produtos!$L:$L,MATCH(D388,[1]Produtos!$B:$B,0)), "")</f>
        <v>613.39886035164977</v>
      </c>
      <c r="T388" s="28">
        <f t="shared" si="54"/>
        <v>1.4000000000000001</v>
      </c>
      <c r="U388" s="28" t="str">
        <f t="shared" si="55"/>
        <v>0D e 2h</v>
      </c>
      <c r="V388" s="27">
        <f>IFERROR(SUMIFS('[2]Controle de Produção'!$K:$K,'[2]Controle de Produção'!$L:$L,D388,'[2]Controle de Produção'!$P:$P,C388,'[2]Controle de Produção'!$B:$B,"&gt;=" &amp; G388,'[2]Controle de Produção'!$C:$C,"&lt;=" &amp; N388, '[2]Controle de Produção'!$G:$G,B388), "")</f>
        <v>0</v>
      </c>
      <c r="W388" s="27" t="str">
        <f>IFERROR(SUMIFS([3]EXPEDIÇÃO!$K:$K,[3]EXPEDIÇÃO!$E:$E,D388,[3]EXPEDIÇÃO!$D:$D,C388,[3]EXPEDIÇÃO!$N:$N,"&gt;=" &amp; G388,[3]EXPEDIÇÃO!$N:$N,"&lt;="&amp;N388), "")</f>
        <v/>
      </c>
      <c r="X388" s="27">
        <f>COUNTIFS('[2]Controle de Produção'!$P:$P,C388,'[2]Controle de Produção'!$L:$L,D388,'[2]Controle de Produção'!$B:$B,"&gt;=" &amp; G388)</f>
        <v>2</v>
      </c>
      <c r="Y388" s="27">
        <f t="shared" si="56"/>
        <v>0</v>
      </c>
      <c r="Z388" s="27">
        <f>IFERROR(COUNTIFS('[2]Controle de Produção'!$L:$L,D388,'[2]Controle de Produção'!$P:$P,C388,'[2]Controle de Produção'!$B:$B,"&gt;=" &amp; G388,'[2]Controle de Produção'!$C:$C,"&lt;=" &amp; N388, '[2]Controle de Produção'!$G:$G,B388), "")</f>
        <v>0</v>
      </c>
      <c r="AA388" s="108" t="str">
        <f t="shared" si="58"/>
        <v/>
      </c>
      <c r="AB388" s="41" t="str" cm="1">
        <f t="array" ref="AB388">_xlfn.IFS((H388*0.95)&lt;=V388,"Concluído",AND(V388 =0, J388&lt;&gt;""),"Programado",AND(V388=0,D388=""),"Desenvolv.",V388=0,"Não Iniciado",AND(V388&gt;0,V388&lt;H388,AO388=TRUE),"Em Produção",AND(V388&gt;0,V388&lt;H388,AO388=FALSE),"Produção Parcial")</f>
        <v>Não Iniciado</v>
      </c>
      <c r="AC388" s="42" t="b">
        <v>1</v>
      </c>
      <c r="AD388" s="42" t="b">
        <v>1</v>
      </c>
      <c r="AE388" s="42" t="b">
        <v>0</v>
      </c>
      <c r="AF388" s="42" t="b">
        <v>1</v>
      </c>
      <c r="AG388" s="42" t="s">
        <v>38</v>
      </c>
      <c r="AH388" s="42" t="s">
        <v>38</v>
      </c>
      <c r="AI388" s="42" t="b">
        <v>1</v>
      </c>
      <c r="AJ388" s="42" t="b">
        <v>1</v>
      </c>
      <c r="AK388" s="42" t="b">
        <v>0</v>
      </c>
      <c r="AL388" s="42" t="b">
        <v>1</v>
      </c>
      <c r="AM388" s="42" t="b">
        <v>1</v>
      </c>
      <c r="AN388" s="42" t="b">
        <v>1</v>
      </c>
      <c r="AO388" s="45" t="b" cm="1">
        <f t="array" ref="AO388">AND(COUNTIF(AC388:AN388,FALSE)=0,SUMPRODUCT(ISNUMBER(AC388:AN388)*1)=0)</f>
        <v>0</v>
      </c>
      <c r="AP388" s="59"/>
      <c r="AQ388" s="111">
        <f>IF(AB388="",99999999999,IFERROR(MATCH(AB388,{"Produção Parcial","Em Produção","Programado","Não Iniciado","Desenvolv.","Concluído"},0),7)*100000000+IF(ISNUMBER(J388),J388-46000,9999)*10000+IF(A388="",99,A388)*100+IF(C388="",99,CODE(LEFT(C388,1))))</f>
        <v>499999965</v>
      </c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</row>
    <row r="389" spans="1:702" s="36" customFormat="1" ht="0" hidden="1" customHeight="1" x14ac:dyDescent="0.25">
      <c r="A389"/>
      <c r="B389" s="38" t="s">
        <v>158</v>
      </c>
      <c r="C389" s="70" t="str">
        <f>INDEX([1]Produtos!$G:$G,MATCH($D389,[1]Produtos!$B:$B,0))</f>
        <v>AMEERATI</v>
      </c>
      <c r="D389" s="24" t="s">
        <v>161</v>
      </c>
      <c r="E389" s="70" t="str">
        <f>INDEX([1]Produtos!$C:$C,MATCH($D389,[1]Produtos!$B:$B,0))&amp;IF($F389&lt;&gt;"-"," - "&amp;LEFT($F389,1),"")&amp;" &gt; "&amp;$B389</f>
        <v>BODY CREAM NECTAR DA PERA - 1 &gt; AMEERATI 01</v>
      </c>
      <c r="F389" s="51">
        <v>1</v>
      </c>
      <c r="G389" s="38">
        <v>45959</v>
      </c>
      <c r="H389" s="39">
        <v>840</v>
      </c>
      <c r="I389" s="24" t="s">
        <v>39</v>
      </c>
      <c r="J389" s="68" t="str" cm="1">
        <f t="array" ref="J389">IFERROR(INDEX('[2]Previsão Envase'!$D$5:$D$4867, MATCH(1,('[2]Previsão Envase'!$F$5:$F$4867=$E389)+('[2]Previsão Envase'!$G$5:$G$4867=$E389)+('[2]Previsão Envase'!$H$5:$H$4867=$E389),0)),"")</f>
        <v/>
      </c>
      <c r="K389" s="68" t="str">
        <f>IF(COUNTIF('[2]Previsão Envase'!$F:$F,E389)&gt;0,"Linha 1",
IF(COUNTIF('[2]Previsão Envase'!$G:$G,E389)&gt;0,"Linha 2",
IF(COUNTIF('[2]Previsão Envase'!$H:$H,E389)&gt;0,"Linha 3","")))</f>
        <v/>
      </c>
      <c r="L389" s="96">
        <f>COUNTIF('[2]Previsão Envase'!$F:$H,E389)-COUNTIF('[2]Previsão Envase'!$F$1:$H$4,E389)</f>
        <v>0</v>
      </c>
      <c r="M389" s="35">
        <f t="shared" ref="M389:M452" si="60">IFERROR(L389*S389,"-")</f>
        <v>0</v>
      </c>
      <c r="N389" s="68" t="str">
        <f>IFERROR(MAX(_xlfn.MAXIFS('[2]Controle de Produção'!$C:$C,'[2]Controle de Produção'!$L:$L,$D389,'[2]Controle de Produção'!$P:$P,$C389,'[2]Controle de Produção'!$G:$G,$B389),_xlfn.MAXIFS([3]EXPEDIÇÃO!$N:$N,[3]EXPEDIÇÃO!$E:$E,$D389,[3]EXPEDIÇÃO!$D:$D,$C389,[3]EXPEDIÇÃO!$N:$N,"&gt;="&amp;$G389)),"")</f>
        <v/>
      </c>
      <c r="O389" s="70">
        <f>INDEX([1]Produtos!$E:$E,MATCH($D389,[1]Produtos!$B:$B,0))</f>
        <v>240</v>
      </c>
      <c r="P389" s="70" t="str">
        <f>INDEX([1]Produtos!$F:$F,MATCH($D389,[1]Produtos!$B:$B,0))</f>
        <v>ml</v>
      </c>
      <c r="Q389" s="105">
        <f>INDEX([1]Produtos!$Y:$Y,MATCH($D389,[1]Produtos!$B:$B,0))</f>
        <v>1.48</v>
      </c>
      <c r="R389" s="35">
        <f t="shared" ref="R389:R452" si="61">IFERROR(S389*9, "-")</f>
        <v>5520.5897431648482</v>
      </c>
      <c r="S389" s="27">
        <f>IFERROR(INDEX([1]Produtos!$L:$L,MATCH(D389,[1]Produtos!$B:$B,0)), "")</f>
        <v>613.39886035164977</v>
      </c>
      <c r="T389" s="28">
        <f t="shared" ref="T389:T452" si="62">IFERROR(ROUNDUP(H389/S389,1),"-")</f>
        <v>1.4000000000000001</v>
      </c>
      <c r="U389" s="28" t="str">
        <f t="shared" ref="U389:U452" si="63">IFERROR(ROUNDDOWN(T389/8.8,0)&amp;"D e "&amp;ROUNDUP(MOD(T389,8.8),0)&amp;"h","-")</f>
        <v>0D e 2h</v>
      </c>
      <c r="V389" s="27">
        <f>IFERROR(SUMIFS('[2]Controle de Produção'!$K:$K,'[2]Controle de Produção'!$L:$L,D389,'[2]Controle de Produção'!$P:$P,C389,'[2]Controle de Produção'!$B:$B,"&gt;=" &amp; G389,'[2]Controle de Produção'!$C:$C,"&lt;=" &amp; N389, '[2]Controle de Produção'!$G:$G,B389), "")</f>
        <v>0</v>
      </c>
      <c r="W389" s="27" t="str">
        <f>IFERROR(SUMIFS([3]EXPEDIÇÃO!$K:$K,[3]EXPEDIÇÃO!$E:$E,D389,[3]EXPEDIÇÃO!$D:$D,C389,[3]EXPEDIÇÃO!$N:$N,"&gt;=" &amp; G389,[3]EXPEDIÇÃO!$N:$N,"&lt;="&amp;N389), "")</f>
        <v/>
      </c>
      <c r="X389" s="27">
        <f>COUNTIFS('[2]Controle de Produção'!$P:$P,C389,'[2]Controle de Produção'!$L:$L,D389,'[2]Controle de Produção'!$B:$B,"&gt;=" &amp; G389)</f>
        <v>2</v>
      </c>
      <c r="Y389" s="27">
        <f t="shared" ref="Y389:Y452" si="64">IFERROR(AVERAGE(V389/X389),"-")</f>
        <v>0</v>
      </c>
      <c r="Z389" s="27">
        <f>IFERROR(COUNTIFS('[2]Controle de Produção'!$L:$L,D389,'[2]Controle de Produção'!$P:$P,C389,'[2]Controle de Produção'!$B:$B,"&gt;=" &amp; G389,'[2]Controle de Produção'!$C:$C,"&lt;=" &amp; N389, '[2]Controle de Produção'!$G:$G,B389), "")</f>
        <v>0</v>
      </c>
      <c r="AA389" s="108" t="str">
        <f t="shared" si="58"/>
        <v/>
      </c>
      <c r="AB389" s="41" t="str" cm="1">
        <f t="array" ref="AB389">_xlfn.IFS((H389*0.95)&lt;=V389,"Concluído",AND(V389 =0, J389&lt;&gt;""),"Programado",AND(V389=0,D389=""),"Desenvolv.",V389=0,"Não Iniciado",AND(V389&gt;0,V389&lt;H389,AO389=TRUE),"Em Produção",AND(V389&gt;0,V389&lt;H389,AO389=FALSE),"Produção Parcial")</f>
        <v>Não Iniciado</v>
      </c>
      <c r="AC389" s="42" t="b">
        <v>1</v>
      </c>
      <c r="AD389" s="42" t="b">
        <v>1</v>
      </c>
      <c r="AE389" s="42" t="b">
        <v>1</v>
      </c>
      <c r="AF389" s="42" t="b">
        <v>1</v>
      </c>
      <c r="AG389" s="42" t="s">
        <v>38</v>
      </c>
      <c r="AH389" s="42" t="s">
        <v>38</v>
      </c>
      <c r="AI389" s="42" t="b">
        <v>1</v>
      </c>
      <c r="AJ389" s="42" t="b">
        <v>1</v>
      </c>
      <c r="AK389" s="42" t="b">
        <v>0</v>
      </c>
      <c r="AL389" s="42" t="b">
        <v>1</v>
      </c>
      <c r="AM389" s="42" t="b">
        <v>1</v>
      </c>
      <c r="AN389" s="42" t="b">
        <v>1</v>
      </c>
      <c r="AO389" s="45" t="b" cm="1">
        <f t="array" ref="AO389">AND(COUNTIF(AC389:AN389,FALSE)=0,SUMPRODUCT(ISNUMBER(AC389:AN389)*1)=0)</f>
        <v>0</v>
      </c>
      <c r="AP389" s="59"/>
      <c r="AQ389" s="111">
        <f>IF(AB389="",99999999999,IFERROR(MATCH(AB389,{"Produção Parcial","Em Produção","Programado","Não Iniciado","Desenvolv.","Concluído"},0),7)*100000000+IF(ISNUMBER(J389),J389-46000,9999)*10000+IF(A389="",99,A389)*100+IF(C389="",99,CODE(LEFT(C389,1))))</f>
        <v>499999965</v>
      </c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</row>
    <row r="390" spans="1:702" s="36" customFormat="1" ht="0" hidden="1" customHeight="1" x14ac:dyDescent="0.25">
      <c r="A390"/>
      <c r="B390" s="38" t="s">
        <v>158</v>
      </c>
      <c r="C390" s="70" t="str">
        <f>INDEX([1]Produtos!$G:$G,MATCH($D390,[1]Produtos!$B:$B,0))</f>
        <v>AMEERATI</v>
      </c>
      <c r="D390" s="24" t="s">
        <v>162</v>
      </c>
      <c r="E390" s="70" t="str">
        <f>INDEX([1]Produtos!$C:$C,MATCH($D390,[1]Produtos!$B:$B,0))&amp;IF($F390&lt;&gt;"-"," - "&amp;LEFT($F390,1),"")&amp;" &gt; "&amp;$B390</f>
        <v>BODY CREAM FRESCOR LICHIA - 1 &gt; AMEERATI 01</v>
      </c>
      <c r="F390" s="51">
        <v>1</v>
      </c>
      <c r="G390" s="38">
        <v>45959</v>
      </c>
      <c r="H390" s="39">
        <v>840</v>
      </c>
      <c r="I390" s="24" t="s">
        <v>39</v>
      </c>
      <c r="J390" s="68" t="str" cm="1">
        <f t="array" ref="J390">IFERROR(INDEX('[2]Previsão Envase'!$D$5:$D$4867, MATCH(1,('[2]Previsão Envase'!$F$5:$F$4867=$E390)+('[2]Previsão Envase'!$G$5:$G$4867=$E390)+('[2]Previsão Envase'!$H$5:$H$4867=$E390),0)),"")</f>
        <v/>
      </c>
      <c r="K390" s="68" t="str">
        <f>IF(COUNTIF('[2]Previsão Envase'!$F:$F,E390)&gt;0,"Linha 1",
IF(COUNTIF('[2]Previsão Envase'!$G:$G,E390)&gt;0,"Linha 2",
IF(COUNTIF('[2]Previsão Envase'!$H:$H,E390)&gt;0,"Linha 3","")))</f>
        <v/>
      </c>
      <c r="L390" s="96">
        <f>COUNTIF('[2]Previsão Envase'!$F:$H,E390)-COUNTIF('[2]Previsão Envase'!$F$1:$H$4,E390)</f>
        <v>0</v>
      </c>
      <c r="M390" s="35">
        <f t="shared" si="60"/>
        <v>0</v>
      </c>
      <c r="N390" s="68" t="str">
        <f>IFERROR(MAX(_xlfn.MAXIFS('[2]Controle de Produção'!$C:$C,'[2]Controle de Produção'!$L:$L,$D390,'[2]Controle de Produção'!$P:$P,$C390,'[2]Controle de Produção'!$G:$G,$B390),_xlfn.MAXIFS([3]EXPEDIÇÃO!$N:$N,[3]EXPEDIÇÃO!$E:$E,$D390,[3]EXPEDIÇÃO!$D:$D,$C390,[3]EXPEDIÇÃO!$N:$N,"&gt;="&amp;$G390)),"")</f>
        <v/>
      </c>
      <c r="O390" s="70">
        <f>INDEX([1]Produtos!$E:$E,MATCH($D390,[1]Produtos!$B:$B,0))</f>
        <v>240</v>
      </c>
      <c r="P390" s="70" t="str">
        <f>INDEX([1]Produtos!$F:$F,MATCH($D390,[1]Produtos!$B:$B,0))</f>
        <v>ml</v>
      </c>
      <c r="Q390" s="105">
        <f>INDEX([1]Produtos!$Y:$Y,MATCH($D390,[1]Produtos!$B:$B,0))</f>
        <v>1.48</v>
      </c>
      <c r="R390" s="35">
        <f t="shared" si="61"/>
        <v>5520.5897431648482</v>
      </c>
      <c r="S390" s="27">
        <f>IFERROR(INDEX([1]Produtos!$L:$L,MATCH(D390,[1]Produtos!$B:$B,0)), "")</f>
        <v>613.39886035164977</v>
      </c>
      <c r="T390" s="28">
        <f t="shared" si="62"/>
        <v>1.4000000000000001</v>
      </c>
      <c r="U390" s="28" t="str">
        <f t="shared" si="63"/>
        <v>0D e 2h</v>
      </c>
      <c r="V390" s="27">
        <f>IFERROR(SUMIFS('[2]Controle de Produção'!$K:$K,'[2]Controle de Produção'!$L:$L,D390,'[2]Controle de Produção'!$P:$P,C390,'[2]Controle de Produção'!$B:$B,"&gt;=" &amp; G390,'[2]Controle de Produção'!$C:$C,"&lt;=" &amp; N390, '[2]Controle de Produção'!$G:$G,B390), "")</f>
        <v>0</v>
      </c>
      <c r="W390" s="27" t="str">
        <f>IFERROR(SUMIFS([3]EXPEDIÇÃO!$K:$K,[3]EXPEDIÇÃO!$E:$E,D390,[3]EXPEDIÇÃO!$D:$D,C390,[3]EXPEDIÇÃO!$N:$N,"&gt;=" &amp; G390,[3]EXPEDIÇÃO!$N:$N,"&lt;="&amp;N390), "")</f>
        <v/>
      </c>
      <c r="X390" s="27">
        <f>COUNTIFS('[2]Controle de Produção'!$P:$P,C390,'[2]Controle de Produção'!$L:$L,D390,'[2]Controle de Produção'!$B:$B,"&gt;=" &amp; G390)</f>
        <v>2</v>
      </c>
      <c r="Y390" s="27">
        <f t="shared" si="64"/>
        <v>0</v>
      </c>
      <c r="Z390" s="27">
        <f>IFERROR(COUNTIFS('[2]Controle de Produção'!$L:$L,D390,'[2]Controle de Produção'!$P:$P,C390,'[2]Controle de Produção'!$B:$B,"&gt;=" &amp; G390,'[2]Controle de Produção'!$C:$C,"&lt;=" &amp; N390, '[2]Controle de Produção'!$G:$G,B390), "")</f>
        <v>0</v>
      </c>
      <c r="AA390" s="108" t="str">
        <f t="shared" si="58"/>
        <v/>
      </c>
      <c r="AB390" s="41" t="str" cm="1">
        <f t="array" ref="AB390">_xlfn.IFS((H390*0.95)&lt;=V390,"Concluído",AND(V390 =0, J390&lt;&gt;""),"Programado",AND(V390=0,D390=""),"Desenvolv.",V390=0,"Não Iniciado",AND(V390&gt;0,V390&lt;H390,AO390=TRUE),"Em Produção",AND(V390&gt;0,V390&lt;H390,AO390=FALSE),"Produção Parcial")</f>
        <v>Não Iniciado</v>
      </c>
      <c r="AC390" s="42" t="b">
        <v>1</v>
      </c>
      <c r="AD390" s="42" t="b">
        <v>1</v>
      </c>
      <c r="AE390" s="42" t="b">
        <v>1</v>
      </c>
      <c r="AF390" s="42" t="b">
        <v>1</v>
      </c>
      <c r="AG390" s="42" t="s">
        <v>38</v>
      </c>
      <c r="AH390" s="42" t="s">
        <v>38</v>
      </c>
      <c r="AI390" s="42" t="b">
        <v>1</v>
      </c>
      <c r="AJ390" s="42" t="b">
        <v>1</v>
      </c>
      <c r="AK390" s="42" t="b">
        <v>0</v>
      </c>
      <c r="AL390" s="42" t="b">
        <v>1</v>
      </c>
      <c r="AM390" s="42" t="b">
        <v>1</v>
      </c>
      <c r="AN390" s="42" t="b">
        <v>1</v>
      </c>
      <c r="AO390" s="45" t="b" cm="1">
        <f t="array" ref="AO390">AND(COUNTIF(AC390:AN390,FALSE)=0,SUMPRODUCT(ISNUMBER(AC390:AN390)*1)=0)</f>
        <v>0</v>
      </c>
      <c r="AP390" s="59"/>
      <c r="AQ390" s="111">
        <f>IF(AB390="",99999999999,IFERROR(MATCH(AB390,{"Produção Parcial","Em Produção","Programado","Não Iniciado","Desenvolv.","Concluído"},0),7)*100000000+IF(ISNUMBER(J390),J390-46000,9999)*10000+IF(A390="",99,A390)*100+IF(C390="",99,CODE(LEFT(C390,1))))</f>
        <v>499999965</v>
      </c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</row>
    <row r="391" spans="1:702" s="36" customFormat="1" ht="0" hidden="1" customHeight="1" x14ac:dyDescent="0.25">
      <c r="A391"/>
      <c r="B391" s="38" t="s">
        <v>158</v>
      </c>
      <c r="C391" s="70" t="str">
        <f>INDEX([1]Produtos!$G:$G,MATCH($D391,[1]Produtos!$B:$B,0))</f>
        <v>AMEERATI</v>
      </c>
      <c r="D391" s="24" t="s">
        <v>163</v>
      </c>
      <c r="E391" s="70" t="str">
        <f>INDEX([1]Produtos!$C:$C,MATCH($D391,[1]Produtos!$B:$B,0))&amp;IF($F391&lt;&gt;"-"," - "&amp;LEFT($F391,1),"")&amp;" &gt; "&amp;$B391</f>
        <v>BODY CREAM DOCE ROSA - 1 &gt; AMEERATI 01</v>
      </c>
      <c r="F391" s="51">
        <v>1</v>
      </c>
      <c r="G391" s="38">
        <v>45959</v>
      </c>
      <c r="H391" s="39">
        <v>840</v>
      </c>
      <c r="I391" s="24" t="s">
        <v>39</v>
      </c>
      <c r="J391" s="68" t="str" cm="1">
        <f t="array" ref="J391">IFERROR(INDEX('[2]Previsão Envase'!$D$5:$D$4867, MATCH(1,('[2]Previsão Envase'!$F$5:$F$4867=$E391)+('[2]Previsão Envase'!$G$5:$G$4867=$E391)+('[2]Previsão Envase'!$H$5:$H$4867=$E391),0)),"")</f>
        <v/>
      </c>
      <c r="K391" s="68" t="str">
        <f>IF(COUNTIF('[2]Previsão Envase'!$F:$F,E391)&gt;0,"Linha 1",
IF(COUNTIF('[2]Previsão Envase'!$G:$G,E391)&gt;0,"Linha 2",
IF(COUNTIF('[2]Previsão Envase'!$H:$H,E391)&gt;0,"Linha 3","")))</f>
        <v/>
      </c>
      <c r="L391" s="96">
        <f>COUNTIF('[2]Previsão Envase'!$F:$H,E391)-COUNTIF('[2]Previsão Envase'!$F$1:$H$4,E391)</f>
        <v>0</v>
      </c>
      <c r="M391" s="35">
        <f t="shared" si="60"/>
        <v>0</v>
      </c>
      <c r="N391" s="68" t="str">
        <f>IFERROR(MAX(_xlfn.MAXIFS('[2]Controle de Produção'!$C:$C,'[2]Controle de Produção'!$L:$L,$D391,'[2]Controle de Produção'!$P:$P,$C391,'[2]Controle de Produção'!$G:$G,$B391),_xlfn.MAXIFS([3]EXPEDIÇÃO!$N:$N,[3]EXPEDIÇÃO!$E:$E,$D391,[3]EXPEDIÇÃO!$D:$D,$C391,[3]EXPEDIÇÃO!$N:$N,"&gt;="&amp;$G391)),"")</f>
        <v/>
      </c>
      <c r="O391" s="70">
        <f>INDEX([1]Produtos!$E:$E,MATCH($D391,[1]Produtos!$B:$B,0))</f>
        <v>240</v>
      </c>
      <c r="P391" s="70" t="str">
        <f>INDEX([1]Produtos!$F:$F,MATCH($D391,[1]Produtos!$B:$B,0))</f>
        <v>ml</v>
      </c>
      <c r="Q391" s="105">
        <f>INDEX([1]Produtos!$Y:$Y,MATCH($D391,[1]Produtos!$B:$B,0))</f>
        <v>1.48</v>
      </c>
      <c r="R391" s="35">
        <f t="shared" si="61"/>
        <v>5520.5897431648482</v>
      </c>
      <c r="S391" s="27">
        <f>IFERROR(INDEX([1]Produtos!$L:$L,MATCH(D391,[1]Produtos!$B:$B,0)), "")</f>
        <v>613.39886035164977</v>
      </c>
      <c r="T391" s="28">
        <f t="shared" si="62"/>
        <v>1.4000000000000001</v>
      </c>
      <c r="U391" s="28" t="str">
        <f t="shared" si="63"/>
        <v>0D e 2h</v>
      </c>
      <c r="V391" s="27">
        <f>IFERROR(SUMIFS('[2]Controle de Produção'!$K:$K,'[2]Controle de Produção'!$L:$L,D391,'[2]Controle de Produção'!$P:$P,C391,'[2]Controle de Produção'!$B:$B,"&gt;=" &amp; G391,'[2]Controle de Produção'!$C:$C,"&lt;=" &amp; N391, '[2]Controle de Produção'!$G:$G,B391), "")</f>
        <v>0</v>
      </c>
      <c r="W391" s="27" t="str">
        <f>IFERROR(SUMIFS([3]EXPEDIÇÃO!$K:$K,[3]EXPEDIÇÃO!$E:$E,D391,[3]EXPEDIÇÃO!$D:$D,C391,[3]EXPEDIÇÃO!$N:$N,"&gt;=" &amp; G391,[3]EXPEDIÇÃO!$N:$N,"&lt;="&amp;N391), "")</f>
        <v/>
      </c>
      <c r="X391" s="27">
        <f>COUNTIFS('[2]Controle de Produção'!$P:$P,C391,'[2]Controle de Produção'!$L:$L,D391,'[2]Controle de Produção'!$B:$B,"&gt;=" &amp; G391)</f>
        <v>2</v>
      </c>
      <c r="Y391" s="27">
        <f t="shared" si="64"/>
        <v>0</v>
      </c>
      <c r="Z391" s="27">
        <f>IFERROR(COUNTIFS('[2]Controle de Produção'!$L:$L,D391,'[2]Controle de Produção'!$P:$P,C391,'[2]Controle de Produção'!$B:$B,"&gt;=" &amp; G391,'[2]Controle de Produção'!$C:$C,"&lt;=" &amp; N391, '[2]Controle de Produção'!$G:$G,B391), "")</f>
        <v>0</v>
      </c>
      <c r="AA391" s="108" t="str">
        <f t="shared" si="58"/>
        <v/>
      </c>
      <c r="AB391" s="41" t="str" cm="1">
        <f t="array" ref="AB391">_xlfn.IFS((H391*0.95)&lt;=V391,"Concluído",AND(V391 =0, J391&lt;&gt;""),"Programado",AND(V391=0,D391=""),"Desenvolv.",V391=0,"Não Iniciado",AND(V391&gt;0,V391&lt;H391,AO391=TRUE),"Em Produção",AND(V391&gt;0,V391&lt;H391,AO391=FALSE),"Produção Parcial")</f>
        <v>Não Iniciado</v>
      </c>
      <c r="AC391" s="42" t="b">
        <v>1</v>
      </c>
      <c r="AD391" s="42" t="b">
        <v>1</v>
      </c>
      <c r="AE391" s="42" t="b">
        <v>1</v>
      </c>
      <c r="AF391" s="42" t="b">
        <v>1</v>
      </c>
      <c r="AG391" s="42" t="s">
        <v>38</v>
      </c>
      <c r="AH391" s="42" t="s">
        <v>38</v>
      </c>
      <c r="AI391" s="42" t="b">
        <v>1</v>
      </c>
      <c r="AJ391" s="42" t="b">
        <v>1</v>
      </c>
      <c r="AK391" s="42" t="b">
        <v>0</v>
      </c>
      <c r="AL391" s="42" t="b">
        <v>1</v>
      </c>
      <c r="AM391" s="42" t="b">
        <v>1</v>
      </c>
      <c r="AN391" s="42" t="b">
        <v>1</v>
      </c>
      <c r="AO391" s="45" t="b" cm="1">
        <f t="array" ref="AO391">AND(COUNTIF(AC391:AN391,FALSE)=0,SUMPRODUCT(ISNUMBER(AC391:AN391)*1)=0)</f>
        <v>0</v>
      </c>
      <c r="AP391" s="59"/>
      <c r="AQ391" s="111">
        <f>IF(AB391="",99999999999,IFERROR(MATCH(AB391,{"Produção Parcial","Em Produção","Programado","Não Iniciado","Desenvolv.","Concluído"},0),7)*100000000+IF(ISNUMBER(J391),J391-46000,9999)*10000+IF(A391="",99,A391)*100+IF(C391="",99,CODE(LEFT(C391,1))))</f>
        <v>499999965</v>
      </c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</row>
    <row r="392" spans="1:702" s="36" customFormat="1" ht="25.15" hidden="1" customHeight="1" x14ac:dyDescent="0.25">
      <c r="A392" s="36">
        <v>4</v>
      </c>
      <c r="B392" s="38" t="s">
        <v>158</v>
      </c>
      <c r="C392" s="118" t="str">
        <f>INDEX([1]Produtos!$G:$G,MATCH($D392,[1]Produtos!$B:$B,0))</f>
        <v>AMEERATI</v>
      </c>
      <c r="D392" s="51" t="s">
        <v>162</v>
      </c>
      <c r="E392" s="70" t="str">
        <f>INDEX([1]Produtos!$C:$C,MATCH($D392,[1]Produtos!$B:$B,0))&amp;IF($F392&lt;&gt;"-"," - "&amp;LEFT($F392,1),"")&amp;" &gt; "&amp;$B392</f>
        <v>BODY CREAM FRESCOR LICHIA - 2 &gt; AMEERATI 01</v>
      </c>
      <c r="F392" s="51">
        <v>2</v>
      </c>
      <c r="G392" s="38">
        <v>46013</v>
      </c>
      <c r="H392" s="39">
        <f>3360-840</f>
        <v>2520</v>
      </c>
      <c r="I392" s="51" t="s">
        <v>39</v>
      </c>
      <c r="J392" s="68" t="str" cm="1">
        <f t="array" ref="J392">IFERROR(INDEX('[2]Previsão Envase'!$D$5:$D$4867, MATCH(1,('[2]Previsão Envase'!$F$5:$F$4867=$E392)+('[2]Previsão Envase'!$G$5:$G$4867=$E392)+('[2]Previsão Envase'!$H$5:$H$4867=$E392),0)),"")</f>
        <v/>
      </c>
      <c r="K392" s="68" t="str">
        <f>IF(COUNTIF('[2]Previsão Envase'!$F:$F,E392)&gt;0,"Linha 1",
IF(COUNTIF('[2]Previsão Envase'!$G:$G,E392)&gt;0,"Linha 2",
IF(COUNTIF('[2]Previsão Envase'!$H:$H,E392)&gt;0,"Linha 3","")))</f>
        <v/>
      </c>
      <c r="L392" s="96">
        <f>COUNTIF('[2]Previsão Envase'!$F:$H,E392)-COUNTIF('[2]Previsão Envase'!$F$1:$H$4,E392)</f>
        <v>0</v>
      </c>
      <c r="M392" s="35">
        <f t="shared" si="60"/>
        <v>0</v>
      </c>
      <c r="N392" s="68" t="str">
        <f>IFERROR(MAX(_xlfn.MAXIFS('[2]Controle de Produção'!$C:$C,'[2]Controle de Produção'!$L:$L,$D392,'[2]Controle de Produção'!$P:$P,$C392,'[2]Controle de Produção'!$G:$G,$B392),_xlfn.MAXIFS([3]EXPEDIÇÃO!$N:$N,[3]EXPEDIÇÃO!$E:$E,$D392,[3]EXPEDIÇÃO!$D:$D,$C392,[3]EXPEDIÇÃO!$N:$N,"&gt;="&amp;$G392)),"")</f>
        <v/>
      </c>
      <c r="O392" s="70">
        <f>INDEX([1]Produtos!$E:$E,MATCH($D392,[1]Produtos!$B:$B,0))</f>
        <v>240</v>
      </c>
      <c r="P392" s="70" t="str">
        <f>INDEX([1]Produtos!$F:$F,MATCH($D392,[1]Produtos!$B:$B,0))</f>
        <v>ml</v>
      </c>
      <c r="Q392" s="105">
        <f>INDEX([1]Produtos!$Y:$Y,MATCH($D392,[1]Produtos!$B:$B,0))</f>
        <v>1.48</v>
      </c>
      <c r="R392" s="35">
        <f t="shared" si="61"/>
        <v>5520.5897431648482</v>
      </c>
      <c r="S392" s="27">
        <f>IFERROR(INDEX([1]Produtos!$L:$L,MATCH(D392,[1]Produtos!$B:$B,0)), "")</f>
        <v>613.39886035164977</v>
      </c>
      <c r="T392" s="28">
        <f t="shared" si="62"/>
        <v>4.1999999999999993</v>
      </c>
      <c r="U392" s="28" t="str">
        <f t="shared" si="63"/>
        <v>0D e 5h</v>
      </c>
      <c r="V392" s="27">
        <f>IFERROR(SUMIFS('[2]Controle de Produção'!$K:$K,'[2]Controle de Produção'!$L:$L,D392,'[2]Controle de Produção'!$P:$P,C392,'[2]Controle de Produção'!$B:$B,"&gt;=" &amp; G392,'[2]Controle de Produção'!$C:$C,"&lt;=" &amp; N392, '[2]Controle de Produção'!$G:$G,B392), "")</f>
        <v>0</v>
      </c>
      <c r="W392" s="27" t="str">
        <f>IFERROR(SUMIFS([3]EXPEDIÇÃO!$K:$K,[3]EXPEDIÇÃO!$E:$E,D392,[3]EXPEDIÇÃO!$D:$D,C392,[3]EXPEDIÇÃO!$N:$N,"&gt;=" &amp; G392,[3]EXPEDIÇÃO!$N:$N,"&lt;="&amp;N392), "")</f>
        <v/>
      </c>
      <c r="X392" s="27">
        <f>COUNTIFS('[2]Controle de Produção'!$P:$P,C392,'[2]Controle de Produção'!$L:$L,D392,'[2]Controle de Produção'!$B:$B,"&gt;=" &amp; G392)</f>
        <v>1</v>
      </c>
      <c r="Y392" s="27">
        <f t="shared" si="64"/>
        <v>0</v>
      </c>
      <c r="Z392" s="27">
        <f>IFERROR(COUNTIFS('[2]Controle de Produção'!$L:$L,D392,'[2]Controle de Produção'!$P:$P,C392,'[2]Controle de Produção'!$B:$B,"&gt;=" &amp; G392,'[2]Controle de Produção'!$C:$C,"&lt;=" &amp; N392, '[2]Controle de Produção'!$G:$G,B392), "")</f>
        <v>0</v>
      </c>
      <c r="AA392" s="108" t="str">
        <f t="shared" si="58"/>
        <v/>
      </c>
      <c r="AB392" s="41" t="s">
        <v>60</v>
      </c>
      <c r="AC392" s="42" t="b">
        <v>1</v>
      </c>
      <c r="AD392" s="42" t="b">
        <v>1</v>
      </c>
      <c r="AE392" s="42" t="b">
        <v>1</v>
      </c>
      <c r="AF392" s="42" t="b">
        <v>1</v>
      </c>
      <c r="AG392" s="42" t="s">
        <v>38</v>
      </c>
      <c r="AH392" s="42" t="s">
        <v>38</v>
      </c>
      <c r="AI392" s="42" t="b">
        <v>1</v>
      </c>
      <c r="AJ392" s="42" t="b">
        <v>1</v>
      </c>
      <c r="AK392" s="42" t="s">
        <v>38</v>
      </c>
      <c r="AL392" s="42" t="b">
        <v>1</v>
      </c>
      <c r="AM392" s="42" t="b">
        <v>1</v>
      </c>
      <c r="AN392" s="42" t="b">
        <v>1</v>
      </c>
      <c r="AO392" s="45" t="b" cm="1">
        <f t="array" ref="AO392">AND(COUNTIF(AC392:AN392,FALSE)=0,SUMPRODUCT(ISNUMBER(AC392:AN392)*1)=0)</f>
        <v>1</v>
      </c>
      <c r="AP392" s="59"/>
      <c r="AQ392" s="111">
        <f>IF(AB392="",99999999999,IFERROR(MATCH(AB392,{"Produção Parcial","Em Produção","Programado","Não Iniciado","Desenvolv.","Concluído"},0),7)*100000000+IF(ISNUMBER(J392),J392-46000,9999)*10000+IF(A392="",99,A392)*100+IF(C392="",99,CODE(LEFT(C392,1))))</f>
        <v>699990465</v>
      </c>
    </row>
    <row r="393" spans="1:702" s="36" customFormat="1" ht="25.15" hidden="1" customHeight="1" x14ac:dyDescent="0.25">
      <c r="A393" s="36">
        <v>4</v>
      </c>
      <c r="B393" s="38" t="s">
        <v>158</v>
      </c>
      <c r="C393" s="118" t="str">
        <f>INDEX([1]Produtos!$G:$G,MATCH($D393,[1]Produtos!$B:$B,0))</f>
        <v>AMEERATI</v>
      </c>
      <c r="D393" s="51" t="s">
        <v>166</v>
      </c>
      <c r="E393" s="70" t="str">
        <f>INDEX([1]Produtos!$C:$C,MATCH($D393,[1]Produtos!$B:$B,0))&amp;IF($F393&lt;&gt;"-"," - "&amp;LEFT($F393,1),"")&amp;" &gt; "&amp;$B393</f>
        <v>BODY CREAM BAUNILHA SELVAGEM - 2 &gt; AMEERATI 01</v>
      </c>
      <c r="F393" s="51">
        <v>2</v>
      </c>
      <c r="G393" s="38">
        <v>46013</v>
      </c>
      <c r="H393" s="39">
        <f>3360-840</f>
        <v>2520</v>
      </c>
      <c r="I393" s="51" t="s">
        <v>39</v>
      </c>
      <c r="J393" s="68" t="str" cm="1">
        <f t="array" ref="J393">IFERROR(INDEX('[2]Previsão Envase'!$D$5:$D$4867, MATCH(1,('[2]Previsão Envase'!$F$5:$F$4867=$E393)+('[2]Previsão Envase'!$G$5:$G$4867=$E393)+('[2]Previsão Envase'!$H$5:$H$4867=$E393),0)),"")</f>
        <v/>
      </c>
      <c r="K393" s="68" t="str">
        <f>IF(COUNTIF('[2]Previsão Envase'!$F:$F,E393)&gt;0,"Linha 1",
IF(COUNTIF('[2]Previsão Envase'!$G:$G,E393)&gt;0,"Linha 2",
IF(COUNTIF('[2]Previsão Envase'!$H:$H,E393)&gt;0,"Linha 3","")))</f>
        <v/>
      </c>
      <c r="L393" s="96">
        <f>COUNTIF('[2]Previsão Envase'!$F:$H,E393)-COUNTIF('[2]Previsão Envase'!$F$1:$H$4,E393)</f>
        <v>0</v>
      </c>
      <c r="M393" s="35">
        <f t="shared" si="60"/>
        <v>0</v>
      </c>
      <c r="N393" s="68" t="str">
        <f>IFERROR(MAX(_xlfn.MAXIFS('[2]Controle de Produção'!$C:$C,'[2]Controle de Produção'!$L:$L,$D393,'[2]Controle de Produção'!$P:$P,$C393,'[2]Controle de Produção'!$G:$G,$B393),_xlfn.MAXIFS([3]EXPEDIÇÃO!$N:$N,[3]EXPEDIÇÃO!$E:$E,$D393,[3]EXPEDIÇÃO!$D:$D,$C393,[3]EXPEDIÇÃO!$N:$N,"&gt;="&amp;$G393)),"")</f>
        <v/>
      </c>
      <c r="O393" s="70">
        <f>INDEX([1]Produtos!$E:$E,MATCH($D393,[1]Produtos!$B:$B,0))</f>
        <v>240</v>
      </c>
      <c r="P393" s="70" t="str">
        <f>INDEX([1]Produtos!$F:$F,MATCH($D393,[1]Produtos!$B:$B,0))</f>
        <v>ml</v>
      </c>
      <c r="Q393" s="105">
        <f>INDEX([1]Produtos!$Y:$Y,MATCH($D393,[1]Produtos!$B:$B,0))</f>
        <v>1.48</v>
      </c>
      <c r="R393" s="35">
        <f t="shared" si="61"/>
        <v>5520.5897431648482</v>
      </c>
      <c r="S393" s="27">
        <f>IFERROR(INDEX([1]Produtos!$L:$L,MATCH(D393,[1]Produtos!$B:$B,0)), "")</f>
        <v>613.39886035164977</v>
      </c>
      <c r="T393" s="28">
        <f t="shared" si="62"/>
        <v>4.1999999999999993</v>
      </c>
      <c r="U393" s="28" t="str">
        <f t="shared" si="63"/>
        <v>0D e 5h</v>
      </c>
      <c r="V393" s="27">
        <f>IFERROR(SUMIFS('[2]Controle de Produção'!$K:$K,'[2]Controle de Produção'!$L:$L,D393,'[2]Controle de Produção'!$P:$P,C393,'[2]Controle de Produção'!$B:$B,"&gt;=" &amp; G393,'[2]Controle de Produção'!$C:$C,"&lt;=" &amp; N393, '[2]Controle de Produção'!$G:$G,B393), "")</f>
        <v>0</v>
      </c>
      <c r="W393" s="27" t="str">
        <f>IFERROR(SUMIFS([3]EXPEDIÇÃO!$K:$K,[3]EXPEDIÇÃO!$E:$E,D393,[3]EXPEDIÇÃO!$D:$D,C393,[3]EXPEDIÇÃO!$N:$N,"&gt;=" &amp; G393,[3]EXPEDIÇÃO!$N:$N,"&lt;="&amp;N393), "")</f>
        <v/>
      </c>
      <c r="X393" s="27">
        <f>COUNTIFS('[2]Controle de Produção'!$P:$P,C393,'[2]Controle de Produção'!$L:$L,D393,'[2]Controle de Produção'!$B:$B,"&gt;=" &amp; G393)</f>
        <v>1</v>
      </c>
      <c r="Y393" s="27">
        <f t="shared" si="64"/>
        <v>0</v>
      </c>
      <c r="Z393" s="27">
        <f>IFERROR(COUNTIFS('[2]Controle de Produção'!$L:$L,D393,'[2]Controle de Produção'!$P:$P,C393,'[2]Controle de Produção'!$B:$B,"&gt;=" &amp; G393,'[2]Controle de Produção'!$C:$C,"&lt;=" &amp; N393, '[2]Controle de Produção'!$G:$G,B393), "")</f>
        <v>0</v>
      </c>
      <c r="AA393" s="108" t="str">
        <f t="shared" si="58"/>
        <v/>
      </c>
      <c r="AB393" s="41" t="s">
        <v>60</v>
      </c>
      <c r="AC393" s="42" t="b">
        <v>1</v>
      </c>
      <c r="AD393" s="42" t="b">
        <v>1</v>
      </c>
      <c r="AE393" s="42" t="b">
        <v>1</v>
      </c>
      <c r="AF393" s="42" t="b">
        <v>1</v>
      </c>
      <c r="AG393" s="42" t="s">
        <v>38</v>
      </c>
      <c r="AH393" s="42" t="s">
        <v>38</v>
      </c>
      <c r="AI393" s="42" t="b">
        <v>1</v>
      </c>
      <c r="AJ393" s="42" t="b">
        <v>1</v>
      </c>
      <c r="AK393" s="42" t="s">
        <v>38</v>
      </c>
      <c r="AL393" s="42" t="b">
        <v>1</v>
      </c>
      <c r="AM393" s="42" t="b">
        <v>1</v>
      </c>
      <c r="AN393" s="42" t="b">
        <v>1</v>
      </c>
      <c r="AO393" s="45" t="b" cm="1">
        <f t="array" ref="AO393">AND(COUNTIF(AC393:AN393,FALSE)=0,SUMPRODUCT(ISNUMBER(AC393:AN393)*1)=0)</f>
        <v>1</v>
      </c>
      <c r="AP393" s="59"/>
      <c r="AQ393" s="111">
        <f>IF(AB393="",99999999999,IFERROR(MATCH(AB393,{"Produção Parcial","Em Produção","Programado","Não Iniciado","Desenvolv.","Concluído"},0),7)*100000000+IF(ISNUMBER(J393),J393-46000,9999)*10000+IF(A393="",99,A393)*100+IF(C393="",99,CODE(LEFT(C393,1))))</f>
        <v>699990465</v>
      </c>
      <c r="AR393"/>
      <c r="AS393"/>
    </row>
    <row r="394" spans="1:702" ht="25.35" hidden="1" customHeight="1" x14ac:dyDescent="0.25">
      <c r="A394" s="36">
        <v>4</v>
      </c>
      <c r="B394" s="38" t="s">
        <v>158</v>
      </c>
      <c r="C394" s="118" t="str">
        <f>INDEX([1]Produtos!$G:$G,MATCH($D394,[1]Produtos!$B:$B,0))</f>
        <v>AMEERATI</v>
      </c>
      <c r="D394" s="51" t="s">
        <v>161</v>
      </c>
      <c r="E394" s="70" t="str">
        <f>INDEX([1]Produtos!$C:$C,MATCH($D394,[1]Produtos!$B:$B,0))&amp;IF($F394&lt;&gt;"-"," - "&amp;LEFT($F394,1),"")&amp;" &gt; "&amp;$B394</f>
        <v>BODY CREAM NECTAR DA PERA - 2 &gt; AMEERATI 01</v>
      </c>
      <c r="F394" s="51">
        <v>2</v>
      </c>
      <c r="G394" s="38">
        <v>46013</v>
      </c>
      <c r="H394" s="39">
        <f>3360-840</f>
        <v>2520</v>
      </c>
      <c r="I394" s="51" t="s">
        <v>39</v>
      </c>
      <c r="J394" s="68" t="str" cm="1">
        <f t="array" ref="J394">IFERROR(INDEX('[2]Previsão Envase'!$D$5:$D$4867, MATCH(1,('[2]Previsão Envase'!$F$5:$F$4867=$E394)+('[2]Previsão Envase'!$G$5:$G$4867=$E394)+('[2]Previsão Envase'!$H$5:$H$4867=$E394),0)),"")</f>
        <v/>
      </c>
      <c r="K394" s="68" t="str">
        <f>IF(COUNTIF('[2]Previsão Envase'!$F:$F,E394)&gt;0,"Linha 1",
IF(COUNTIF('[2]Previsão Envase'!$G:$G,E394)&gt;0,"Linha 2",
IF(COUNTIF('[2]Previsão Envase'!$H:$H,E394)&gt;0,"Linha 3","")))</f>
        <v/>
      </c>
      <c r="L394" s="96">
        <f>COUNTIF('[2]Previsão Envase'!$F:$H,E394)-COUNTIF('[2]Previsão Envase'!$F$1:$H$4,E394)</f>
        <v>0</v>
      </c>
      <c r="M394" s="35">
        <f t="shared" si="60"/>
        <v>0</v>
      </c>
      <c r="N394" s="68" t="str">
        <f>IFERROR(MAX(_xlfn.MAXIFS('[2]Controle de Produção'!$C:$C,'[2]Controle de Produção'!$L:$L,$D394,'[2]Controle de Produção'!$P:$P,$C394,'[2]Controle de Produção'!$G:$G,$B394),_xlfn.MAXIFS([3]EXPEDIÇÃO!$N:$N,[3]EXPEDIÇÃO!$E:$E,$D394,[3]EXPEDIÇÃO!$D:$D,$C394,[3]EXPEDIÇÃO!$N:$N,"&gt;="&amp;$G394)),"")</f>
        <v/>
      </c>
      <c r="O394" s="70">
        <f>INDEX([1]Produtos!$E:$E,MATCH($D394,[1]Produtos!$B:$B,0))</f>
        <v>240</v>
      </c>
      <c r="P394" s="70" t="str">
        <f>INDEX([1]Produtos!$F:$F,MATCH($D394,[1]Produtos!$B:$B,0))</f>
        <v>ml</v>
      </c>
      <c r="Q394" s="105">
        <f>INDEX([1]Produtos!$Y:$Y,MATCH($D394,[1]Produtos!$B:$B,0))</f>
        <v>1.48</v>
      </c>
      <c r="R394" s="35">
        <f t="shared" si="61"/>
        <v>5520.5897431648482</v>
      </c>
      <c r="S394" s="27">
        <f>IFERROR(INDEX([1]Produtos!$L:$L,MATCH(D394,[1]Produtos!$B:$B,0)), "")</f>
        <v>613.39886035164977</v>
      </c>
      <c r="T394" s="28">
        <f t="shared" si="62"/>
        <v>4.1999999999999993</v>
      </c>
      <c r="U394" s="28" t="str">
        <f t="shared" si="63"/>
        <v>0D e 5h</v>
      </c>
      <c r="V394" s="27">
        <f>IFERROR(SUMIFS('[2]Controle de Produção'!$K:$K,'[2]Controle de Produção'!$L:$L,D394,'[2]Controle de Produção'!$P:$P,C394,'[2]Controle de Produção'!$B:$B,"&gt;=" &amp; G394,'[2]Controle de Produção'!$C:$C,"&lt;=" &amp; N394, '[2]Controle de Produção'!$G:$G,B394), "")</f>
        <v>0</v>
      </c>
      <c r="W394" s="27" t="str">
        <f>IFERROR(SUMIFS([3]EXPEDIÇÃO!$K:$K,[3]EXPEDIÇÃO!$E:$E,D394,[3]EXPEDIÇÃO!$D:$D,C394,[3]EXPEDIÇÃO!$N:$N,"&gt;=" &amp; G394,[3]EXPEDIÇÃO!$N:$N,"&lt;="&amp;N394), "")</f>
        <v/>
      </c>
      <c r="X394" s="27">
        <f>COUNTIFS('[2]Controle de Produção'!$P:$P,C394,'[2]Controle de Produção'!$L:$L,D394,'[2]Controle de Produção'!$B:$B,"&gt;=" &amp; G394)</f>
        <v>1</v>
      </c>
      <c r="Y394" s="27">
        <f t="shared" si="64"/>
        <v>0</v>
      </c>
      <c r="Z394" s="27">
        <f>IFERROR(COUNTIFS('[2]Controle de Produção'!$L:$L,D394,'[2]Controle de Produção'!$P:$P,C394,'[2]Controle de Produção'!$B:$B,"&gt;=" &amp; G394,'[2]Controle de Produção'!$C:$C,"&lt;=" &amp; N394, '[2]Controle de Produção'!$G:$G,B394), "")</f>
        <v>0</v>
      </c>
      <c r="AA394" s="108" t="str">
        <f t="shared" si="58"/>
        <v/>
      </c>
      <c r="AB394" s="41" t="s">
        <v>60</v>
      </c>
      <c r="AC394" s="42" t="b">
        <v>1</v>
      </c>
      <c r="AD394" s="42" t="b">
        <v>1</v>
      </c>
      <c r="AE394" s="42" t="b">
        <v>1</v>
      </c>
      <c r="AF394" s="42" t="b">
        <v>1</v>
      </c>
      <c r="AG394" s="42" t="s">
        <v>38</v>
      </c>
      <c r="AH394" s="42" t="s">
        <v>38</v>
      </c>
      <c r="AI394" s="42" t="b">
        <v>1</v>
      </c>
      <c r="AJ394" s="42" t="b">
        <v>1</v>
      </c>
      <c r="AK394" s="42" t="s">
        <v>38</v>
      </c>
      <c r="AL394" s="42" t="b">
        <v>1</v>
      </c>
      <c r="AM394" s="42" t="b">
        <v>1</v>
      </c>
      <c r="AN394" s="42" t="b">
        <v>1</v>
      </c>
      <c r="AO394" s="45" t="b" cm="1">
        <f t="array" ref="AO394">AND(COUNTIF(AC394:AN394,FALSE)=0,SUMPRODUCT(ISNUMBER(AC394:AN394)*1)=0)</f>
        <v>1</v>
      </c>
      <c r="AP394" s="59"/>
      <c r="AQ394" s="111">
        <f>IF(AB394="",99999999999,IFERROR(MATCH(AB394,{"Produção Parcial","Em Produção","Programado","Não Iniciado","Desenvolv.","Concluído"},0),7)*100000000+IF(ISNUMBER(J394),J394-46000,9999)*10000+IF(A394="",99,A394)*100+IF(C394="",99,CODE(LEFT(C394,1))))</f>
        <v>699990465</v>
      </c>
      <c r="AR394" s="36"/>
      <c r="AS394" s="36"/>
    </row>
    <row r="395" spans="1:702" ht="25.35" hidden="1" customHeight="1" x14ac:dyDescent="0.25">
      <c r="A395" s="36">
        <v>4</v>
      </c>
      <c r="B395" s="112" t="s">
        <v>435</v>
      </c>
      <c r="C395" s="70" t="str">
        <f>INDEX([1]Produtos!$G:$G,MATCH($D395,[1]Produtos!$B:$B,0))</f>
        <v>SAFIRA</v>
      </c>
      <c r="D395" s="24" t="s">
        <v>52</v>
      </c>
      <c r="E395" s="70" t="str">
        <f>INDEX([1]Produtos!$C:$C,MATCH($D395,[1]Produtos!$B:$B,0))&amp;IF($F395&lt;&gt;"-"," - "&amp;LEFT($F395,1),"")&amp;" &gt; "&amp;$B395</f>
        <v>ESFOLIANTE FACIAL VITAMINA C &gt; 0005</v>
      </c>
      <c r="F395" s="51" t="s">
        <v>38</v>
      </c>
      <c r="G395" s="38">
        <v>46044</v>
      </c>
      <c r="H395" s="39">
        <v>3000</v>
      </c>
      <c r="I395" s="24" t="s">
        <v>39</v>
      </c>
      <c r="J395" s="68" t="str" cm="1">
        <f t="array" ref="J395">IFERROR(INDEX('[2]Previsão Envase'!$D$5:$D$4867, MATCH(1,('[2]Previsão Envase'!$F$5:$F$4867=$E395)+('[2]Previsão Envase'!$G$5:$G$4867=$E395)+('[2]Previsão Envase'!$H$5:$H$4867=$E395),0)),"")</f>
        <v/>
      </c>
      <c r="K395" s="68" t="str">
        <f>IF(COUNTIF('[2]Previsão Envase'!$F:$F,E395)&gt;0,"Linha 1",
IF(COUNTIF('[2]Previsão Envase'!$G:$G,E395)&gt;0,"Linha 2",
IF(COUNTIF('[2]Previsão Envase'!$H:$H,E395)&gt;0,"Linha 3","")))</f>
        <v/>
      </c>
      <c r="L395" s="96">
        <f>COUNTIF('[2]Previsão Envase'!$F:$H,E395)-COUNTIF('[2]Previsão Envase'!$F$1:$H$4,E395)</f>
        <v>0</v>
      </c>
      <c r="M395" s="35">
        <f t="shared" si="60"/>
        <v>0</v>
      </c>
      <c r="N395" s="68" t="str">
        <f>IFERROR(MAX(_xlfn.MAXIFS('[2]Controle de Produção'!$C:$C,'[2]Controle de Produção'!$L:$L,$D395,'[2]Controle de Produção'!$P:$P,$C395,'[2]Controle de Produção'!$G:$G,$B395),_xlfn.MAXIFS([3]EXPEDIÇÃO!$N:$N,[3]EXPEDIÇÃO!$E:$E,$D395,[3]EXPEDIÇÃO!$D:$D,$C395,[3]EXPEDIÇÃO!$N:$N,"&gt;="&amp;$G395)),"")</f>
        <v/>
      </c>
      <c r="O395" s="70">
        <f>INDEX([1]Produtos!$E:$E,MATCH($D395,[1]Produtos!$B:$B,0))</f>
        <v>100</v>
      </c>
      <c r="P395" s="70" t="str">
        <f>INDEX([1]Produtos!$F:$F,MATCH($D395,[1]Produtos!$B:$B,0))</f>
        <v>ml</v>
      </c>
      <c r="Q395" s="105">
        <f>INDEX([1]Produtos!$Y:$Y,MATCH($D395,[1]Produtos!$B:$B,0))</f>
        <v>0</v>
      </c>
      <c r="R395" s="35">
        <f t="shared" si="61"/>
        <v>6490.0564190605701</v>
      </c>
      <c r="S395" s="27">
        <f>IFERROR(INDEX([1]Produtos!$L:$L,MATCH(D395,[1]Produtos!$B:$B,0)), "")</f>
        <v>721.11737989561891</v>
      </c>
      <c r="T395" s="28">
        <f t="shared" si="62"/>
        <v>4.1999999999999993</v>
      </c>
      <c r="U395" s="28" t="str">
        <f t="shared" si="63"/>
        <v>0D e 5h</v>
      </c>
      <c r="V395" s="57">
        <f>IFERROR(SUMIFS('[2]Controle de Produção'!$K:$K,'[2]Controle de Produção'!$L:$L,D395,'[2]Controle de Produção'!$P:$P,C395,'[2]Controle de Produção'!$B:$B,"&gt;=" &amp; G395,'[2]Controle de Produção'!$C:$C,"&lt;=" &amp; N395, '[2]Controle de Produção'!$G:$G,B395), "")</f>
        <v>0</v>
      </c>
      <c r="W395" s="27" t="str">
        <f>IFERROR(SUMIFS([3]EXPEDIÇÃO!$K:$K,[3]EXPEDIÇÃO!$E:$E,D395,[3]EXPEDIÇÃO!$D:$D,C395,[3]EXPEDIÇÃO!$N:$N,"&gt;=" &amp; G395,[3]EXPEDIÇÃO!$N:$N,"&lt;="&amp;N395), "")</f>
        <v/>
      </c>
      <c r="X395" s="27">
        <f>COUNTIFS('[2]Controle de Produção'!$P:$P,C395,'[2]Controle de Produção'!$L:$L,D395,'[2]Controle de Produção'!$B:$B,"&gt;=" &amp; G395)</f>
        <v>1</v>
      </c>
      <c r="Y395" s="27">
        <f t="shared" si="64"/>
        <v>0</v>
      </c>
      <c r="Z395" s="27">
        <f>IFERROR(COUNTIFS('[2]Controle de Produção'!$L:$L,D395,'[2]Controle de Produção'!$P:$P,C395,'[2]Controle de Produção'!$B:$B,"&gt;=" &amp; G395,'[2]Controle de Produção'!$C:$C,"&lt;=" &amp; N395, '[2]Controle de Produção'!$G:$G,B395), "")</f>
        <v>0</v>
      </c>
      <c r="AA395" s="108" t="str">
        <f t="shared" si="58"/>
        <v/>
      </c>
      <c r="AB395" s="41" t="s">
        <v>60</v>
      </c>
      <c r="AC395" s="42" t="b">
        <v>1</v>
      </c>
      <c r="AD395" s="42" t="b">
        <v>1</v>
      </c>
      <c r="AE395" s="42" t="s">
        <v>38</v>
      </c>
      <c r="AF395" s="42" t="b">
        <v>1</v>
      </c>
      <c r="AG395" s="42" t="b">
        <v>1</v>
      </c>
      <c r="AH395" s="42" t="s">
        <v>38</v>
      </c>
      <c r="AI395" s="42" t="s">
        <v>38</v>
      </c>
      <c r="AJ395" s="42" t="s">
        <v>38</v>
      </c>
      <c r="AK395" s="42" t="s">
        <v>38</v>
      </c>
      <c r="AL395" s="42" t="b">
        <v>1</v>
      </c>
      <c r="AM395" s="42" t="b">
        <v>1</v>
      </c>
      <c r="AN395" s="42" t="b">
        <v>1</v>
      </c>
      <c r="AO395" s="45" t="b" cm="1">
        <f t="array" ref="AO395">AND(COUNTIF(AC395:AN395,FALSE)=0,SUMPRODUCT(ISNUMBER(AC395:AN395)*1)=0)</f>
        <v>1</v>
      </c>
      <c r="AP395" s="59"/>
      <c r="AQ395" s="111">
        <f>IF(AB395="",99999999999,IFERROR(MATCH(AB395,{"Produção Parcial","Em Produção","Programado","Não Iniciado","Desenvolv.","Concluído"},0),7)*100000000+IF(ISNUMBER(J395),J395-46000,9999)*10000+IF(A395="",99,A395)*100+IF(C395="",99,CODE(LEFT(C395,1))))</f>
        <v>699990483</v>
      </c>
      <c r="AR395" s="36"/>
      <c r="AS395" s="36"/>
    </row>
    <row r="396" spans="1:702" ht="25.35" hidden="1" customHeight="1" x14ac:dyDescent="0.25">
      <c r="A396" s="36">
        <v>4</v>
      </c>
      <c r="B396" s="112" t="s">
        <v>435</v>
      </c>
      <c r="C396" s="70" t="str">
        <f>INDEX([1]Produtos!$G:$G,MATCH($D396,[1]Produtos!$B:$B,0))</f>
        <v>SAFIRA</v>
      </c>
      <c r="D396" s="24" t="s">
        <v>53</v>
      </c>
      <c r="E396" s="70" t="str">
        <f>INDEX([1]Produtos!$C:$C,MATCH($D396,[1]Produtos!$B:$B,0))&amp;IF($F396&lt;&gt;"-"," - "&amp;LEFT($F396,1),"")&amp;" &gt; "&amp;$B396</f>
        <v>ESFOLIANTE FACIAL PITAYA &gt; 0005</v>
      </c>
      <c r="F396" s="51" t="s">
        <v>38</v>
      </c>
      <c r="G396" s="38">
        <v>46044</v>
      </c>
      <c r="H396" s="39">
        <v>1500</v>
      </c>
      <c r="I396" s="24" t="s">
        <v>39</v>
      </c>
      <c r="J396" s="68" t="str" cm="1">
        <f t="array" ref="J396">IFERROR(INDEX('[2]Previsão Envase'!$D$5:$D$4867, MATCH(1,('[2]Previsão Envase'!$F$5:$F$4867=$E396)+('[2]Previsão Envase'!$G$5:$G$4867=$E396)+('[2]Previsão Envase'!$H$5:$H$4867=$E396),0)),"")</f>
        <v/>
      </c>
      <c r="K396" s="68" t="str">
        <f>IF(COUNTIF('[2]Previsão Envase'!$F:$F,E396)&gt;0,"Linha 1",
IF(COUNTIF('[2]Previsão Envase'!$G:$G,E396)&gt;0,"Linha 2",
IF(COUNTIF('[2]Previsão Envase'!$H:$H,E396)&gt;0,"Linha 3","")))</f>
        <v/>
      </c>
      <c r="L396" s="96">
        <f>COUNTIF('[2]Previsão Envase'!$F:$H,E396)-COUNTIF('[2]Previsão Envase'!$F$1:$H$4,E396)</f>
        <v>0</v>
      </c>
      <c r="M396" s="35">
        <f t="shared" si="60"/>
        <v>0</v>
      </c>
      <c r="N396" s="68" t="str">
        <f>IFERROR(MAX(_xlfn.MAXIFS('[2]Controle de Produção'!$C:$C,'[2]Controle de Produção'!$L:$L,$D396,'[2]Controle de Produção'!$P:$P,$C396,'[2]Controle de Produção'!$G:$G,$B396),_xlfn.MAXIFS([3]EXPEDIÇÃO!$N:$N,[3]EXPEDIÇÃO!$E:$E,$D396,[3]EXPEDIÇÃO!$D:$D,$C396,[3]EXPEDIÇÃO!$N:$N,"&gt;="&amp;$G396)),"")</f>
        <v/>
      </c>
      <c r="O396" s="70">
        <f>INDEX([1]Produtos!$E:$E,MATCH($D396,[1]Produtos!$B:$B,0))</f>
        <v>100</v>
      </c>
      <c r="P396" s="70" t="str">
        <f>INDEX([1]Produtos!$F:$F,MATCH($D396,[1]Produtos!$B:$B,0))</f>
        <v>ml</v>
      </c>
      <c r="Q396" s="105">
        <f>INDEX([1]Produtos!$Y:$Y,MATCH($D396,[1]Produtos!$B:$B,0))</f>
        <v>0</v>
      </c>
      <c r="R396" s="35">
        <f t="shared" si="61"/>
        <v>6490.0564190605701</v>
      </c>
      <c r="S396" s="27">
        <f>IFERROR(INDEX([1]Produtos!$L:$L,MATCH(D396,[1]Produtos!$B:$B,0)), "")</f>
        <v>721.11737989561891</v>
      </c>
      <c r="T396" s="28">
        <f t="shared" si="62"/>
        <v>2.1</v>
      </c>
      <c r="U396" s="28" t="str">
        <f t="shared" si="63"/>
        <v>0D e 3h</v>
      </c>
      <c r="V396" s="57">
        <f>IFERROR(SUMIFS('[2]Controle de Produção'!$K:$K,'[2]Controle de Produção'!$L:$L,D396,'[2]Controle de Produção'!$P:$P,C396,'[2]Controle de Produção'!$B:$B,"&gt;=" &amp; G396,'[2]Controle de Produção'!$C:$C,"&lt;=" &amp; N396, '[2]Controle de Produção'!$G:$G,B396), "")</f>
        <v>0</v>
      </c>
      <c r="W396" s="27" t="str">
        <f>IFERROR(SUMIFS([3]EXPEDIÇÃO!$K:$K,[3]EXPEDIÇÃO!$E:$E,D396,[3]EXPEDIÇÃO!$D:$D,C396,[3]EXPEDIÇÃO!$N:$N,"&gt;=" &amp; G396,[3]EXPEDIÇÃO!$N:$N,"&lt;="&amp;N396), "")</f>
        <v/>
      </c>
      <c r="X396" s="27">
        <f>COUNTIFS('[2]Controle de Produção'!$P:$P,C396,'[2]Controle de Produção'!$L:$L,D396,'[2]Controle de Produção'!$B:$B,"&gt;=" &amp; G396)</f>
        <v>1</v>
      </c>
      <c r="Y396" s="27">
        <f t="shared" si="64"/>
        <v>0</v>
      </c>
      <c r="Z396" s="27">
        <f>IFERROR(COUNTIFS('[2]Controle de Produção'!$L:$L,D396,'[2]Controle de Produção'!$P:$P,C396,'[2]Controle de Produção'!$B:$B,"&gt;=" &amp; G396,'[2]Controle de Produção'!$C:$C,"&lt;=" &amp; N396, '[2]Controle de Produção'!$G:$G,B396), "")</f>
        <v>0</v>
      </c>
      <c r="AA396" s="108" t="str">
        <f t="shared" si="58"/>
        <v/>
      </c>
      <c r="AB396" s="41" t="s">
        <v>60</v>
      </c>
      <c r="AC396" s="42" t="b">
        <v>1</v>
      </c>
      <c r="AD396" s="42" t="b">
        <v>1</v>
      </c>
      <c r="AE396" s="42" t="s">
        <v>38</v>
      </c>
      <c r="AF396" s="42" t="b">
        <v>1</v>
      </c>
      <c r="AG396" s="42" t="b">
        <v>1</v>
      </c>
      <c r="AH396" s="42" t="s">
        <v>38</v>
      </c>
      <c r="AI396" s="42" t="s">
        <v>38</v>
      </c>
      <c r="AJ396" s="42" t="s">
        <v>38</v>
      </c>
      <c r="AK396" s="42" t="s">
        <v>38</v>
      </c>
      <c r="AL396" s="42" t="b">
        <v>1</v>
      </c>
      <c r="AM396" s="42" t="b">
        <v>1</v>
      </c>
      <c r="AN396" s="42" t="b">
        <v>1</v>
      </c>
      <c r="AO396" s="45" t="b" cm="1">
        <f t="array" ref="AO396">AND(COUNTIF(AC396:AN396,FALSE)=0,SUMPRODUCT(ISNUMBER(AC396:AN396)*1)=0)</f>
        <v>1</v>
      </c>
      <c r="AP396" s="59"/>
      <c r="AQ396" s="111">
        <f>IF(AB396="",99999999999,IFERROR(MATCH(AB396,{"Produção Parcial","Em Produção","Programado","Não Iniciado","Desenvolv.","Concluído"},0),7)*100000000+IF(ISNUMBER(J396),J396-46000,9999)*10000+IF(A396="",99,A396)*100+IF(C396="",99,CODE(LEFT(C396,1))))</f>
        <v>699990483</v>
      </c>
      <c r="AR396" s="36"/>
      <c r="AS396" s="36"/>
    </row>
    <row r="397" spans="1:702" ht="25.35" hidden="1" customHeight="1" x14ac:dyDescent="0.25">
      <c r="A397" s="36">
        <v>8</v>
      </c>
      <c r="B397" s="38" t="s">
        <v>433</v>
      </c>
      <c r="C397" s="70" t="str">
        <f>INDEX([1]Produtos!$G:$G,MATCH($D397,[1]Produtos!$B:$B,0))</f>
        <v>FILATO BENE</v>
      </c>
      <c r="D397" s="24" t="s">
        <v>419</v>
      </c>
      <c r="E397" s="70" t="str">
        <f>INDEX([1]Produtos!$C:$C,MATCH($D397,[1]Produtos!$B:$B,0))&amp;IF($F397&lt;&gt;"-"," - "&amp;LEFT($F397,1),"")&amp;" &gt; "&amp;$B397</f>
        <v>PERFUME OSTINATO 100ML &gt; COMPLEMENTO PEDIDO 01/25</v>
      </c>
      <c r="F397" s="51" t="s">
        <v>38</v>
      </c>
      <c r="G397" s="38">
        <v>46113</v>
      </c>
      <c r="H397" s="39">
        <v>970</v>
      </c>
      <c r="I397" s="24" t="s">
        <v>42</v>
      </c>
      <c r="J397" s="68" t="str" cm="1">
        <f t="array" ref="J397">IFERROR(INDEX('[2]Previsão Envase'!$D$5:$D$4867, MATCH(1,('[2]Previsão Envase'!$F$5:$F$4867=$E397)+('[2]Previsão Envase'!$G$5:$G$4867=$E397)+('[2]Previsão Envase'!$H$5:$H$4867=$E397),0)),"")</f>
        <v/>
      </c>
      <c r="K397" s="68" t="str">
        <f>IF(COUNTIF('[2]Previsão Envase'!$F:$F,E397)&gt;0,"Linha 1",
IF(COUNTIF('[2]Previsão Envase'!$G:$G,E397)&gt;0,"Linha 2",
IF(COUNTIF('[2]Previsão Envase'!$H:$H,E397)&gt;0,"Linha 3","")))</f>
        <v/>
      </c>
      <c r="L397" s="96">
        <f>COUNTIF('[2]Previsão Envase'!$F:$H,E397)-COUNTIF('[2]Previsão Envase'!$F$1:$H$4,E397)</f>
        <v>0</v>
      </c>
      <c r="M397" s="35">
        <f t="shared" si="60"/>
        <v>0</v>
      </c>
      <c r="N397" s="68" t="str">
        <f>IFERROR(MAX(_xlfn.MAXIFS('[2]Controle de Produção'!$C:$C,'[2]Controle de Produção'!$L:$L,$D397,'[2]Controle de Produção'!$P:$P,$C397,'[2]Controle de Produção'!$G:$G,$B397),_xlfn.MAXIFS([3]EXPEDIÇÃO!$N:$N,[3]EXPEDIÇÃO!$E:$E,$D397,[3]EXPEDIÇÃO!$D:$D,$C397,[3]EXPEDIÇÃO!$N:$N,"&gt;="&amp;$G397)),"")</f>
        <v/>
      </c>
      <c r="O397" s="70">
        <f>INDEX([1]Produtos!$E:$E,MATCH($D397,[1]Produtos!$B:$B,0))</f>
        <v>100</v>
      </c>
      <c r="P397" s="70" t="str">
        <f>INDEX([1]Produtos!$F:$F,MATCH($D397,[1]Produtos!$B:$B,0))</f>
        <v>ml</v>
      </c>
      <c r="Q397" s="105">
        <f>INDEX([1]Produtos!$Y:$Y,MATCH($D397,[1]Produtos!$B:$B,0))</f>
        <v>6.71</v>
      </c>
      <c r="R397" s="35">
        <f t="shared" si="61"/>
        <v>1577.3766463727152</v>
      </c>
      <c r="S397" s="27">
        <f>IFERROR(INDEX([1]Produtos!$L:$L,MATCH(D397,[1]Produtos!$B:$B,0)), "")</f>
        <v>175.26407181919058</v>
      </c>
      <c r="T397" s="28">
        <f t="shared" si="62"/>
        <v>5.6</v>
      </c>
      <c r="U397" s="28" t="str">
        <f t="shared" si="63"/>
        <v>0D e 6h</v>
      </c>
      <c r="V397" s="27">
        <f>IFERROR(SUMIFS('[2]Controle de Produção'!$K:$K,'[2]Controle de Produção'!$L:$L,D397,'[2]Controle de Produção'!$P:$P,C397,'[2]Controle de Produção'!$B:$B,"&gt;=" &amp; G397,'[2]Controle de Produção'!$C:$C,"&lt;=" &amp; N397, '[2]Controle de Produção'!$G:$G,B397), "")</f>
        <v>0</v>
      </c>
      <c r="W397" s="27" t="str">
        <f>IFERROR(SUMIFS([3]EXPEDIÇÃO!$K:$K,[3]EXPEDIÇÃO!$E:$E,D397,[3]EXPEDIÇÃO!$D:$D,C397,[3]EXPEDIÇÃO!$N:$N,"&gt;=" &amp; G397,[3]EXPEDIÇÃO!$N:$N,"&lt;="&amp;N397), "")</f>
        <v/>
      </c>
      <c r="X397" s="27">
        <f>COUNTIFS('[2]Controle de Produção'!$P:$P,C397,'[2]Controle de Produção'!$L:$L,D397,'[2]Controle de Produção'!$B:$B,"&gt;=" &amp; G397)</f>
        <v>1</v>
      </c>
      <c r="Y397" s="27">
        <f t="shared" si="64"/>
        <v>0</v>
      </c>
      <c r="Z397" s="27">
        <f>IFERROR(COUNTIFS('[2]Controle de Produção'!$L:$L,D397,'[2]Controle de Produção'!$P:$P,C397,'[2]Controle de Produção'!$B:$B,"&gt;=" &amp; G397,'[2]Controle de Produção'!$C:$C,"&lt;=" &amp; N397, '[2]Controle de Produção'!$G:$G,B397), "")</f>
        <v>0</v>
      </c>
      <c r="AA397" s="108" t="str">
        <f t="shared" si="58"/>
        <v/>
      </c>
      <c r="AB397" s="41" t="s">
        <v>60</v>
      </c>
      <c r="AC397" s="42" t="b">
        <v>1</v>
      </c>
      <c r="AD397" s="42" t="b">
        <v>1</v>
      </c>
      <c r="AE397" s="42" t="s">
        <v>38</v>
      </c>
      <c r="AF397" s="42" t="b">
        <v>1</v>
      </c>
      <c r="AG397" s="42" t="b">
        <v>1</v>
      </c>
      <c r="AH397" s="42" t="b">
        <v>1</v>
      </c>
      <c r="AI397" s="42" t="b">
        <v>1</v>
      </c>
      <c r="AJ397" s="42" t="b">
        <v>1</v>
      </c>
      <c r="AK397" s="42" t="s">
        <v>38</v>
      </c>
      <c r="AL397" s="42" t="b">
        <v>1</v>
      </c>
      <c r="AM397" s="42" t="b">
        <v>1</v>
      </c>
      <c r="AN397" s="42" t="b">
        <v>1</v>
      </c>
      <c r="AO397" s="45" t="b" cm="1">
        <f t="array" ref="AO397">AND(COUNTIF(AC397:AN397,FALSE)=0,SUMPRODUCT(ISNUMBER(AC397:AN397)*1)=0)</f>
        <v>1</v>
      </c>
      <c r="AP397" s="59"/>
      <c r="AQ397" s="111">
        <f>IF(AB397="",99999999999,IFERROR(MATCH(AB397,{"Produção Parcial","Em Produção","Programado","Não Iniciado","Desenvolv.","Concluído"},0),7)*100000000+IF(ISNUMBER(J397),J397-46000,9999)*10000+IF(A397="",99,A397)*100+IF(C397="",99,CODE(LEFT(C397,1))))</f>
        <v>699990870</v>
      </c>
      <c r="AR397" s="36"/>
      <c r="AS397" s="36"/>
    </row>
    <row r="398" spans="1:702" ht="25.35" hidden="1" customHeight="1" x14ac:dyDescent="0.25">
      <c r="A398" s="36">
        <v>8</v>
      </c>
      <c r="B398" s="38" t="s">
        <v>433</v>
      </c>
      <c r="C398" s="70" t="str">
        <f>INDEX([1]Produtos!$G:$G,MATCH($D398,[1]Produtos!$B:$B,0))</f>
        <v>FILATO BENE</v>
      </c>
      <c r="D398" s="24" t="s">
        <v>418</v>
      </c>
      <c r="E398" s="70" t="str">
        <f>INDEX([1]Produtos!$C:$C,MATCH($D398,[1]Produtos!$B:$B,0))&amp;IF($F398&lt;&gt;"-"," - "&amp;LEFT($F398,1),"")&amp;" &gt; "&amp;$B398</f>
        <v>PERFUME RAFINATTO 100ML &gt; COMPLEMENTO PEDIDO 01/25</v>
      </c>
      <c r="F398" s="51" t="s">
        <v>38</v>
      </c>
      <c r="G398" s="38">
        <v>46113</v>
      </c>
      <c r="H398" s="39">
        <v>946</v>
      </c>
      <c r="I398" s="24" t="s">
        <v>42</v>
      </c>
      <c r="J398" s="68" t="str" cm="1">
        <f t="array" ref="J398">IFERROR(INDEX('[2]Previsão Envase'!$D$5:$D$4867, MATCH(1,('[2]Previsão Envase'!$F$5:$F$4867=$E398)+('[2]Previsão Envase'!$G$5:$G$4867=$E398)+('[2]Previsão Envase'!$H$5:$H$4867=$E398),0)),"")</f>
        <v/>
      </c>
      <c r="K398" s="68" t="str">
        <f>IF(COUNTIF('[2]Previsão Envase'!$F:$F,E398)&gt;0,"Linha 1",
IF(COUNTIF('[2]Previsão Envase'!$G:$G,E398)&gt;0,"Linha 2",
IF(COUNTIF('[2]Previsão Envase'!$H:$H,E398)&gt;0,"Linha 3","")))</f>
        <v/>
      </c>
      <c r="L398" s="96">
        <f>COUNTIF('[2]Previsão Envase'!$F:$H,E398)-COUNTIF('[2]Previsão Envase'!$F$1:$H$4,E398)</f>
        <v>0</v>
      </c>
      <c r="M398" s="35">
        <f t="shared" si="60"/>
        <v>0</v>
      </c>
      <c r="N398" s="68" t="str">
        <f>IFERROR(MAX(_xlfn.MAXIFS('[2]Controle de Produção'!$C:$C,'[2]Controle de Produção'!$L:$L,$D398,'[2]Controle de Produção'!$P:$P,$C398,'[2]Controle de Produção'!$G:$G,$B398),_xlfn.MAXIFS([3]EXPEDIÇÃO!$N:$N,[3]EXPEDIÇÃO!$E:$E,$D398,[3]EXPEDIÇÃO!$D:$D,$C398,[3]EXPEDIÇÃO!$N:$N,"&gt;="&amp;$G398)),"")</f>
        <v/>
      </c>
      <c r="O398" s="70">
        <f>INDEX([1]Produtos!$E:$E,MATCH($D398,[1]Produtos!$B:$B,0))</f>
        <v>100</v>
      </c>
      <c r="P398" s="70" t="str">
        <f>INDEX([1]Produtos!$F:$F,MATCH($D398,[1]Produtos!$B:$B,0))</f>
        <v>ml</v>
      </c>
      <c r="Q398" s="105">
        <f>INDEX([1]Produtos!$Y:$Y,MATCH($D398,[1]Produtos!$B:$B,0))</f>
        <v>6.71</v>
      </c>
      <c r="R398" s="35">
        <f t="shared" si="61"/>
        <v>1577.3766463727152</v>
      </c>
      <c r="S398" s="27">
        <f>IFERROR(INDEX([1]Produtos!$L:$L,MATCH(D398,[1]Produtos!$B:$B,0)), "")</f>
        <v>175.26407181919058</v>
      </c>
      <c r="T398" s="28">
        <f t="shared" si="62"/>
        <v>5.3999999999999995</v>
      </c>
      <c r="U398" s="28" t="str">
        <f t="shared" si="63"/>
        <v>0D e 6h</v>
      </c>
      <c r="V398" s="27">
        <f>IFERROR(SUMIFS('[2]Controle de Produção'!$K:$K,'[2]Controle de Produção'!$L:$L,D398,'[2]Controle de Produção'!$P:$P,C398,'[2]Controle de Produção'!$B:$B,"&gt;=" &amp; G398,'[2]Controle de Produção'!$C:$C,"&lt;=" &amp; N398, '[2]Controle de Produção'!$G:$G,B398), "")</f>
        <v>0</v>
      </c>
      <c r="W398" s="27" t="str">
        <f>IFERROR(SUMIFS([3]EXPEDIÇÃO!$K:$K,[3]EXPEDIÇÃO!$E:$E,D398,[3]EXPEDIÇÃO!$D:$D,C398,[3]EXPEDIÇÃO!$N:$N,"&gt;=" &amp; G398,[3]EXPEDIÇÃO!$N:$N,"&lt;="&amp;N398), "")</f>
        <v/>
      </c>
      <c r="X398" s="27">
        <f>COUNTIFS('[2]Controle de Produção'!$P:$P,C398,'[2]Controle de Produção'!$L:$L,D398,'[2]Controle de Produção'!$B:$B,"&gt;=" &amp; G398)</f>
        <v>1</v>
      </c>
      <c r="Y398" s="27">
        <f t="shared" si="64"/>
        <v>0</v>
      </c>
      <c r="Z398" s="27">
        <f>IFERROR(COUNTIFS('[2]Controle de Produção'!$L:$L,D398,'[2]Controle de Produção'!$P:$P,C398,'[2]Controle de Produção'!$B:$B,"&gt;=" &amp; G398,'[2]Controle de Produção'!$C:$C,"&lt;=" &amp; N398, '[2]Controle de Produção'!$G:$G,B398), "")</f>
        <v>0</v>
      </c>
      <c r="AA398" s="108" t="str">
        <f t="shared" si="58"/>
        <v/>
      </c>
      <c r="AB398" s="41" t="s">
        <v>60</v>
      </c>
      <c r="AC398" s="42" t="b">
        <v>1</v>
      </c>
      <c r="AD398" s="42" t="b">
        <v>1</v>
      </c>
      <c r="AE398" s="42" t="s">
        <v>38</v>
      </c>
      <c r="AF398" s="42" t="b">
        <v>1</v>
      </c>
      <c r="AG398" s="42" t="b">
        <v>1</v>
      </c>
      <c r="AH398" s="42" t="b">
        <v>1</v>
      </c>
      <c r="AI398" s="42" t="b">
        <v>1</v>
      </c>
      <c r="AJ398" s="42" t="b">
        <v>1</v>
      </c>
      <c r="AK398" s="42" t="s">
        <v>38</v>
      </c>
      <c r="AL398" s="42" t="b">
        <v>1</v>
      </c>
      <c r="AM398" s="42" t="b">
        <v>1</v>
      </c>
      <c r="AN398" s="42" t="b">
        <v>1</v>
      </c>
      <c r="AO398" s="45" t="b" cm="1">
        <f t="array" ref="AO398">AND(COUNTIF(AC398:AN398,FALSE)=0,SUMPRODUCT(ISNUMBER(AC398:AN398)*1)=0)</f>
        <v>1</v>
      </c>
      <c r="AP398" s="59"/>
      <c r="AQ398" s="111">
        <f>IF(AB398="",99999999999,IFERROR(MATCH(AB398,{"Produção Parcial","Em Produção","Programado","Não Iniciado","Desenvolv.","Concluído"},0),7)*100000000+IF(ISNUMBER(J398),J398-46000,9999)*10000+IF(A398="",99,A398)*100+IF(C398="",99,CODE(LEFT(C398,1))))</f>
        <v>699990870</v>
      </c>
      <c r="AR398" s="36"/>
      <c r="AS398" s="36"/>
    </row>
    <row r="399" spans="1:702" ht="25.35" hidden="1" customHeight="1" x14ac:dyDescent="0.25">
      <c r="A399" s="36"/>
      <c r="B399" s="38" t="s">
        <v>158</v>
      </c>
      <c r="C399" s="70" t="str">
        <f>INDEX([1]Produtos!$G:$G,MATCH($D399,[1]Produtos!$B:$B,0))</f>
        <v>AMEERATI</v>
      </c>
      <c r="D399" s="24" t="s">
        <v>204</v>
      </c>
      <c r="E399" s="70" t="str">
        <f>INDEX([1]Produtos!$C:$C,MATCH($D399,[1]Produtos!$B:$B,0))&amp;IF($F399&lt;&gt;"-"," - "&amp;LEFT($F399,1),"")&amp;" &gt; "&amp;$B399</f>
        <v>BODY CREAM ENCANTO PERSA - 1 &gt; AMEERATI 01</v>
      </c>
      <c r="F399" s="51">
        <v>1</v>
      </c>
      <c r="G399" s="38">
        <v>45959</v>
      </c>
      <c r="H399" s="39">
        <v>840</v>
      </c>
      <c r="I399" s="24" t="s">
        <v>39</v>
      </c>
      <c r="J399" s="68" t="str" cm="1">
        <f t="array" ref="J399">IFERROR(INDEX('[2]Previsão Envase'!$D$5:$D$4867, MATCH(1,('[2]Previsão Envase'!$F$5:$F$4867=$E399)+('[2]Previsão Envase'!$G$5:$G$4867=$E399)+('[2]Previsão Envase'!$H$5:$H$4867=$E399),0)),"")</f>
        <v/>
      </c>
      <c r="K399" s="68" t="str">
        <f>IF(COUNTIF('[2]Previsão Envase'!$F:$F,E399)&gt;0,"Linha 1",
IF(COUNTIF('[2]Previsão Envase'!$G:$G,E399)&gt;0,"Linha 2",
IF(COUNTIF('[2]Previsão Envase'!$H:$H,E399)&gt;0,"Linha 3","")))</f>
        <v/>
      </c>
      <c r="L399" s="96">
        <f>COUNTIF('[2]Previsão Envase'!$F:$H,E399)-COUNTIF('[2]Previsão Envase'!$F$1:$H$4,E399)</f>
        <v>0</v>
      </c>
      <c r="M399" s="35">
        <f t="shared" si="60"/>
        <v>0</v>
      </c>
      <c r="N399" s="68" t="str">
        <f>IFERROR(MAX(_xlfn.MAXIFS('[2]Controle de Produção'!$C:$C,'[2]Controle de Produção'!$L:$L,$D399,'[2]Controle de Produção'!$P:$P,$C399,'[2]Controle de Produção'!$G:$G,$B399),_xlfn.MAXIFS([3]EXPEDIÇÃO!$N:$N,[3]EXPEDIÇÃO!$E:$E,$D399,[3]EXPEDIÇÃO!$D:$D,$C399,[3]EXPEDIÇÃO!$N:$N,"&gt;="&amp;$G399)),"")</f>
        <v/>
      </c>
      <c r="O399" s="70">
        <f>INDEX([1]Produtos!$E:$E,MATCH($D399,[1]Produtos!$B:$B,0))</f>
        <v>240</v>
      </c>
      <c r="P399" s="70" t="str">
        <f>INDEX([1]Produtos!$F:$F,MATCH($D399,[1]Produtos!$B:$B,0))</f>
        <v>ml</v>
      </c>
      <c r="Q399" s="105">
        <f>INDEX([1]Produtos!$Y:$Y,MATCH($D399,[1]Produtos!$B:$B,0))</f>
        <v>1.48</v>
      </c>
      <c r="R399" s="35">
        <f t="shared" si="61"/>
        <v>5520.5897431648482</v>
      </c>
      <c r="S399" s="27">
        <f>IFERROR(INDEX([1]Produtos!$L:$L,MATCH(D399,[1]Produtos!$B:$B,0)), "")</f>
        <v>613.39886035164977</v>
      </c>
      <c r="T399" s="28">
        <f t="shared" si="62"/>
        <v>1.4000000000000001</v>
      </c>
      <c r="U399" s="28" t="str">
        <f t="shared" si="63"/>
        <v>0D e 2h</v>
      </c>
      <c r="V399" s="27">
        <f>IFERROR(SUMIFS('[2]Controle de Produção'!$K:$K,'[2]Controle de Produção'!$L:$L,D399,'[2]Controle de Produção'!$P:$P,C399,'[2]Controle de Produção'!$B:$B,"&gt;=" &amp; G399,'[2]Controle de Produção'!$C:$C,"&lt;=" &amp; N399, '[2]Controle de Produção'!$G:$G,B399), "")</f>
        <v>0</v>
      </c>
      <c r="W399" s="27" t="str">
        <f>IFERROR(SUMIFS([3]EXPEDIÇÃO!$K:$K,[3]EXPEDIÇÃO!$E:$E,D399,[3]EXPEDIÇÃO!$D:$D,C399,[3]EXPEDIÇÃO!$N:$N,"&gt;=" &amp; G399,[3]EXPEDIÇÃO!$N:$N,"&lt;="&amp;N399), "")</f>
        <v/>
      </c>
      <c r="X399" s="27">
        <f>COUNTIFS('[2]Controle de Produção'!$P:$P,C399,'[2]Controle de Produção'!$L:$L,D399,'[2]Controle de Produção'!$B:$B,"&gt;=" &amp; G399)</f>
        <v>2</v>
      </c>
      <c r="Y399" s="27">
        <f t="shared" si="64"/>
        <v>0</v>
      </c>
      <c r="Z399" s="27">
        <f>IFERROR(COUNTIFS('[2]Controle de Produção'!$L:$L,D399,'[2]Controle de Produção'!$P:$P,C399,'[2]Controle de Produção'!$B:$B,"&gt;=" &amp; G399,'[2]Controle de Produção'!$C:$C,"&lt;=" &amp; N399, '[2]Controle de Produção'!$G:$G,B399), "")</f>
        <v>0</v>
      </c>
      <c r="AA399" s="108" t="str">
        <f t="shared" si="58"/>
        <v/>
      </c>
      <c r="AB399" s="41" t="s">
        <v>60</v>
      </c>
      <c r="AC399" s="42" t="b">
        <v>1</v>
      </c>
      <c r="AD399" s="42" t="b">
        <v>1</v>
      </c>
      <c r="AE399" s="42" t="b">
        <v>1</v>
      </c>
      <c r="AF399" s="42" t="b">
        <v>1</v>
      </c>
      <c r="AG399" s="42" t="s">
        <v>38</v>
      </c>
      <c r="AH399" s="42" t="s">
        <v>38</v>
      </c>
      <c r="AI399" s="42" t="b">
        <v>1</v>
      </c>
      <c r="AJ399" s="42" t="b">
        <v>1</v>
      </c>
      <c r="AK399" s="42" t="s">
        <v>38</v>
      </c>
      <c r="AL399" s="42" t="b">
        <v>1</v>
      </c>
      <c r="AM399" s="42" t="b">
        <v>1</v>
      </c>
      <c r="AN399" s="42" t="b">
        <v>1</v>
      </c>
      <c r="AO399" s="45" t="b" cm="1">
        <f t="array" ref="AO399">AND(COUNTIF(AC399:AN399,FALSE)=0,SUMPRODUCT(ISNUMBER(AC399:AN399)*1)=0)</f>
        <v>1</v>
      </c>
      <c r="AP399" s="59"/>
      <c r="AQ399" s="111">
        <f>IF(AB399="",99999999999,IFERROR(MATCH(AB399,{"Produção Parcial","Em Produção","Programado","Não Iniciado","Desenvolv.","Concluído"},0),7)*100000000+IF(ISNUMBER(J399),J399-46000,9999)*10000+IF(A399="",99,A399)*100+IF(C399="",99,CODE(LEFT(C399,1))))</f>
        <v>699999965</v>
      </c>
    </row>
    <row r="400" spans="1:702" ht="25.35" hidden="1" customHeight="1" x14ac:dyDescent="0.25">
      <c r="A400" s="36"/>
      <c r="B400" s="38" t="s">
        <v>254</v>
      </c>
      <c r="C400" s="24" t="s">
        <v>255</v>
      </c>
      <c r="D400" s="24" t="s">
        <v>259</v>
      </c>
      <c r="E400" s="70" t="str">
        <f>INDEX([1]Produtos!$C:$C,MATCH($D400,[1]Produtos!$B:$B,0))&amp;IF($F400&lt;&gt;"-"," - "&amp;LEFT($F400,1),"")&amp;" &gt; "&amp;$B400</f>
        <v>BODY SPLASH BIO BALM ROSÉ ABSOLUT &gt; 01_08</v>
      </c>
      <c r="F400" s="51" t="s">
        <v>38</v>
      </c>
      <c r="G400" s="38">
        <v>45854</v>
      </c>
      <c r="H400" s="39">
        <v>7500</v>
      </c>
      <c r="I400" s="24" t="s">
        <v>39</v>
      </c>
      <c r="J400" s="68" t="str" cm="1">
        <f t="array" ref="J400">IFERROR(INDEX('[2]Previsão Envase'!$D$5:$D$4867, MATCH(1,('[2]Previsão Envase'!$F$5:$F$4867=$E400)+('[2]Previsão Envase'!$G$5:$G$4867=$E400)+('[2]Previsão Envase'!$H$5:$H$4867=$E400),0)),"")</f>
        <v/>
      </c>
      <c r="K400" s="68" t="str">
        <f>IF(COUNTIF('[2]Previsão Envase'!$F:$F,E400)&gt;0,"Linha 1",
IF(COUNTIF('[2]Previsão Envase'!$G:$G,E400)&gt;0,"Linha 2",
IF(COUNTIF('[2]Previsão Envase'!$H:$H,E400)&gt;0,"Linha 3","")))</f>
        <v/>
      </c>
      <c r="L400" s="96">
        <f>COUNTIF('[2]Previsão Envase'!$F:$H,E400)-COUNTIF('[2]Previsão Envase'!$F$1:$H$4,E400)</f>
        <v>0</v>
      </c>
      <c r="M400" s="35">
        <f t="shared" si="60"/>
        <v>0</v>
      </c>
      <c r="N400" s="68" t="str">
        <f>IFERROR(MAX(_xlfn.MAXIFS('[2]Controle de Produção'!$C:$C,'[2]Controle de Produção'!$L:$L,$D400,'[2]Controle de Produção'!$P:$P,$C400,'[2]Controle de Produção'!$G:$G,$B400),_xlfn.MAXIFS([3]EXPEDIÇÃO!$N:$N,[3]EXPEDIÇÃO!$E:$E,$D400,[3]EXPEDIÇÃO!$D:$D,$C400,[3]EXPEDIÇÃO!$N:$N,"&gt;="&amp;$G400)),"")</f>
        <v/>
      </c>
      <c r="O400" s="70">
        <f>INDEX([1]Produtos!$E:$E,MATCH($D400,[1]Produtos!$B:$B,0))</f>
        <v>200</v>
      </c>
      <c r="P400" s="70" t="str">
        <f>INDEX([1]Produtos!$F:$F,MATCH($D400,[1]Produtos!$B:$B,0))</f>
        <v>ml</v>
      </c>
      <c r="Q400" s="105">
        <f>INDEX([1]Produtos!$Y:$Y,MATCH($D400,[1]Produtos!$B:$B,0))</f>
        <v>1.7000000000000002</v>
      </c>
      <c r="R400" s="35">
        <f t="shared" si="61"/>
        <v>7592.2902086267013</v>
      </c>
      <c r="S400" s="27">
        <f>IFERROR(INDEX([1]Produtos!$L:$L,MATCH(D400,[1]Produtos!$B:$B,0)), "")</f>
        <v>843.58780095852239</v>
      </c>
      <c r="T400" s="28">
        <f t="shared" si="62"/>
        <v>8.9</v>
      </c>
      <c r="U400" s="28" t="str">
        <f t="shared" si="63"/>
        <v>1D e 1h</v>
      </c>
      <c r="V400" s="27">
        <f>IFERROR(SUMIFS('[2]Controle de Produção'!$K:$K,'[2]Controle de Produção'!$L:$L,D400,'[2]Controle de Produção'!$P:$P,C400,'[2]Controle de Produção'!$B:$B,"&gt;=" &amp; G400,'[2]Controle de Produção'!$C:$C,"&lt;=" &amp; N400, '[2]Controle de Produção'!$G:$G,B400), "")</f>
        <v>0</v>
      </c>
      <c r="W400" s="27" t="str">
        <f>IFERROR(SUMIFS([3]EXPEDIÇÃO!$K:$K,[3]EXPEDIÇÃO!$E:$E,D400,[3]EXPEDIÇÃO!$D:$D,C400,[3]EXPEDIÇÃO!$N:$N,"&gt;=" &amp; G400,[3]EXPEDIÇÃO!$N:$N,"&lt;="&amp;N400), "")</f>
        <v/>
      </c>
      <c r="X400" s="27">
        <f>COUNTIFS('[2]Controle de Produção'!$P:$P,C400,'[2]Controle de Produção'!$L:$L,D400,'[2]Controle de Produção'!$B:$B,"&gt;=" &amp; G400)</f>
        <v>3</v>
      </c>
      <c r="Y400" s="27">
        <f t="shared" si="64"/>
        <v>0</v>
      </c>
      <c r="Z400" s="27">
        <f>IFERROR(COUNTIFS('[2]Controle de Produção'!$L:$L,D400,'[2]Controle de Produção'!$P:$P,C400,'[2]Controle de Produção'!$B:$B,"&gt;=" &amp; G400,'[2]Controle de Produção'!$C:$C,"&lt;=" &amp; N400, '[2]Controle de Produção'!$G:$G,B400), "")</f>
        <v>0</v>
      </c>
      <c r="AA400" s="108" t="str">
        <f t="shared" ref="AA400:AA427" si="65">IF(OR(V400=0,H400=0),"",IF(V400="","",(V400-H400)/H400))</f>
        <v/>
      </c>
      <c r="AB400" s="41" t="s">
        <v>60</v>
      </c>
      <c r="AC400" s="42" t="b">
        <v>1</v>
      </c>
      <c r="AD400" s="42" t="b">
        <v>1</v>
      </c>
      <c r="AE400" s="42" t="b">
        <v>1</v>
      </c>
      <c r="AF400" s="42" t="b">
        <v>1</v>
      </c>
      <c r="AG400" s="42" t="b">
        <v>1</v>
      </c>
      <c r="AH400" s="42" t="s">
        <v>38</v>
      </c>
      <c r="AI400" s="42" t="b">
        <v>1</v>
      </c>
      <c r="AJ400" s="42" t="s">
        <v>38</v>
      </c>
      <c r="AK400" s="42" t="b">
        <v>0</v>
      </c>
      <c r="AL400" s="42" t="b">
        <v>1</v>
      </c>
      <c r="AM400" s="42" t="b">
        <v>1</v>
      </c>
      <c r="AN400" s="87">
        <f>3/3</f>
        <v>1</v>
      </c>
      <c r="AO400" s="45" t="b" cm="1">
        <f t="array" ref="AO400">AND(COUNTIF(AC400:AN400,FALSE)=0,SUMPRODUCT(ISNUMBER(AC400:AN400)*1)=0)</f>
        <v>0</v>
      </c>
      <c r="AP400" s="59"/>
      <c r="AQ400" s="111">
        <f>IF(AB400="",99999999999,IFERROR(MATCH(AB400,{"Produção Parcial","Em Produção","Programado","Não Iniciado","Desenvolv.","Concluído"},0),7)*100000000+IF(ISNUMBER(J400),J400-46000,9999)*10000+IF(A400="",99,A400)*100+IF(C400="",99,CODE(LEFT(C400,1))))</f>
        <v>699999966</v>
      </c>
      <c r="AR400" s="36"/>
      <c r="AS400" s="36"/>
    </row>
    <row r="401" spans="1:45" ht="25.35" hidden="1" customHeight="1" x14ac:dyDescent="0.25">
      <c r="A401" s="36"/>
      <c r="B401" s="38" t="s">
        <v>149</v>
      </c>
      <c r="C401" s="70" t="str">
        <f>INDEX([1]Produtos!$G:$G,MATCH($D401,[1]Produtos!$B:$B,0))</f>
        <v>BRIA BEAUTY</v>
      </c>
      <c r="D401" s="24" t="s">
        <v>150</v>
      </c>
      <c r="E401" s="70" t="str">
        <f>INDEX([1]Produtos!$C:$C,MATCH($D401,[1]Produtos!$B:$B,0))&amp;IF($F401&lt;&gt;"-"," - "&amp;LEFT($F401,1),"")&amp;" &gt; "&amp;$B401</f>
        <v>BODY SPLASH LUNAR 120ml &gt; REPOSICAO BRIA 01</v>
      </c>
      <c r="F401" s="51" t="s">
        <v>38</v>
      </c>
      <c r="G401" s="38">
        <v>46052</v>
      </c>
      <c r="H401" s="39">
        <v>20000</v>
      </c>
      <c r="I401" s="24" t="s">
        <v>42</v>
      </c>
      <c r="J401" s="68" t="str" cm="1">
        <f t="array" ref="J401">IFERROR(INDEX('[2]Previsão Envase'!$D$5:$D$4867, MATCH(1,('[2]Previsão Envase'!$F$5:$F$4867=$E401)+('[2]Previsão Envase'!$G$5:$G$4867=$E401)+('[2]Previsão Envase'!$H$5:$H$4867=$E401),0)),"")</f>
        <v/>
      </c>
      <c r="K401" s="68" t="str">
        <f>IF(COUNTIF('[2]Previsão Envase'!$F:$F,E401)&gt;0,"Linha 1",
IF(COUNTIF('[2]Previsão Envase'!$G:$G,E401)&gt;0,"Linha 2",
IF(COUNTIF('[2]Previsão Envase'!$H:$H,E401)&gt;0,"Linha 3","")))</f>
        <v/>
      </c>
      <c r="L401" s="96">
        <f>COUNTIF('[2]Previsão Envase'!$F:$H,E401)-COUNTIF('[2]Previsão Envase'!$F$1:$H$4,E401)</f>
        <v>0</v>
      </c>
      <c r="M401" s="35">
        <f t="shared" si="60"/>
        <v>0</v>
      </c>
      <c r="N401" s="68" t="str">
        <f>IFERROR(MAX(_xlfn.MAXIFS('[2]Controle de Produção'!$C:$C,'[2]Controle de Produção'!$L:$L,$D401,'[2]Controle de Produção'!$P:$P,$C401,'[2]Controle de Produção'!$G:$G,$B401),_xlfn.MAXIFS([3]EXPEDIÇÃO!$N:$N,[3]EXPEDIÇÃO!$E:$E,$D401,[3]EXPEDIÇÃO!$D:$D,$C401,[3]EXPEDIÇÃO!$N:$N,"&gt;="&amp;$G401)),"")</f>
        <v/>
      </c>
      <c r="O401" s="70">
        <f>INDEX([1]Produtos!$E:$E,MATCH($D401,[1]Produtos!$B:$B,0))</f>
        <v>120</v>
      </c>
      <c r="P401" s="70" t="str">
        <f>INDEX([1]Produtos!$F:$F,MATCH($D401,[1]Produtos!$B:$B,0))</f>
        <v>ml</v>
      </c>
      <c r="Q401" s="105">
        <f>INDEX([1]Produtos!$Y:$Y,MATCH($D401,[1]Produtos!$B:$B,0))</f>
        <v>1.08</v>
      </c>
      <c r="R401" s="35">
        <f t="shared" si="61"/>
        <v>7592.2902086267013</v>
      </c>
      <c r="S401" s="27">
        <f>IFERROR(INDEX([1]Produtos!$L:$L,MATCH(D401,[1]Produtos!$B:$B,0)), "")</f>
        <v>843.58780095852239</v>
      </c>
      <c r="T401" s="28">
        <f t="shared" si="62"/>
        <v>23.8</v>
      </c>
      <c r="U401" s="28" t="str">
        <f t="shared" si="63"/>
        <v>2D e 7h</v>
      </c>
      <c r="V401" s="27">
        <f>IFERROR(SUMIFS('[2]Controle de Produção'!$K:$K,'[2]Controle de Produção'!$L:$L,D401,'[2]Controle de Produção'!$P:$P,C401,'[2]Controle de Produção'!$B:$B,"&gt;=" &amp; G401,'[2]Controle de Produção'!$C:$C,"&lt;=" &amp; N401, '[2]Controle de Produção'!$G:$G,B401), "")</f>
        <v>0</v>
      </c>
      <c r="W401" s="27" t="str">
        <f>IFERROR(SUMIFS([3]EXPEDIÇÃO!$K:$K,[3]EXPEDIÇÃO!$E:$E,D401,[3]EXPEDIÇÃO!$D:$D,C401,[3]EXPEDIÇÃO!$N:$N,"&gt;=" &amp; G401,[3]EXPEDIÇÃO!$N:$N,"&lt;="&amp;N401), "")</f>
        <v/>
      </c>
      <c r="X401" s="27">
        <f>COUNTIFS('[2]Controle de Produção'!$P:$P,C401,'[2]Controle de Produção'!$L:$L,D401,'[2]Controle de Produção'!$B:$B,"&gt;=" &amp; G401)</f>
        <v>4</v>
      </c>
      <c r="Y401" s="27">
        <f t="shared" si="64"/>
        <v>0</v>
      </c>
      <c r="Z401" s="27">
        <f>IFERROR(COUNTIFS('[2]Controle de Produção'!$L:$L,D401,'[2]Controle de Produção'!$P:$P,C401,'[2]Controle de Produção'!$B:$B,"&gt;=" &amp; G401,'[2]Controle de Produção'!$C:$C,"&lt;=" &amp; N401, '[2]Controle de Produção'!$G:$G,B401), "")</f>
        <v>0</v>
      </c>
      <c r="AA401" s="108" t="str">
        <f t="shared" si="65"/>
        <v/>
      </c>
      <c r="AB401" s="41" t="s">
        <v>60</v>
      </c>
      <c r="AC401" s="42" t="b">
        <v>1</v>
      </c>
      <c r="AD401" s="42" t="b">
        <v>1</v>
      </c>
      <c r="AE401" s="42" t="b">
        <v>1</v>
      </c>
      <c r="AF401" s="42" t="b">
        <v>1</v>
      </c>
      <c r="AG401" s="42" t="s">
        <v>38</v>
      </c>
      <c r="AH401" s="42" t="s">
        <v>38</v>
      </c>
      <c r="AI401" s="42" t="b">
        <v>1</v>
      </c>
      <c r="AJ401" s="42" t="s">
        <v>38</v>
      </c>
      <c r="AK401" s="42" t="s">
        <v>38</v>
      </c>
      <c r="AL401" s="42" t="b">
        <v>1</v>
      </c>
      <c r="AM401" s="42" t="b">
        <v>1</v>
      </c>
      <c r="AN401" s="42" t="b">
        <v>1</v>
      </c>
      <c r="AO401" s="45" t="b" cm="1">
        <f t="array" ref="AO401">AND(COUNTIF(AC401:AN401,FALSE)=0,SUMPRODUCT(ISNUMBER(AC401:AN401)*1)=0)</f>
        <v>1</v>
      </c>
      <c r="AP401" s="59"/>
      <c r="AQ401" s="111">
        <f>IF(AB401="",99999999999,IFERROR(MATCH(AB401,{"Produção Parcial","Em Produção","Programado","Não Iniciado","Desenvolv.","Concluído"},0),7)*100000000+IF(ISNUMBER(J401),J401-46000,9999)*10000+IF(A401="",99,A401)*100+IF(C401="",99,CODE(LEFT(C401,1))))</f>
        <v>699999966</v>
      </c>
      <c r="AR401" s="36"/>
      <c r="AS401" s="36"/>
    </row>
    <row r="402" spans="1:45" ht="25.35" hidden="1" customHeight="1" x14ac:dyDescent="0.25">
      <c r="A402" s="36"/>
      <c r="B402" s="38" t="s">
        <v>149</v>
      </c>
      <c r="C402" s="70" t="str">
        <f>INDEX([1]Produtos!$G:$G,MATCH($D402,[1]Produtos!$B:$B,0))</f>
        <v>BRIA BEAUTY</v>
      </c>
      <c r="D402" s="24" t="s">
        <v>113</v>
      </c>
      <c r="E402" s="70" t="str">
        <f>INDEX([1]Produtos!$C:$C,MATCH($D402,[1]Produtos!$B:$B,0))&amp;IF($F402&lt;&gt;"-"," - "&amp;LEFT($F402,1),"")&amp;" &gt; "&amp;$B402</f>
        <v>BODY SPLASH SOL TROPICAL 58 120ml &gt; REPOSICAO BRIA 01</v>
      </c>
      <c r="F402" s="51" t="s">
        <v>38</v>
      </c>
      <c r="G402" s="38">
        <v>46052</v>
      </c>
      <c r="H402" s="39">
        <f>18000+4240</f>
        <v>22240</v>
      </c>
      <c r="I402" s="24" t="s">
        <v>42</v>
      </c>
      <c r="J402" s="68" t="str" cm="1">
        <f t="array" ref="J402">IFERROR(INDEX('[2]Previsão Envase'!$D$5:$D$4867, MATCH(1,('[2]Previsão Envase'!$F$5:$F$4867=$E402)+('[2]Previsão Envase'!$G$5:$G$4867=$E402)+('[2]Previsão Envase'!$H$5:$H$4867=$E402),0)),"")</f>
        <v/>
      </c>
      <c r="K402" s="68" t="str">
        <f>IF(COUNTIF('[2]Previsão Envase'!$F:$F,E402)&gt;0,"Linha 1",
IF(COUNTIF('[2]Previsão Envase'!$G:$G,E402)&gt;0,"Linha 2",
IF(COUNTIF('[2]Previsão Envase'!$H:$H,E402)&gt;0,"Linha 3","")))</f>
        <v/>
      </c>
      <c r="L402" s="96">
        <f>COUNTIF('[2]Previsão Envase'!$F:$H,E402)-COUNTIF('[2]Previsão Envase'!$F$1:$H$4,E402)</f>
        <v>0</v>
      </c>
      <c r="M402" s="35">
        <f t="shared" si="60"/>
        <v>0</v>
      </c>
      <c r="N402" s="68" t="str">
        <f>IFERROR(MAX(_xlfn.MAXIFS('[2]Controle de Produção'!$C:$C,'[2]Controle de Produção'!$L:$L,$D402,'[2]Controle de Produção'!$P:$P,$C402,'[2]Controle de Produção'!$G:$G,$B402),_xlfn.MAXIFS([3]EXPEDIÇÃO!$N:$N,[3]EXPEDIÇÃO!$E:$E,$D402,[3]EXPEDIÇÃO!$D:$D,$C402,[3]EXPEDIÇÃO!$N:$N,"&gt;="&amp;$G402)),"")</f>
        <v/>
      </c>
      <c r="O402" s="70">
        <f>INDEX([1]Produtos!$E:$E,MATCH($D402,[1]Produtos!$B:$B,0))</f>
        <v>120</v>
      </c>
      <c r="P402" s="70" t="str">
        <f>INDEX([1]Produtos!$F:$F,MATCH($D402,[1]Produtos!$B:$B,0))</f>
        <v>ml</v>
      </c>
      <c r="Q402" s="105">
        <f>INDEX([1]Produtos!$Y:$Y,MATCH($D402,[1]Produtos!$B:$B,0))</f>
        <v>1.08</v>
      </c>
      <c r="R402" s="35">
        <f t="shared" si="61"/>
        <v>7592.2902086267013</v>
      </c>
      <c r="S402" s="27">
        <f>IFERROR(INDEX([1]Produtos!$L:$L,MATCH(D402,[1]Produtos!$B:$B,0)), "")</f>
        <v>843.58780095852239</v>
      </c>
      <c r="T402" s="28">
        <f t="shared" si="62"/>
        <v>26.400000000000002</v>
      </c>
      <c r="U402" s="28" t="str">
        <f t="shared" si="63"/>
        <v>3D e 0h</v>
      </c>
      <c r="V402" s="27">
        <f>IFERROR(SUMIFS('[2]Controle de Produção'!$K:$K,'[2]Controle de Produção'!$L:$L,D402,'[2]Controle de Produção'!$P:$P,C402,'[2]Controle de Produção'!$B:$B,"&gt;=" &amp; G402,'[2]Controle de Produção'!$C:$C,"&lt;=" &amp; N402, '[2]Controle de Produção'!$G:$G,B402), "")</f>
        <v>0</v>
      </c>
      <c r="W402" s="27" t="str">
        <f>IFERROR(SUMIFS([3]EXPEDIÇÃO!$K:$K,[3]EXPEDIÇÃO!$E:$E,D402,[3]EXPEDIÇÃO!$D:$D,C402,[3]EXPEDIÇÃO!$N:$N,"&gt;=" &amp; G402,[3]EXPEDIÇÃO!$N:$N,"&lt;="&amp;N402), "")</f>
        <v/>
      </c>
      <c r="X402" s="27">
        <f>COUNTIFS('[2]Controle de Produção'!$P:$P,C402,'[2]Controle de Produção'!$L:$L,D402,'[2]Controle de Produção'!$B:$B,"&gt;=" &amp; G402)</f>
        <v>4</v>
      </c>
      <c r="Y402" s="27">
        <f t="shared" si="64"/>
        <v>0</v>
      </c>
      <c r="Z402" s="27">
        <f>IFERROR(COUNTIFS('[2]Controle de Produção'!$L:$L,D402,'[2]Controle de Produção'!$P:$P,C402,'[2]Controle de Produção'!$B:$B,"&gt;=" &amp; G402,'[2]Controle de Produção'!$C:$C,"&lt;=" &amp; N402, '[2]Controle de Produção'!$G:$G,B402), "")</f>
        <v>0</v>
      </c>
      <c r="AA402" s="108" t="str">
        <f t="shared" si="65"/>
        <v/>
      </c>
      <c r="AB402" s="41" t="s">
        <v>60</v>
      </c>
      <c r="AC402" s="42" t="b">
        <v>1</v>
      </c>
      <c r="AD402" s="42" t="b">
        <v>1</v>
      </c>
      <c r="AE402" s="42" t="b">
        <v>1</v>
      </c>
      <c r="AF402" s="42" t="b">
        <v>1</v>
      </c>
      <c r="AG402" s="42" t="s">
        <v>38</v>
      </c>
      <c r="AH402" s="42" t="s">
        <v>38</v>
      </c>
      <c r="AI402" s="42" t="b">
        <v>1</v>
      </c>
      <c r="AJ402" s="42" t="s">
        <v>38</v>
      </c>
      <c r="AK402" s="42" t="s">
        <v>38</v>
      </c>
      <c r="AL402" s="42" t="b">
        <v>1</v>
      </c>
      <c r="AM402" s="42" t="b">
        <v>1</v>
      </c>
      <c r="AN402" s="42" t="b">
        <v>1</v>
      </c>
      <c r="AO402" s="45" t="b" cm="1">
        <f t="array" ref="AO402">AND(COUNTIF(AC402:AN402,FALSE)=0,SUMPRODUCT(ISNUMBER(AC402:AN402)*1)=0)</f>
        <v>1</v>
      </c>
      <c r="AP402" s="59"/>
      <c r="AQ402" s="111">
        <f>IF(AB402="",99999999999,IFERROR(MATCH(AB402,{"Produção Parcial","Em Produção","Programado","Não Iniciado","Desenvolv.","Concluído"},0),7)*100000000+IF(ISNUMBER(J402),J402-46000,9999)*10000+IF(A402="",99,A402)*100+IF(C402="",99,CODE(LEFT(C402,1))))</f>
        <v>699999966</v>
      </c>
      <c r="AR402" s="36"/>
      <c r="AS402" s="36"/>
    </row>
    <row r="403" spans="1:45" ht="25.35" hidden="1" customHeight="1" x14ac:dyDescent="0.25">
      <c r="A403" s="36"/>
      <c r="B403" s="38" t="s">
        <v>149</v>
      </c>
      <c r="C403" s="70" t="str">
        <f>INDEX([1]Produtos!$G:$G,MATCH($D403,[1]Produtos!$B:$B,0))</f>
        <v>BRIA BEAUTY</v>
      </c>
      <c r="D403" s="24" t="s">
        <v>117</v>
      </c>
      <c r="E403" s="70" t="str">
        <f>INDEX([1]Produtos!$C:$C,MATCH($D403,[1]Produtos!$B:$B,0))&amp;IF($F403&lt;&gt;"-"," - "&amp;LEFT($F403,1),"")&amp;" &gt; "&amp;$B403</f>
        <v>BODY SPLASH SOL TROPICAL 61 120ml &gt; REPOSICAO BRIA 01</v>
      </c>
      <c r="F403" s="51" t="s">
        <v>38</v>
      </c>
      <c r="G403" s="38">
        <v>46052</v>
      </c>
      <c r="H403" s="39">
        <v>20000</v>
      </c>
      <c r="I403" s="24" t="s">
        <v>42</v>
      </c>
      <c r="J403" s="68" t="str" cm="1">
        <f t="array" ref="J403">IFERROR(INDEX('[2]Previsão Envase'!$D$5:$D$4867, MATCH(1,('[2]Previsão Envase'!$F$5:$F$4867=$E403)+('[2]Previsão Envase'!$G$5:$G$4867=$E403)+('[2]Previsão Envase'!$H$5:$H$4867=$E403),0)),"")</f>
        <v/>
      </c>
      <c r="K403" s="68" t="str">
        <f>IF(COUNTIF('[2]Previsão Envase'!$F:$F,E403)&gt;0,"Linha 1",
IF(COUNTIF('[2]Previsão Envase'!$G:$G,E403)&gt;0,"Linha 2",
IF(COUNTIF('[2]Previsão Envase'!$H:$H,E403)&gt;0,"Linha 3","")))</f>
        <v/>
      </c>
      <c r="L403" s="96">
        <f>COUNTIF('[2]Previsão Envase'!$F:$H,E403)-COUNTIF('[2]Previsão Envase'!$F$1:$H$4,E403)</f>
        <v>0</v>
      </c>
      <c r="M403" s="35">
        <f t="shared" si="60"/>
        <v>0</v>
      </c>
      <c r="N403" s="68" t="str">
        <f>IFERROR(MAX(_xlfn.MAXIFS('[2]Controle de Produção'!$C:$C,'[2]Controle de Produção'!$L:$L,$D403,'[2]Controle de Produção'!$P:$P,$C403,'[2]Controle de Produção'!$G:$G,$B403),_xlfn.MAXIFS([3]EXPEDIÇÃO!$N:$N,[3]EXPEDIÇÃO!$E:$E,$D403,[3]EXPEDIÇÃO!$D:$D,$C403,[3]EXPEDIÇÃO!$N:$N,"&gt;="&amp;$G403)),"")</f>
        <v/>
      </c>
      <c r="O403" s="70">
        <f>INDEX([1]Produtos!$E:$E,MATCH($D403,[1]Produtos!$B:$B,0))</f>
        <v>120</v>
      </c>
      <c r="P403" s="70" t="str">
        <f>INDEX([1]Produtos!$F:$F,MATCH($D403,[1]Produtos!$B:$B,0))</f>
        <v>ml</v>
      </c>
      <c r="Q403" s="105">
        <f>INDEX([1]Produtos!$Y:$Y,MATCH($D403,[1]Produtos!$B:$B,0))</f>
        <v>1.08</v>
      </c>
      <c r="R403" s="35">
        <f t="shared" si="61"/>
        <v>7592.2902086267013</v>
      </c>
      <c r="S403" s="27">
        <f>IFERROR(INDEX([1]Produtos!$L:$L,MATCH(D403,[1]Produtos!$B:$B,0)), "")</f>
        <v>843.58780095852239</v>
      </c>
      <c r="T403" s="28">
        <f t="shared" si="62"/>
        <v>23.8</v>
      </c>
      <c r="U403" s="28" t="str">
        <f t="shared" si="63"/>
        <v>2D e 7h</v>
      </c>
      <c r="V403" s="27">
        <f>IFERROR(SUMIFS('[2]Controle de Produção'!$K:$K,'[2]Controle de Produção'!$L:$L,D403,'[2]Controle de Produção'!$P:$P,C403,'[2]Controle de Produção'!$B:$B,"&gt;=" &amp; G403,'[2]Controle de Produção'!$C:$C,"&lt;=" &amp; N403, '[2]Controle de Produção'!$G:$G,B403), "")</f>
        <v>0</v>
      </c>
      <c r="W403" s="27" t="str">
        <f>IFERROR(SUMIFS([3]EXPEDIÇÃO!$K:$K,[3]EXPEDIÇÃO!$E:$E,D403,[3]EXPEDIÇÃO!$D:$D,C403,[3]EXPEDIÇÃO!$N:$N,"&gt;=" &amp; G403,[3]EXPEDIÇÃO!$N:$N,"&lt;="&amp;N403), "")</f>
        <v/>
      </c>
      <c r="X403" s="27">
        <f>COUNTIFS('[2]Controle de Produção'!$P:$P,C403,'[2]Controle de Produção'!$L:$L,D403,'[2]Controle de Produção'!$B:$B,"&gt;=" &amp; G403)</f>
        <v>4</v>
      </c>
      <c r="Y403" s="27">
        <f t="shared" si="64"/>
        <v>0</v>
      </c>
      <c r="Z403" s="27">
        <f>IFERROR(COUNTIFS('[2]Controle de Produção'!$L:$L,D403,'[2]Controle de Produção'!$P:$P,C403,'[2]Controle de Produção'!$B:$B,"&gt;=" &amp; G403,'[2]Controle de Produção'!$C:$C,"&lt;=" &amp; N403, '[2]Controle de Produção'!$G:$G,B403), "")</f>
        <v>0</v>
      </c>
      <c r="AA403" s="108" t="str">
        <f t="shared" si="65"/>
        <v/>
      </c>
      <c r="AB403" s="41" t="s">
        <v>60</v>
      </c>
      <c r="AC403" s="42" t="b">
        <v>1</v>
      </c>
      <c r="AD403" s="42" t="b">
        <v>1</v>
      </c>
      <c r="AE403" s="42" t="b">
        <v>1</v>
      </c>
      <c r="AF403" s="42" t="b">
        <v>1</v>
      </c>
      <c r="AG403" s="42" t="s">
        <v>38</v>
      </c>
      <c r="AH403" s="42" t="s">
        <v>38</v>
      </c>
      <c r="AI403" s="42" t="b">
        <v>1</v>
      </c>
      <c r="AJ403" s="42" t="s">
        <v>38</v>
      </c>
      <c r="AK403" s="42" t="s">
        <v>38</v>
      </c>
      <c r="AL403" s="42" t="b">
        <v>1</v>
      </c>
      <c r="AM403" s="42" t="b">
        <v>1</v>
      </c>
      <c r="AN403" s="42" t="b">
        <v>1</v>
      </c>
      <c r="AO403" s="45" t="b" cm="1">
        <f t="array" ref="AO403">AND(COUNTIF(AC403:AN403,FALSE)=0,SUMPRODUCT(ISNUMBER(AC403:AN403)*1)=0)</f>
        <v>1</v>
      </c>
      <c r="AP403" s="59"/>
      <c r="AQ403" s="111">
        <f>IF(AB403="",99999999999,IFERROR(MATCH(AB403,{"Produção Parcial","Em Produção","Programado","Não Iniciado","Desenvolv.","Concluído"},0),7)*100000000+IF(ISNUMBER(J403),J403-46000,9999)*10000+IF(A403="",99,A403)*100+IF(C403="",99,CODE(LEFT(C403,1))))</f>
        <v>699999966</v>
      </c>
      <c r="AR403" s="36"/>
      <c r="AS403" s="36"/>
    </row>
    <row r="404" spans="1:45" ht="25.35" hidden="1" customHeight="1" x14ac:dyDescent="0.25">
      <c r="A404" s="36"/>
      <c r="B404" s="38" t="s">
        <v>227</v>
      </c>
      <c r="C404" s="24" t="s">
        <v>228</v>
      </c>
      <c r="D404" s="24" t="s">
        <v>247</v>
      </c>
      <c r="E404" s="70" t="str">
        <f>INDEX([1]Produtos!$C:$C,MATCH($D404,[1]Produtos!$B:$B,0))&amp;IF($F404&lt;&gt;"-"," - "&amp;LEFT($F404,1),"")&amp;" &gt; "&amp;$B404</f>
        <v>BODY SPLASH GLOW NOITE DE GLAMOUR &gt; DAPOP - Pedido 360 mil</v>
      </c>
      <c r="F404" s="38" t="s">
        <v>38</v>
      </c>
      <c r="G404" s="38">
        <v>45828</v>
      </c>
      <c r="H404" s="39">
        <v>20000</v>
      </c>
      <c r="I404" s="24" t="s">
        <v>39</v>
      </c>
      <c r="J404" s="68" t="str" cm="1">
        <f t="array" ref="J404">IFERROR(INDEX('[2]Previsão Envase'!$D$5:$D$4867, MATCH(1,('[2]Previsão Envase'!$F$5:$F$4867=$E404)+('[2]Previsão Envase'!$G$5:$G$4867=$E404)+('[2]Previsão Envase'!$H$5:$H$4867=$E404),0)),"")</f>
        <v/>
      </c>
      <c r="K404" s="68" t="str">
        <f>IF(COUNTIF('[2]Previsão Envase'!$F:$F,E404)&gt;0,"Linha 1",
IF(COUNTIF('[2]Previsão Envase'!$G:$G,E404)&gt;0,"Linha 2",
IF(COUNTIF('[2]Previsão Envase'!$H:$H,E404)&gt;0,"Linha 3","")))</f>
        <v/>
      </c>
      <c r="L404" s="96">
        <f>COUNTIF('[2]Previsão Envase'!$F:$H,E404)-COUNTIF('[2]Previsão Envase'!$F$1:$H$4,E404)</f>
        <v>0</v>
      </c>
      <c r="M404" s="35">
        <f t="shared" si="60"/>
        <v>0</v>
      </c>
      <c r="N404" s="68" t="str">
        <f>IFERROR(MAX(_xlfn.MAXIFS('[2]Controle de Produção'!$C:$C,'[2]Controle de Produção'!$L:$L,$D404,'[2]Controle de Produção'!$P:$P,$C404,'[2]Controle de Produção'!$G:$G,$B404),_xlfn.MAXIFS([3]EXPEDIÇÃO!$N:$N,[3]EXPEDIÇÃO!$E:$E,$D404,[3]EXPEDIÇÃO!$D:$D,$C404,[3]EXPEDIÇÃO!$N:$N,"&gt;="&amp;$G404)),"")</f>
        <v/>
      </c>
      <c r="O404" s="70">
        <f>INDEX([1]Produtos!$E:$E,MATCH($D404,[1]Produtos!$B:$B,0))</f>
        <v>120</v>
      </c>
      <c r="P404" s="70" t="str">
        <f>INDEX([1]Produtos!$F:$F,MATCH($D404,[1]Produtos!$B:$B,0))</f>
        <v>ml</v>
      </c>
      <c r="Q404" s="105">
        <f>INDEX([1]Produtos!$Y:$Y,MATCH($D404,[1]Produtos!$B:$B,0))</f>
        <v>0</v>
      </c>
      <c r="R404" s="35">
        <f t="shared" si="61"/>
        <v>7999.1637743312976</v>
      </c>
      <c r="S404" s="27">
        <f>IFERROR(INDEX([1]Produtos!$L:$L,MATCH(D404,[1]Produtos!$B:$B,0)), "")</f>
        <v>888.79597492569974</v>
      </c>
      <c r="T404" s="28">
        <f t="shared" si="62"/>
        <v>22.6</v>
      </c>
      <c r="U404" s="28" t="str">
        <f t="shared" si="63"/>
        <v>2D e 5h</v>
      </c>
      <c r="V404" s="27">
        <f>IFERROR(SUMIFS('[2]Controle de Produção'!$K:$K,'[2]Controle de Produção'!$L:$L,D404,'[2]Controle de Produção'!$P:$P,C404,'[2]Controle de Produção'!$B:$B,"&gt;=" &amp; G404,'[2]Controle de Produção'!$C:$C,"&lt;=" &amp; N404, '[2]Controle de Produção'!$G:$G,B404), "")</f>
        <v>0</v>
      </c>
      <c r="W404" s="27" t="str">
        <f>IFERROR(SUMIFS([3]EXPEDIÇÃO!$K:$K,[3]EXPEDIÇÃO!$E:$E,D404,[3]EXPEDIÇÃO!$D:$D,C404,[3]EXPEDIÇÃO!$N:$N,"&gt;=" &amp; G404,[3]EXPEDIÇÃO!$N:$N,"&lt;="&amp;N404), "")</f>
        <v/>
      </c>
      <c r="X404" s="27">
        <f>COUNTIFS('[2]Controle de Produção'!$P:$P,C404,'[2]Controle de Produção'!$L:$L,D404,'[2]Controle de Produção'!$B:$B,"&gt;=" &amp; G404)</f>
        <v>8</v>
      </c>
      <c r="Y404" s="27">
        <f t="shared" si="64"/>
        <v>0</v>
      </c>
      <c r="Z404" s="27">
        <f>IFERROR(COUNTIFS('[2]Controle de Produção'!$L:$L,D404,'[2]Controle de Produção'!$P:$P,C404,'[2]Controle de Produção'!$B:$B,"&gt;=" &amp; G404,'[2]Controle de Produção'!$C:$C,"&lt;=" &amp; N404, '[2]Controle de Produção'!$G:$G,B404), "")</f>
        <v>0</v>
      </c>
      <c r="AA404" s="108" t="str">
        <f t="shared" si="65"/>
        <v/>
      </c>
      <c r="AB404" s="41" t="s">
        <v>60</v>
      </c>
      <c r="AC404" s="42" t="b">
        <v>1</v>
      </c>
      <c r="AD404" s="42" t="b">
        <v>1</v>
      </c>
      <c r="AE404" s="42" t="b">
        <v>1</v>
      </c>
      <c r="AF404" s="42" t="b">
        <v>1</v>
      </c>
      <c r="AG404" s="42" t="s">
        <v>38</v>
      </c>
      <c r="AH404" s="42" t="s">
        <v>38</v>
      </c>
      <c r="AI404" s="42" t="b">
        <v>1</v>
      </c>
      <c r="AJ404" s="42" t="b">
        <v>1</v>
      </c>
      <c r="AK404" s="42" t="b">
        <v>0</v>
      </c>
      <c r="AL404" s="42" t="b">
        <v>1</v>
      </c>
      <c r="AM404" s="42" t="b">
        <v>1</v>
      </c>
      <c r="AN404" s="42" t="b">
        <v>1</v>
      </c>
      <c r="AO404" s="45" t="b" cm="1">
        <f t="array" ref="AO404">AND(COUNTIF(AC404:AN404,FALSE)=0,SUMPRODUCT(ISNUMBER(AC404:AN404)*1)=0)</f>
        <v>0</v>
      </c>
      <c r="AP404" s="59"/>
      <c r="AQ404" s="111">
        <f>IF(AB404="",99999999999,IFERROR(MATCH(AB404,{"Produção Parcial","Em Produção","Programado","Não Iniciado","Desenvolv.","Concluído"},0),7)*100000000+IF(ISNUMBER(J404),J404-46000,9999)*10000+IF(A404="",99,A404)*100+IF(C404="",99,CODE(LEFT(C404,1))))</f>
        <v>699999968</v>
      </c>
      <c r="AR404" s="36"/>
      <c r="AS404" s="36"/>
    </row>
    <row r="405" spans="1:45" ht="25.35" hidden="1" customHeight="1" x14ac:dyDescent="0.25">
      <c r="A405" s="36"/>
      <c r="B405" s="38" t="s">
        <v>227</v>
      </c>
      <c r="C405" s="70" t="str">
        <f>INDEX([1]Produtos!$G:$G,MATCH($D405,[1]Produtos!$B:$B,0))</f>
        <v>DAPOP</v>
      </c>
      <c r="D405" s="24" t="s">
        <v>246</v>
      </c>
      <c r="E405" s="70" t="str">
        <f>INDEX([1]Produtos!$C:$C,MATCH($D405,[1]Produtos!$B:$B,0))&amp;IF($F405&lt;&gt;"-"," - "&amp;LEFT($F405,1),"")&amp;" &gt; "&amp;$B405</f>
        <v>ESFOLIANTE GLOW TAÇA DE CHAMPAGNE - 2 &gt; DAPOP - Pedido 360 mil</v>
      </c>
      <c r="F405" s="51">
        <v>2</v>
      </c>
      <c r="G405" s="38">
        <v>45981</v>
      </c>
      <c r="H405" s="39">
        <v>13000</v>
      </c>
      <c r="I405" s="24" t="s">
        <v>39</v>
      </c>
      <c r="J405" s="68" t="str" cm="1">
        <f t="array" ref="J405">IFERROR(INDEX('[2]Previsão Envase'!$D$5:$D$4867, MATCH(1,('[2]Previsão Envase'!$F$5:$F$4867=$E405)+('[2]Previsão Envase'!$G$5:$G$4867=$E405)+('[2]Previsão Envase'!$H$5:$H$4867=$E405),0)),"")</f>
        <v/>
      </c>
      <c r="K405" s="68" t="str">
        <f>IF(COUNTIF('[2]Previsão Envase'!$F:$F,E405)&gt;0,"Linha 1",
IF(COUNTIF('[2]Previsão Envase'!$G:$G,E405)&gt;0,"Linha 2",
IF(COUNTIF('[2]Previsão Envase'!$H:$H,E405)&gt;0,"Linha 3","")))</f>
        <v/>
      </c>
      <c r="L405" s="96">
        <f>COUNTIF('[2]Previsão Envase'!$F:$H,E405)-COUNTIF('[2]Previsão Envase'!$F$1:$H$4,E405)</f>
        <v>0</v>
      </c>
      <c r="M405" s="35">
        <f t="shared" si="60"/>
        <v>0</v>
      </c>
      <c r="N405" s="68" t="str">
        <f>IFERROR(MAX(_xlfn.MAXIFS('[2]Controle de Produção'!$C:$C,'[2]Controle de Produção'!$L:$L,$D405,'[2]Controle de Produção'!$P:$P,$C405,'[2]Controle de Produção'!$G:$G,$B405),_xlfn.MAXIFS([3]EXPEDIÇÃO!$N:$N,[3]EXPEDIÇÃO!$E:$E,$D405,[3]EXPEDIÇÃO!$D:$D,$C405,[3]EXPEDIÇÃO!$N:$N,"&gt;="&amp;$G405)),"")</f>
        <v/>
      </c>
      <c r="O405" s="70">
        <f>INDEX([1]Produtos!$E:$E,MATCH($D405,[1]Produtos!$B:$B,0))</f>
        <v>150</v>
      </c>
      <c r="P405" s="70" t="str">
        <f>INDEX([1]Produtos!$F:$F,MATCH($D405,[1]Produtos!$B:$B,0))</f>
        <v>g</v>
      </c>
      <c r="Q405" s="105">
        <f>INDEX([1]Produtos!$Y:$Y,MATCH($D405,[1]Produtos!$B:$B,0))</f>
        <v>0</v>
      </c>
      <c r="R405" s="35">
        <f t="shared" si="61"/>
        <v>6490.0564190605701</v>
      </c>
      <c r="S405" s="27">
        <f>IFERROR(INDEX([1]Produtos!$L:$L,MATCH(D405,[1]Produtos!$B:$B,0)), "")</f>
        <v>721.11737989561891</v>
      </c>
      <c r="T405" s="28">
        <f t="shared" si="62"/>
        <v>18.100000000000001</v>
      </c>
      <c r="U405" s="28" t="str">
        <f t="shared" si="63"/>
        <v>2D e 1h</v>
      </c>
      <c r="V405" s="27">
        <f>IFERROR(SUMIFS('[2]Controle de Produção'!$K:$K,'[2]Controle de Produção'!$L:$L,D405,'[2]Controle de Produção'!$P:$P,C405,'[2]Controle de Produção'!$B:$B,"&gt;=" &amp; G405,'[2]Controle de Produção'!$C:$C,"&lt;=" &amp; N405, '[2]Controle de Produção'!$G:$G,B405), "")</f>
        <v>0</v>
      </c>
      <c r="W405" s="27" t="str">
        <f>IFERROR(SUMIFS([3]EXPEDIÇÃO!$K:$K,[3]EXPEDIÇÃO!$E:$E,D405,[3]EXPEDIÇÃO!$D:$D,C405,[3]EXPEDIÇÃO!$N:$N,"&gt;=" &amp; G405,[3]EXPEDIÇÃO!$N:$N,"&lt;="&amp;N405), "")</f>
        <v/>
      </c>
      <c r="X405" s="27">
        <f>COUNTIFS('[2]Controle de Produção'!$P:$P,C405,'[2]Controle de Produção'!$L:$L,D405,'[2]Controle de Produção'!$B:$B,"&gt;=" &amp; G405)</f>
        <v>0</v>
      </c>
      <c r="Y405" s="27" t="str">
        <f t="shared" si="64"/>
        <v>-</v>
      </c>
      <c r="Z405" s="27">
        <f>IFERROR(COUNTIFS('[2]Controle de Produção'!$L:$L,D405,'[2]Controle de Produção'!$P:$P,C405,'[2]Controle de Produção'!$B:$B,"&gt;=" &amp; G405,'[2]Controle de Produção'!$C:$C,"&lt;=" &amp; N405, '[2]Controle de Produção'!$G:$G,B405), "")</f>
        <v>0</v>
      </c>
      <c r="AA405" s="108" t="str">
        <f t="shared" si="65"/>
        <v/>
      </c>
      <c r="AB405" s="41" t="s">
        <v>60</v>
      </c>
      <c r="AC405" s="42" t="b">
        <v>1</v>
      </c>
      <c r="AD405" s="42" t="b">
        <v>1</v>
      </c>
      <c r="AE405" s="42" t="b">
        <v>1</v>
      </c>
      <c r="AF405" s="42" t="b">
        <v>1</v>
      </c>
      <c r="AG405" s="42" t="b">
        <v>1</v>
      </c>
      <c r="AH405" s="42" t="s">
        <v>38</v>
      </c>
      <c r="AI405" s="42" t="s">
        <v>38</v>
      </c>
      <c r="AJ405" s="42" t="s">
        <v>38</v>
      </c>
      <c r="AK405" s="42" t="b">
        <v>0</v>
      </c>
      <c r="AL405" s="42" t="b">
        <v>1</v>
      </c>
      <c r="AM405" s="42" t="b">
        <v>0</v>
      </c>
      <c r="AN405" s="42" t="b">
        <v>0</v>
      </c>
      <c r="AO405" s="45" t="b" cm="1">
        <f t="array" ref="AO405">AND(COUNTIF(AC405:AN405,FALSE)=0,SUMPRODUCT(ISNUMBER(AC405:AN405)*1)=0)</f>
        <v>0</v>
      </c>
      <c r="AP405" s="59"/>
      <c r="AQ405" s="111">
        <f>IF(AB405="",99999999999,IFERROR(MATCH(AB405,{"Produção Parcial","Em Produção","Programado","Não Iniciado","Desenvolv.","Concluído"},0),7)*100000000+IF(ISNUMBER(J405),J405-46000,9999)*10000+IF(A405="",99,A405)*100+IF(C405="",99,CODE(LEFT(C405,1))))</f>
        <v>699999968</v>
      </c>
      <c r="AR405" s="36"/>
      <c r="AS405" s="36"/>
    </row>
    <row r="406" spans="1:45" ht="25.35" hidden="1" customHeight="1" x14ac:dyDescent="0.25">
      <c r="A406" s="36"/>
      <c r="B406" s="38" t="s">
        <v>217</v>
      </c>
      <c r="C406" s="70" t="str">
        <f>INDEX([1]Produtos!$G:$G,MATCH($D406,[1]Produtos!$B:$B,0))</f>
        <v>GLOW MAKE UP</v>
      </c>
      <c r="D406" s="24" t="s">
        <v>100</v>
      </c>
      <c r="E406" s="70" t="str">
        <f>INDEX([1]Produtos!$C:$C,MATCH($D406,[1]Produtos!$B:$B,0))&amp;IF($F406&lt;&gt;"-"," - "&amp;LEFT($F406,1),"")&amp;" &gt; "&amp;$B406</f>
        <v>ÁGUA MICELAR BABA GLOW - 3 &gt; GLOW - Água Micelar</v>
      </c>
      <c r="F406" s="51" t="s">
        <v>85</v>
      </c>
      <c r="G406" s="38">
        <v>45870</v>
      </c>
      <c r="H406" s="39">
        <v>15000</v>
      </c>
      <c r="I406" s="24" t="s">
        <v>39</v>
      </c>
      <c r="J406" s="68" t="str" cm="1">
        <f t="array" ref="J406">IFERROR(INDEX('[2]Previsão Envase'!$D$5:$D$4867, MATCH(1,('[2]Previsão Envase'!$F$5:$F$4867=$E406)+('[2]Previsão Envase'!$G$5:$G$4867=$E406)+('[2]Previsão Envase'!$H$5:$H$4867=$E406),0)),"")</f>
        <v/>
      </c>
      <c r="K406" s="68" t="str">
        <f>IF(COUNTIF('[2]Previsão Envase'!$F:$F,E406)&gt;0,"Linha 1",
IF(COUNTIF('[2]Previsão Envase'!$G:$G,E406)&gt;0,"Linha 2",
IF(COUNTIF('[2]Previsão Envase'!$H:$H,E406)&gt;0,"Linha 3","")))</f>
        <v/>
      </c>
      <c r="L406" s="96">
        <f>COUNTIF('[2]Previsão Envase'!$F:$H,E406)-COUNTIF('[2]Previsão Envase'!$F$1:$H$4,E406)</f>
        <v>0</v>
      </c>
      <c r="M406" s="35">
        <f t="shared" si="60"/>
        <v>0</v>
      </c>
      <c r="N406" s="68" t="str">
        <f>IFERROR(MAX(_xlfn.MAXIFS('[2]Controle de Produção'!$C:$C,'[2]Controle de Produção'!$L:$L,$D406,'[2]Controle de Produção'!$P:$P,$C406,'[2]Controle de Produção'!$G:$G,$B406),_xlfn.MAXIFS([3]EXPEDIÇÃO!$N:$N,[3]EXPEDIÇÃO!$E:$E,$D406,[3]EXPEDIÇÃO!$D:$D,$C406,[3]EXPEDIÇÃO!$N:$N,"&gt;="&amp;$G406)),"")</f>
        <v/>
      </c>
      <c r="O406" s="70">
        <f>INDEX([1]Produtos!$E:$E,MATCH($D406,[1]Produtos!$B:$B,0))</f>
        <v>325</v>
      </c>
      <c r="P406" s="70" t="str">
        <f>INDEX([1]Produtos!$F:$F,MATCH($D406,[1]Produtos!$B:$B,0))</f>
        <v>ml</v>
      </c>
      <c r="Q406" s="105">
        <f>INDEX([1]Produtos!$Y:$Y,MATCH($D406,[1]Produtos!$B:$B,0))</f>
        <v>0.85999999999999988</v>
      </c>
      <c r="R406" s="35">
        <f t="shared" si="61"/>
        <v>7288.9063376861359</v>
      </c>
      <c r="S406" s="27">
        <f>IFERROR(INDEX([1]Produtos!$L:$L,MATCH(D406,[1]Produtos!$B:$B,0)), "")</f>
        <v>809.87848196512618</v>
      </c>
      <c r="T406" s="28">
        <f t="shared" si="62"/>
        <v>18.600000000000001</v>
      </c>
      <c r="U406" s="28" t="str">
        <f t="shared" si="63"/>
        <v>2D e 1h</v>
      </c>
      <c r="V406" s="27">
        <f>IFERROR(SUMIFS('[2]Controle de Produção'!$K:$K,'[2]Controle de Produção'!$L:$L,D406,'[2]Controle de Produção'!$P:$P,C406,'[2]Controle de Produção'!$B:$B,"&gt;=" &amp; G406,'[2]Controle de Produção'!$C:$C,"&lt;=" &amp; N406, '[2]Controle de Produção'!$G:$G,B406), "")</f>
        <v>0</v>
      </c>
      <c r="W406" s="27" t="str">
        <f>IFERROR(SUMIFS([3]EXPEDIÇÃO!$K:$K,[3]EXPEDIÇÃO!$E:$E,D406,[3]EXPEDIÇÃO!$D:$D,C406,[3]EXPEDIÇÃO!$N:$N,"&gt;=" &amp; G406,[3]EXPEDIÇÃO!$N:$N,"&lt;="&amp;N406), "")</f>
        <v/>
      </c>
      <c r="X406" s="27">
        <f>COUNTIFS('[2]Controle de Produção'!$P:$P,C406,'[2]Controle de Produção'!$L:$L,D406,'[2]Controle de Produção'!$B:$B,"&gt;=" &amp; G406)</f>
        <v>18</v>
      </c>
      <c r="Y406" s="27">
        <f t="shared" si="64"/>
        <v>0</v>
      </c>
      <c r="Z406" s="27">
        <f>IFERROR(COUNTIFS('[2]Controle de Produção'!$L:$L,D406,'[2]Controle de Produção'!$P:$P,C406,'[2]Controle de Produção'!$B:$B,"&gt;=" &amp; G406,'[2]Controle de Produção'!$C:$C,"&lt;=" &amp; N406, '[2]Controle de Produção'!$G:$G,B406), "")</f>
        <v>0</v>
      </c>
      <c r="AA406" s="108" t="str">
        <f t="shared" si="65"/>
        <v/>
      </c>
      <c r="AB406" s="41" t="s">
        <v>60</v>
      </c>
      <c r="AC406" s="42" t="b">
        <v>1</v>
      </c>
      <c r="AD406" s="42" t="b">
        <v>1</v>
      </c>
      <c r="AE406" s="42" t="s">
        <v>38</v>
      </c>
      <c r="AF406" s="42" t="b">
        <v>1</v>
      </c>
      <c r="AG406" s="42" t="b">
        <v>1</v>
      </c>
      <c r="AH406" s="42" t="s">
        <v>38</v>
      </c>
      <c r="AI406" s="42" t="s">
        <v>38</v>
      </c>
      <c r="AJ406" s="42" t="s">
        <v>38</v>
      </c>
      <c r="AK406" s="42" t="b">
        <v>0</v>
      </c>
      <c r="AL406" s="42" t="b">
        <v>1</v>
      </c>
      <c r="AM406" s="42" t="b">
        <v>1</v>
      </c>
      <c r="AN406" s="87">
        <v>1</v>
      </c>
      <c r="AO406" s="45" t="b" cm="1">
        <f t="array" ref="AO406">AND(COUNTIF(AC406:AN406,FALSE)=0,SUMPRODUCT(ISNUMBER(AC406:AN406)*1)=0)</f>
        <v>0</v>
      </c>
      <c r="AP406" s="59"/>
      <c r="AQ406" s="111">
        <f>IF(AB406="",99999999999,IFERROR(MATCH(AB406,{"Produção Parcial","Em Produção","Programado","Não Iniciado","Desenvolv.","Concluído"},0),7)*100000000+IF(ISNUMBER(J406),J406-46000,9999)*10000+IF(A406="",99,A406)*100+IF(C406="",99,CODE(LEFT(C406,1))))</f>
        <v>699999971</v>
      </c>
      <c r="AR406" s="36"/>
      <c r="AS406" s="36"/>
    </row>
    <row r="407" spans="1:45" ht="15" hidden="1" customHeight="1" x14ac:dyDescent="0.25">
      <c r="A407" s="36"/>
      <c r="B407" s="38" t="s">
        <v>177</v>
      </c>
      <c r="C407" s="24" t="str">
        <f>INDEX([1]Produtos!$G:$G,MATCH($D407,[1]Produtos!$B:$B,0))</f>
        <v>ISA BEAUTY</v>
      </c>
      <c r="D407" s="24" t="s">
        <v>202</v>
      </c>
      <c r="E407" s="70" t="str">
        <f>INDEX([1]Produtos!$C:$C,MATCH($D407,[1]Produtos!$B:$B,0))&amp;IF($F407&lt;&gt;"-"," - "&amp;LEFT($F407,1),"")&amp;" &gt; "&amp;$B407</f>
        <v>BODY SPLASH ALLAN &gt; 03_07</v>
      </c>
      <c r="F407" s="51" t="s">
        <v>38</v>
      </c>
      <c r="G407" s="38">
        <v>45862</v>
      </c>
      <c r="H407" s="39">
        <v>5000</v>
      </c>
      <c r="I407" s="24" t="s">
        <v>39</v>
      </c>
      <c r="J407" s="68" t="str" cm="1">
        <f t="array" ref="J407">IFERROR(INDEX('[2]Previsão Envase'!$D$5:$D$4867, MATCH(1,('[2]Previsão Envase'!$F$5:$F$4867=$E407)+('[2]Previsão Envase'!$G$5:$G$4867=$E407)+('[2]Previsão Envase'!$H$5:$H$4867=$E407),0)),"")</f>
        <v/>
      </c>
      <c r="K407" s="68" t="str">
        <f>IF(COUNTIF('[2]Previsão Envase'!$F:$F,E407)&gt;0,"Linha 1",
IF(COUNTIF('[2]Previsão Envase'!$G:$G,E407)&gt;0,"Linha 2",
IF(COUNTIF('[2]Previsão Envase'!$H:$H,E407)&gt;0,"Linha 3","")))</f>
        <v/>
      </c>
      <c r="L407" s="96">
        <f>COUNTIF('[2]Previsão Envase'!$F:$H,E407)-COUNTIF('[2]Previsão Envase'!$F$1:$H$4,E407)</f>
        <v>0</v>
      </c>
      <c r="M407" s="35">
        <f t="shared" si="60"/>
        <v>0</v>
      </c>
      <c r="N407" s="68" t="str">
        <f>IFERROR(MAX(_xlfn.MAXIFS('[2]Controle de Produção'!$C:$C,'[2]Controle de Produção'!$L:$L,$D407,'[2]Controle de Produção'!$P:$P,$C407,'[2]Controle de Produção'!$G:$G,$B407),_xlfn.MAXIFS([3]EXPEDIÇÃO!$N:$N,[3]EXPEDIÇÃO!$E:$E,$D407,[3]EXPEDIÇÃO!$D:$D,$C407,[3]EXPEDIÇÃO!$N:$N,"&gt;="&amp;$G407)),"")</f>
        <v/>
      </c>
      <c r="O407" s="70">
        <f>INDEX([1]Produtos!$E:$E,MATCH($D407,[1]Produtos!$B:$B,0))</f>
        <v>120</v>
      </c>
      <c r="P407" s="70" t="str">
        <f>INDEX([1]Produtos!$F:$F,MATCH($D407,[1]Produtos!$B:$B,0))</f>
        <v>ml</v>
      </c>
      <c r="Q407" s="105">
        <f>INDEX([1]Produtos!$Y:$Y,MATCH($D407,[1]Produtos!$B:$B,0))</f>
        <v>0</v>
      </c>
      <c r="R407" s="35">
        <f t="shared" si="61"/>
        <v>7592.2902086267013</v>
      </c>
      <c r="S407" s="27">
        <f>IFERROR(INDEX([1]Produtos!$L:$L,MATCH(D407,[1]Produtos!$B:$B,0)), "")</f>
        <v>843.58780095852239</v>
      </c>
      <c r="T407" s="28">
        <f t="shared" si="62"/>
        <v>6</v>
      </c>
      <c r="U407" s="28" t="str">
        <f t="shared" si="63"/>
        <v>0D e 6h</v>
      </c>
      <c r="V407" s="27">
        <f>IFERROR(SUMIFS('[2]Controle de Produção'!$K:$K,'[2]Controle de Produção'!$L:$L,D407,'[2]Controle de Produção'!$P:$P,C407,'[2]Controle de Produção'!$B:$B,"&gt;=" &amp; G407,'[2]Controle de Produção'!$C:$C,"&lt;=" &amp; N407, '[2]Controle de Produção'!$G:$G,B407), "")</f>
        <v>0</v>
      </c>
      <c r="W407" s="27" t="str">
        <f>IFERROR(SUMIFS([3]EXPEDIÇÃO!$K:$K,[3]EXPEDIÇÃO!$E:$E,D407,[3]EXPEDIÇÃO!$D:$D,C407,[3]EXPEDIÇÃO!$N:$N,"&gt;=" &amp; G407,[3]EXPEDIÇÃO!$N:$N,"&lt;="&amp;N407), "")</f>
        <v/>
      </c>
      <c r="X407" s="27">
        <f>COUNTIFS('[2]Controle de Produção'!$P:$P,C407,'[2]Controle de Produção'!$L:$L,D407,'[2]Controle de Produção'!$B:$B,"&gt;=" &amp; G407)</f>
        <v>1</v>
      </c>
      <c r="Y407" s="27">
        <f t="shared" si="64"/>
        <v>0</v>
      </c>
      <c r="Z407" s="27">
        <f>IFERROR(COUNTIFS('[2]Controle de Produção'!$L:$L,D407,'[2]Controle de Produção'!$P:$P,C407,'[2]Controle de Produção'!$B:$B,"&gt;=" &amp; G407,'[2]Controle de Produção'!$C:$C,"&lt;=" &amp; N407, '[2]Controle de Produção'!$G:$G,B407), "")</f>
        <v>0</v>
      </c>
      <c r="AA407" s="108" t="str">
        <f t="shared" si="65"/>
        <v/>
      </c>
      <c r="AB407" s="41" t="s">
        <v>60</v>
      </c>
      <c r="AC407" s="42" t="b">
        <v>1</v>
      </c>
      <c r="AD407" s="42" t="b">
        <v>1</v>
      </c>
      <c r="AE407" s="42" t="b">
        <v>1</v>
      </c>
      <c r="AF407" s="42" t="b">
        <v>1</v>
      </c>
      <c r="AG407" s="42" t="s">
        <v>38</v>
      </c>
      <c r="AH407" s="42" t="s">
        <v>38</v>
      </c>
      <c r="AI407" s="42" t="b">
        <v>1</v>
      </c>
      <c r="AJ407" s="42" t="s">
        <v>38</v>
      </c>
      <c r="AK407" s="42" t="b">
        <v>0</v>
      </c>
      <c r="AL407" s="42" t="b">
        <v>1</v>
      </c>
      <c r="AM407" s="42" t="b">
        <v>1</v>
      </c>
      <c r="AN407" s="42">
        <f>3/3</f>
        <v>1</v>
      </c>
      <c r="AO407" s="45" t="b" cm="1">
        <f t="array" ref="AO407">AND(COUNTIF(AC407:AN407,FALSE)=0,SUMPRODUCT(ISNUMBER(AC407:AN407)*1)=0)</f>
        <v>0</v>
      </c>
      <c r="AP407" s="59"/>
      <c r="AQ407" s="111">
        <f>IF(AB407="",99999999999,IFERROR(MATCH(AB407,{"Produção Parcial","Em Produção","Programado","Não Iniciado","Desenvolv.","Concluído"},0),7)*100000000+IF(ISNUMBER(J407),J407-46000,9999)*10000+IF(A407="",99,A407)*100+IF(C407="",99,CODE(LEFT(C407,1))))</f>
        <v>699999973</v>
      </c>
      <c r="AR407" s="36"/>
      <c r="AS407" s="36"/>
    </row>
    <row r="408" spans="1:45" ht="25.35" hidden="1" customHeight="1" x14ac:dyDescent="0.25">
      <c r="A408" s="36"/>
      <c r="B408" s="38" t="s">
        <v>177</v>
      </c>
      <c r="C408" s="70" t="str">
        <f>INDEX([1]Produtos!$G:$G,MATCH($D408,[1]Produtos!$B:$B,0))</f>
        <v>ISA BEAUTY</v>
      </c>
      <c r="D408" s="24" t="s">
        <v>182</v>
      </c>
      <c r="E408" s="70" t="str">
        <f>INDEX([1]Produtos!$C:$C,MATCH($D408,[1]Produtos!$B:$B,0))&amp;IF($F408&lt;&gt;"-"," - "&amp;LEFT($F408,1),"")&amp;" &gt; "&amp;$B408</f>
        <v>ESCOVA DE CHUVEIRO CHEIRINHO DE TUTTI-FRUTTI &gt; 03_07</v>
      </c>
      <c r="F408" s="51" t="s">
        <v>38</v>
      </c>
      <c r="G408" s="38">
        <v>45862</v>
      </c>
      <c r="H408" s="39">
        <v>10000</v>
      </c>
      <c r="I408" s="24" t="s">
        <v>39</v>
      </c>
      <c r="J408" s="68" t="str" cm="1">
        <f t="array" ref="J408">IFERROR(INDEX('[2]Previsão Envase'!$D$5:$D$4867, MATCH(1,('[2]Previsão Envase'!$F$5:$F$4867=$E408)+('[2]Previsão Envase'!$G$5:$G$4867=$E408)+('[2]Previsão Envase'!$H$5:$H$4867=$E408),0)),"")</f>
        <v/>
      </c>
      <c r="K408" s="68" t="str">
        <f>IF(COUNTIF('[2]Previsão Envase'!$F:$F,E408)&gt;0,"Linha 1",
IF(COUNTIF('[2]Previsão Envase'!$G:$G,E408)&gt;0,"Linha 2",
IF(COUNTIF('[2]Previsão Envase'!$H:$H,E408)&gt;0,"Linha 3","")))</f>
        <v/>
      </c>
      <c r="L408" s="96">
        <f>COUNTIF('[2]Previsão Envase'!$F:$H,E408)-COUNTIF('[2]Previsão Envase'!$F$1:$H$4,E408)</f>
        <v>0</v>
      </c>
      <c r="M408" s="35">
        <f t="shared" si="60"/>
        <v>0</v>
      </c>
      <c r="N408" s="68" t="str">
        <f>IFERROR(MAX(_xlfn.MAXIFS('[2]Controle de Produção'!$C:$C,'[2]Controle de Produção'!$L:$L,$D408,'[2]Controle de Produção'!$P:$P,$C408,'[2]Controle de Produção'!$G:$G,$B408),_xlfn.MAXIFS([3]EXPEDIÇÃO!$N:$N,[3]EXPEDIÇÃO!$E:$E,$D408,[3]EXPEDIÇÃO!$D:$D,$C408,[3]EXPEDIÇÃO!$N:$N,"&gt;="&amp;$G408)),"")</f>
        <v/>
      </c>
      <c r="O408" s="70">
        <f>INDEX([1]Produtos!$E:$E,MATCH($D408,[1]Produtos!$B:$B,0))</f>
        <v>100</v>
      </c>
      <c r="P408" s="70" t="str">
        <f>INDEX([1]Produtos!$F:$F,MATCH($D408,[1]Produtos!$B:$B,0))</f>
        <v>ml</v>
      </c>
      <c r="Q408" s="105">
        <f>INDEX([1]Produtos!$Y:$Y,MATCH($D408,[1]Produtos!$B:$B,0))</f>
        <v>0</v>
      </c>
      <c r="R408" s="35">
        <f t="shared" si="61"/>
        <v>9126.2526765061884</v>
      </c>
      <c r="S408" s="27">
        <f>IFERROR(INDEX([1]Produtos!$L:$L,MATCH(D408,[1]Produtos!$B:$B,0)), "")</f>
        <v>1014.0280751673542</v>
      </c>
      <c r="T408" s="28">
        <f t="shared" si="62"/>
        <v>9.9</v>
      </c>
      <c r="U408" s="28" t="str">
        <f t="shared" si="63"/>
        <v>1D e 2h</v>
      </c>
      <c r="V408" s="27">
        <f>IFERROR(SUMIFS('[2]Controle de Produção'!$K:$K,'[2]Controle de Produção'!$L:$L,D408,'[2]Controle de Produção'!$P:$P,C408,'[2]Controle de Produção'!$B:$B,"&gt;=" &amp; G408,'[2]Controle de Produção'!$C:$C,"&lt;=" &amp; N408, '[2]Controle de Produção'!$G:$G,B408), "")</f>
        <v>0</v>
      </c>
      <c r="W408" s="27" t="str">
        <f>IFERROR(SUMIFS([3]EXPEDIÇÃO!$K:$K,[3]EXPEDIÇÃO!$E:$E,D408,[3]EXPEDIÇÃO!$D:$D,C408,[3]EXPEDIÇÃO!$N:$N,"&gt;=" &amp; G408,[3]EXPEDIÇÃO!$N:$N,"&lt;="&amp;N408), "")</f>
        <v/>
      </c>
      <c r="X408" s="27">
        <f>COUNTIFS('[2]Controle de Produção'!$P:$P,C408,'[2]Controle de Produção'!$L:$L,D408,'[2]Controle de Produção'!$B:$B,"&gt;=" &amp; G408)</f>
        <v>1</v>
      </c>
      <c r="Y408" s="27">
        <f t="shared" si="64"/>
        <v>0</v>
      </c>
      <c r="Z408" s="27">
        <f>IFERROR(COUNTIFS('[2]Controle de Produção'!$L:$L,D408,'[2]Controle de Produção'!$P:$P,C408,'[2]Controle de Produção'!$B:$B,"&gt;=" &amp; G408,'[2]Controle de Produção'!$C:$C,"&lt;=" &amp; N408, '[2]Controle de Produção'!$G:$G,B408), "")</f>
        <v>0</v>
      </c>
      <c r="AA408" s="108" t="str">
        <f t="shared" si="65"/>
        <v/>
      </c>
      <c r="AB408" s="41" t="s">
        <v>60</v>
      </c>
      <c r="AC408" s="42" t="b">
        <v>1</v>
      </c>
      <c r="AD408" s="42" t="b">
        <v>1</v>
      </c>
      <c r="AE408" s="42" t="s">
        <v>38</v>
      </c>
      <c r="AF408" s="42" t="b">
        <v>1</v>
      </c>
      <c r="AG408" s="42" t="b">
        <v>1</v>
      </c>
      <c r="AH408" s="42" t="s">
        <v>38</v>
      </c>
      <c r="AI408" s="42" t="s">
        <v>38</v>
      </c>
      <c r="AJ408" s="42" t="s">
        <v>38</v>
      </c>
      <c r="AK408" s="42" t="b">
        <v>0</v>
      </c>
      <c r="AL408" s="42" t="b">
        <v>1</v>
      </c>
      <c r="AM408" s="42" t="b">
        <v>0</v>
      </c>
      <c r="AN408" s="42" t="b">
        <v>1</v>
      </c>
      <c r="AO408" s="45" t="b" cm="1">
        <f t="array" ref="AO408">AND(COUNTIF(AC408:AN408,FALSE)=0,SUMPRODUCT(ISNUMBER(AC408:AN408)*1)=0)</f>
        <v>0</v>
      </c>
      <c r="AP408" s="59"/>
      <c r="AQ408" s="111">
        <f>IF(AB408="",99999999999,IFERROR(MATCH(AB408,{"Produção Parcial","Em Produção","Programado","Não Iniciado","Desenvolv.","Concluído"},0),7)*100000000+IF(ISNUMBER(J408),J408-46000,9999)*10000+IF(A408="",99,A408)*100+IF(C408="",99,CODE(LEFT(C408,1))))</f>
        <v>699999973</v>
      </c>
      <c r="AR408" s="36"/>
      <c r="AS408" s="36"/>
    </row>
    <row r="409" spans="1:45" ht="25.35" hidden="1" customHeight="1" x14ac:dyDescent="0.25">
      <c r="A409" s="36"/>
      <c r="B409" s="38" t="s">
        <v>301</v>
      </c>
      <c r="C409" s="93" t="e">
        <f>INDEX([1]Produtos!$G:$G,MATCH($D409,[1]Produtos!$B:$B,0))</f>
        <v>#N/A</v>
      </c>
      <c r="D409" s="63"/>
      <c r="E409" s="93" t="s">
        <v>324</v>
      </c>
      <c r="F409" s="66" t="s">
        <v>38</v>
      </c>
      <c r="G409" s="38"/>
      <c r="H409" s="64">
        <v>15360</v>
      </c>
      <c r="I409" s="63" t="s">
        <v>39</v>
      </c>
      <c r="J409" s="68" t="str" cm="1">
        <f t="array" ref="J409">IFERROR(INDEX('[2]Previsão Envase'!$D$5:$D$4867, MATCH(1,('[2]Previsão Envase'!$F$5:$F$4867=$E409)+('[2]Previsão Envase'!$G$5:$G$4867=$E409)+('[2]Previsão Envase'!$H$5:$H$4867=$E409),0)),"")</f>
        <v/>
      </c>
      <c r="K409" s="68" t="str">
        <f>IF(COUNTIF('[2]Previsão Envase'!$F:$F,E409)&gt;0,"Linha 1",
IF(COUNTIF('[2]Previsão Envase'!$G:$G,E409)&gt;0,"Linha 2",
IF(COUNTIF('[2]Previsão Envase'!$H:$H,E409)&gt;0,"Linha 3","")))</f>
        <v/>
      </c>
      <c r="L409" s="96">
        <f>COUNTIF('[2]Previsão Envase'!$F:$H,E409)-COUNTIF('[2]Previsão Envase'!$F$1:$H$4,E409)</f>
        <v>0</v>
      </c>
      <c r="M409" s="35" t="str">
        <f t="shared" si="60"/>
        <v>-</v>
      </c>
      <c r="N409" s="68" t="str">
        <f>IFERROR(MAX(_xlfn.MAXIFS('[2]Controle de Produção'!$C:$C,'[2]Controle de Produção'!$L:$L,$D409,'[2]Controle de Produção'!$P:$P,$C409,'[2]Controle de Produção'!$G:$G,$B409),_xlfn.MAXIFS([3]EXPEDIÇÃO!$N:$N,[3]EXPEDIÇÃO!$E:$E,$D409,[3]EXPEDIÇÃO!$D:$D,$C409,[3]EXPEDIÇÃO!$N:$N,"&gt;="&amp;$G409)),"")</f>
        <v/>
      </c>
      <c r="O409" s="70" t="e">
        <f>INDEX([1]Produtos!$E:$E,MATCH($D409,[1]Produtos!$B:$B,0))</f>
        <v>#N/A</v>
      </c>
      <c r="P409" s="70" t="e">
        <f>INDEX([1]Produtos!$F:$F,MATCH($D409,[1]Produtos!$B:$B,0))</f>
        <v>#N/A</v>
      </c>
      <c r="Q409" s="105" t="e">
        <f>INDEX([1]Produtos!$Y:$Y,MATCH($D409,[1]Produtos!$B:$B,0))</f>
        <v>#N/A</v>
      </c>
      <c r="R409" s="35" t="str">
        <f t="shared" si="61"/>
        <v>-</v>
      </c>
      <c r="S409" s="27" t="str">
        <f>IFERROR(INDEX([1]Produtos!$L:$L,MATCH(D409,[1]Produtos!$B:$B,0)), "")</f>
        <v/>
      </c>
      <c r="T409" s="28" t="str">
        <f t="shared" si="62"/>
        <v>-</v>
      </c>
      <c r="U409" s="28" t="str">
        <f t="shared" si="63"/>
        <v>-</v>
      </c>
      <c r="V409" s="27">
        <f>IFERROR(SUMIFS('[2]Controle de Produção'!$K:$K,'[2]Controle de Produção'!$L:$L,D409,'[2]Controle de Produção'!$P:$P,C409,'[2]Controle de Produção'!$B:$B,"&gt;=" &amp; G409,'[2]Controle de Produção'!$C:$C,"&lt;=" &amp; N409, '[2]Controle de Produção'!$G:$G,B409), "")</f>
        <v>0</v>
      </c>
      <c r="W409" s="27" t="str">
        <f>IFERROR(SUMIFS([3]EXPEDIÇÃO!$K:$K,[3]EXPEDIÇÃO!$E:$E,D409,[3]EXPEDIÇÃO!$D:$D,C409,[3]EXPEDIÇÃO!$N:$N,"&gt;=" &amp; G409,[3]EXPEDIÇÃO!$N:$N,"&lt;="&amp;N409), "")</f>
        <v/>
      </c>
      <c r="X409" s="27">
        <f>COUNTIFS('[2]Controle de Produção'!$P:$P,C409,'[2]Controle de Produção'!$L:$L,D409,'[2]Controle de Produção'!$B:$B,"&gt;=" &amp; G409)</f>
        <v>0</v>
      </c>
      <c r="Y409" s="27" t="str">
        <f t="shared" si="64"/>
        <v>-</v>
      </c>
      <c r="Z409" s="27">
        <f>IFERROR(COUNTIFS('[2]Controle de Produção'!$L:$L,D409,'[2]Controle de Produção'!$P:$P,C409,'[2]Controle de Produção'!$B:$B,"&gt;=" &amp; G409,'[2]Controle de Produção'!$C:$C,"&lt;=" &amp; N409, '[2]Controle de Produção'!$G:$G,B409), "")</f>
        <v>0</v>
      </c>
      <c r="AA409" s="108" t="str">
        <f t="shared" si="65"/>
        <v/>
      </c>
      <c r="AB409" s="41" t="str" cm="1">
        <f t="array" ref="AB409">_xlfn.IFS((H409*0.95)&lt;=V409,"Concluído",AND(V409 =0, J409&lt;&gt;""),"Programado",AND(V409=0,D409=""),"Desenvolv.",V409=0,"Não Iniciado",AND(V409&gt;0,V409&lt;H409,AO409=TRUE),"Em Produção",AND(V409&gt;0,V409&lt;H409,AO409=FALSE),"Produção Parcial")</f>
        <v>Desenvolv.</v>
      </c>
      <c r="AC409" s="42" t="b">
        <v>0</v>
      </c>
      <c r="AD409" s="42" t="b">
        <v>1</v>
      </c>
      <c r="AE409" s="42" t="b">
        <v>0</v>
      </c>
      <c r="AF409" s="42" t="b">
        <v>0</v>
      </c>
      <c r="AG409" s="42" t="b">
        <v>0</v>
      </c>
      <c r="AH409" s="42" t="b">
        <v>0</v>
      </c>
      <c r="AI409" s="42" t="b">
        <v>0</v>
      </c>
      <c r="AJ409" s="42" t="b">
        <v>0</v>
      </c>
      <c r="AK409" s="42" t="s">
        <v>38</v>
      </c>
      <c r="AL409" s="42" t="b">
        <v>0</v>
      </c>
      <c r="AM409" s="42" t="b">
        <v>0</v>
      </c>
      <c r="AN409" s="42" t="b">
        <v>0</v>
      </c>
      <c r="AO409" s="45" t="b" cm="1">
        <f t="array" ref="AO409">AND(COUNTIF(AC409:AN409,FALSE)=0,SUMPRODUCT(ISNUMBER(AC409:AN409)*1)=0)</f>
        <v>0</v>
      </c>
      <c r="AP409" s="59"/>
      <c r="AQ409" s="111" t="e">
        <f>IF(AB409="",99999999999,IFERROR(MATCH(AB409,{"Produção Parcial","Em Produção","Programado","Não Iniciado","Desenvolv.","Concluído"},0),7)*100000000+IF(ISNUMBER(J409),J409-46000,9999)*10000+IF(A409="",99,A409)*100+IF(C409="",99,CODE(LEFT(C409,1))))</f>
        <v>#N/A</v>
      </c>
      <c r="AR409" s="36"/>
      <c r="AS409" s="36"/>
    </row>
    <row r="410" spans="1:45" ht="25.35" hidden="1" customHeight="1" x14ac:dyDescent="0.25">
      <c r="A410" s="36"/>
      <c r="B410" s="38" t="s">
        <v>301</v>
      </c>
      <c r="C410" s="93" t="e">
        <f>INDEX([1]Produtos!$G:$G,MATCH($D410,[1]Produtos!$B:$B,0))</f>
        <v>#N/A</v>
      </c>
      <c r="D410" s="63"/>
      <c r="E410" s="93" t="s">
        <v>325</v>
      </c>
      <c r="F410" s="66" t="s">
        <v>38</v>
      </c>
      <c r="G410" s="38"/>
      <c r="H410" s="64">
        <v>2500</v>
      </c>
      <c r="I410" s="63" t="s">
        <v>39</v>
      </c>
      <c r="J410" s="68" t="str" cm="1">
        <f t="array" ref="J410">IFERROR(INDEX('[2]Previsão Envase'!$D$5:$D$4867, MATCH(1,('[2]Previsão Envase'!$F$5:$F$4867=$E410)+('[2]Previsão Envase'!$G$5:$G$4867=$E410)+('[2]Previsão Envase'!$H$5:$H$4867=$E410),0)),"")</f>
        <v/>
      </c>
      <c r="K410" s="68" t="str">
        <f>IF(COUNTIF('[2]Previsão Envase'!$F:$F,E410)&gt;0,"Linha 1",
IF(COUNTIF('[2]Previsão Envase'!$G:$G,E410)&gt;0,"Linha 2",
IF(COUNTIF('[2]Previsão Envase'!$H:$H,E410)&gt;0,"Linha 3","")))</f>
        <v/>
      </c>
      <c r="L410" s="96">
        <f>COUNTIF('[2]Previsão Envase'!$F:$H,E410)-COUNTIF('[2]Previsão Envase'!$F$1:$H$4,E410)</f>
        <v>0</v>
      </c>
      <c r="M410" s="35" t="str">
        <f t="shared" si="60"/>
        <v>-</v>
      </c>
      <c r="N410" s="68" t="str">
        <f>IFERROR(MAX(_xlfn.MAXIFS('[2]Controle de Produção'!$C:$C,'[2]Controle de Produção'!$L:$L,$D410,'[2]Controle de Produção'!$P:$P,$C410,'[2]Controle de Produção'!$G:$G,$B410),_xlfn.MAXIFS([3]EXPEDIÇÃO!$N:$N,[3]EXPEDIÇÃO!$E:$E,$D410,[3]EXPEDIÇÃO!$D:$D,$C410,[3]EXPEDIÇÃO!$N:$N,"&gt;="&amp;$G410)),"")</f>
        <v/>
      </c>
      <c r="O410" s="70" t="e">
        <f>INDEX([1]Produtos!$E:$E,MATCH($D410,[1]Produtos!$B:$B,0))</f>
        <v>#N/A</v>
      </c>
      <c r="P410" s="70" t="e">
        <f>INDEX([1]Produtos!$F:$F,MATCH($D410,[1]Produtos!$B:$B,0))</f>
        <v>#N/A</v>
      </c>
      <c r="Q410" s="105" t="e">
        <f>INDEX([1]Produtos!$Y:$Y,MATCH($D410,[1]Produtos!$B:$B,0))</f>
        <v>#N/A</v>
      </c>
      <c r="R410" s="35" t="str">
        <f t="shared" si="61"/>
        <v>-</v>
      </c>
      <c r="S410" s="27" t="str">
        <f>IFERROR(INDEX([1]Produtos!$L:$L,MATCH(D410,[1]Produtos!$B:$B,0)), "")</f>
        <v/>
      </c>
      <c r="T410" s="28" t="str">
        <f t="shared" si="62"/>
        <v>-</v>
      </c>
      <c r="U410" s="28" t="str">
        <f t="shared" si="63"/>
        <v>-</v>
      </c>
      <c r="V410" s="27">
        <f>IFERROR(SUMIFS('[2]Controle de Produção'!$K:$K,'[2]Controle de Produção'!$L:$L,D410,'[2]Controle de Produção'!$P:$P,C410,'[2]Controle de Produção'!$B:$B,"&gt;=" &amp; G410,'[2]Controle de Produção'!$C:$C,"&lt;=" &amp; N410, '[2]Controle de Produção'!$G:$G,B410), "")</f>
        <v>0</v>
      </c>
      <c r="W410" s="27" t="str">
        <f>IFERROR(SUMIFS([3]EXPEDIÇÃO!$K:$K,[3]EXPEDIÇÃO!$E:$E,D410,[3]EXPEDIÇÃO!$D:$D,C410,[3]EXPEDIÇÃO!$N:$N,"&gt;=" &amp; G410,[3]EXPEDIÇÃO!$N:$N,"&lt;="&amp;N410), "")</f>
        <v/>
      </c>
      <c r="X410" s="27">
        <f>COUNTIFS('[2]Controle de Produção'!$P:$P,C410,'[2]Controle de Produção'!$L:$L,D410,'[2]Controle de Produção'!$B:$B,"&gt;=" &amp; G410)</f>
        <v>0</v>
      </c>
      <c r="Y410" s="27" t="str">
        <f t="shared" si="64"/>
        <v>-</v>
      </c>
      <c r="Z410" s="27">
        <f>IFERROR(COUNTIFS('[2]Controle de Produção'!$L:$L,D410,'[2]Controle de Produção'!$P:$P,C410,'[2]Controle de Produção'!$B:$B,"&gt;=" &amp; G410,'[2]Controle de Produção'!$C:$C,"&lt;=" &amp; N410, '[2]Controle de Produção'!$G:$G,B410), "")</f>
        <v>0</v>
      </c>
      <c r="AA410" s="108" t="str">
        <f t="shared" si="65"/>
        <v/>
      </c>
      <c r="AB410" s="41" t="str" cm="1">
        <f t="array" ref="AB410">_xlfn.IFS((H410*0.95)&lt;=V410,"Concluído",AND(V410 =0, J410&lt;&gt;""),"Programado",AND(V410=0,D410=""),"Desenvolv.",V410=0,"Não Iniciado",AND(V410&gt;0,V410&lt;H410,AO410=TRUE),"Em Produção",AND(V410&gt;0,V410&lt;H410,AO410=FALSE),"Produção Parcial")</f>
        <v>Desenvolv.</v>
      </c>
      <c r="AC410" s="42" t="b">
        <v>1</v>
      </c>
      <c r="AD410" s="42" t="b">
        <v>1</v>
      </c>
      <c r="AE410" s="42" t="b">
        <v>0</v>
      </c>
      <c r="AF410" s="42" t="b">
        <v>0</v>
      </c>
      <c r="AG410" s="42" t="b">
        <v>0</v>
      </c>
      <c r="AH410" s="42" t="b">
        <v>0</v>
      </c>
      <c r="AI410" s="42" t="s">
        <v>38</v>
      </c>
      <c r="AJ410" s="42" t="s">
        <v>38</v>
      </c>
      <c r="AK410" s="42" t="s">
        <v>38</v>
      </c>
      <c r="AL410" s="42" t="b">
        <v>1</v>
      </c>
      <c r="AM410" s="42" t="b">
        <v>0</v>
      </c>
      <c r="AN410" s="42" t="b">
        <v>0</v>
      </c>
      <c r="AO410" s="45" t="b" cm="1">
        <f t="array" ref="AO410">AND(COUNTIF(AC410:AN410,FALSE)=0,SUMPRODUCT(ISNUMBER(AC410:AN410)*1)=0)</f>
        <v>0</v>
      </c>
      <c r="AP410" s="59"/>
      <c r="AQ410" s="111" t="e">
        <f>IF(AB410="",99999999999,IFERROR(MATCH(AB410,{"Produção Parcial","Em Produção","Programado","Não Iniciado","Desenvolv.","Concluído"},0),7)*100000000+IF(ISNUMBER(J410),J410-46000,9999)*10000+IF(A410="",99,A410)*100+IF(C410="",99,CODE(LEFT(C410,1))))</f>
        <v>#N/A</v>
      </c>
      <c r="AR410" s="36"/>
      <c r="AS410" s="36"/>
    </row>
    <row r="411" spans="1:45" ht="25.35" hidden="1" customHeight="1" x14ac:dyDescent="0.25">
      <c r="A411" s="36"/>
      <c r="B411" s="38" t="s">
        <v>301</v>
      </c>
      <c r="C411" s="93" t="e">
        <f>INDEX([1]Produtos!$G:$G,MATCH($D411,[1]Produtos!$B:$B,0))</f>
        <v>#N/A</v>
      </c>
      <c r="D411" s="63"/>
      <c r="E411" s="93" t="s">
        <v>326</v>
      </c>
      <c r="F411" s="66" t="s">
        <v>38</v>
      </c>
      <c r="G411" s="38"/>
      <c r="H411" s="64">
        <v>2500</v>
      </c>
      <c r="I411" s="63" t="s">
        <v>39</v>
      </c>
      <c r="J411" s="68" t="str" cm="1">
        <f t="array" ref="J411">IFERROR(INDEX('[2]Previsão Envase'!$D$5:$D$4867, MATCH(1,('[2]Previsão Envase'!$F$5:$F$4867=$E411)+('[2]Previsão Envase'!$G$5:$G$4867=$E411)+('[2]Previsão Envase'!$H$5:$H$4867=$E411),0)),"")</f>
        <v/>
      </c>
      <c r="K411" s="68" t="str">
        <f>IF(COUNTIF('[2]Previsão Envase'!$F:$F,E411)&gt;0,"Linha 1",
IF(COUNTIF('[2]Previsão Envase'!$G:$G,E411)&gt;0,"Linha 2",
IF(COUNTIF('[2]Previsão Envase'!$H:$H,E411)&gt;0,"Linha 3","")))</f>
        <v/>
      </c>
      <c r="L411" s="96">
        <f>COUNTIF('[2]Previsão Envase'!$F:$H,E411)-COUNTIF('[2]Previsão Envase'!$F$1:$H$4,E411)</f>
        <v>0</v>
      </c>
      <c r="M411" s="35" t="str">
        <f t="shared" si="60"/>
        <v>-</v>
      </c>
      <c r="N411" s="68" t="str">
        <f>IFERROR(MAX(_xlfn.MAXIFS('[2]Controle de Produção'!$C:$C,'[2]Controle de Produção'!$L:$L,$D411,'[2]Controle de Produção'!$P:$P,$C411,'[2]Controle de Produção'!$G:$G,$B411),_xlfn.MAXIFS([3]EXPEDIÇÃO!$N:$N,[3]EXPEDIÇÃO!$E:$E,$D411,[3]EXPEDIÇÃO!$D:$D,$C411,[3]EXPEDIÇÃO!$N:$N,"&gt;="&amp;$G411)),"")</f>
        <v/>
      </c>
      <c r="O411" s="70" t="e">
        <f>INDEX([1]Produtos!$E:$E,MATCH($D411,[1]Produtos!$B:$B,0))</f>
        <v>#N/A</v>
      </c>
      <c r="P411" s="70" t="e">
        <f>INDEX([1]Produtos!$F:$F,MATCH($D411,[1]Produtos!$B:$B,0))</f>
        <v>#N/A</v>
      </c>
      <c r="Q411" s="105" t="e">
        <f>INDEX([1]Produtos!$Y:$Y,MATCH($D411,[1]Produtos!$B:$B,0))</f>
        <v>#N/A</v>
      </c>
      <c r="R411" s="35" t="str">
        <f t="shared" si="61"/>
        <v>-</v>
      </c>
      <c r="S411" s="27" t="str">
        <f>IFERROR(INDEX([1]Produtos!$L:$L,MATCH(D411,[1]Produtos!$B:$B,0)), "")</f>
        <v/>
      </c>
      <c r="T411" s="28" t="str">
        <f t="shared" si="62"/>
        <v>-</v>
      </c>
      <c r="U411" s="28" t="str">
        <f t="shared" si="63"/>
        <v>-</v>
      </c>
      <c r="V411" s="27">
        <f>IFERROR(SUMIFS('[2]Controle de Produção'!$K:$K,'[2]Controle de Produção'!$L:$L,D411,'[2]Controle de Produção'!$P:$P,C411,'[2]Controle de Produção'!$B:$B,"&gt;=" &amp; G411,'[2]Controle de Produção'!$C:$C,"&lt;=" &amp; N411, '[2]Controle de Produção'!$G:$G,B411), "")</f>
        <v>0</v>
      </c>
      <c r="W411" s="27" t="str">
        <f>IFERROR(SUMIFS([3]EXPEDIÇÃO!$K:$K,[3]EXPEDIÇÃO!$E:$E,D411,[3]EXPEDIÇÃO!$D:$D,C411,[3]EXPEDIÇÃO!$N:$N,"&gt;=" &amp; G411,[3]EXPEDIÇÃO!$N:$N,"&lt;="&amp;N411), "")</f>
        <v/>
      </c>
      <c r="X411" s="27">
        <f>COUNTIFS('[2]Controle de Produção'!$P:$P,C411,'[2]Controle de Produção'!$L:$L,D411,'[2]Controle de Produção'!$B:$B,"&gt;=" &amp; G411)</f>
        <v>0</v>
      </c>
      <c r="Y411" s="27" t="str">
        <f t="shared" si="64"/>
        <v>-</v>
      </c>
      <c r="Z411" s="27">
        <f>IFERROR(COUNTIFS('[2]Controle de Produção'!$L:$L,D411,'[2]Controle de Produção'!$P:$P,C411,'[2]Controle de Produção'!$B:$B,"&gt;=" &amp; G411,'[2]Controle de Produção'!$C:$C,"&lt;=" &amp; N411, '[2]Controle de Produção'!$G:$G,B411), "")</f>
        <v>0</v>
      </c>
      <c r="AA411" s="108" t="str">
        <f t="shared" si="65"/>
        <v/>
      </c>
      <c r="AB411" s="41" t="str" cm="1">
        <f t="array" ref="AB411">_xlfn.IFS((H411*0.95)&lt;=V411,"Concluído",AND(V411 =0, J411&lt;&gt;""),"Programado",AND(V411=0,D411=""),"Desenvolv.",V411=0,"Não Iniciado",AND(V411&gt;0,V411&lt;H411,AO411=TRUE),"Em Produção",AND(V411&gt;0,V411&lt;H411,AO411=FALSE),"Produção Parcial")</f>
        <v>Desenvolv.</v>
      </c>
      <c r="AC411" s="42" t="b">
        <v>1</v>
      </c>
      <c r="AD411" s="42" t="b">
        <v>1</v>
      </c>
      <c r="AE411" s="42" t="b">
        <v>0</v>
      </c>
      <c r="AF411" s="42" t="b">
        <v>0</v>
      </c>
      <c r="AG411" s="42" t="b">
        <v>0</v>
      </c>
      <c r="AH411" s="42" t="b">
        <v>0</v>
      </c>
      <c r="AI411" s="42" t="s">
        <v>38</v>
      </c>
      <c r="AJ411" s="42" t="s">
        <v>38</v>
      </c>
      <c r="AK411" s="42" t="s">
        <v>38</v>
      </c>
      <c r="AL411" s="42" t="b">
        <v>1</v>
      </c>
      <c r="AM411" s="42" t="b">
        <v>0</v>
      </c>
      <c r="AN411" s="42" t="b">
        <v>0</v>
      </c>
      <c r="AO411" s="45" t="b" cm="1">
        <f t="array" ref="AO411">AND(COUNTIF(AC411:AN411,FALSE)=0,SUMPRODUCT(ISNUMBER(AC411:AN411)*1)=0)</f>
        <v>0</v>
      </c>
      <c r="AP411" s="59"/>
      <c r="AQ411" s="111" t="e">
        <f>IF(AB411="",99999999999,IFERROR(MATCH(AB411,{"Produção Parcial","Em Produção","Programado","Não Iniciado","Desenvolv.","Concluído"},0),7)*100000000+IF(ISNUMBER(J411),J411-46000,9999)*10000+IF(A411="",99,A411)*100+IF(C411="",99,CODE(LEFT(C411,1))))</f>
        <v>#N/A</v>
      </c>
      <c r="AR411" s="36"/>
      <c r="AS411" s="36"/>
    </row>
    <row r="412" spans="1:45" ht="25.35" hidden="1" customHeight="1" x14ac:dyDescent="0.25">
      <c r="A412" s="36"/>
      <c r="B412" s="38" t="s">
        <v>301</v>
      </c>
      <c r="C412" s="93" t="e">
        <f>INDEX([1]Produtos!$G:$G,MATCH($D412,[1]Produtos!$B:$B,0))</f>
        <v>#N/A</v>
      </c>
      <c r="D412" s="63"/>
      <c r="E412" s="93" t="s">
        <v>327</v>
      </c>
      <c r="F412" s="66" t="s">
        <v>38</v>
      </c>
      <c r="G412" s="38"/>
      <c r="H412" s="64">
        <v>2500</v>
      </c>
      <c r="I412" s="63" t="s">
        <v>39</v>
      </c>
      <c r="J412" s="68" t="str" cm="1">
        <f t="array" ref="J412">IFERROR(INDEX('[2]Previsão Envase'!$D$5:$D$4867, MATCH(1,('[2]Previsão Envase'!$F$5:$F$4867=$E412)+('[2]Previsão Envase'!$G$5:$G$4867=$E412)+('[2]Previsão Envase'!$H$5:$H$4867=$E412),0)),"")</f>
        <v/>
      </c>
      <c r="K412" s="68" t="str">
        <f>IF(COUNTIF('[2]Previsão Envase'!$F:$F,E412)&gt;0,"Linha 1",
IF(COUNTIF('[2]Previsão Envase'!$G:$G,E412)&gt;0,"Linha 2",
IF(COUNTIF('[2]Previsão Envase'!$H:$H,E412)&gt;0,"Linha 3","")))</f>
        <v/>
      </c>
      <c r="L412" s="96">
        <f>COUNTIF('[2]Previsão Envase'!$F:$H,E412)-COUNTIF('[2]Previsão Envase'!$F$1:$H$4,E412)</f>
        <v>0</v>
      </c>
      <c r="M412" s="35" t="str">
        <f t="shared" si="60"/>
        <v>-</v>
      </c>
      <c r="N412" s="68" t="str">
        <f>IFERROR(MAX(_xlfn.MAXIFS('[2]Controle de Produção'!$C:$C,'[2]Controle de Produção'!$L:$L,$D412,'[2]Controle de Produção'!$P:$P,$C412,'[2]Controle de Produção'!$G:$G,$B412),_xlfn.MAXIFS([3]EXPEDIÇÃO!$N:$N,[3]EXPEDIÇÃO!$E:$E,$D412,[3]EXPEDIÇÃO!$D:$D,$C412,[3]EXPEDIÇÃO!$N:$N,"&gt;="&amp;$G412)),"")</f>
        <v/>
      </c>
      <c r="O412" s="70" t="e">
        <f>INDEX([1]Produtos!$E:$E,MATCH($D412,[1]Produtos!$B:$B,0))</f>
        <v>#N/A</v>
      </c>
      <c r="P412" s="70" t="e">
        <f>INDEX([1]Produtos!$F:$F,MATCH($D412,[1]Produtos!$B:$B,0))</f>
        <v>#N/A</v>
      </c>
      <c r="Q412" s="105" t="e">
        <f>INDEX([1]Produtos!$Y:$Y,MATCH($D412,[1]Produtos!$B:$B,0))</f>
        <v>#N/A</v>
      </c>
      <c r="R412" s="35" t="str">
        <f t="shared" si="61"/>
        <v>-</v>
      </c>
      <c r="S412" s="27" t="str">
        <f>IFERROR(INDEX([1]Produtos!$L:$L,MATCH(D412,[1]Produtos!$B:$B,0)), "")</f>
        <v/>
      </c>
      <c r="T412" s="28" t="str">
        <f t="shared" si="62"/>
        <v>-</v>
      </c>
      <c r="U412" s="28" t="str">
        <f t="shared" si="63"/>
        <v>-</v>
      </c>
      <c r="V412" s="27">
        <f>IFERROR(SUMIFS('[2]Controle de Produção'!$K:$K,'[2]Controle de Produção'!$L:$L,D412,'[2]Controle de Produção'!$P:$P,C412,'[2]Controle de Produção'!$B:$B,"&gt;=" &amp; G412,'[2]Controle de Produção'!$C:$C,"&lt;=" &amp; N412, '[2]Controle de Produção'!$G:$G,B412), "")</f>
        <v>0</v>
      </c>
      <c r="W412" s="27" t="str">
        <f>IFERROR(SUMIFS([3]EXPEDIÇÃO!$K:$K,[3]EXPEDIÇÃO!$E:$E,D412,[3]EXPEDIÇÃO!$D:$D,C412,[3]EXPEDIÇÃO!$N:$N,"&gt;=" &amp; G412,[3]EXPEDIÇÃO!$N:$N,"&lt;="&amp;N412), "")</f>
        <v/>
      </c>
      <c r="X412" s="27">
        <f>COUNTIFS('[2]Controle de Produção'!$P:$P,C412,'[2]Controle de Produção'!$L:$L,D412,'[2]Controle de Produção'!$B:$B,"&gt;=" &amp; G412)</f>
        <v>0</v>
      </c>
      <c r="Y412" s="27" t="str">
        <f t="shared" si="64"/>
        <v>-</v>
      </c>
      <c r="Z412" s="27">
        <f>IFERROR(COUNTIFS('[2]Controle de Produção'!$L:$L,D412,'[2]Controle de Produção'!$P:$P,C412,'[2]Controle de Produção'!$B:$B,"&gt;=" &amp; G412,'[2]Controle de Produção'!$C:$C,"&lt;=" &amp; N412, '[2]Controle de Produção'!$G:$G,B412), "")</f>
        <v>0</v>
      </c>
      <c r="AA412" s="108" t="str">
        <f t="shared" si="65"/>
        <v/>
      </c>
      <c r="AB412" s="41" t="str" cm="1">
        <f t="array" ref="AB412">_xlfn.IFS((H412*0.95)&lt;=V412,"Concluído",AND(V412 =0, J412&lt;&gt;""),"Programado",AND(V412=0,D412=""),"Desenvolv.",V412=0,"Não Iniciado",AND(V412&gt;0,V412&lt;H412,AO412=TRUE),"Em Produção",AND(V412&gt;0,V412&lt;H412,AO412=FALSE),"Produção Parcial")</f>
        <v>Desenvolv.</v>
      </c>
      <c r="AC412" s="42" t="b">
        <v>1</v>
      </c>
      <c r="AD412" s="42" t="b">
        <v>1</v>
      </c>
      <c r="AE412" s="42" t="b">
        <v>0</v>
      </c>
      <c r="AF412" s="42" t="b">
        <v>0</v>
      </c>
      <c r="AG412" s="42" t="b">
        <v>0</v>
      </c>
      <c r="AH412" s="42" t="b">
        <v>0</v>
      </c>
      <c r="AI412" s="42" t="s">
        <v>38</v>
      </c>
      <c r="AJ412" s="42" t="s">
        <v>38</v>
      </c>
      <c r="AK412" s="42" t="s">
        <v>38</v>
      </c>
      <c r="AL412" s="42" t="b">
        <v>1</v>
      </c>
      <c r="AM412" s="42" t="b">
        <v>0</v>
      </c>
      <c r="AN412" s="42" t="b">
        <v>0</v>
      </c>
      <c r="AO412" s="45" t="b" cm="1">
        <f t="array" ref="AO412">AND(COUNTIF(AC412:AN412,FALSE)=0,SUMPRODUCT(ISNUMBER(AC412:AN412)*1)=0)</f>
        <v>0</v>
      </c>
      <c r="AP412" s="59"/>
      <c r="AQ412" s="111" t="e">
        <f>IF(AB412="",99999999999,IFERROR(MATCH(AB412,{"Produção Parcial","Em Produção","Programado","Não Iniciado","Desenvolv.","Concluído"},0),7)*100000000+IF(ISNUMBER(J412),J412-46000,9999)*10000+IF(A412="",99,A412)*100+IF(C412="",99,CODE(LEFT(C412,1))))</f>
        <v>#N/A</v>
      </c>
      <c r="AR412" s="36"/>
      <c r="AS412" s="36"/>
    </row>
    <row r="413" spans="1:45" ht="30" hidden="1" customHeight="1" x14ac:dyDescent="0.25">
      <c r="A413" s="36"/>
      <c r="B413" s="38" t="s">
        <v>301</v>
      </c>
      <c r="C413" s="93" t="e">
        <f>INDEX([1]Produtos!$G:$G,MATCH($D413,[1]Produtos!$B:$B,0))</f>
        <v>#N/A</v>
      </c>
      <c r="D413" s="63"/>
      <c r="E413" s="93" t="s">
        <v>328</v>
      </c>
      <c r="F413" s="66" t="s">
        <v>38</v>
      </c>
      <c r="G413" s="38"/>
      <c r="H413" s="64">
        <v>2500</v>
      </c>
      <c r="I413" s="63" t="s">
        <v>39</v>
      </c>
      <c r="J413" s="68" t="str" cm="1">
        <f t="array" ref="J413">IFERROR(INDEX('[2]Previsão Envase'!$D$5:$D$4867, MATCH(1,('[2]Previsão Envase'!$F$5:$F$4867=$E413)+('[2]Previsão Envase'!$G$5:$G$4867=$E413)+('[2]Previsão Envase'!$H$5:$H$4867=$E413),0)),"")</f>
        <v/>
      </c>
      <c r="K413" s="68" t="str">
        <f>IF(COUNTIF('[2]Previsão Envase'!$F:$F,E413)&gt;0,"Linha 1",
IF(COUNTIF('[2]Previsão Envase'!$G:$G,E413)&gt;0,"Linha 2",
IF(COUNTIF('[2]Previsão Envase'!$H:$H,E413)&gt;0,"Linha 3","")))</f>
        <v/>
      </c>
      <c r="L413" s="96">
        <f>COUNTIF('[2]Previsão Envase'!$F:$H,E413)-COUNTIF('[2]Previsão Envase'!$F$1:$H$4,E413)</f>
        <v>0</v>
      </c>
      <c r="M413" s="35" t="str">
        <f t="shared" si="60"/>
        <v>-</v>
      </c>
      <c r="N413" s="68" t="str">
        <f>IFERROR(MAX(_xlfn.MAXIFS('[2]Controle de Produção'!$C:$C,'[2]Controle de Produção'!$L:$L,$D413,'[2]Controle de Produção'!$P:$P,$C413,'[2]Controle de Produção'!$G:$G,$B413),_xlfn.MAXIFS([3]EXPEDIÇÃO!$N:$N,[3]EXPEDIÇÃO!$E:$E,$D413,[3]EXPEDIÇÃO!$D:$D,$C413,[3]EXPEDIÇÃO!$N:$N,"&gt;="&amp;$G413)),"")</f>
        <v/>
      </c>
      <c r="O413" s="70" t="e">
        <f>INDEX([1]Produtos!$E:$E,MATCH($D413,[1]Produtos!$B:$B,0))</f>
        <v>#N/A</v>
      </c>
      <c r="P413" s="70" t="e">
        <f>INDEX([1]Produtos!$F:$F,MATCH($D413,[1]Produtos!$B:$B,0))</f>
        <v>#N/A</v>
      </c>
      <c r="Q413" s="105" t="e">
        <f>INDEX([1]Produtos!$Y:$Y,MATCH($D413,[1]Produtos!$B:$B,0))</f>
        <v>#N/A</v>
      </c>
      <c r="R413" s="35" t="str">
        <f t="shared" si="61"/>
        <v>-</v>
      </c>
      <c r="S413" s="27" t="str">
        <f>IFERROR(INDEX([1]Produtos!$L:$L,MATCH(D413,[1]Produtos!$B:$B,0)), "")</f>
        <v/>
      </c>
      <c r="T413" s="28" t="str">
        <f t="shared" si="62"/>
        <v>-</v>
      </c>
      <c r="U413" s="28" t="str">
        <f t="shared" si="63"/>
        <v>-</v>
      </c>
      <c r="V413" s="27">
        <f>IFERROR(SUMIFS('[2]Controle de Produção'!$K:$K,'[2]Controle de Produção'!$L:$L,D413,'[2]Controle de Produção'!$P:$P,C413,'[2]Controle de Produção'!$B:$B,"&gt;=" &amp; G413,'[2]Controle de Produção'!$C:$C,"&lt;=" &amp; N413, '[2]Controle de Produção'!$G:$G,B413), "")</f>
        <v>0</v>
      </c>
      <c r="W413" s="27" t="str">
        <f>IFERROR(SUMIFS([3]EXPEDIÇÃO!$K:$K,[3]EXPEDIÇÃO!$E:$E,D413,[3]EXPEDIÇÃO!$D:$D,C413,[3]EXPEDIÇÃO!$N:$N,"&gt;=" &amp; G413,[3]EXPEDIÇÃO!$N:$N,"&lt;="&amp;N413), "")</f>
        <v/>
      </c>
      <c r="X413" s="27">
        <f>COUNTIFS('[2]Controle de Produção'!$P:$P,C413,'[2]Controle de Produção'!$L:$L,D413,'[2]Controle de Produção'!$B:$B,"&gt;=" &amp; G413)</f>
        <v>0</v>
      </c>
      <c r="Y413" s="27" t="str">
        <f t="shared" si="64"/>
        <v>-</v>
      </c>
      <c r="Z413" s="27">
        <f>IFERROR(COUNTIFS('[2]Controle de Produção'!$L:$L,D413,'[2]Controle de Produção'!$P:$P,C413,'[2]Controle de Produção'!$B:$B,"&gt;=" &amp; G413,'[2]Controle de Produção'!$C:$C,"&lt;=" &amp; N413, '[2]Controle de Produção'!$G:$G,B413), "")</f>
        <v>0</v>
      </c>
      <c r="AA413" s="108" t="str">
        <f t="shared" si="65"/>
        <v/>
      </c>
      <c r="AB413" s="41" t="str" cm="1">
        <f t="array" ref="AB413">_xlfn.IFS((H413*0.95)&lt;=V413,"Concluído",AND(V413 =0, J413&lt;&gt;""),"Programado",AND(V413=0,D413=""),"Desenvolv.",V413=0,"Não Iniciado",AND(V413&gt;0,V413&lt;H413,AO413=TRUE),"Em Produção",AND(V413&gt;0,V413&lt;H413,AO413=FALSE),"Produção Parcial")</f>
        <v>Desenvolv.</v>
      </c>
      <c r="AC413" s="42" t="b">
        <v>1</v>
      </c>
      <c r="AD413" s="42" t="b">
        <v>1</v>
      </c>
      <c r="AE413" s="42" t="b">
        <v>0</v>
      </c>
      <c r="AF413" s="42" t="b">
        <v>0</v>
      </c>
      <c r="AG413" s="42" t="b">
        <v>0</v>
      </c>
      <c r="AH413" s="42" t="b">
        <v>0</v>
      </c>
      <c r="AI413" s="42" t="s">
        <v>38</v>
      </c>
      <c r="AJ413" s="42" t="s">
        <v>38</v>
      </c>
      <c r="AK413" s="42" t="s">
        <v>38</v>
      </c>
      <c r="AL413" s="42" t="b">
        <v>1</v>
      </c>
      <c r="AM413" s="42" t="b">
        <v>0</v>
      </c>
      <c r="AN413" s="42" t="b">
        <v>0</v>
      </c>
      <c r="AO413" s="45" t="b" cm="1">
        <f t="array" ref="AO413">AND(COUNTIF(AC413:AN413,FALSE)=0,SUMPRODUCT(ISNUMBER(AC413:AN413)*1)=0)</f>
        <v>0</v>
      </c>
      <c r="AP413" s="59"/>
      <c r="AQ413" s="111" t="e">
        <f>IF(AB413="",99999999999,IFERROR(MATCH(AB413,{"Produção Parcial","Em Produção","Programado","Não Iniciado","Desenvolv.","Concluído"},0),7)*100000000+IF(ISNUMBER(J413),J413-46000,9999)*10000+IF(A413="",99,A413)*100+IF(C413="",99,CODE(LEFT(C413,1))))</f>
        <v>#N/A</v>
      </c>
      <c r="AR413" s="36"/>
      <c r="AS413" s="36"/>
    </row>
    <row r="414" spans="1:45" ht="30" hidden="1" customHeight="1" x14ac:dyDescent="0.25">
      <c r="A414" s="36"/>
      <c r="B414" s="38" t="s">
        <v>301</v>
      </c>
      <c r="C414" s="93" t="e">
        <f>INDEX([1]Produtos!$G:$G,MATCH($D414,[1]Produtos!$B:$B,0))</f>
        <v>#N/A</v>
      </c>
      <c r="D414" s="63"/>
      <c r="E414" s="93" t="s">
        <v>329</v>
      </c>
      <c r="F414" s="66" t="s">
        <v>38</v>
      </c>
      <c r="G414" s="38"/>
      <c r="H414" s="64">
        <v>2500</v>
      </c>
      <c r="I414" s="63" t="s">
        <v>39</v>
      </c>
      <c r="J414" s="68" t="str" cm="1">
        <f t="array" ref="J414">IFERROR(INDEX('[2]Previsão Envase'!$D$5:$D$4867, MATCH(1,('[2]Previsão Envase'!$F$5:$F$4867=$E414)+('[2]Previsão Envase'!$G$5:$G$4867=$E414)+('[2]Previsão Envase'!$H$5:$H$4867=$E414),0)),"")</f>
        <v/>
      </c>
      <c r="K414" s="68" t="str">
        <f>IF(COUNTIF('[2]Previsão Envase'!$F:$F,E414)&gt;0,"Linha 1",
IF(COUNTIF('[2]Previsão Envase'!$G:$G,E414)&gt;0,"Linha 2",
IF(COUNTIF('[2]Previsão Envase'!$H:$H,E414)&gt;0,"Linha 3","")))</f>
        <v/>
      </c>
      <c r="L414" s="96">
        <f>COUNTIF('[2]Previsão Envase'!$F:$H,E414)-COUNTIF('[2]Previsão Envase'!$F$1:$H$4,E414)</f>
        <v>0</v>
      </c>
      <c r="M414" s="35" t="str">
        <f t="shared" si="60"/>
        <v>-</v>
      </c>
      <c r="N414" s="68" t="str">
        <f>IFERROR(MAX(_xlfn.MAXIFS('[2]Controle de Produção'!$C:$C,'[2]Controle de Produção'!$L:$L,$D414,'[2]Controle de Produção'!$P:$P,$C414,'[2]Controle de Produção'!$G:$G,$B414),_xlfn.MAXIFS([3]EXPEDIÇÃO!$N:$N,[3]EXPEDIÇÃO!$E:$E,$D414,[3]EXPEDIÇÃO!$D:$D,$C414,[3]EXPEDIÇÃO!$N:$N,"&gt;="&amp;$G414)),"")</f>
        <v/>
      </c>
      <c r="O414" s="70" t="e">
        <f>INDEX([1]Produtos!$E:$E,MATCH($D414,[1]Produtos!$B:$B,0))</f>
        <v>#N/A</v>
      </c>
      <c r="P414" s="70" t="e">
        <f>INDEX([1]Produtos!$F:$F,MATCH($D414,[1]Produtos!$B:$B,0))</f>
        <v>#N/A</v>
      </c>
      <c r="Q414" s="105" t="e">
        <f>INDEX([1]Produtos!$Y:$Y,MATCH($D414,[1]Produtos!$B:$B,0))</f>
        <v>#N/A</v>
      </c>
      <c r="R414" s="35" t="str">
        <f t="shared" si="61"/>
        <v>-</v>
      </c>
      <c r="S414" s="27" t="str">
        <f>IFERROR(INDEX([1]Produtos!$L:$L,MATCH(D414,[1]Produtos!$B:$B,0)), "")</f>
        <v/>
      </c>
      <c r="T414" s="28" t="str">
        <f t="shared" si="62"/>
        <v>-</v>
      </c>
      <c r="U414" s="28" t="str">
        <f t="shared" si="63"/>
        <v>-</v>
      </c>
      <c r="V414" s="27">
        <f>IFERROR(SUMIFS('[2]Controle de Produção'!$K:$K,'[2]Controle de Produção'!$L:$L,D414,'[2]Controle de Produção'!$P:$P,C414,'[2]Controle de Produção'!$B:$B,"&gt;=" &amp; G414,'[2]Controle de Produção'!$C:$C,"&lt;=" &amp; N414, '[2]Controle de Produção'!$G:$G,B414), "")</f>
        <v>0</v>
      </c>
      <c r="W414" s="27" t="str">
        <f>IFERROR(SUMIFS([3]EXPEDIÇÃO!$K:$K,[3]EXPEDIÇÃO!$E:$E,D414,[3]EXPEDIÇÃO!$D:$D,C414,[3]EXPEDIÇÃO!$N:$N,"&gt;=" &amp; G414,[3]EXPEDIÇÃO!$N:$N,"&lt;="&amp;N414), "")</f>
        <v/>
      </c>
      <c r="X414" s="27">
        <f>COUNTIFS('[2]Controle de Produção'!$P:$P,C414,'[2]Controle de Produção'!$L:$L,D414,'[2]Controle de Produção'!$B:$B,"&gt;=" &amp; G414)</f>
        <v>0</v>
      </c>
      <c r="Y414" s="27" t="str">
        <f t="shared" si="64"/>
        <v>-</v>
      </c>
      <c r="Z414" s="27">
        <f>IFERROR(COUNTIFS('[2]Controle de Produção'!$L:$L,D414,'[2]Controle de Produção'!$P:$P,C414,'[2]Controle de Produção'!$B:$B,"&gt;=" &amp; G414,'[2]Controle de Produção'!$C:$C,"&lt;=" &amp; N414, '[2]Controle de Produção'!$G:$G,B414), "")</f>
        <v>0</v>
      </c>
      <c r="AA414" s="108" t="str">
        <f t="shared" si="65"/>
        <v/>
      </c>
      <c r="AB414" s="41" t="str" cm="1">
        <f t="array" ref="AB414">_xlfn.IFS((H414*0.95)&lt;=V414,"Concluído",AND(V414 =0, J414&lt;&gt;""),"Programado",AND(V414=0,D414=""),"Desenvolv.",V414=0,"Não Iniciado",AND(V414&gt;0,V414&lt;H414,AO414=TRUE),"Em Produção",AND(V414&gt;0,V414&lt;H414,AO414=FALSE),"Produção Parcial")</f>
        <v>Desenvolv.</v>
      </c>
      <c r="AC414" s="42" t="b">
        <v>1</v>
      </c>
      <c r="AD414" s="42" t="b">
        <v>1</v>
      </c>
      <c r="AE414" s="42" t="b">
        <v>0</v>
      </c>
      <c r="AF414" s="42" t="b">
        <v>0</v>
      </c>
      <c r="AG414" s="42" t="b">
        <v>0</v>
      </c>
      <c r="AH414" s="42" t="b">
        <v>0</v>
      </c>
      <c r="AI414" s="42" t="s">
        <v>38</v>
      </c>
      <c r="AJ414" s="42" t="s">
        <v>38</v>
      </c>
      <c r="AK414" s="42" t="s">
        <v>38</v>
      </c>
      <c r="AL414" s="42" t="b">
        <v>1</v>
      </c>
      <c r="AM414" s="42" t="b">
        <v>0</v>
      </c>
      <c r="AN414" s="42" t="b">
        <v>0</v>
      </c>
      <c r="AO414" s="45" t="b" cm="1">
        <f t="array" ref="AO414">AND(COUNTIF(AC414:AN414,FALSE)=0,SUMPRODUCT(ISNUMBER(AC414:AN414)*1)=0)</f>
        <v>0</v>
      </c>
      <c r="AP414" s="59"/>
      <c r="AQ414" s="111" t="e">
        <f>IF(AB414="",99999999999,IFERROR(MATCH(AB414,{"Produção Parcial","Em Produção","Programado","Não Iniciado","Desenvolv.","Concluído"},0),7)*100000000+IF(ISNUMBER(J414),J414-46000,9999)*10000+IF(A414="",99,A414)*100+IF(C414="",99,CODE(LEFT(C414,1))))</f>
        <v>#N/A</v>
      </c>
      <c r="AR414" s="36"/>
      <c r="AS414" s="36"/>
    </row>
    <row r="415" spans="1:45" ht="30" hidden="1" customHeight="1" x14ac:dyDescent="0.25">
      <c r="A415" s="36"/>
      <c r="B415" s="38" t="s">
        <v>301</v>
      </c>
      <c r="C415" s="93" t="e">
        <f>INDEX([1]Produtos!$G:$G,MATCH($D415,[1]Produtos!$B:$B,0))</f>
        <v>#N/A</v>
      </c>
      <c r="D415" s="63"/>
      <c r="E415" s="93" t="s">
        <v>330</v>
      </c>
      <c r="F415" s="66" t="s">
        <v>38</v>
      </c>
      <c r="G415" s="38"/>
      <c r="H415" s="64">
        <v>2500</v>
      </c>
      <c r="I415" s="63" t="s">
        <v>39</v>
      </c>
      <c r="J415" s="68" t="str" cm="1">
        <f t="array" ref="J415">IFERROR(INDEX('[2]Previsão Envase'!$D$5:$D$4867, MATCH(1,('[2]Previsão Envase'!$F$5:$F$4867=$E415)+('[2]Previsão Envase'!$G$5:$G$4867=$E415)+('[2]Previsão Envase'!$H$5:$H$4867=$E415),0)),"")</f>
        <v/>
      </c>
      <c r="K415" s="68" t="str">
        <f>IF(COUNTIF('[2]Previsão Envase'!$F:$F,E415)&gt;0,"Linha 1",
IF(COUNTIF('[2]Previsão Envase'!$G:$G,E415)&gt;0,"Linha 2",
IF(COUNTIF('[2]Previsão Envase'!$H:$H,E415)&gt;0,"Linha 3","")))</f>
        <v/>
      </c>
      <c r="L415" s="96">
        <f>COUNTIF('[2]Previsão Envase'!$F:$H,E415)-COUNTIF('[2]Previsão Envase'!$F$1:$H$4,E415)</f>
        <v>0</v>
      </c>
      <c r="M415" s="35" t="str">
        <f t="shared" si="60"/>
        <v>-</v>
      </c>
      <c r="N415" s="68" t="str">
        <f>IFERROR(MAX(_xlfn.MAXIFS('[2]Controle de Produção'!$C:$C,'[2]Controle de Produção'!$L:$L,$D415,'[2]Controle de Produção'!$P:$P,$C415,'[2]Controle de Produção'!$G:$G,$B415),_xlfn.MAXIFS([3]EXPEDIÇÃO!$N:$N,[3]EXPEDIÇÃO!$E:$E,$D415,[3]EXPEDIÇÃO!$D:$D,$C415,[3]EXPEDIÇÃO!$N:$N,"&gt;="&amp;$G415)),"")</f>
        <v/>
      </c>
      <c r="O415" s="70" t="e">
        <f>INDEX([1]Produtos!$E:$E,MATCH($D415,[1]Produtos!$B:$B,0))</f>
        <v>#N/A</v>
      </c>
      <c r="P415" s="70" t="e">
        <f>INDEX([1]Produtos!$F:$F,MATCH($D415,[1]Produtos!$B:$B,0))</f>
        <v>#N/A</v>
      </c>
      <c r="Q415" s="105" t="e">
        <f>INDEX([1]Produtos!$Y:$Y,MATCH($D415,[1]Produtos!$B:$B,0))</f>
        <v>#N/A</v>
      </c>
      <c r="R415" s="35" t="str">
        <f t="shared" si="61"/>
        <v>-</v>
      </c>
      <c r="S415" s="27" t="str">
        <f>IFERROR(INDEX([1]Produtos!$L:$L,MATCH(D415,[1]Produtos!$B:$B,0)), "")</f>
        <v/>
      </c>
      <c r="T415" s="28" t="str">
        <f t="shared" si="62"/>
        <v>-</v>
      </c>
      <c r="U415" s="28" t="str">
        <f t="shared" si="63"/>
        <v>-</v>
      </c>
      <c r="V415" s="27">
        <f>IFERROR(SUMIFS('[2]Controle de Produção'!$K:$K,'[2]Controle de Produção'!$L:$L,D415,'[2]Controle de Produção'!$P:$P,C415,'[2]Controle de Produção'!$B:$B,"&gt;=" &amp; G415,'[2]Controle de Produção'!$C:$C,"&lt;=" &amp; N415, '[2]Controle de Produção'!$G:$G,B415), "")</f>
        <v>0</v>
      </c>
      <c r="W415" s="27" t="str">
        <f>IFERROR(SUMIFS([3]EXPEDIÇÃO!$K:$K,[3]EXPEDIÇÃO!$E:$E,D415,[3]EXPEDIÇÃO!$D:$D,C415,[3]EXPEDIÇÃO!$N:$N,"&gt;=" &amp; G415,[3]EXPEDIÇÃO!$N:$N,"&lt;="&amp;N415), "")</f>
        <v/>
      </c>
      <c r="X415" s="27">
        <f>COUNTIFS('[2]Controle de Produção'!$P:$P,C415,'[2]Controle de Produção'!$L:$L,D415,'[2]Controle de Produção'!$B:$B,"&gt;=" &amp; G415)</f>
        <v>0</v>
      </c>
      <c r="Y415" s="27" t="str">
        <f t="shared" si="64"/>
        <v>-</v>
      </c>
      <c r="Z415" s="27">
        <f>IFERROR(COUNTIFS('[2]Controle de Produção'!$L:$L,D415,'[2]Controle de Produção'!$P:$P,C415,'[2]Controle de Produção'!$B:$B,"&gt;=" &amp; G415,'[2]Controle de Produção'!$C:$C,"&lt;=" &amp; N415, '[2]Controle de Produção'!$G:$G,B415), "")</f>
        <v>0</v>
      </c>
      <c r="AA415" s="108" t="str">
        <f t="shared" si="65"/>
        <v/>
      </c>
      <c r="AB415" s="41" t="str" cm="1">
        <f t="array" ref="AB415">_xlfn.IFS((H415*0.95)&lt;=V415,"Concluído",AND(V415 =0, J415&lt;&gt;""),"Programado",AND(V415=0,D415=""),"Desenvolv.",V415=0,"Não Iniciado",AND(V415&gt;0,V415&lt;H415,AO415=TRUE),"Em Produção",AND(V415&gt;0,V415&lt;H415,AO415=FALSE),"Produção Parcial")</f>
        <v>Desenvolv.</v>
      </c>
      <c r="AC415" s="42" t="b">
        <v>1</v>
      </c>
      <c r="AD415" s="42" t="b">
        <v>1</v>
      </c>
      <c r="AE415" s="42" t="b">
        <v>0</v>
      </c>
      <c r="AF415" s="42" t="b">
        <v>0</v>
      </c>
      <c r="AG415" s="42" t="b">
        <v>0</v>
      </c>
      <c r="AH415" s="42" t="b">
        <v>0</v>
      </c>
      <c r="AI415" s="42" t="s">
        <v>38</v>
      </c>
      <c r="AJ415" s="42" t="s">
        <v>38</v>
      </c>
      <c r="AK415" s="42" t="s">
        <v>38</v>
      </c>
      <c r="AL415" s="42" t="b">
        <v>1</v>
      </c>
      <c r="AM415" s="42" t="b">
        <v>0</v>
      </c>
      <c r="AN415" s="42" t="b">
        <v>0</v>
      </c>
      <c r="AO415" s="45" t="b" cm="1">
        <f t="array" ref="AO415">AND(COUNTIF(AC415:AN415,FALSE)=0,SUMPRODUCT(ISNUMBER(AC415:AN415)*1)=0)</f>
        <v>0</v>
      </c>
      <c r="AP415" s="59"/>
      <c r="AQ415" s="111" t="e">
        <f>IF(AB415="",99999999999,IFERROR(MATCH(AB415,{"Produção Parcial","Em Produção","Programado","Não Iniciado","Desenvolv.","Concluído"},0),7)*100000000+IF(ISNUMBER(J415),J415-46000,9999)*10000+IF(A415="",99,A415)*100+IF(C415="",99,CODE(LEFT(C415,1))))</f>
        <v>#N/A</v>
      </c>
      <c r="AR415" s="36"/>
      <c r="AS415" s="36"/>
    </row>
    <row r="416" spans="1:45" ht="30" hidden="1" customHeight="1" x14ac:dyDescent="0.25">
      <c r="A416" s="36"/>
      <c r="B416" s="38" t="s">
        <v>301</v>
      </c>
      <c r="C416" s="93" t="e">
        <f>INDEX([1]Produtos!$G:$G,MATCH($D416,[1]Produtos!$B:$B,0))</f>
        <v>#N/A</v>
      </c>
      <c r="D416" s="63"/>
      <c r="E416" s="93" t="s">
        <v>331</v>
      </c>
      <c r="F416" s="66" t="s">
        <v>38</v>
      </c>
      <c r="G416" s="38"/>
      <c r="H416" s="64">
        <v>2500</v>
      </c>
      <c r="I416" s="63" t="s">
        <v>39</v>
      </c>
      <c r="J416" s="68" t="str" cm="1">
        <f t="array" ref="J416">IFERROR(INDEX('[2]Previsão Envase'!$D$5:$D$4867, MATCH(1,('[2]Previsão Envase'!$F$5:$F$4867=$E416)+('[2]Previsão Envase'!$G$5:$G$4867=$E416)+('[2]Previsão Envase'!$H$5:$H$4867=$E416),0)),"")</f>
        <v/>
      </c>
      <c r="K416" s="68" t="str">
        <f>IF(COUNTIF('[2]Previsão Envase'!$F:$F,E416)&gt;0,"Linha 1",
IF(COUNTIF('[2]Previsão Envase'!$G:$G,E416)&gt;0,"Linha 2",
IF(COUNTIF('[2]Previsão Envase'!$H:$H,E416)&gt;0,"Linha 3","")))</f>
        <v/>
      </c>
      <c r="L416" s="96">
        <f>COUNTIF('[2]Previsão Envase'!$F:$H,E416)-COUNTIF('[2]Previsão Envase'!$F$1:$H$4,E416)</f>
        <v>0</v>
      </c>
      <c r="M416" s="35" t="str">
        <f t="shared" si="60"/>
        <v>-</v>
      </c>
      <c r="N416" s="68" t="str">
        <f>IFERROR(MAX(_xlfn.MAXIFS('[2]Controle de Produção'!$C:$C,'[2]Controle de Produção'!$L:$L,$D416,'[2]Controle de Produção'!$P:$P,$C416,'[2]Controle de Produção'!$G:$G,$B416),_xlfn.MAXIFS([3]EXPEDIÇÃO!$N:$N,[3]EXPEDIÇÃO!$E:$E,$D416,[3]EXPEDIÇÃO!$D:$D,$C416,[3]EXPEDIÇÃO!$N:$N,"&gt;="&amp;$G416)),"")</f>
        <v/>
      </c>
      <c r="O416" s="70" t="e">
        <f>INDEX([1]Produtos!$E:$E,MATCH($D416,[1]Produtos!$B:$B,0))</f>
        <v>#N/A</v>
      </c>
      <c r="P416" s="70" t="e">
        <f>INDEX([1]Produtos!$F:$F,MATCH($D416,[1]Produtos!$B:$B,0))</f>
        <v>#N/A</v>
      </c>
      <c r="Q416" s="105" t="e">
        <f>INDEX([1]Produtos!$Y:$Y,MATCH($D416,[1]Produtos!$B:$B,0))</f>
        <v>#N/A</v>
      </c>
      <c r="R416" s="35" t="str">
        <f t="shared" si="61"/>
        <v>-</v>
      </c>
      <c r="S416" s="27" t="str">
        <f>IFERROR(INDEX([1]Produtos!$L:$L,MATCH(D416,[1]Produtos!$B:$B,0)), "")</f>
        <v/>
      </c>
      <c r="T416" s="28" t="str">
        <f t="shared" si="62"/>
        <v>-</v>
      </c>
      <c r="U416" s="28" t="str">
        <f t="shared" si="63"/>
        <v>-</v>
      </c>
      <c r="V416" s="27">
        <f>IFERROR(SUMIFS('[2]Controle de Produção'!$K:$K,'[2]Controle de Produção'!$L:$L,D416,'[2]Controle de Produção'!$P:$P,C416,'[2]Controle de Produção'!$B:$B,"&gt;=" &amp; G416,'[2]Controle de Produção'!$C:$C,"&lt;=" &amp; N416, '[2]Controle de Produção'!$G:$G,B416), "")</f>
        <v>0</v>
      </c>
      <c r="W416" s="27" t="str">
        <f>IFERROR(SUMIFS([3]EXPEDIÇÃO!$K:$K,[3]EXPEDIÇÃO!$E:$E,D416,[3]EXPEDIÇÃO!$D:$D,C416,[3]EXPEDIÇÃO!$N:$N,"&gt;=" &amp; G416,[3]EXPEDIÇÃO!$N:$N,"&lt;="&amp;N416), "")</f>
        <v/>
      </c>
      <c r="X416" s="27">
        <f>COUNTIFS('[2]Controle de Produção'!$P:$P,C416,'[2]Controle de Produção'!$L:$L,D416,'[2]Controle de Produção'!$B:$B,"&gt;=" &amp; G416)</f>
        <v>0</v>
      </c>
      <c r="Y416" s="27" t="str">
        <f t="shared" si="64"/>
        <v>-</v>
      </c>
      <c r="Z416" s="27">
        <f>IFERROR(COUNTIFS('[2]Controle de Produção'!$L:$L,D416,'[2]Controle de Produção'!$P:$P,C416,'[2]Controle de Produção'!$B:$B,"&gt;=" &amp; G416,'[2]Controle de Produção'!$C:$C,"&lt;=" &amp; N416, '[2]Controle de Produção'!$G:$G,B416), "")</f>
        <v>0</v>
      </c>
      <c r="AA416" s="108" t="str">
        <f t="shared" si="65"/>
        <v/>
      </c>
      <c r="AB416" s="41" t="str" cm="1">
        <f t="array" ref="AB416">_xlfn.IFS((H416*0.95)&lt;=V416,"Concluído",AND(V416 =0, J416&lt;&gt;""),"Programado",AND(V416=0,D416=""),"Desenvolv.",V416=0,"Não Iniciado",AND(V416&gt;0,V416&lt;H416,AO416=TRUE),"Em Produção",AND(V416&gt;0,V416&lt;H416,AO416=FALSE),"Produção Parcial")</f>
        <v>Desenvolv.</v>
      </c>
      <c r="AC416" s="42" t="b">
        <v>1</v>
      </c>
      <c r="AD416" s="42" t="b">
        <v>1</v>
      </c>
      <c r="AE416" s="42" t="b">
        <v>0</v>
      </c>
      <c r="AF416" s="42" t="b">
        <v>0</v>
      </c>
      <c r="AG416" s="42" t="b">
        <v>0</v>
      </c>
      <c r="AH416" s="42" t="b">
        <v>0</v>
      </c>
      <c r="AI416" s="42" t="s">
        <v>38</v>
      </c>
      <c r="AJ416" s="42" t="s">
        <v>38</v>
      </c>
      <c r="AK416" s="42" t="s">
        <v>38</v>
      </c>
      <c r="AL416" s="42" t="b">
        <v>1</v>
      </c>
      <c r="AM416" s="42" t="b">
        <v>0</v>
      </c>
      <c r="AN416" s="42" t="b">
        <v>0</v>
      </c>
      <c r="AO416" s="45" t="b" cm="1">
        <f t="array" ref="AO416">AND(COUNTIF(AC416:AN416,FALSE)=0,SUMPRODUCT(ISNUMBER(AC416:AN416)*1)=0)</f>
        <v>0</v>
      </c>
      <c r="AP416" s="59"/>
      <c r="AQ416" s="111" t="e">
        <f>IF(AB416="",99999999999,IFERROR(MATCH(AB416,{"Produção Parcial","Em Produção","Programado","Não Iniciado","Desenvolv.","Concluído"},0),7)*100000000+IF(ISNUMBER(J416),J416-46000,9999)*10000+IF(A416="",99,A416)*100+IF(C416="",99,CODE(LEFT(C416,1))))</f>
        <v>#N/A</v>
      </c>
      <c r="AR416" s="36"/>
      <c r="AS416" s="36"/>
    </row>
    <row r="417" spans="1:45" ht="30" hidden="1" customHeight="1" x14ac:dyDescent="0.25">
      <c r="A417" s="36"/>
      <c r="B417" s="38" t="s">
        <v>301</v>
      </c>
      <c r="C417" s="93" t="e">
        <f>INDEX([1]Produtos!$G:$G,MATCH($D417,[1]Produtos!$B:$B,0))</f>
        <v>#N/A</v>
      </c>
      <c r="D417" s="63"/>
      <c r="E417" s="93" t="s">
        <v>332</v>
      </c>
      <c r="F417" s="66" t="s">
        <v>38</v>
      </c>
      <c r="G417" s="38"/>
      <c r="H417" s="64">
        <v>2500</v>
      </c>
      <c r="I417" s="63" t="s">
        <v>39</v>
      </c>
      <c r="J417" s="68" t="str" cm="1">
        <f t="array" ref="J417">IFERROR(INDEX('[2]Previsão Envase'!$D$5:$D$4867, MATCH(1,('[2]Previsão Envase'!$F$5:$F$4867=$E417)+('[2]Previsão Envase'!$G$5:$G$4867=$E417)+('[2]Previsão Envase'!$H$5:$H$4867=$E417),0)),"")</f>
        <v/>
      </c>
      <c r="K417" s="68" t="str">
        <f>IF(COUNTIF('[2]Previsão Envase'!$F:$F,E417)&gt;0,"Linha 1",
IF(COUNTIF('[2]Previsão Envase'!$G:$G,E417)&gt;0,"Linha 2",
IF(COUNTIF('[2]Previsão Envase'!$H:$H,E417)&gt;0,"Linha 3","")))</f>
        <v/>
      </c>
      <c r="L417" s="96">
        <f>COUNTIF('[2]Previsão Envase'!$F:$H,E417)-COUNTIF('[2]Previsão Envase'!$F$1:$H$4,E417)</f>
        <v>0</v>
      </c>
      <c r="M417" s="35" t="str">
        <f t="shared" si="60"/>
        <v>-</v>
      </c>
      <c r="N417" s="68" t="str">
        <f>IFERROR(MAX(_xlfn.MAXIFS('[2]Controle de Produção'!$C:$C,'[2]Controle de Produção'!$L:$L,$D417,'[2]Controle de Produção'!$P:$P,$C417,'[2]Controle de Produção'!$G:$G,$B417),_xlfn.MAXIFS([3]EXPEDIÇÃO!$N:$N,[3]EXPEDIÇÃO!$E:$E,$D417,[3]EXPEDIÇÃO!$D:$D,$C417,[3]EXPEDIÇÃO!$N:$N,"&gt;="&amp;$G417)),"")</f>
        <v/>
      </c>
      <c r="O417" s="70" t="e">
        <f>INDEX([1]Produtos!$E:$E,MATCH($D417,[1]Produtos!$B:$B,0))</f>
        <v>#N/A</v>
      </c>
      <c r="P417" s="70" t="e">
        <f>INDEX([1]Produtos!$F:$F,MATCH($D417,[1]Produtos!$B:$B,0))</f>
        <v>#N/A</v>
      </c>
      <c r="Q417" s="105" t="e">
        <f>INDEX([1]Produtos!$Y:$Y,MATCH($D417,[1]Produtos!$B:$B,0))</f>
        <v>#N/A</v>
      </c>
      <c r="R417" s="35" t="str">
        <f t="shared" si="61"/>
        <v>-</v>
      </c>
      <c r="S417" s="27" t="str">
        <f>IFERROR(INDEX([1]Produtos!$L:$L,MATCH(D417,[1]Produtos!$B:$B,0)), "")</f>
        <v/>
      </c>
      <c r="T417" s="28" t="str">
        <f t="shared" si="62"/>
        <v>-</v>
      </c>
      <c r="U417" s="28" t="str">
        <f t="shared" si="63"/>
        <v>-</v>
      </c>
      <c r="V417" s="27">
        <f>IFERROR(SUMIFS('[2]Controle de Produção'!$K:$K,'[2]Controle de Produção'!$L:$L,D417,'[2]Controle de Produção'!$P:$P,C417,'[2]Controle de Produção'!$B:$B,"&gt;=" &amp; G417,'[2]Controle de Produção'!$C:$C,"&lt;=" &amp; N417, '[2]Controle de Produção'!$G:$G,B417), "")</f>
        <v>0</v>
      </c>
      <c r="W417" s="27" t="str">
        <f>IFERROR(SUMIFS([3]EXPEDIÇÃO!$K:$K,[3]EXPEDIÇÃO!$E:$E,D417,[3]EXPEDIÇÃO!$D:$D,C417,[3]EXPEDIÇÃO!$N:$N,"&gt;=" &amp; G417,[3]EXPEDIÇÃO!$N:$N,"&lt;="&amp;N417), "")</f>
        <v/>
      </c>
      <c r="X417" s="27">
        <f>COUNTIFS('[2]Controle de Produção'!$P:$P,C417,'[2]Controle de Produção'!$L:$L,D417,'[2]Controle de Produção'!$B:$B,"&gt;=" &amp; G417)</f>
        <v>0</v>
      </c>
      <c r="Y417" s="27" t="str">
        <f t="shared" si="64"/>
        <v>-</v>
      </c>
      <c r="Z417" s="27">
        <f>IFERROR(COUNTIFS('[2]Controle de Produção'!$L:$L,D417,'[2]Controle de Produção'!$P:$P,C417,'[2]Controle de Produção'!$B:$B,"&gt;=" &amp; G417,'[2]Controle de Produção'!$C:$C,"&lt;=" &amp; N417, '[2]Controle de Produção'!$G:$G,B417), "")</f>
        <v>0</v>
      </c>
      <c r="AA417" s="108" t="str">
        <f t="shared" si="65"/>
        <v/>
      </c>
      <c r="AB417" s="41" t="str" cm="1">
        <f t="array" ref="AB417">_xlfn.IFS((H417*0.95)&lt;=V417,"Concluído",AND(V417 =0, J417&lt;&gt;""),"Programado",AND(V417=0,D417=""),"Desenvolv.",V417=0,"Não Iniciado",AND(V417&gt;0,V417&lt;H417,AO417=TRUE),"Em Produção",AND(V417&gt;0,V417&lt;H417,AO417=FALSE),"Produção Parcial")</f>
        <v>Desenvolv.</v>
      </c>
      <c r="AC417" s="42" t="b">
        <v>1</v>
      </c>
      <c r="AD417" s="42" t="b">
        <v>1</v>
      </c>
      <c r="AE417" s="42" t="b">
        <v>0</v>
      </c>
      <c r="AF417" s="42" t="b">
        <v>0</v>
      </c>
      <c r="AG417" s="42" t="b">
        <v>0</v>
      </c>
      <c r="AH417" s="42" t="b">
        <v>0</v>
      </c>
      <c r="AI417" s="42" t="s">
        <v>38</v>
      </c>
      <c r="AJ417" s="42" t="s">
        <v>38</v>
      </c>
      <c r="AK417" s="42" t="s">
        <v>38</v>
      </c>
      <c r="AL417" s="42" t="b">
        <v>1</v>
      </c>
      <c r="AM417" s="42" t="b">
        <v>0</v>
      </c>
      <c r="AN417" s="42" t="b">
        <v>0</v>
      </c>
      <c r="AO417" s="45" t="b" cm="1">
        <f t="array" ref="AO417">AND(COUNTIF(AC417:AN417,FALSE)=0,SUMPRODUCT(ISNUMBER(AC417:AN417)*1)=0)</f>
        <v>0</v>
      </c>
      <c r="AP417" s="59"/>
      <c r="AQ417" s="111" t="e">
        <f>IF(AB417="",99999999999,IFERROR(MATCH(AB417,{"Produção Parcial","Em Produção","Programado","Não Iniciado","Desenvolv.","Concluído"},0),7)*100000000+IF(ISNUMBER(J417),J417-46000,9999)*10000+IF(A417="",99,A417)*100+IF(C417="",99,CODE(LEFT(C417,1))))</f>
        <v>#N/A</v>
      </c>
      <c r="AR417" s="36"/>
      <c r="AS417" s="36"/>
    </row>
    <row r="418" spans="1:45" ht="30" hidden="1" customHeight="1" x14ac:dyDescent="0.25">
      <c r="A418" s="36"/>
      <c r="B418" s="38" t="s">
        <v>301</v>
      </c>
      <c r="C418" s="93" t="e">
        <f>INDEX([1]Produtos!$G:$G,MATCH($D418,[1]Produtos!$B:$B,0))</f>
        <v>#N/A</v>
      </c>
      <c r="D418" s="63"/>
      <c r="E418" s="93" t="s">
        <v>333</v>
      </c>
      <c r="F418" s="66" t="s">
        <v>38</v>
      </c>
      <c r="G418" s="38"/>
      <c r="H418" s="64">
        <v>2500</v>
      </c>
      <c r="I418" s="63" t="s">
        <v>39</v>
      </c>
      <c r="J418" s="68" t="str" cm="1">
        <f t="array" ref="J418">IFERROR(INDEX('[2]Previsão Envase'!$D$5:$D$4867, MATCH(1,('[2]Previsão Envase'!$F$5:$F$4867=$E418)+('[2]Previsão Envase'!$G$5:$G$4867=$E418)+('[2]Previsão Envase'!$H$5:$H$4867=$E418),0)),"")</f>
        <v/>
      </c>
      <c r="K418" s="68" t="str">
        <f>IF(COUNTIF('[2]Previsão Envase'!$F:$F,E418)&gt;0,"Linha 1",
IF(COUNTIF('[2]Previsão Envase'!$G:$G,E418)&gt;0,"Linha 2",
IF(COUNTIF('[2]Previsão Envase'!$H:$H,E418)&gt;0,"Linha 3","")))</f>
        <v/>
      </c>
      <c r="L418" s="96">
        <f>COUNTIF('[2]Previsão Envase'!$F:$H,E418)-COUNTIF('[2]Previsão Envase'!$F$1:$H$4,E418)</f>
        <v>0</v>
      </c>
      <c r="M418" s="35" t="str">
        <f t="shared" si="60"/>
        <v>-</v>
      </c>
      <c r="N418" s="68" t="str">
        <f>IFERROR(MAX(_xlfn.MAXIFS('[2]Controle de Produção'!$C:$C,'[2]Controle de Produção'!$L:$L,$D418,'[2]Controle de Produção'!$P:$P,$C418,'[2]Controle de Produção'!$G:$G,$B418),_xlfn.MAXIFS([3]EXPEDIÇÃO!$N:$N,[3]EXPEDIÇÃO!$E:$E,$D418,[3]EXPEDIÇÃO!$D:$D,$C418,[3]EXPEDIÇÃO!$N:$N,"&gt;="&amp;$G418)),"")</f>
        <v/>
      </c>
      <c r="O418" s="70" t="e">
        <f>INDEX([1]Produtos!$E:$E,MATCH($D418,[1]Produtos!$B:$B,0))</f>
        <v>#N/A</v>
      </c>
      <c r="P418" s="70" t="e">
        <f>INDEX([1]Produtos!$F:$F,MATCH($D418,[1]Produtos!$B:$B,0))</f>
        <v>#N/A</v>
      </c>
      <c r="Q418" s="105" t="e">
        <f>INDEX([1]Produtos!$Y:$Y,MATCH($D418,[1]Produtos!$B:$B,0))</f>
        <v>#N/A</v>
      </c>
      <c r="R418" s="35" t="str">
        <f t="shared" si="61"/>
        <v>-</v>
      </c>
      <c r="S418" s="27" t="str">
        <f>IFERROR(INDEX([1]Produtos!$L:$L,MATCH(D418,[1]Produtos!$B:$B,0)), "")</f>
        <v/>
      </c>
      <c r="T418" s="28" t="str">
        <f t="shared" si="62"/>
        <v>-</v>
      </c>
      <c r="U418" s="28" t="str">
        <f t="shared" si="63"/>
        <v>-</v>
      </c>
      <c r="V418" s="27">
        <f>IFERROR(SUMIFS('[2]Controle de Produção'!$K:$K,'[2]Controle de Produção'!$L:$L,D418,'[2]Controle de Produção'!$P:$P,C418,'[2]Controle de Produção'!$B:$B,"&gt;=" &amp; G418,'[2]Controle de Produção'!$C:$C,"&lt;=" &amp; N418, '[2]Controle de Produção'!$G:$G,B418), "")</f>
        <v>0</v>
      </c>
      <c r="W418" s="27" t="str">
        <f>IFERROR(SUMIFS([3]EXPEDIÇÃO!$K:$K,[3]EXPEDIÇÃO!$E:$E,D418,[3]EXPEDIÇÃO!$D:$D,C418,[3]EXPEDIÇÃO!$N:$N,"&gt;=" &amp; G418,[3]EXPEDIÇÃO!$N:$N,"&lt;="&amp;N418), "")</f>
        <v/>
      </c>
      <c r="X418" s="27">
        <f>COUNTIFS('[2]Controle de Produção'!$P:$P,C418,'[2]Controle de Produção'!$L:$L,D418,'[2]Controle de Produção'!$B:$B,"&gt;=" &amp; G418)</f>
        <v>0</v>
      </c>
      <c r="Y418" s="27" t="str">
        <f t="shared" si="64"/>
        <v>-</v>
      </c>
      <c r="Z418" s="27">
        <f>IFERROR(COUNTIFS('[2]Controle de Produção'!$L:$L,D418,'[2]Controle de Produção'!$P:$P,C418,'[2]Controle de Produção'!$B:$B,"&gt;=" &amp; G418,'[2]Controle de Produção'!$C:$C,"&lt;=" &amp; N418, '[2]Controle de Produção'!$G:$G,B418), "")</f>
        <v>0</v>
      </c>
      <c r="AA418" s="108" t="str">
        <f t="shared" si="65"/>
        <v/>
      </c>
      <c r="AB418" s="41" t="str" cm="1">
        <f t="array" ref="AB418">_xlfn.IFS((H418*0.95)&lt;=V418,"Concluído",AND(V418 =0, J418&lt;&gt;""),"Programado",AND(V418=0,D418=""),"Desenvolv.",V418=0,"Não Iniciado",AND(V418&gt;0,V418&lt;H418,AO418=TRUE),"Em Produção",AND(V418&gt;0,V418&lt;H418,AO418=FALSE),"Produção Parcial")</f>
        <v>Desenvolv.</v>
      </c>
      <c r="AC418" s="42" t="b">
        <v>1</v>
      </c>
      <c r="AD418" s="42" t="b">
        <v>1</v>
      </c>
      <c r="AE418" s="42" t="b">
        <v>0</v>
      </c>
      <c r="AF418" s="42" t="b">
        <v>0</v>
      </c>
      <c r="AG418" s="42" t="b">
        <v>0</v>
      </c>
      <c r="AH418" s="42" t="b">
        <v>0</v>
      </c>
      <c r="AI418" s="42" t="s">
        <v>38</v>
      </c>
      <c r="AJ418" s="42" t="s">
        <v>38</v>
      </c>
      <c r="AK418" s="42" t="s">
        <v>38</v>
      </c>
      <c r="AL418" s="42" t="b">
        <v>1</v>
      </c>
      <c r="AM418" s="42" t="b">
        <v>0</v>
      </c>
      <c r="AN418" s="42" t="b">
        <v>0</v>
      </c>
      <c r="AO418" s="45" t="b" cm="1">
        <f t="array" ref="AO418">AND(COUNTIF(AC418:AN418,FALSE)=0,SUMPRODUCT(ISNUMBER(AC418:AN418)*1)=0)</f>
        <v>0</v>
      </c>
      <c r="AP418" s="59"/>
      <c r="AQ418" s="111" t="e">
        <f>IF(AB418="",99999999999,IFERROR(MATCH(AB418,{"Produção Parcial","Em Produção","Programado","Não Iniciado","Desenvolv.","Concluído"},0),7)*100000000+IF(ISNUMBER(J418),J418-46000,9999)*10000+IF(A418="",99,A418)*100+IF(C418="",99,CODE(LEFT(C418,1))))</f>
        <v>#N/A</v>
      </c>
      <c r="AR418" s="36"/>
      <c r="AS418" s="36"/>
    </row>
    <row r="419" spans="1:45" s="36" customFormat="1" ht="25.15" hidden="1" customHeight="1" x14ac:dyDescent="0.25">
      <c r="B419" s="38" t="s">
        <v>301</v>
      </c>
      <c r="C419" s="93" t="e">
        <f>INDEX([1]Produtos!$G:$G,MATCH($D419,[1]Produtos!$B:$B,0))</f>
        <v>#N/A</v>
      </c>
      <c r="D419" s="63"/>
      <c r="E419" s="93" t="s">
        <v>334</v>
      </c>
      <c r="F419" s="66" t="s">
        <v>38</v>
      </c>
      <c r="G419" s="38"/>
      <c r="H419" s="64">
        <v>2500</v>
      </c>
      <c r="I419" s="63" t="s">
        <v>39</v>
      </c>
      <c r="J419" s="68" t="str" cm="1">
        <f t="array" ref="J419">IFERROR(INDEX('[2]Previsão Envase'!$D$5:$D$4867, MATCH(1,('[2]Previsão Envase'!$F$5:$F$4867=$E419)+('[2]Previsão Envase'!$G$5:$G$4867=$E419)+('[2]Previsão Envase'!$H$5:$H$4867=$E419),0)),"")</f>
        <v/>
      </c>
      <c r="K419" s="68" t="str">
        <f>IF(COUNTIF('[2]Previsão Envase'!$F:$F,E419)&gt;0,"Linha 1",
IF(COUNTIF('[2]Previsão Envase'!$G:$G,E419)&gt;0,"Linha 2",
IF(COUNTIF('[2]Previsão Envase'!$H:$H,E419)&gt;0,"Linha 3","")))</f>
        <v/>
      </c>
      <c r="L419" s="96">
        <f>COUNTIF('[2]Previsão Envase'!$F:$H,E419)-COUNTIF('[2]Previsão Envase'!$F$1:$H$4,E419)</f>
        <v>0</v>
      </c>
      <c r="M419" s="35" t="str">
        <f t="shared" si="60"/>
        <v>-</v>
      </c>
      <c r="N419" s="68" t="str">
        <f>IFERROR(MAX(_xlfn.MAXIFS('[2]Controle de Produção'!$C:$C,'[2]Controle de Produção'!$L:$L,$D419,'[2]Controle de Produção'!$P:$P,$C419,'[2]Controle de Produção'!$G:$G,$B419),_xlfn.MAXIFS([3]EXPEDIÇÃO!$N:$N,[3]EXPEDIÇÃO!$E:$E,$D419,[3]EXPEDIÇÃO!$D:$D,$C419,[3]EXPEDIÇÃO!$N:$N,"&gt;="&amp;$G419)),"")</f>
        <v/>
      </c>
      <c r="O419" s="70" t="e">
        <f>INDEX([1]Produtos!$E:$E,MATCH($D419,[1]Produtos!$B:$B,0))</f>
        <v>#N/A</v>
      </c>
      <c r="P419" s="70" t="e">
        <f>INDEX([1]Produtos!$F:$F,MATCH($D419,[1]Produtos!$B:$B,0))</f>
        <v>#N/A</v>
      </c>
      <c r="Q419" s="105" t="e">
        <f>INDEX([1]Produtos!$Y:$Y,MATCH($D419,[1]Produtos!$B:$B,0))</f>
        <v>#N/A</v>
      </c>
      <c r="R419" s="35" t="str">
        <f t="shared" si="61"/>
        <v>-</v>
      </c>
      <c r="S419" s="27" t="str">
        <f>IFERROR(INDEX([1]Produtos!$L:$L,MATCH(D419,[1]Produtos!$B:$B,0)), "")</f>
        <v/>
      </c>
      <c r="T419" s="28" t="str">
        <f t="shared" si="62"/>
        <v>-</v>
      </c>
      <c r="U419" s="28" t="str">
        <f t="shared" si="63"/>
        <v>-</v>
      </c>
      <c r="V419" s="27">
        <f>IFERROR(SUMIFS('[2]Controle de Produção'!$K:$K,'[2]Controle de Produção'!$L:$L,D419,'[2]Controle de Produção'!$P:$P,C419,'[2]Controle de Produção'!$B:$B,"&gt;=" &amp; G419,'[2]Controle de Produção'!$C:$C,"&lt;=" &amp; N419, '[2]Controle de Produção'!$G:$G,B419), "")</f>
        <v>0</v>
      </c>
      <c r="W419" s="27" t="str">
        <f>IFERROR(SUMIFS([3]EXPEDIÇÃO!$K:$K,[3]EXPEDIÇÃO!$E:$E,D419,[3]EXPEDIÇÃO!$D:$D,C419,[3]EXPEDIÇÃO!$N:$N,"&gt;=" &amp; G419,[3]EXPEDIÇÃO!$N:$N,"&lt;="&amp;N419), "")</f>
        <v/>
      </c>
      <c r="X419" s="27">
        <f>COUNTIFS('[2]Controle de Produção'!$P:$P,C419,'[2]Controle de Produção'!$L:$L,D419,'[2]Controle de Produção'!$B:$B,"&gt;=" &amp; G419)</f>
        <v>0</v>
      </c>
      <c r="Y419" s="27" t="str">
        <f t="shared" si="64"/>
        <v>-</v>
      </c>
      <c r="Z419" s="27">
        <f>IFERROR(COUNTIFS('[2]Controle de Produção'!$L:$L,D419,'[2]Controle de Produção'!$P:$P,C419,'[2]Controle de Produção'!$B:$B,"&gt;=" &amp; G419,'[2]Controle de Produção'!$C:$C,"&lt;=" &amp; N419, '[2]Controle de Produção'!$G:$G,B419), "")</f>
        <v>0</v>
      </c>
      <c r="AA419" s="108" t="str">
        <f t="shared" si="65"/>
        <v/>
      </c>
      <c r="AB419" s="41" t="str" cm="1">
        <f t="array" ref="AB419">_xlfn.IFS((H419*0.95)&lt;=V419,"Concluído",AND(V419 =0, J419&lt;&gt;""),"Programado",AND(V419=0,D419=""),"Desenvolv.",V419=0,"Não Iniciado",AND(V419&gt;0,V419&lt;H419,AO419=TRUE),"Em Produção",AND(V419&gt;0,V419&lt;H419,AO419=FALSE),"Produção Parcial")</f>
        <v>Desenvolv.</v>
      </c>
      <c r="AC419" s="42" t="b">
        <v>1</v>
      </c>
      <c r="AD419" s="32" t="b">
        <v>1</v>
      </c>
      <c r="AE419" s="32" t="b">
        <v>0</v>
      </c>
      <c r="AF419" s="42" t="b">
        <v>0</v>
      </c>
      <c r="AG419" s="42" t="b">
        <v>0</v>
      </c>
      <c r="AH419" s="32" t="b">
        <v>0</v>
      </c>
      <c r="AI419" s="32" t="s">
        <v>38</v>
      </c>
      <c r="AJ419" s="42" t="s">
        <v>38</v>
      </c>
      <c r="AK419" s="90" t="s">
        <v>38</v>
      </c>
      <c r="AL419" s="32" t="b">
        <v>1</v>
      </c>
      <c r="AM419" s="42" t="b">
        <v>0</v>
      </c>
      <c r="AN419" s="42" t="b">
        <v>0</v>
      </c>
      <c r="AO419" s="45" t="b" cm="1">
        <f t="array" ref="AO419">AND(COUNTIF(AC419:AN419,FALSE)=0,SUMPRODUCT(ISNUMBER(AC419:AN419)*1)=0)</f>
        <v>0</v>
      </c>
      <c r="AP419" s="59"/>
      <c r="AQ419" s="111" t="e">
        <f>IF(AB419="",99999999999,IFERROR(MATCH(AB419,{"Produção Parcial","Em Produção","Programado","Não Iniciado","Desenvolv.","Concluído"},0),7)*100000000+IF(ISNUMBER(J419),J419-46000,9999)*10000+IF(A419="",99,A419)*100+IF(C419="",99,CODE(LEFT(C419,1))))</f>
        <v>#N/A</v>
      </c>
    </row>
    <row r="420" spans="1:45" s="36" customFormat="1" ht="25.15" hidden="1" customHeight="1" x14ac:dyDescent="0.25">
      <c r="B420" s="38" t="s">
        <v>301</v>
      </c>
      <c r="C420" s="93" t="e">
        <f>INDEX([1]Produtos!$G:$G,MATCH($D420,[1]Produtos!$B:$B,0))</f>
        <v>#N/A</v>
      </c>
      <c r="D420" s="63"/>
      <c r="E420" s="93" t="s">
        <v>335</v>
      </c>
      <c r="F420" s="66" t="s">
        <v>38</v>
      </c>
      <c r="G420" s="38"/>
      <c r="H420" s="64">
        <v>7500</v>
      </c>
      <c r="I420" s="63" t="s">
        <v>39</v>
      </c>
      <c r="J420" s="68" t="str" cm="1">
        <f t="array" ref="J420">IFERROR(INDEX('[2]Previsão Envase'!$D$5:$D$4867, MATCH(1,('[2]Previsão Envase'!$F$5:$F$4867=$E420)+('[2]Previsão Envase'!$G$5:$G$4867=$E420)+('[2]Previsão Envase'!$H$5:$H$4867=$E420),0)),"")</f>
        <v/>
      </c>
      <c r="K420" s="68" t="str">
        <f>IF(COUNTIF('[2]Previsão Envase'!$F:$F,E420)&gt;0,"Linha 1",
IF(COUNTIF('[2]Previsão Envase'!$G:$G,E420)&gt;0,"Linha 2",
IF(COUNTIF('[2]Previsão Envase'!$H:$H,E420)&gt;0,"Linha 3","")))</f>
        <v/>
      </c>
      <c r="L420" s="96">
        <f>COUNTIF('[2]Previsão Envase'!$F:$H,E420)-COUNTIF('[2]Previsão Envase'!$F$1:$H$4,E420)</f>
        <v>0</v>
      </c>
      <c r="M420" s="35" t="str">
        <f t="shared" si="60"/>
        <v>-</v>
      </c>
      <c r="N420" s="68" t="str">
        <f>IFERROR(MAX(_xlfn.MAXIFS('[2]Controle de Produção'!$C:$C,'[2]Controle de Produção'!$L:$L,$D420,'[2]Controle de Produção'!$P:$P,$C420,'[2]Controle de Produção'!$G:$G,$B420),_xlfn.MAXIFS([3]EXPEDIÇÃO!$N:$N,[3]EXPEDIÇÃO!$E:$E,$D420,[3]EXPEDIÇÃO!$D:$D,$C420,[3]EXPEDIÇÃO!$N:$N,"&gt;="&amp;$G420)),"")</f>
        <v/>
      </c>
      <c r="O420" s="70" t="e">
        <f>INDEX([1]Produtos!$E:$E,MATCH($D420,[1]Produtos!$B:$B,0))</f>
        <v>#N/A</v>
      </c>
      <c r="P420" s="70" t="e">
        <f>INDEX([1]Produtos!$F:$F,MATCH($D420,[1]Produtos!$B:$B,0))</f>
        <v>#N/A</v>
      </c>
      <c r="Q420" s="105" t="e">
        <f>INDEX([1]Produtos!$Y:$Y,MATCH($D420,[1]Produtos!$B:$B,0))</f>
        <v>#N/A</v>
      </c>
      <c r="R420" s="35" t="str">
        <f t="shared" si="61"/>
        <v>-</v>
      </c>
      <c r="S420" s="27" t="str">
        <f>IFERROR(INDEX([1]Produtos!$L:$L,MATCH(D420,[1]Produtos!$B:$B,0)), "")</f>
        <v/>
      </c>
      <c r="T420" s="28" t="str">
        <f t="shared" si="62"/>
        <v>-</v>
      </c>
      <c r="U420" s="28" t="str">
        <f t="shared" si="63"/>
        <v>-</v>
      </c>
      <c r="V420" s="27">
        <f>IFERROR(SUMIFS('[2]Controle de Produção'!$K:$K,'[2]Controle de Produção'!$L:$L,D420,'[2]Controle de Produção'!$P:$P,C420,'[2]Controle de Produção'!$B:$B,"&gt;=" &amp; G420,'[2]Controle de Produção'!$C:$C,"&lt;=" &amp; N420, '[2]Controle de Produção'!$G:$G,B420), "")</f>
        <v>0</v>
      </c>
      <c r="W420" s="27" t="str">
        <f>IFERROR(SUMIFS([3]EXPEDIÇÃO!$K:$K,[3]EXPEDIÇÃO!$E:$E,D420,[3]EXPEDIÇÃO!$D:$D,C420,[3]EXPEDIÇÃO!$N:$N,"&gt;=" &amp; G420,[3]EXPEDIÇÃO!$N:$N,"&lt;="&amp;N420), "")</f>
        <v/>
      </c>
      <c r="X420" s="27">
        <f>COUNTIFS('[2]Controle de Produção'!$P:$P,C420,'[2]Controle de Produção'!$L:$L,D420,'[2]Controle de Produção'!$B:$B,"&gt;=" &amp; G420)</f>
        <v>0</v>
      </c>
      <c r="Y420" s="27" t="str">
        <f t="shared" si="64"/>
        <v>-</v>
      </c>
      <c r="Z420" s="27">
        <f>IFERROR(COUNTIFS('[2]Controle de Produção'!$L:$L,D420,'[2]Controle de Produção'!$P:$P,C420,'[2]Controle de Produção'!$B:$B,"&gt;=" &amp; G420,'[2]Controle de Produção'!$C:$C,"&lt;=" &amp; N420, '[2]Controle de Produção'!$G:$G,B420), "")</f>
        <v>0</v>
      </c>
      <c r="AA420" s="108" t="str">
        <f t="shared" si="65"/>
        <v/>
      </c>
      <c r="AB420" s="41" t="str" cm="1">
        <f t="array" ref="AB420">_xlfn.IFS((H420*0.95)&lt;=V420,"Concluído",AND(V420 =0, J420&lt;&gt;""),"Programado",AND(V420=0,D420=""),"Desenvolv.",V420=0,"Não Iniciado",AND(V420&gt;0,V420&lt;H420,AO420=TRUE),"Em Produção",AND(V420&gt;0,V420&lt;H420,AO420=FALSE),"Produção Parcial")</f>
        <v>Desenvolv.</v>
      </c>
      <c r="AC420" s="42" t="b">
        <v>0</v>
      </c>
      <c r="AD420" s="42" t="b">
        <v>1</v>
      </c>
      <c r="AE420" s="42" t="b">
        <v>0</v>
      </c>
      <c r="AF420" s="42" t="b">
        <v>0</v>
      </c>
      <c r="AG420" s="42" t="b">
        <v>0</v>
      </c>
      <c r="AH420" s="42" t="b">
        <v>0</v>
      </c>
      <c r="AI420" s="42" t="b">
        <v>0</v>
      </c>
      <c r="AJ420" s="42" t="b">
        <v>0</v>
      </c>
      <c r="AK420" s="42" t="s">
        <v>38</v>
      </c>
      <c r="AL420" s="42" t="b">
        <v>0</v>
      </c>
      <c r="AM420" s="42" t="b">
        <v>0</v>
      </c>
      <c r="AN420" s="42" t="b">
        <v>0</v>
      </c>
      <c r="AO420" s="45" t="b" cm="1">
        <f t="array" ref="AO420">AND(COUNTIF(AC420:AN420,FALSE)=0,SUMPRODUCT(ISNUMBER(AC420:AN420)*1)=0)</f>
        <v>0</v>
      </c>
      <c r="AP420" s="59"/>
      <c r="AQ420" s="111" t="e">
        <f>IF(AB420="",99999999999,IFERROR(MATCH(AB420,{"Produção Parcial","Em Produção","Programado","Não Iniciado","Desenvolv.","Concluído"},0),7)*100000000+IF(ISNUMBER(J420),J420-46000,9999)*10000+IF(A420="",99,A420)*100+IF(C420="",99,CODE(LEFT(C420,1))))</f>
        <v>#N/A</v>
      </c>
    </row>
    <row r="421" spans="1:45" s="36" customFormat="1" ht="25.15" hidden="1" customHeight="1" x14ac:dyDescent="0.25">
      <c r="B421" s="38" t="s">
        <v>301</v>
      </c>
      <c r="C421" s="93" t="e">
        <f>INDEX([1]Produtos!$G:$G,MATCH($D421,[1]Produtos!$B:$B,0))</f>
        <v>#N/A</v>
      </c>
      <c r="D421" s="63"/>
      <c r="E421" s="93" t="s">
        <v>336</v>
      </c>
      <c r="F421" s="66" t="s">
        <v>38</v>
      </c>
      <c r="G421" s="38"/>
      <c r="H421" s="64">
        <v>7500</v>
      </c>
      <c r="I421" s="63" t="s">
        <v>39</v>
      </c>
      <c r="J421" s="68" t="str" cm="1">
        <f t="array" ref="J421">IFERROR(INDEX('[2]Previsão Envase'!$D$5:$D$4867, MATCH(1,('[2]Previsão Envase'!$F$5:$F$4867=$E421)+('[2]Previsão Envase'!$G$5:$G$4867=$E421)+('[2]Previsão Envase'!$H$5:$H$4867=$E421),0)),"")</f>
        <v/>
      </c>
      <c r="K421" s="68" t="str">
        <f>IF(COUNTIF('[2]Previsão Envase'!$F:$F,E421)&gt;0,"Linha 1",
IF(COUNTIF('[2]Previsão Envase'!$G:$G,E421)&gt;0,"Linha 2",
IF(COUNTIF('[2]Previsão Envase'!$H:$H,E421)&gt;0,"Linha 3","")))</f>
        <v/>
      </c>
      <c r="L421" s="96">
        <f>COUNTIF('[2]Previsão Envase'!$F:$H,E421)-COUNTIF('[2]Previsão Envase'!$F$1:$H$4,E421)</f>
        <v>0</v>
      </c>
      <c r="M421" s="35" t="str">
        <f t="shared" si="60"/>
        <v>-</v>
      </c>
      <c r="N421" s="68" t="str">
        <f>IFERROR(MAX(_xlfn.MAXIFS('[2]Controle de Produção'!$C:$C,'[2]Controle de Produção'!$L:$L,$D421,'[2]Controle de Produção'!$P:$P,$C421,'[2]Controle de Produção'!$G:$G,$B421),_xlfn.MAXIFS([3]EXPEDIÇÃO!$N:$N,[3]EXPEDIÇÃO!$E:$E,$D421,[3]EXPEDIÇÃO!$D:$D,$C421,[3]EXPEDIÇÃO!$N:$N,"&gt;="&amp;$G421)),"")</f>
        <v/>
      </c>
      <c r="O421" s="70" t="e">
        <f>INDEX([1]Produtos!$E:$E,MATCH($D421,[1]Produtos!$B:$B,0))</f>
        <v>#N/A</v>
      </c>
      <c r="P421" s="70" t="e">
        <f>INDEX([1]Produtos!$F:$F,MATCH($D421,[1]Produtos!$B:$B,0))</f>
        <v>#N/A</v>
      </c>
      <c r="Q421" s="105" t="e">
        <f>INDEX([1]Produtos!$Y:$Y,MATCH($D421,[1]Produtos!$B:$B,0))</f>
        <v>#N/A</v>
      </c>
      <c r="R421" s="35" t="str">
        <f t="shared" si="61"/>
        <v>-</v>
      </c>
      <c r="S421" s="27" t="str">
        <f>IFERROR(INDEX([1]Produtos!$L:$L,MATCH(D421,[1]Produtos!$B:$B,0)), "")</f>
        <v/>
      </c>
      <c r="T421" s="28" t="str">
        <f t="shared" si="62"/>
        <v>-</v>
      </c>
      <c r="U421" s="28" t="str">
        <f t="shared" si="63"/>
        <v>-</v>
      </c>
      <c r="V421" s="27">
        <f>IFERROR(SUMIFS('[2]Controle de Produção'!$K:$K,'[2]Controle de Produção'!$L:$L,D421,'[2]Controle de Produção'!$P:$P,C421,'[2]Controle de Produção'!$B:$B,"&gt;=" &amp; G421,'[2]Controle de Produção'!$C:$C,"&lt;=" &amp; N421, '[2]Controle de Produção'!$G:$G,B421), "")</f>
        <v>0</v>
      </c>
      <c r="W421" s="27" t="str">
        <f>IFERROR(SUMIFS([3]EXPEDIÇÃO!$K:$K,[3]EXPEDIÇÃO!$E:$E,D421,[3]EXPEDIÇÃO!$D:$D,C421,[3]EXPEDIÇÃO!$N:$N,"&gt;=" &amp; G421,[3]EXPEDIÇÃO!$N:$N,"&lt;="&amp;N421), "")</f>
        <v/>
      </c>
      <c r="X421" s="27">
        <f>COUNTIFS('[2]Controle de Produção'!$P:$P,C421,'[2]Controle de Produção'!$L:$L,D421,'[2]Controle de Produção'!$B:$B,"&gt;=" &amp; G421)</f>
        <v>0</v>
      </c>
      <c r="Y421" s="27" t="str">
        <f t="shared" si="64"/>
        <v>-</v>
      </c>
      <c r="Z421" s="27">
        <f>IFERROR(COUNTIFS('[2]Controle de Produção'!$L:$L,D421,'[2]Controle de Produção'!$P:$P,C421,'[2]Controle de Produção'!$B:$B,"&gt;=" &amp; G421,'[2]Controle de Produção'!$C:$C,"&lt;=" &amp; N421, '[2]Controle de Produção'!$G:$G,B421), "")</f>
        <v>0</v>
      </c>
      <c r="AA421" s="108" t="str">
        <f t="shared" si="65"/>
        <v/>
      </c>
      <c r="AB421" s="41" t="str" cm="1">
        <f t="array" ref="AB421">_xlfn.IFS((H421*0.95)&lt;=V421,"Concluído",AND(V421 =0, J421&lt;&gt;""),"Programado",AND(V421=0,D421=""),"Desenvolv.",V421=0,"Não Iniciado",AND(V421&gt;0,V421&lt;H421,AO421=TRUE),"Em Produção",AND(V421&gt;0,V421&lt;H421,AO421=FALSE),"Produção Parcial")</f>
        <v>Desenvolv.</v>
      </c>
      <c r="AC421" s="42" t="b">
        <v>0</v>
      </c>
      <c r="AD421" s="42" t="b">
        <v>1</v>
      </c>
      <c r="AE421" s="42" t="b">
        <v>0</v>
      </c>
      <c r="AF421" s="42" t="b">
        <v>0</v>
      </c>
      <c r="AG421" s="42" t="b">
        <v>0</v>
      </c>
      <c r="AH421" s="42" t="b">
        <v>0</v>
      </c>
      <c r="AI421" s="42" t="b">
        <v>0</v>
      </c>
      <c r="AJ421" s="42" t="b">
        <v>0</v>
      </c>
      <c r="AK421" s="42" t="s">
        <v>38</v>
      </c>
      <c r="AL421" s="42" t="b">
        <v>0</v>
      </c>
      <c r="AM421" s="42" t="b">
        <v>0</v>
      </c>
      <c r="AN421" s="42" t="b">
        <v>0</v>
      </c>
      <c r="AO421" s="45" t="b" cm="1">
        <f t="array" ref="AO421">AND(COUNTIF(AC421:AN421,FALSE)=0,SUMPRODUCT(ISNUMBER(AC421:AN421)*1)=0)</f>
        <v>0</v>
      </c>
      <c r="AP421" s="59"/>
      <c r="AQ421" s="111" t="e">
        <f>IF(AB421="",99999999999,IFERROR(MATCH(AB421,{"Produção Parcial","Em Produção","Programado","Não Iniciado","Desenvolv.","Concluído"},0),7)*100000000+IF(ISNUMBER(J421),J421-46000,9999)*10000+IF(A421="",99,A421)*100+IF(C421="",99,CODE(LEFT(C421,1))))</f>
        <v>#N/A</v>
      </c>
    </row>
    <row r="422" spans="1:45" s="36" customFormat="1" ht="25.15" hidden="1" customHeight="1" x14ac:dyDescent="0.25">
      <c r="B422" s="38" t="s">
        <v>301</v>
      </c>
      <c r="C422" s="93" t="e">
        <f>INDEX([1]Produtos!$G:$G,MATCH($D422,[1]Produtos!$B:$B,0))</f>
        <v>#N/A</v>
      </c>
      <c r="D422" s="63"/>
      <c r="E422" s="93" t="s">
        <v>337</v>
      </c>
      <c r="F422" s="66" t="s">
        <v>38</v>
      </c>
      <c r="G422" s="38"/>
      <c r="H422" s="64">
        <v>7500</v>
      </c>
      <c r="I422" s="63" t="s">
        <v>39</v>
      </c>
      <c r="J422" s="68" t="str" cm="1">
        <f t="array" ref="J422">IFERROR(INDEX('[2]Previsão Envase'!$D$5:$D$4867, MATCH(1,('[2]Previsão Envase'!$F$5:$F$4867=$E422)+('[2]Previsão Envase'!$G$5:$G$4867=$E422)+('[2]Previsão Envase'!$H$5:$H$4867=$E422),0)),"")</f>
        <v/>
      </c>
      <c r="K422" s="68" t="str">
        <f>IF(COUNTIF('[2]Previsão Envase'!$F:$F,E422)&gt;0,"Linha 1",
IF(COUNTIF('[2]Previsão Envase'!$G:$G,E422)&gt;0,"Linha 2",
IF(COUNTIF('[2]Previsão Envase'!$H:$H,E422)&gt;0,"Linha 3","")))</f>
        <v/>
      </c>
      <c r="L422" s="96">
        <f>COUNTIF('[2]Previsão Envase'!$F:$H,E422)-COUNTIF('[2]Previsão Envase'!$F$1:$H$4,E422)</f>
        <v>0</v>
      </c>
      <c r="M422" s="35" t="str">
        <f t="shared" si="60"/>
        <v>-</v>
      </c>
      <c r="N422" s="68" t="str">
        <f>IFERROR(MAX(_xlfn.MAXIFS('[2]Controle de Produção'!$C:$C,'[2]Controle de Produção'!$L:$L,$D422,'[2]Controle de Produção'!$P:$P,$C422,'[2]Controle de Produção'!$G:$G,$B422),_xlfn.MAXIFS([3]EXPEDIÇÃO!$N:$N,[3]EXPEDIÇÃO!$E:$E,$D422,[3]EXPEDIÇÃO!$D:$D,$C422,[3]EXPEDIÇÃO!$N:$N,"&gt;="&amp;$G422)),"")</f>
        <v/>
      </c>
      <c r="O422" s="70" t="e">
        <f>INDEX([1]Produtos!$E:$E,MATCH($D422,[1]Produtos!$B:$B,0))</f>
        <v>#N/A</v>
      </c>
      <c r="P422" s="70" t="e">
        <f>INDEX([1]Produtos!$F:$F,MATCH($D422,[1]Produtos!$B:$B,0))</f>
        <v>#N/A</v>
      </c>
      <c r="Q422" s="105" t="e">
        <f>INDEX([1]Produtos!$Y:$Y,MATCH($D422,[1]Produtos!$B:$B,0))</f>
        <v>#N/A</v>
      </c>
      <c r="R422" s="35" t="str">
        <f t="shared" si="61"/>
        <v>-</v>
      </c>
      <c r="S422" s="27" t="str">
        <f>IFERROR(INDEX([1]Produtos!$L:$L,MATCH(D422,[1]Produtos!$B:$B,0)), "")</f>
        <v/>
      </c>
      <c r="T422" s="28" t="str">
        <f t="shared" si="62"/>
        <v>-</v>
      </c>
      <c r="U422" s="28" t="str">
        <f t="shared" si="63"/>
        <v>-</v>
      </c>
      <c r="V422" s="27">
        <f>IFERROR(SUMIFS('[2]Controle de Produção'!$K:$K,'[2]Controle de Produção'!$L:$L,D422,'[2]Controle de Produção'!$P:$P,C422,'[2]Controle de Produção'!$B:$B,"&gt;=" &amp; G422,'[2]Controle de Produção'!$C:$C,"&lt;=" &amp; N422, '[2]Controle de Produção'!$G:$G,B422), "")</f>
        <v>0</v>
      </c>
      <c r="W422" s="27" t="str">
        <f>IFERROR(SUMIFS([3]EXPEDIÇÃO!$K:$K,[3]EXPEDIÇÃO!$E:$E,D422,[3]EXPEDIÇÃO!$D:$D,C422,[3]EXPEDIÇÃO!$N:$N,"&gt;=" &amp; G422,[3]EXPEDIÇÃO!$N:$N,"&lt;="&amp;N422), "")</f>
        <v/>
      </c>
      <c r="X422" s="27">
        <f>COUNTIFS('[2]Controle de Produção'!$P:$P,C422,'[2]Controle de Produção'!$L:$L,D422,'[2]Controle de Produção'!$B:$B,"&gt;=" &amp; G422)</f>
        <v>0</v>
      </c>
      <c r="Y422" s="27" t="str">
        <f t="shared" si="64"/>
        <v>-</v>
      </c>
      <c r="Z422" s="27">
        <f>IFERROR(COUNTIFS('[2]Controle de Produção'!$L:$L,D422,'[2]Controle de Produção'!$P:$P,C422,'[2]Controle de Produção'!$B:$B,"&gt;=" &amp; G422,'[2]Controle de Produção'!$C:$C,"&lt;=" &amp; N422, '[2]Controle de Produção'!$G:$G,B422), "")</f>
        <v>0</v>
      </c>
      <c r="AA422" s="108" t="str">
        <f t="shared" si="65"/>
        <v/>
      </c>
      <c r="AB422" s="41" t="str" cm="1">
        <f t="array" ref="AB422">_xlfn.IFS((H422*0.95)&lt;=V422,"Concluído",AND(V422 =0, J422&lt;&gt;""),"Programado",AND(V422=0,D422=""),"Desenvolv.",V422=0,"Não Iniciado",AND(V422&gt;0,V422&lt;H422,AO422=TRUE),"Em Produção",AND(V422&gt;0,V422&lt;H422,AO422=FALSE),"Produção Parcial")</f>
        <v>Desenvolv.</v>
      </c>
      <c r="AC422" s="42" t="b">
        <v>0</v>
      </c>
      <c r="AD422" s="42" t="b">
        <v>1</v>
      </c>
      <c r="AE422" s="42" t="b">
        <v>0</v>
      </c>
      <c r="AF422" s="42" t="b">
        <v>0</v>
      </c>
      <c r="AG422" s="42" t="b">
        <v>0</v>
      </c>
      <c r="AH422" s="42" t="b">
        <v>0</v>
      </c>
      <c r="AI422" s="42" t="b">
        <v>0</v>
      </c>
      <c r="AJ422" s="42" t="b">
        <v>0</v>
      </c>
      <c r="AK422" s="42" t="s">
        <v>38</v>
      </c>
      <c r="AL422" s="42" t="b">
        <v>0</v>
      </c>
      <c r="AM422" s="42" t="b">
        <v>0</v>
      </c>
      <c r="AN422" s="42" t="b">
        <v>0</v>
      </c>
      <c r="AO422" s="45" t="b" cm="1">
        <f t="array" ref="AO422">AND(COUNTIF(AC422:AN422,FALSE)=0,SUMPRODUCT(ISNUMBER(AC422:AN422)*1)=0)</f>
        <v>0</v>
      </c>
      <c r="AP422" s="59"/>
      <c r="AQ422" s="111" t="e">
        <f>IF(AB422="",99999999999,IFERROR(MATCH(AB422,{"Produção Parcial","Em Produção","Programado","Não Iniciado","Desenvolv.","Concluído"},0),7)*100000000+IF(ISNUMBER(J422),J422-46000,9999)*10000+IF(A422="",99,A422)*100+IF(C422="",99,CODE(LEFT(C422,1))))</f>
        <v>#N/A</v>
      </c>
    </row>
    <row r="423" spans="1:45" s="36" customFormat="1" ht="25.15" hidden="1" customHeight="1" x14ac:dyDescent="0.25">
      <c r="B423" s="38" t="s">
        <v>301</v>
      </c>
      <c r="C423" s="93" t="e">
        <f>INDEX([1]Produtos!$G:$G,MATCH($D423,[1]Produtos!$B:$B,0))</f>
        <v>#N/A</v>
      </c>
      <c r="D423" s="63"/>
      <c r="E423" s="93" t="s">
        <v>338</v>
      </c>
      <c r="F423" s="66" t="s">
        <v>38</v>
      </c>
      <c r="G423" s="38"/>
      <c r="H423" s="64">
        <v>7500</v>
      </c>
      <c r="I423" s="63" t="s">
        <v>39</v>
      </c>
      <c r="J423" s="68" t="str" cm="1">
        <f t="array" ref="J423">IFERROR(INDEX('[2]Previsão Envase'!$D$5:$D$4867, MATCH(1,('[2]Previsão Envase'!$F$5:$F$4867=$E423)+('[2]Previsão Envase'!$G$5:$G$4867=$E423)+('[2]Previsão Envase'!$H$5:$H$4867=$E423),0)),"")</f>
        <v/>
      </c>
      <c r="K423" s="68" t="str">
        <f>IF(COUNTIF('[2]Previsão Envase'!$F:$F,E423)&gt;0,"Linha 1",
IF(COUNTIF('[2]Previsão Envase'!$G:$G,E423)&gt;0,"Linha 2",
IF(COUNTIF('[2]Previsão Envase'!$H:$H,E423)&gt;0,"Linha 3","")))</f>
        <v/>
      </c>
      <c r="L423" s="96">
        <f>COUNTIF('[2]Previsão Envase'!$F:$H,E423)-COUNTIF('[2]Previsão Envase'!$F$1:$H$4,E423)</f>
        <v>0</v>
      </c>
      <c r="M423" s="35" t="str">
        <f t="shared" si="60"/>
        <v>-</v>
      </c>
      <c r="N423" s="68" t="str">
        <f>IFERROR(MAX(_xlfn.MAXIFS('[2]Controle de Produção'!$C:$C,'[2]Controle de Produção'!$L:$L,$D423,'[2]Controle de Produção'!$P:$P,$C423,'[2]Controle de Produção'!$G:$G,$B423),_xlfn.MAXIFS([3]EXPEDIÇÃO!$N:$N,[3]EXPEDIÇÃO!$E:$E,$D423,[3]EXPEDIÇÃO!$D:$D,$C423,[3]EXPEDIÇÃO!$N:$N,"&gt;="&amp;$G423)),"")</f>
        <v/>
      </c>
      <c r="O423" s="70" t="e">
        <f>INDEX([1]Produtos!$E:$E,MATCH($D423,[1]Produtos!$B:$B,0))</f>
        <v>#N/A</v>
      </c>
      <c r="P423" s="70" t="e">
        <f>INDEX([1]Produtos!$F:$F,MATCH($D423,[1]Produtos!$B:$B,0))</f>
        <v>#N/A</v>
      </c>
      <c r="Q423" s="105" t="e">
        <f>INDEX([1]Produtos!$Y:$Y,MATCH($D423,[1]Produtos!$B:$B,0))</f>
        <v>#N/A</v>
      </c>
      <c r="R423" s="35" t="str">
        <f t="shared" si="61"/>
        <v>-</v>
      </c>
      <c r="S423" s="27" t="str">
        <f>IFERROR(INDEX([1]Produtos!$L:$L,MATCH(D423,[1]Produtos!$B:$B,0)), "")</f>
        <v/>
      </c>
      <c r="T423" s="28" t="str">
        <f t="shared" si="62"/>
        <v>-</v>
      </c>
      <c r="U423" s="28" t="str">
        <f t="shared" si="63"/>
        <v>-</v>
      </c>
      <c r="V423" s="27">
        <f>IFERROR(SUMIFS('[2]Controle de Produção'!$K:$K,'[2]Controle de Produção'!$L:$L,D423,'[2]Controle de Produção'!$P:$P,C423,'[2]Controle de Produção'!$B:$B,"&gt;=" &amp; G423,'[2]Controle de Produção'!$C:$C,"&lt;=" &amp; N423, '[2]Controle de Produção'!$G:$G,B423), "")</f>
        <v>0</v>
      </c>
      <c r="W423" s="27" t="str">
        <f>IFERROR(SUMIFS([3]EXPEDIÇÃO!$K:$K,[3]EXPEDIÇÃO!$E:$E,D423,[3]EXPEDIÇÃO!$D:$D,C423,[3]EXPEDIÇÃO!$N:$N,"&gt;=" &amp; G423,[3]EXPEDIÇÃO!$N:$N,"&lt;="&amp;N423), "")</f>
        <v/>
      </c>
      <c r="X423" s="27">
        <f>COUNTIFS('[2]Controle de Produção'!$P:$P,C423,'[2]Controle de Produção'!$L:$L,D423,'[2]Controle de Produção'!$B:$B,"&gt;=" &amp; G423)</f>
        <v>0</v>
      </c>
      <c r="Y423" s="27" t="str">
        <f t="shared" si="64"/>
        <v>-</v>
      </c>
      <c r="Z423" s="27">
        <f>IFERROR(COUNTIFS('[2]Controle de Produção'!$L:$L,D423,'[2]Controle de Produção'!$P:$P,C423,'[2]Controle de Produção'!$B:$B,"&gt;=" &amp; G423,'[2]Controle de Produção'!$C:$C,"&lt;=" &amp; N423, '[2]Controle de Produção'!$G:$G,B423), "")</f>
        <v>0</v>
      </c>
      <c r="AA423" s="108" t="str">
        <f t="shared" si="65"/>
        <v/>
      </c>
      <c r="AB423" s="41" t="str" cm="1">
        <f t="array" ref="AB423">_xlfn.IFS((H423*0.95)&lt;=V423,"Concluído",AND(V423 =0, J423&lt;&gt;""),"Programado",AND(V423=0,D423=""),"Desenvolv.",V423=0,"Não Iniciado",AND(V423&gt;0,V423&lt;H423,AO423=TRUE),"Em Produção",AND(V423&gt;0,V423&lt;H423,AO423=FALSE),"Produção Parcial")</f>
        <v>Desenvolv.</v>
      </c>
      <c r="AC423" s="42" t="b">
        <v>0</v>
      </c>
      <c r="AD423" s="42" t="b">
        <v>1</v>
      </c>
      <c r="AE423" s="42" t="b">
        <v>0</v>
      </c>
      <c r="AF423" s="42" t="b">
        <v>0</v>
      </c>
      <c r="AG423" s="42" t="b">
        <v>0</v>
      </c>
      <c r="AH423" s="42" t="b">
        <v>0</v>
      </c>
      <c r="AI423" s="42" t="b">
        <v>0</v>
      </c>
      <c r="AJ423" s="42" t="b">
        <v>0</v>
      </c>
      <c r="AK423" s="42" t="s">
        <v>38</v>
      </c>
      <c r="AL423" s="42" t="b">
        <v>0</v>
      </c>
      <c r="AM423" s="42" t="b">
        <v>0</v>
      </c>
      <c r="AN423" s="42" t="b">
        <v>0</v>
      </c>
      <c r="AO423" s="45" t="b" cm="1">
        <f t="array" ref="AO423">AND(COUNTIF(AC423:AN423,FALSE)=0,SUMPRODUCT(ISNUMBER(AC423:AN423)*1)=0)</f>
        <v>0</v>
      </c>
      <c r="AP423" s="59"/>
      <c r="AQ423" s="111" t="e">
        <f>IF(AB423="",99999999999,IFERROR(MATCH(AB423,{"Produção Parcial","Em Produção","Programado","Não Iniciado","Desenvolv.","Concluído"},0),7)*100000000+IF(ISNUMBER(J423),J423-46000,9999)*10000+IF(A423="",99,A423)*100+IF(C423="",99,CODE(LEFT(C423,1))))</f>
        <v>#N/A</v>
      </c>
    </row>
    <row r="424" spans="1:45" s="36" customFormat="1" ht="25.15" hidden="1" customHeight="1" x14ac:dyDescent="0.25">
      <c r="B424" s="38" t="s">
        <v>301</v>
      </c>
      <c r="C424" s="93" t="e">
        <f>INDEX([1]Produtos!$G:$G,MATCH($D424,[1]Produtos!$B:$B,0))</f>
        <v>#N/A</v>
      </c>
      <c r="D424" s="63"/>
      <c r="E424" s="93" t="s">
        <v>339</v>
      </c>
      <c r="F424" s="66" t="s">
        <v>38</v>
      </c>
      <c r="G424" s="38"/>
      <c r="H424" s="64">
        <v>7500</v>
      </c>
      <c r="I424" s="63" t="s">
        <v>39</v>
      </c>
      <c r="J424" s="68" t="str" cm="1">
        <f t="array" ref="J424">IFERROR(INDEX('[2]Previsão Envase'!$D$5:$D$4867, MATCH(1,('[2]Previsão Envase'!$F$5:$F$4867=$E424)+('[2]Previsão Envase'!$G$5:$G$4867=$E424)+('[2]Previsão Envase'!$H$5:$H$4867=$E424),0)),"")</f>
        <v/>
      </c>
      <c r="K424" s="68" t="str">
        <f>IF(COUNTIF('[2]Previsão Envase'!$F:$F,E424)&gt;0,"Linha 1",
IF(COUNTIF('[2]Previsão Envase'!$G:$G,E424)&gt;0,"Linha 2",
IF(COUNTIF('[2]Previsão Envase'!$H:$H,E424)&gt;0,"Linha 3","")))</f>
        <v/>
      </c>
      <c r="L424" s="96">
        <f>COUNTIF('[2]Previsão Envase'!$F:$H,E424)-COUNTIF('[2]Previsão Envase'!$F$1:$H$4,E424)</f>
        <v>0</v>
      </c>
      <c r="M424" s="35" t="str">
        <f t="shared" si="60"/>
        <v>-</v>
      </c>
      <c r="N424" s="68" t="str">
        <f>IFERROR(MAX(_xlfn.MAXIFS('[2]Controle de Produção'!$C:$C,'[2]Controle de Produção'!$L:$L,$D424,'[2]Controle de Produção'!$P:$P,$C424,'[2]Controle de Produção'!$G:$G,$B424),_xlfn.MAXIFS([3]EXPEDIÇÃO!$N:$N,[3]EXPEDIÇÃO!$E:$E,$D424,[3]EXPEDIÇÃO!$D:$D,$C424,[3]EXPEDIÇÃO!$N:$N,"&gt;="&amp;$G424)),"")</f>
        <v/>
      </c>
      <c r="O424" s="70" t="e">
        <f>INDEX([1]Produtos!$E:$E,MATCH($D424,[1]Produtos!$B:$B,0))</f>
        <v>#N/A</v>
      </c>
      <c r="P424" s="70" t="e">
        <f>INDEX([1]Produtos!$F:$F,MATCH($D424,[1]Produtos!$B:$B,0))</f>
        <v>#N/A</v>
      </c>
      <c r="Q424" s="105" t="e">
        <f>INDEX([1]Produtos!$Y:$Y,MATCH($D424,[1]Produtos!$B:$B,0))</f>
        <v>#N/A</v>
      </c>
      <c r="R424" s="35" t="str">
        <f t="shared" si="61"/>
        <v>-</v>
      </c>
      <c r="S424" s="27" t="str">
        <f>IFERROR(INDEX([1]Produtos!$L:$L,MATCH(D424,[1]Produtos!$B:$B,0)), "")</f>
        <v/>
      </c>
      <c r="T424" s="28" t="str">
        <f t="shared" si="62"/>
        <v>-</v>
      </c>
      <c r="U424" s="28" t="str">
        <f t="shared" si="63"/>
        <v>-</v>
      </c>
      <c r="V424" s="27">
        <f>IFERROR(SUMIFS('[2]Controle de Produção'!$K:$K,'[2]Controle de Produção'!$L:$L,D424,'[2]Controle de Produção'!$P:$P,C424,'[2]Controle de Produção'!$B:$B,"&gt;=" &amp; G424,'[2]Controle de Produção'!$C:$C,"&lt;=" &amp; N424, '[2]Controle de Produção'!$G:$G,B424), "")</f>
        <v>0</v>
      </c>
      <c r="W424" s="27" t="str">
        <f>IFERROR(SUMIFS([3]EXPEDIÇÃO!$K:$K,[3]EXPEDIÇÃO!$E:$E,D424,[3]EXPEDIÇÃO!$D:$D,C424,[3]EXPEDIÇÃO!$N:$N,"&gt;=" &amp; G424,[3]EXPEDIÇÃO!$N:$N,"&lt;="&amp;N424), "")</f>
        <v/>
      </c>
      <c r="X424" s="27">
        <f>COUNTIFS('[2]Controle de Produção'!$P:$P,C424,'[2]Controle de Produção'!$L:$L,D424,'[2]Controle de Produção'!$B:$B,"&gt;=" &amp; G424)</f>
        <v>0</v>
      </c>
      <c r="Y424" s="27" t="str">
        <f t="shared" si="64"/>
        <v>-</v>
      </c>
      <c r="Z424" s="27">
        <f>IFERROR(COUNTIFS('[2]Controle de Produção'!$L:$L,D424,'[2]Controle de Produção'!$P:$P,C424,'[2]Controle de Produção'!$B:$B,"&gt;=" &amp; G424,'[2]Controle de Produção'!$C:$C,"&lt;=" &amp; N424, '[2]Controle de Produção'!$G:$G,B424), "")</f>
        <v>0</v>
      </c>
      <c r="AA424" s="108" t="str">
        <f t="shared" si="65"/>
        <v/>
      </c>
      <c r="AB424" s="41" t="str" cm="1">
        <f t="array" ref="AB424">_xlfn.IFS((H424*0.95)&lt;=V424,"Concluído",AND(V424 =0, J424&lt;&gt;""),"Programado",AND(V424=0,D424=""),"Desenvolv.",V424=0,"Não Iniciado",AND(V424&gt;0,V424&lt;H424,AO424=TRUE),"Em Produção",AND(V424&gt;0,V424&lt;H424,AO424=FALSE),"Produção Parcial")</f>
        <v>Desenvolv.</v>
      </c>
      <c r="AC424" s="42" t="b">
        <v>0</v>
      </c>
      <c r="AD424" s="42" t="b">
        <v>1</v>
      </c>
      <c r="AE424" s="42" t="b">
        <v>0</v>
      </c>
      <c r="AF424" s="42" t="b">
        <v>0</v>
      </c>
      <c r="AG424" s="42" t="b">
        <v>0</v>
      </c>
      <c r="AH424" s="42" t="b">
        <v>0</v>
      </c>
      <c r="AI424" s="42" t="b">
        <v>0</v>
      </c>
      <c r="AJ424" s="42" t="b">
        <v>0</v>
      </c>
      <c r="AK424" s="42" t="s">
        <v>38</v>
      </c>
      <c r="AL424" s="42" t="b">
        <v>0</v>
      </c>
      <c r="AM424" s="42" t="b">
        <v>0</v>
      </c>
      <c r="AN424" s="42" t="b">
        <v>0</v>
      </c>
      <c r="AO424" s="45" t="b" cm="1">
        <f t="array" ref="AO424">AND(COUNTIF(AC424:AN424,FALSE)=0,SUMPRODUCT(ISNUMBER(AC424:AN424)*1)=0)</f>
        <v>0</v>
      </c>
      <c r="AP424" s="59"/>
      <c r="AQ424" s="111" t="e">
        <f>IF(AB424="",99999999999,IFERROR(MATCH(AB424,{"Produção Parcial","Em Produção","Programado","Não Iniciado","Desenvolv.","Concluído"},0),7)*100000000+IF(ISNUMBER(J424),J424-46000,9999)*10000+IF(A424="",99,A424)*100+IF(C424="",99,CODE(LEFT(C424,1))))</f>
        <v>#N/A</v>
      </c>
    </row>
    <row r="425" spans="1:45" s="36" customFormat="1" ht="25.15" hidden="1" customHeight="1" x14ac:dyDescent="0.25">
      <c r="B425" s="38" t="s">
        <v>301</v>
      </c>
      <c r="C425" s="93" t="e">
        <f>INDEX([1]Produtos!$G:$G,MATCH($D425,[1]Produtos!$B:$B,0))</f>
        <v>#N/A</v>
      </c>
      <c r="D425" s="63"/>
      <c r="E425" s="93" t="s">
        <v>340</v>
      </c>
      <c r="F425" s="66" t="s">
        <v>38</v>
      </c>
      <c r="G425" s="38"/>
      <c r="H425" s="64">
        <v>7500</v>
      </c>
      <c r="I425" s="63" t="s">
        <v>39</v>
      </c>
      <c r="J425" s="68" t="str" cm="1">
        <f t="array" ref="J425">IFERROR(INDEX('[2]Previsão Envase'!$D$5:$D$4867, MATCH(1,('[2]Previsão Envase'!$F$5:$F$4867=$E425)+('[2]Previsão Envase'!$G$5:$G$4867=$E425)+('[2]Previsão Envase'!$H$5:$H$4867=$E425),0)),"")</f>
        <v/>
      </c>
      <c r="K425" s="68" t="str">
        <f>IF(COUNTIF('[2]Previsão Envase'!$F:$F,E425)&gt;0,"Linha 1",
IF(COUNTIF('[2]Previsão Envase'!$G:$G,E425)&gt;0,"Linha 2",
IF(COUNTIF('[2]Previsão Envase'!$H:$H,E425)&gt;0,"Linha 3","")))</f>
        <v/>
      </c>
      <c r="L425" s="96">
        <f>COUNTIF('[2]Previsão Envase'!$F:$H,E425)-COUNTIF('[2]Previsão Envase'!$F$1:$H$4,E425)</f>
        <v>0</v>
      </c>
      <c r="M425" s="35" t="str">
        <f t="shared" si="60"/>
        <v>-</v>
      </c>
      <c r="N425" s="68" t="str">
        <f>IFERROR(MAX(_xlfn.MAXIFS('[2]Controle de Produção'!$C:$C,'[2]Controle de Produção'!$L:$L,$D425,'[2]Controle de Produção'!$P:$P,$C425,'[2]Controle de Produção'!$G:$G,$B425),_xlfn.MAXIFS([3]EXPEDIÇÃO!$N:$N,[3]EXPEDIÇÃO!$E:$E,$D425,[3]EXPEDIÇÃO!$D:$D,$C425,[3]EXPEDIÇÃO!$N:$N,"&gt;="&amp;$G425)),"")</f>
        <v/>
      </c>
      <c r="O425" s="70" t="e">
        <f>INDEX([1]Produtos!$E:$E,MATCH($D425,[1]Produtos!$B:$B,0))</f>
        <v>#N/A</v>
      </c>
      <c r="P425" s="70" t="e">
        <f>INDEX([1]Produtos!$F:$F,MATCH($D425,[1]Produtos!$B:$B,0))</f>
        <v>#N/A</v>
      </c>
      <c r="Q425" s="105" t="e">
        <f>INDEX([1]Produtos!$Y:$Y,MATCH($D425,[1]Produtos!$B:$B,0))</f>
        <v>#N/A</v>
      </c>
      <c r="R425" s="35" t="str">
        <f t="shared" si="61"/>
        <v>-</v>
      </c>
      <c r="S425" s="27" t="str">
        <f>IFERROR(INDEX([1]Produtos!$L:$L,MATCH(D425,[1]Produtos!$B:$B,0)), "")</f>
        <v/>
      </c>
      <c r="T425" s="28" t="str">
        <f t="shared" si="62"/>
        <v>-</v>
      </c>
      <c r="U425" s="28" t="str">
        <f t="shared" si="63"/>
        <v>-</v>
      </c>
      <c r="V425" s="27">
        <f>IFERROR(SUMIFS('[2]Controle de Produção'!$K:$K,'[2]Controle de Produção'!$L:$L,D425,'[2]Controle de Produção'!$P:$P,C425,'[2]Controle de Produção'!$B:$B,"&gt;=" &amp; G425,'[2]Controle de Produção'!$C:$C,"&lt;=" &amp; N425, '[2]Controle de Produção'!$G:$G,B425), "")</f>
        <v>0</v>
      </c>
      <c r="W425" s="27" t="str">
        <f>IFERROR(SUMIFS([3]EXPEDIÇÃO!$K:$K,[3]EXPEDIÇÃO!$E:$E,D425,[3]EXPEDIÇÃO!$D:$D,C425,[3]EXPEDIÇÃO!$N:$N,"&gt;=" &amp; G425,[3]EXPEDIÇÃO!$N:$N,"&lt;="&amp;N425), "")</f>
        <v/>
      </c>
      <c r="X425" s="27">
        <f>COUNTIFS('[2]Controle de Produção'!$P:$P,C425,'[2]Controle de Produção'!$L:$L,D425,'[2]Controle de Produção'!$B:$B,"&gt;=" &amp; G425)</f>
        <v>0</v>
      </c>
      <c r="Y425" s="27" t="str">
        <f t="shared" si="64"/>
        <v>-</v>
      </c>
      <c r="Z425" s="27">
        <f>IFERROR(COUNTIFS('[2]Controle de Produção'!$L:$L,D425,'[2]Controle de Produção'!$P:$P,C425,'[2]Controle de Produção'!$B:$B,"&gt;=" &amp; G425,'[2]Controle de Produção'!$C:$C,"&lt;=" &amp; N425, '[2]Controle de Produção'!$G:$G,B425), "")</f>
        <v>0</v>
      </c>
      <c r="AA425" s="108" t="str">
        <f t="shared" si="65"/>
        <v/>
      </c>
      <c r="AB425" s="41" t="str" cm="1">
        <f t="array" ref="AB425">_xlfn.IFS((H425*0.95)&lt;=V425,"Concluído",AND(V425 =0, J425&lt;&gt;""),"Programado",AND(V425=0,D425=""),"Desenvolv.",V425=0,"Não Iniciado",AND(V425&gt;0,V425&lt;H425,AO425=TRUE),"Em Produção",AND(V425&gt;0,V425&lt;H425,AO425=FALSE),"Produção Parcial")</f>
        <v>Desenvolv.</v>
      </c>
      <c r="AC425" s="42" t="b">
        <v>0</v>
      </c>
      <c r="AD425" s="42" t="b">
        <v>1</v>
      </c>
      <c r="AE425" s="42" t="b">
        <v>0</v>
      </c>
      <c r="AF425" s="42" t="b">
        <v>0</v>
      </c>
      <c r="AG425" s="42" t="b">
        <v>0</v>
      </c>
      <c r="AH425" s="42" t="b">
        <v>0</v>
      </c>
      <c r="AI425" s="42" t="b">
        <v>0</v>
      </c>
      <c r="AJ425" s="42" t="b">
        <v>0</v>
      </c>
      <c r="AK425" s="42" t="s">
        <v>38</v>
      </c>
      <c r="AL425" s="42" t="b">
        <v>0</v>
      </c>
      <c r="AM425" s="42" t="b">
        <v>0</v>
      </c>
      <c r="AN425" s="42" t="b">
        <v>0</v>
      </c>
      <c r="AO425" s="45" t="b" cm="1">
        <f t="array" ref="AO425">AND(COUNTIF(AC425:AN425,FALSE)=0,SUMPRODUCT(ISNUMBER(AC425:AN425)*1)=0)</f>
        <v>0</v>
      </c>
      <c r="AP425" s="59"/>
      <c r="AQ425" s="111" t="e">
        <f>IF(AB425="",99999999999,IFERROR(MATCH(AB425,{"Produção Parcial","Em Produção","Programado","Não Iniciado","Desenvolv.","Concluído"},0),7)*100000000+IF(ISNUMBER(J425),J425-46000,9999)*10000+IF(A425="",99,A425)*100+IF(C425="",99,CODE(LEFT(C425,1))))</f>
        <v>#N/A</v>
      </c>
    </row>
    <row r="426" spans="1:45" s="36" customFormat="1" ht="25.15" hidden="1" customHeight="1" x14ac:dyDescent="0.25">
      <c r="B426" s="38" t="s">
        <v>301</v>
      </c>
      <c r="C426" s="93" t="e">
        <f>INDEX([1]Produtos!$G:$G,MATCH($D426,[1]Produtos!$B:$B,0))</f>
        <v>#N/A</v>
      </c>
      <c r="D426" s="63"/>
      <c r="E426" s="93" t="s">
        <v>341</v>
      </c>
      <c r="F426" s="66" t="s">
        <v>38</v>
      </c>
      <c r="G426" s="38"/>
      <c r="H426" s="64">
        <v>7500</v>
      </c>
      <c r="I426" s="63" t="s">
        <v>39</v>
      </c>
      <c r="J426" s="68" t="str" cm="1">
        <f t="array" ref="J426">IFERROR(INDEX('[2]Previsão Envase'!$D$5:$D$4867, MATCH(1,('[2]Previsão Envase'!$F$5:$F$4867=$E426)+('[2]Previsão Envase'!$G$5:$G$4867=$E426)+('[2]Previsão Envase'!$H$5:$H$4867=$E426),0)),"")</f>
        <v/>
      </c>
      <c r="K426" s="68" t="str">
        <f>IF(COUNTIF('[2]Previsão Envase'!$F:$F,E426)&gt;0,"Linha 1",
IF(COUNTIF('[2]Previsão Envase'!$G:$G,E426)&gt;0,"Linha 2",
IF(COUNTIF('[2]Previsão Envase'!$H:$H,E426)&gt;0,"Linha 3","")))</f>
        <v/>
      </c>
      <c r="L426" s="96">
        <f>COUNTIF('[2]Previsão Envase'!$F:$H,E426)-COUNTIF('[2]Previsão Envase'!$F$1:$H$4,E426)</f>
        <v>0</v>
      </c>
      <c r="M426" s="35" t="str">
        <f t="shared" si="60"/>
        <v>-</v>
      </c>
      <c r="N426" s="68" t="str">
        <f>IFERROR(MAX(_xlfn.MAXIFS('[2]Controle de Produção'!$C:$C,'[2]Controle de Produção'!$L:$L,$D426,'[2]Controle de Produção'!$P:$P,$C426,'[2]Controle de Produção'!$G:$G,$B426),_xlfn.MAXIFS([3]EXPEDIÇÃO!$N:$N,[3]EXPEDIÇÃO!$E:$E,$D426,[3]EXPEDIÇÃO!$D:$D,$C426,[3]EXPEDIÇÃO!$N:$N,"&gt;="&amp;$G426)),"")</f>
        <v/>
      </c>
      <c r="O426" s="70" t="e">
        <f>INDEX([1]Produtos!$E:$E,MATCH($D426,[1]Produtos!$B:$B,0))</f>
        <v>#N/A</v>
      </c>
      <c r="P426" s="70" t="e">
        <f>INDEX([1]Produtos!$F:$F,MATCH($D426,[1]Produtos!$B:$B,0))</f>
        <v>#N/A</v>
      </c>
      <c r="Q426" s="105" t="e">
        <f>INDEX([1]Produtos!$Y:$Y,MATCH($D426,[1]Produtos!$B:$B,0))</f>
        <v>#N/A</v>
      </c>
      <c r="R426" s="35" t="str">
        <f t="shared" si="61"/>
        <v>-</v>
      </c>
      <c r="S426" s="27" t="str">
        <f>IFERROR(INDEX([1]Produtos!$L:$L,MATCH(D426,[1]Produtos!$B:$B,0)), "")</f>
        <v/>
      </c>
      <c r="T426" s="28" t="str">
        <f t="shared" si="62"/>
        <v>-</v>
      </c>
      <c r="U426" s="28" t="str">
        <f t="shared" si="63"/>
        <v>-</v>
      </c>
      <c r="V426" s="27">
        <f>IFERROR(SUMIFS('[2]Controle de Produção'!$K:$K,'[2]Controle de Produção'!$L:$L,D426,'[2]Controle de Produção'!$P:$P,C426,'[2]Controle de Produção'!$B:$B,"&gt;=" &amp; G426,'[2]Controle de Produção'!$C:$C,"&lt;=" &amp; N426, '[2]Controle de Produção'!$G:$G,B426), "")</f>
        <v>0</v>
      </c>
      <c r="W426" s="27" t="str">
        <f>IFERROR(SUMIFS([3]EXPEDIÇÃO!$K:$K,[3]EXPEDIÇÃO!$E:$E,D426,[3]EXPEDIÇÃO!$D:$D,C426,[3]EXPEDIÇÃO!$N:$N,"&gt;=" &amp; G426,[3]EXPEDIÇÃO!$N:$N,"&lt;="&amp;N426), "")</f>
        <v/>
      </c>
      <c r="X426" s="27">
        <f>COUNTIFS('[2]Controle de Produção'!$P:$P,C426,'[2]Controle de Produção'!$L:$L,D426,'[2]Controle de Produção'!$B:$B,"&gt;=" &amp; G426)</f>
        <v>0</v>
      </c>
      <c r="Y426" s="27" t="str">
        <f t="shared" si="64"/>
        <v>-</v>
      </c>
      <c r="Z426" s="27">
        <f>IFERROR(COUNTIFS('[2]Controle de Produção'!$L:$L,D426,'[2]Controle de Produção'!$P:$P,C426,'[2]Controle de Produção'!$B:$B,"&gt;=" &amp; G426,'[2]Controle de Produção'!$C:$C,"&lt;=" &amp; N426, '[2]Controle de Produção'!$G:$G,B426), "")</f>
        <v>0</v>
      </c>
      <c r="AA426" s="108" t="str">
        <f t="shared" si="65"/>
        <v/>
      </c>
      <c r="AB426" s="41" t="str" cm="1">
        <f t="array" ref="AB426">_xlfn.IFS((H426*0.95)&lt;=V426,"Concluído",AND(V426 =0, J426&lt;&gt;""),"Programado",AND(V426=0,D426=""),"Desenvolv.",V426=0,"Não Iniciado",AND(V426&gt;0,V426&lt;H426,AO426=TRUE),"Em Produção",AND(V426&gt;0,V426&lt;H426,AO426=FALSE),"Produção Parcial")</f>
        <v>Desenvolv.</v>
      </c>
      <c r="AC426" s="42" t="b">
        <v>0</v>
      </c>
      <c r="AD426" s="42" t="b">
        <v>1</v>
      </c>
      <c r="AE426" s="42" t="b">
        <v>0</v>
      </c>
      <c r="AF426" s="42" t="b">
        <v>0</v>
      </c>
      <c r="AG426" s="42" t="b">
        <v>0</v>
      </c>
      <c r="AH426" s="42" t="b">
        <v>0</v>
      </c>
      <c r="AI426" s="42" t="b">
        <v>0</v>
      </c>
      <c r="AJ426" s="42" t="b">
        <v>0</v>
      </c>
      <c r="AK426" s="42" t="s">
        <v>38</v>
      </c>
      <c r="AL426" s="42" t="b">
        <v>0</v>
      </c>
      <c r="AM426" s="42" t="b">
        <v>0</v>
      </c>
      <c r="AN426" s="42" t="b">
        <v>0</v>
      </c>
      <c r="AO426" s="45" t="b" cm="1">
        <f t="array" ref="AO426">AND(COUNTIF(AC426:AN426,FALSE)=0,SUMPRODUCT(ISNUMBER(AC426:AN426)*1)=0)</f>
        <v>0</v>
      </c>
      <c r="AP426" s="59"/>
      <c r="AQ426" s="111" t="e">
        <f>IF(AB426="",99999999999,IFERROR(MATCH(AB426,{"Produção Parcial","Em Produção","Programado","Não Iniciado","Desenvolv.","Concluído"},0),7)*100000000+IF(ISNUMBER(J426),J426-46000,9999)*10000+IF(A426="",99,A426)*100+IF(C426="",99,CODE(LEFT(C426,1))))</f>
        <v>#N/A</v>
      </c>
    </row>
    <row r="427" spans="1:45" s="36" customFormat="1" ht="25.15" hidden="1" customHeight="1" x14ac:dyDescent="0.25">
      <c r="B427" s="38" t="s">
        <v>301</v>
      </c>
      <c r="C427" s="93" t="e">
        <f>INDEX([1]Produtos!$G:$G,MATCH($D427,[1]Produtos!$B:$B,0))</f>
        <v>#N/A</v>
      </c>
      <c r="D427" s="63"/>
      <c r="E427" s="93" t="s">
        <v>342</v>
      </c>
      <c r="F427" s="66" t="s">
        <v>38</v>
      </c>
      <c r="G427" s="38"/>
      <c r="H427" s="64">
        <v>7500</v>
      </c>
      <c r="I427" s="63" t="s">
        <v>39</v>
      </c>
      <c r="J427" s="68" t="str" cm="1">
        <f t="array" ref="J427">IFERROR(INDEX('[2]Previsão Envase'!$D$5:$D$4867, MATCH(1,('[2]Previsão Envase'!$F$5:$F$4867=$E427)+('[2]Previsão Envase'!$G$5:$G$4867=$E427)+('[2]Previsão Envase'!$H$5:$H$4867=$E427),0)),"")</f>
        <v/>
      </c>
      <c r="K427" s="68" t="str">
        <f>IF(COUNTIF('[2]Previsão Envase'!$F:$F,E427)&gt;0,"Linha 1",
IF(COUNTIF('[2]Previsão Envase'!$G:$G,E427)&gt;0,"Linha 2",
IF(COUNTIF('[2]Previsão Envase'!$H:$H,E427)&gt;0,"Linha 3","")))</f>
        <v/>
      </c>
      <c r="L427" s="96">
        <f>COUNTIF('[2]Previsão Envase'!$F:$H,E427)-COUNTIF('[2]Previsão Envase'!$F$1:$H$4,E427)</f>
        <v>0</v>
      </c>
      <c r="M427" s="35" t="str">
        <f t="shared" si="60"/>
        <v>-</v>
      </c>
      <c r="N427" s="68" t="str">
        <f>IFERROR(MAX(_xlfn.MAXIFS('[2]Controle de Produção'!$C:$C,'[2]Controle de Produção'!$L:$L,$D427,'[2]Controle de Produção'!$P:$P,$C427,'[2]Controle de Produção'!$G:$G,$B427),_xlfn.MAXIFS([3]EXPEDIÇÃO!$N:$N,[3]EXPEDIÇÃO!$E:$E,$D427,[3]EXPEDIÇÃO!$D:$D,$C427,[3]EXPEDIÇÃO!$N:$N,"&gt;="&amp;$G427)),"")</f>
        <v/>
      </c>
      <c r="O427" s="70" t="e">
        <f>INDEX([1]Produtos!$E:$E,MATCH($D427,[1]Produtos!$B:$B,0))</f>
        <v>#N/A</v>
      </c>
      <c r="P427" s="70" t="e">
        <f>INDEX([1]Produtos!$F:$F,MATCH($D427,[1]Produtos!$B:$B,0))</f>
        <v>#N/A</v>
      </c>
      <c r="Q427" s="105" t="e">
        <f>INDEX([1]Produtos!$Y:$Y,MATCH($D427,[1]Produtos!$B:$B,0))</f>
        <v>#N/A</v>
      </c>
      <c r="R427" s="35" t="str">
        <f t="shared" si="61"/>
        <v>-</v>
      </c>
      <c r="S427" s="27" t="str">
        <f>IFERROR(INDEX([1]Produtos!$L:$L,MATCH(D427,[1]Produtos!$B:$B,0)), "")</f>
        <v/>
      </c>
      <c r="T427" s="28" t="str">
        <f t="shared" si="62"/>
        <v>-</v>
      </c>
      <c r="U427" s="28" t="str">
        <f t="shared" si="63"/>
        <v>-</v>
      </c>
      <c r="V427" s="27">
        <f>IFERROR(SUMIFS('[2]Controle de Produção'!$K:$K,'[2]Controle de Produção'!$L:$L,D427,'[2]Controle de Produção'!$P:$P,C427,'[2]Controle de Produção'!$B:$B,"&gt;=" &amp; G427,'[2]Controle de Produção'!$C:$C,"&lt;=" &amp; N427, '[2]Controle de Produção'!$G:$G,B427), "")</f>
        <v>0</v>
      </c>
      <c r="W427" s="27" t="str">
        <f>IFERROR(SUMIFS([3]EXPEDIÇÃO!$K:$K,[3]EXPEDIÇÃO!$E:$E,D427,[3]EXPEDIÇÃO!$D:$D,C427,[3]EXPEDIÇÃO!$N:$N,"&gt;=" &amp; G427,[3]EXPEDIÇÃO!$N:$N,"&lt;="&amp;N427), "")</f>
        <v/>
      </c>
      <c r="X427" s="27">
        <f>COUNTIFS('[2]Controle de Produção'!$P:$P,C427,'[2]Controle de Produção'!$L:$L,D427,'[2]Controle de Produção'!$B:$B,"&gt;=" &amp; G427)</f>
        <v>0</v>
      </c>
      <c r="Y427" s="27" t="str">
        <f t="shared" si="64"/>
        <v>-</v>
      </c>
      <c r="Z427" s="27">
        <f>IFERROR(COUNTIFS('[2]Controle de Produção'!$L:$L,D427,'[2]Controle de Produção'!$P:$P,C427,'[2]Controle de Produção'!$B:$B,"&gt;=" &amp; G427,'[2]Controle de Produção'!$C:$C,"&lt;=" &amp; N427, '[2]Controle de Produção'!$G:$G,B427), "")</f>
        <v>0</v>
      </c>
      <c r="AA427" s="108" t="str">
        <f t="shared" si="65"/>
        <v/>
      </c>
      <c r="AB427" s="41" t="str" cm="1">
        <f t="array" ref="AB427">_xlfn.IFS((H427*0.95)&lt;=V427,"Concluído",AND(V427 =0, J427&lt;&gt;""),"Programado",AND(V427=0,D427=""),"Desenvolv.",V427=0,"Não Iniciado",AND(V427&gt;0,V427&lt;H427,AO427=TRUE),"Em Produção",AND(V427&gt;0,V427&lt;H427,AO427=FALSE),"Produção Parcial")</f>
        <v>Desenvolv.</v>
      </c>
      <c r="AC427" s="42" t="b">
        <v>0</v>
      </c>
      <c r="AD427" s="42" t="b">
        <v>1</v>
      </c>
      <c r="AE427" s="42" t="b">
        <v>0</v>
      </c>
      <c r="AF427" s="42" t="b">
        <v>0</v>
      </c>
      <c r="AG427" s="42" t="b">
        <v>0</v>
      </c>
      <c r="AH427" s="42" t="b">
        <v>0</v>
      </c>
      <c r="AI427" s="42" t="b">
        <v>0</v>
      </c>
      <c r="AJ427" s="42" t="b">
        <v>0</v>
      </c>
      <c r="AK427" s="42" t="s">
        <v>38</v>
      </c>
      <c r="AL427" s="42" t="b">
        <v>0</v>
      </c>
      <c r="AM427" s="42" t="b">
        <v>0</v>
      </c>
      <c r="AN427" s="42" t="b">
        <v>0</v>
      </c>
      <c r="AO427" s="45" t="b" cm="1">
        <f t="array" ref="AO427">AND(COUNTIF(AC427:AN427,FALSE)=0,SUMPRODUCT(ISNUMBER(AC427:AN427)*1)=0)</f>
        <v>0</v>
      </c>
      <c r="AP427" s="59"/>
      <c r="AQ427" s="111" t="e">
        <f>IF(AB427="",99999999999,IFERROR(MATCH(AB427,{"Produção Parcial","Em Produção","Programado","Não Iniciado","Desenvolv.","Concluído"},0),7)*100000000+IF(ISNUMBER(J427),J427-46000,9999)*10000+IF(A427="",99,A427)*100+IF(C427="",99,CODE(LEFT(C427,1))))</f>
        <v>#N/A</v>
      </c>
    </row>
    <row r="431" spans="1:45" x14ac:dyDescent="0.25">
      <c r="N431" s="114"/>
    </row>
    <row r="433" spans="6:22" ht="31.5" x14ac:dyDescent="0.5">
      <c r="I433" s="123"/>
      <c r="J433" s="122"/>
      <c r="M433" s="119"/>
      <c r="U433" s="114"/>
    </row>
    <row r="434" spans="6:22" x14ac:dyDescent="0.25">
      <c r="L434" t="s">
        <v>454</v>
      </c>
    </row>
    <row r="435" spans="6:22" ht="36" x14ac:dyDescent="0.55000000000000004">
      <c r="F435" s="123"/>
      <c r="J435" s="121"/>
      <c r="V435" s="114"/>
    </row>
  </sheetData>
  <autoFilter ref="A4:AQ427" xr:uid="{0A9FD403-A8B0-46CC-AE8B-4A46912A5BCC}">
    <filterColumn colId="4">
      <filters>
        <filter val="FIXADOR FIX MATTE 120ml - 1 &gt; FABIANO 03/02/26"/>
        <filter val="FIXADOR FIX MATTE 120ml - 2 &gt; FABIANO 03/02/26"/>
        <filter val="FIXADOR FIX MATTE 120ml &gt; 0015"/>
      </filters>
    </filterColumn>
    <sortState xmlns:xlrd2="http://schemas.microsoft.com/office/spreadsheetml/2017/richdata2" ref="A5:AQ427">
      <sortCondition ref="AQ4:AQ427"/>
    </sortState>
  </autoFilter>
  <dataConsolidate link="1"/>
  <conditionalFormatting sqref="M1 T3 M3 M26:M35 M37:M49">
    <cfRule type="containsText" dxfId="56" priority="894" operator="containsText" text="OK">
      <formula>NOT(ISERROR(SEARCH("OK",M1)))</formula>
    </cfRule>
    <cfRule type="containsText" dxfId="55" priority="895" operator="containsText" text="SOBREPOSIÇÃO">
      <formula>NOT(ISERROR(SEARCH("SOBREPOSIÇÃO",M1)))</formula>
    </cfRule>
  </conditionalFormatting>
  <conditionalFormatting sqref="AB3 AB5:AB427">
    <cfRule type="containsText" dxfId="54" priority="562" operator="containsText" text="Programado">
      <formula>NOT(ISERROR(SEARCH("Programado",AB3)))</formula>
    </cfRule>
    <cfRule type="containsText" dxfId="53" priority="563" operator="containsText" text="Produção Parcial">
      <formula>NOT(ISERROR(SEARCH("Produção Parcial",AB3)))</formula>
    </cfRule>
    <cfRule type="containsText" dxfId="52" priority="891" operator="containsText" text="Não Iniciado">
      <formula>NOT(ISERROR(SEARCH("Não Iniciado",AB3)))</formula>
    </cfRule>
    <cfRule type="containsText" dxfId="51" priority="892" operator="containsText" text="Concluído">
      <formula>NOT(ISERROR(SEARCH("Concluído",AB3)))</formula>
    </cfRule>
    <cfRule type="containsText" dxfId="50" priority="893" operator="containsText" text="Em Produção">
      <formula>NOT(ISERROR(SEARCH("Em Produção",AB3)))</formula>
    </cfRule>
  </conditionalFormatting>
  <conditionalFormatting sqref="Z419">
    <cfRule type="cellIs" dxfId="49" priority="420" operator="lessThan">
      <formula>0</formula>
    </cfRule>
  </conditionalFormatting>
  <conditionalFormatting sqref="Z420:Z427">
    <cfRule type="cellIs" dxfId="48" priority="394" operator="lessThan">
      <formula>0</formula>
    </cfRule>
  </conditionalFormatting>
  <conditionalFormatting sqref="M84">
    <cfRule type="containsText" dxfId="47" priority="206" operator="containsText" text="OK">
      <formula>NOT(ISERROR(SEARCH("OK",M84)))</formula>
    </cfRule>
    <cfRule type="containsText" dxfId="46" priority="207" operator="containsText" text="SOBREPOSIÇÃO">
      <formula>NOT(ISERROR(SEARCH("SOBREPOSIÇÃO",M84)))</formula>
    </cfRule>
  </conditionalFormatting>
  <conditionalFormatting sqref="M82:M83">
    <cfRule type="containsText" dxfId="45" priority="196" operator="containsText" text="OK">
      <formula>NOT(ISERROR(SEARCH("OK",M82)))</formula>
    </cfRule>
    <cfRule type="containsText" dxfId="44" priority="197" operator="containsText" text="SOBREPOSIÇÃO">
      <formula>NOT(ISERROR(SEARCH("SOBREPOSIÇÃO",M82)))</formula>
    </cfRule>
  </conditionalFormatting>
  <conditionalFormatting sqref="M124:M285">
    <cfRule type="expression" dxfId="43" priority="147">
      <formula xml:space="preserve"> M124 = 0</formula>
    </cfRule>
    <cfRule type="expression" dxfId="42" priority="148">
      <formula xml:space="preserve"> OR(M124 &gt;=H124,(M124*105%) &gt;=H124)</formula>
    </cfRule>
    <cfRule type="expression" dxfId="41" priority="149">
      <formula xml:space="preserve"> M124 &lt; H124</formula>
    </cfRule>
  </conditionalFormatting>
  <conditionalFormatting sqref="M25:M427">
    <cfRule type="expression" dxfId="40" priority="144">
      <formula xml:space="preserve"> M25 = 0</formula>
    </cfRule>
    <cfRule type="expression" dxfId="39" priority="145">
      <formula xml:space="preserve"> M25 &gt;=H25</formula>
    </cfRule>
    <cfRule type="expression" dxfId="38" priority="146">
      <formula xml:space="preserve"> M25 &lt; H25</formula>
    </cfRule>
  </conditionalFormatting>
  <conditionalFormatting sqref="M402:M410 M398:M400 M389:M396 M363 M360:M361 M339:M349 M413:M427">
    <cfRule type="expression" dxfId="37" priority="141">
      <formula xml:space="preserve"> M339 = 0</formula>
    </cfRule>
    <cfRule type="expression" dxfId="36" priority="142">
      <formula xml:space="preserve"> M339 &gt;=H339</formula>
    </cfRule>
    <cfRule type="expression" dxfId="35" priority="143">
      <formula xml:space="preserve"> M339 &lt; H339</formula>
    </cfRule>
  </conditionalFormatting>
  <conditionalFormatting sqref="AC5:AN427">
    <cfRule type="cellIs" dxfId="34" priority="909" operator="equal">
      <formula>"-"</formula>
    </cfRule>
  </conditionalFormatting>
  <conditionalFormatting sqref="AC5:AO427">
    <cfRule type="cellIs" dxfId="33" priority="910" operator="equal">
      <formula>TRUE</formula>
    </cfRule>
  </conditionalFormatting>
  <conditionalFormatting sqref="AC5:AO427">
    <cfRule type="cellIs" dxfId="32" priority="911" operator="equal">
      <formula>FALSE</formula>
    </cfRule>
  </conditionalFormatting>
  <conditionalFormatting sqref="AA5:AA427">
    <cfRule type="containsText" dxfId="31" priority="912" operator="containsText" text="ERRO">
      <formula>NOT(ISERROR(SEARCH("ERRO",AA5)))</formula>
    </cfRule>
  </conditionalFormatting>
  <conditionalFormatting sqref="AA5:AA427">
    <cfRule type="cellIs" dxfId="30" priority="913" operator="between">
      <formula>0.0001</formula>
      <formula>0.05</formula>
    </cfRule>
  </conditionalFormatting>
  <conditionalFormatting sqref="AA5:AA427">
    <cfRule type="cellIs" dxfId="29" priority="914" operator="between">
      <formula>0.05</formula>
      <formula>0.15</formula>
    </cfRule>
  </conditionalFormatting>
  <conditionalFormatting sqref="AA5:AA427">
    <cfRule type="cellIs" dxfId="28" priority="915" operator="between">
      <formula>0.15</formula>
      <formula>0.35</formula>
    </cfRule>
  </conditionalFormatting>
  <conditionalFormatting sqref="AA5:AA427">
    <cfRule type="cellIs" dxfId="27" priority="916" operator="between">
      <formula>0.35</formula>
      <formula>0.65</formula>
    </cfRule>
  </conditionalFormatting>
  <conditionalFormatting sqref="AA5:AA427">
    <cfRule type="cellIs" dxfId="26" priority="917" operator="between">
      <formula>0.65</formula>
      <formula>0.9999</formula>
    </cfRule>
  </conditionalFormatting>
  <conditionalFormatting sqref="AA5:AA427">
    <cfRule type="cellIs" dxfId="25" priority="918" operator="between">
      <formula>-0.05</formula>
      <formula>-0.0001</formula>
    </cfRule>
  </conditionalFormatting>
  <conditionalFormatting sqref="AA5:AA427">
    <cfRule type="cellIs" dxfId="24" priority="919" operator="between">
      <formula>-0.15</formula>
      <formula>-0.05</formula>
    </cfRule>
  </conditionalFormatting>
  <conditionalFormatting sqref="AA5:AA427">
    <cfRule type="cellIs" dxfId="23" priority="920" operator="between">
      <formula>-0.35</formula>
      <formula>-0.15</formula>
    </cfRule>
  </conditionalFormatting>
  <conditionalFormatting sqref="AA5:AA427">
    <cfRule type="cellIs" dxfId="22" priority="921" operator="between">
      <formula>-0.65</formula>
      <formula>-0.35</formula>
    </cfRule>
  </conditionalFormatting>
  <conditionalFormatting sqref="AA5:AA427">
    <cfRule type="cellIs" dxfId="21" priority="922" operator="between">
      <formula>-0.9999</formula>
      <formula>-0.65</formula>
    </cfRule>
  </conditionalFormatting>
  <conditionalFormatting sqref="C5:I11 C12 E12:I12 C13:I427">
    <cfRule type="expression" dxfId="20" priority="923">
      <formula>$B5="ON-HOLD"</formula>
    </cfRule>
  </conditionalFormatting>
  <conditionalFormatting sqref="E5:E427">
    <cfRule type="expression" dxfId="19" priority="924">
      <formula>$AO5=TRUE</formula>
    </cfRule>
  </conditionalFormatting>
  <conditionalFormatting sqref="E5:E427">
    <cfRule type="expression" dxfId="18" priority="925">
      <formula>AND($AB5="Programado",$AO5&lt;&gt;TRUE)</formula>
    </cfRule>
  </conditionalFormatting>
  <conditionalFormatting sqref="M36">
    <cfRule type="expression" dxfId="17" priority="2">
      <formula xml:space="preserve"> M36 = 0</formula>
    </cfRule>
    <cfRule type="expression" dxfId="16" priority="3">
      <formula xml:space="preserve"> OR(M36 &gt;=H36,(M36*105%) &gt;=H36)</formula>
    </cfRule>
    <cfRule type="expression" dxfId="15" priority="4">
      <formula xml:space="preserve"> M36 &lt; H36</formula>
    </cfRule>
  </conditionalFormatting>
  <conditionalFormatting sqref="D12">
    <cfRule type="expression" dxfId="14" priority="1">
      <formula>$W12="Inativo"</formula>
    </cfRule>
  </conditionalFormatting>
  <pageMargins left="0.7" right="0.7" top="0.75" bottom="0.75" header="0.3" footer="0.3"/>
  <pageSetup orientation="portrait" r:id="rId1"/>
  <ignoredErrors>
    <ignoredError sqref="AN2:AN4 AB2:AB4" formula="1"/>
    <ignoredError sqref="AA2:AA4 AA428:AA1048576" evalError="1"/>
    <ignoredError sqref="B1:B4 B428:B1048576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C1B06-ABAD-4877-9352-8A6FA937B25B}">
  <sheetPr codeName="Sheet3"/>
  <dimension ref="A2:BU34"/>
  <sheetViews>
    <sheetView showGridLines="0" zoomScale="80" zoomScaleNormal="80" workbookViewId="0"/>
  </sheetViews>
  <sheetFormatPr defaultColWidth="0" defaultRowHeight="15" x14ac:dyDescent="0.25"/>
  <cols>
    <col min="1" max="1" width="1.7109375" customWidth="1"/>
    <col min="2" max="2" width="12.140625" customWidth="1"/>
    <col min="3" max="5" width="11.28515625" bestFit="1" customWidth="1"/>
    <col min="6" max="6" width="10.42578125" style="1" bestFit="1" customWidth="1"/>
    <col min="7" max="7" width="15.7109375" style="1" customWidth="1"/>
    <col min="8" max="8" width="10.5703125" style="1" bestFit="1" customWidth="1"/>
    <col min="9" max="9" width="45.140625" style="1" bestFit="1" customWidth="1"/>
    <col min="10" max="10" width="13.28515625" style="1" bestFit="1" customWidth="1"/>
    <col min="11" max="11" width="8.7109375" style="1" customWidth="1"/>
    <col min="12" max="12" width="10.85546875" style="1" customWidth="1"/>
    <col min="13" max="17" width="10.7109375" style="1" customWidth="1"/>
    <col min="18" max="18" width="12.140625" style="1" customWidth="1"/>
    <col min="19" max="19" width="10.7109375" customWidth="1"/>
    <col min="20" max="20" width="10.7109375" style="1" customWidth="1"/>
    <col min="21" max="21" width="9.42578125" style="1" customWidth="1"/>
    <col min="22" max="22" width="9.85546875" style="1" customWidth="1"/>
    <col min="23" max="23" width="13.42578125" style="1" customWidth="1"/>
    <col min="24" max="24" width="12.7109375" style="12" customWidth="1"/>
    <col min="25" max="25" width="10.42578125" bestFit="1" customWidth="1"/>
    <col min="26" max="26" width="11.28515625" bestFit="1" customWidth="1"/>
    <col min="27" max="27" width="13" customWidth="1"/>
    <col min="28" max="28" width="15.5703125" customWidth="1"/>
    <col min="29" max="29" width="11.28515625" bestFit="1" customWidth="1"/>
    <col min="30" max="30" width="15.140625" bestFit="1" customWidth="1"/>
    <col min="31" max="31" width="12.28515625" customWidth="1"/>
    <col min="32" max="32" width="13.7109375" customWidth="1"/>
    <col min="33" max="33" width="10.7109375" customWidth="1"/>
    <col min="34" max="34" width="11" customWidth="1"/>
    <col min="35" max="35" width="10.7109375" customWidth="1"/>
    <col min="36" max="36" width="12.28515625" customWidth="1"/>
    <col min="37" max="37" width="7.5703125" customWidth="1"/>
    <col min="38" max="38" width="12.7109375" customWidth="1"/>
    <col min="39" max="39" width="10.7109375" customWidth="1"/>
    <col min="40" max="40" width="16.140625" style="1" customWidth="1"/>
    <col min="41" max="41" width="1.7109375" customWidth="1"/>
    <col min="42" max="73" width="0" hidden="1" customWidth="1"/>
    <col min="74" max="16384" width="9.140625" hidden="1"/>
  </cols>
  <sheetData>
    <row r="2" spans="2:40" ht="18.75" x14ac:dyDescent="0.25">
      <c r="B2" s="81"/>
      <c r="C2" s="75" t="s">
        <v>0</v>
      </c>
      <c r="D2" s="76"/>
      <c r="E2" s="73"/>
      <c r="F2" s="73"/>
      <c r="G2" s="73"/>
      <c r="H2" s="73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77"/>
      <c r="Z2" s="82"/>
      <c r="AA2" s="77"/>
      <c r="AB2" s="77"/>
      <c r="AC2" s="77"/>
      <c r="AD2" s="77"/>
      <c r="AE2" s="77"/>
      <c r="AF2" s="77"/>
      <c r="AG2" s="82"/>
      <c r="AH2" s="82"/>
      <c r="AI2" s="82"/>
      <c r="AJ2" s="82"/>
      <c r="AK2" s="82"/>
      <c r="AL2" s="82"/>
      <c r="AM2" s="82"/>
      <c r="AN2" s="82"/>
    </row>
    <row r="3" spans="2:40" ht="5.0999999999999996" customHeight="1" x14ac:dyDescent="0.25"/>
    <row r="4" spans="2:40" ht="30" x14ac:dyDescent="0.25">
      <c r="B4" s="20" t="s">
        <v>6</v>
      </c>
      <c r="C4" s="20" t="s">
        <v>9</v>
      </c>
      <c r="D4" s="20" t="s">
        <v>343</v>
      </c>
      <c r="E4" s="20" t="s">
        <v>13</v>
      </c>
      <c r="F4" s="20" t="s">
        <v>2</v>
      </c>
      <c r="G4" s="20" t="s">
        <v>8</v>
      </c>
      <c r="H4" s="20" t="s">
        <v>3</v>
      </c>
      <c r="I4" s="20" t="s">
        <v>4</v>
      </c>
      <c r="J4" s="22" t="s">
        <v>14</v>
      </c>
      <c r="K4" s="22"/>
      <c r="L4" s="79" t="s">
        <v>344</v>
      </c>
      <c r="M4" s="79" t="s">
        <v>345</v>
      </c>
      <c r="N4" s="79" t="s">
        <v>15</v>
      </c>
      <c r="O4" s="79" t="s">
        <v>16</v>
      </c>
      <c r="P4" s="79" t="s">
        <v>346</v>
      </c>
      <c r="Q4" s="79" t="s">
        <v>17</v>
      </c>
      <c r="R4" s="79" t="s">
        <v>18</v>
      </c>
      <c r="S4" s="80" t="s">
        <v>347</v>
      </c>
      <c r="T4" s="80" t="s">
        <v>348</v>
      </c>
      <c r="U4" s="79" t="s">
        <v>19</v>
      </c>
      <c r="V4" s="79" t="s">
        <v>20</v>
      </c>
      <c r="W4" s="79" t="s">
        <v>21</v>
      </c>
      <c r="X4" s="80" t="s">
        <v>22</v>
      </c>
      <c r="Y4" s="16" t="s">
        <v>349</v>
      </c>
      <c r="Z4" s="17" t="s">
        <v>350</v>
      </c>
      <c r="AA4" s="18" t="s">
        <v>25</v>
      </c>
      <c r="AB4" s="17" t="s">
        <v>351</v>
      </c>
      <c r="AC4" s="17" t="s">
        <v>352</v>
      </c>
      <c r="AD4" s="17" t="s">
        <v>28</v>
      </c>
      <c r="AE4" s="17" t="s">
        <v>29</v>
      </c>
      <c r="AF4" s="18" t="s">
        <v>30</v>
      </c>
      <c r="AG4" s="21" t="s">
        <v>31</v>
      </c>
      <c r="AH4" s="13" t="s">
        <v>32</v>
      </c>
      <c r="AI4" s="14" t="s">
        <v>33</v>
      </c>
      <c r="AJ4" s="19" t="s">
        <v>353</v>
      </c>
      <c r="AK4" s="19" t="s">
        <v>354</v>
      </c>
      <c r="AL4" s="19" t="s">
        <v>355</v>
      </c>
      <c r="AM4" s="15" t="s">
        <v>34</v>
      </c>
      <c r="AN4" s="15" t="s">
        <v>35</v>
      </c>
    </row>
    <row r="5" spans="2:40" s="36" customFormat="1" ht="25.15" customHeight="1" x14ac:dyDescent="0.25">
      <c r="B5" s="52"/>
      <c r="C5" s="53">
        <v>45761</v>
      </c>
      <c r="D5" s="23">
        <f>IFERROR(WORKDAY(C5,ROUNDDOWN(Q5/8,0),Feriados!$A$2:$A$937),"-")</f>
        <v>45784</v>
      </c>
      <c r="E5" s="23" t="str">
        <f>IFERROR(WORKDAY(C5,ROUNDUP(L5/V5,0),Feriados!$A$2:$A$937),"-")</f>
        <v>-</v>
      </c>
      <c r="F5" s="24" t="s">
        <v>356</v>
      </c>
      <c r="G5" s="24" t="s">
        <v>39</v>
      </c>
      <c r="H5" s="24"/>
      <c r="I5" s="24" t="s">
        <v>357</v>
      </c>
      <c r="J5" s="54"/>
      <c r="K5" s="54"/>
      <c r="L5" s="25">
        <v>50000</v>
      </c>
      <c r="M5" s="26">
        <v>1</v>
      </c>
      <c r="N5" s="25">
        <v>3500</v>
      </c>
      <c r="O5" s="27">
        <f t="shared" ref="O5:O19" si="0">N5/8</f>
        <v>437.5</v>
      </c>
      <c r="P5" s="25">
        <v>7</v>
      </c>
      <c r="Q5" s="28">
        <f t="shared" ref="Q5:Q19" si="1">IFERROR(ROUNDUP(L5/O5,1),"-")</f>
        <v>114.3</v>
      </c>
      <c r="R5" s="28" t="str">
        <f t="shared" ref="R5:R19" si="2">IFERROR(ROUNDDOWN(Q5/8,0)&amp;"D e "&amp;ROUNDUP(MOD(Q5,8),0)&amp;"h","-")</f>
        <v>14D e 3h</v>
      </c>
      <c r="S5" s="25">
        <v>1</v>
      </c>
      <c r="T5" s="27" t="e">
        <f>SUMIFS(#REF!,#REF!,$F5,#REF!,I5)</f>
        <v>#REF!</v>
      </c>
      <c r="U5" s="27" t="e">
        <f>COUNTIFS(#REF!,$F5,#REF!,I5)</f>
        <v>#REF!</v>
      </c>
      <c r="V5" s="27" t="str">
        <f t="shared" ref="V5:V19" si="3">IFERROR(AVERAGE(T5/U5),"-")</f>
        <v>-</v>
      </c>
      <c r="W5" s="27" t="str">
        <f t="shared" ref="W5:W19" si="4">IFERROR(ROUNDDOWN(Q5/8,0)-U5,"-")</f>
        <v>-</v>
      </c>
      <c r="X5" s="29" t="e" cm="1">
        <f t="array" ref="X5">_xlfn.IFS(L5&lt;=T5,"Concluído",T5=0,"Não Iniciado",AND(T5&gt;0,T5&lt;L5),"Em Produção")</f>
        <v>#REF!</v>
      </c>
      <c r="Y5" s="30" t="b">
        <v>1</v>
      </c>
      <c r="Z5" s="31" t="b">
        <v>1</v>
      </c>
      <c r="AA5" s="31" t="b">
        <v>1</v>
      </c>
      <c r="AB5" s="31" t="b">
        <v>1</v>
      </c>
      <c r="AC5" s="31" t="b">
        <v>1</v>
      </c>
      <c r="AD5" s="32" t="s">
        <v>38</v>
      </c>
      <c r="AE5" s="31" t="b">
        <v>1</v>
      </c>
      <c r="AF5" s="31" t="b">
        <v>1</v>
      </c>
      <c r="AG5" s="31" t="b">
        <v>1</v>
      </c>
      <c r="AH5" s="33" t="b">
        <v>1</v>
      </c>
      <c r="AI5" s="33" t="b">
        <v>1</v>
      </c>
      <c r="AJ5" s="55"/>
      <c r="AK5" s="55"/>
      <c r="AL5" s="55"/>
      <c r="AM5" s="34" t="b">
        <v>1</v>
      </c>
      <c r="AN5" s="35"/>
    </row>
    <row r="6" spans="2:40" s="36" customFormat="1" ht="25.15" customHeight="1" x14ac:dyDescent="0.25">
      <c r="B6" s="37"/>
      <c r="C6" s="38"/>
      <c r="D6" s="23">
        <f>IFERROR(WORKDAY(C6,ROUNDDOWN(Q6/8,0),Feriados!$A$2:$A$937),"-")</f>
        <v>0</v>
      </c>
      <c r="E6" s="23" t="str">
        <f>IFERROR(WORKDAY(C6,ROUNDUP(L6/V6,0),Feriados!$A$2:$A$937),"-")</f>
        <v>-</v>
      </c>
      <c r="F6" s="24" t="s">
        <v>358</v>
      </c>
      <c r="G6" s="24" t="s">
        <v>39</v>
      </c>
      <c r="H6" s="24"/>
      <c r="I6" s="24" t="s">
        <v>359</v>
      </c>
      <c r="J6" s="24"/>
      <c r="K6" s="24"/>
      <c r="L6" s="25">
        <v>1000</v>
      </c>
      <c r="M6" s="26">
        <v>2</v>
      </c>
      <c r="N6" s="39">
        <v>2000</v>
      </c>
      <c r="O6" s="27">
        <f t="shared" si="0"/>
        <v>250</v>
      </c>
      <c r="P6" s="39">
        <v>3</v>
      </c>
      <c r="Q6" s="28">
        <f t="shared" si="1"/>
        <v>4</v>
      </c>
      <c r="R6" s="28" t="str">
        <f t="shared" si="2"/>
        <v>0D e 4h</v>
      </c>
      <c r="S6" s="40">
        <v>1</v>
      </c>
      <c r="T6" s="27" t="e">
        <f>SUMIFS(#REF!,#REF!,$F6,#REF!,I6)</f>
        <v>#REF!</v>
      </c>
      <c r="U6" s="27" t="e">
        <f>COUNTIFS(#REF!,$F6,#REF!,I6)</f>
        <v>#REF!</v>
      </c>
      <c r="V6" s="27" t="str">
        <f t="shared" si="3"/>
        <v>-</v>
      </c>
      <c r="W6" s="27" t="str">
        <f t="shared" si="4"/>
        <v>-</v>
      </c>
      <c r="X6" s="41" t="e" cm="1">
        <f t="array" ref="X6">_xlfn.IFS(L6&lt;=T6,"Concluído",T6=0,"Não Iniciado",AND(T6&gt;0,T6&lt;L6),"Em Produção")</f>
        <v>#REF!</v>
      </c>
      <c r="Y6" s="42" t="b">
        <v>1</v>
      </c>
      <c r="Z6" s="32" t="b">
        <v>1</v>
      </c>
      <c r="AA6" s="32" t="b">
        <v>1</v>
      </c>
      <c r="AB6" s="32" t="b">
        <v>1</v>
      </c>
      <c r="AC6" s="32" t="b">
        <v>1</v>
      </c>
      <c r="AD6" s="32" t="b">
        <v>1</v>
      </c>
      <c r="AE6" s="32" t="b">
        <v>1</v>
      </c>
      <c r="AF6" s="32" t="b">
        <v>1</v>
      </c>
      <c r="AG6" s="32" t="b">
        <v>1</v>
      </c>
      <c r="AH6" s="43" t="b">
        <v>1</v>
      </c>
      <c r="AI6" s="43" t="b">
        <v>1</v>
      </c>
      <c r="AJ6" s="46"/>
      <c r="AK6" s="40"/>
      <c r="AL6" s="47"/>
      <c r="AM6" s="45" t="b">
        <v>1</v>
      </c>
      <c r="AN6" s="35"/>
    </row>
    <row r="7" spans="2:40" s="36" customFormat="1" ht="25.15" customHeight="1" x14ac:dyDescent="0.25">
      <c r="B7" s="37"/>
      <c r="C7" s="38"/>
      <c r="D7" s="23">
        <f>IFERROR(WORKDAY(C7,ROUNDDOWN(Q7/8,0),Feriados!$A$2:$A$937),"-")</f>
        <v>0</v>
      </c>
      <c r="E7" s="23" t="str">
        <f>IFERROR(WORKDAY(C7,ROUNDUP(L7/V7,0),Feriados!$A$2:$A$937),"-")</f>
        <v>-</v>
      </c>
      <c r="F7" s="24" t="s">
        <v>358</v>
      </c>
      <c r="G7" s="24" t="s">
        <v>39</v>
      </c>
      <c r="H7" s="24"/>
      <c r="I7" s="24" t="s">
        <v>360</v>
      </c>
      <c r="J7" s="24"/>
      <c r="K7" s="24"/>
      <c r="L7" s="25">
        <v>1000</v>
      </c>
      <c r="M7" s="26">
        <v>2</v>
      </c>
      <c r="N7" s="39">
        <v>2000</v>
      </c>
      <c r="O7" s="27">
        <f t="shared" si="0"/>
        <v>250</v>
      </c>
      <c r="P7" s="39">
        <v>3</v>
      </c>
      <c r="Q7" s="28">
        <f t="shared" si="1"/>
        <v>4</v>
      </c>
      <c r="R7" s="28" t="str">
        <f t="shared" si="2"/>
        <v>0D e 4h</v>
      </c>
      <c r="S7" s="40">
        <v>1</v>
      </c>
      <c r="T7" s="27" t="e">
        <f>SUMIFS(#REF!,#REF!,$F7,#REF!,I7)</f>
        <v>#REF!</v>
      </c>
      <c r="U7" s="27" t="e">
        <f>COUNTIFS(#REF!,$F7,#REF!,I7)</f>
        <v>#REF!</v>
      </c>
      <c r="V7" s="27" t="str">
        <f t="shared" si="3"/>
        <v>-</v>
      </c>
      <c r="W7" s="27" t="str">
        <f t="shared" si="4"/>
        <v>-</v>
      </c>
      <c r="X7" s="41" t="e" cm="1">
        <f t="array" ref="X7">_xlfn.IFS(L7&lt;=T7,"Concluído",T7=0,"Não Iniciado",AND(T7&gt;0,T7&lt;L7),"Em Produção")</f>
        <v>#REF!</v>
      </c>
      <c r="Y7" s="42" t="b">
        <v>1</v>
      </c>
      <c r="Z7" s="32" t="b">
        <v>1</v>
      </c>
      <c r="AA7" s="32" t="b">
        <v>1</v>
      </c>
      <c r="AB7" s="32" t="b">
        <v>1</v>
      </c>
      <c r="AC7" s="32" t="b">
        <v>1</v>
      </c>
      <c r="AD7" s="32" t="b">
        <v>1</v>
      </c>
      <c r="AE7" s="32" t="b">
        <v>1</v>
      </c>
      <c r="AF7" s="32" t="b">
        <v>1</v>
      </c>
      <c r="AG7" s="32" t="b">
        <v>1</v>
      </c>
      <c r="AH7" s="43" t="b">
        <v>1</v>
      </c>
      <c r="AI7" s="43" t="b">
        <v>1</v>
      </c>
      <c r="AJ7" s="46"/>
      <c r="AK7" s="40"/>
      <c r="AL7" s="47"/>
      <c r="AM7" s="45" t="b">
        <v>1</v>
      </c>
      <c r="AN7" s="35"/>
    </row>
    <row r="8" spans="2:40" s="36" customFormat="1" ht="25.15" customHeight="1" x14ac:dyDescent="0.25">
      <c r="B8" s="37"/>
      <c r="C8" s="38">
        <v>45803</v>
      </c>
      <c r="D8" s="23">
        <f>IFERROR(WORKDAY(C8,ROUNDDOWN(Q8/8,0),Feriados!$A$2:$A$937),"-")</f>
        <v>45803</v>
      </c>
      <c r="E8" s="23" t="str">
        <f>IFERROR(WORKDAY(C8,ROUNDUP(L8/V8,0),Feriados!$A$2:$A$937),"-")</f>
        <v>-</v>
      </c>
      <c r="F8" s="24" t="s">
        <v>361</v>
      </c>
      <c r="G8" s="24" t="s">
        <v>39</v>
      </c>
      <c r="H8" s="24"/>
      <c r="I8" s="24" t="s">
        <v>362</v>
      </c>
      <c r="J8" s="24"/>
      <c r="K8" s="24"/>
      <c r="L8" s="25">
        <f t="shared" ref="L8:L19" si="5">8650/2</f>
        <v>4325</v>
      </c>
      <c r="M8" s="26">
        <v>1</v>
      </c>
      <c r="N8" s="39">
        <v>5000</v>
      </c>
      <c r="O8" s="27">
        <f t="shared" si="0"/>
        <v>625</v>
      </c>
      <c r="P8" s="39">
        <v>5</v>
      </c>
      <c r="Q8" s="28">
        <f t="shared" si="1"/>
        <v>7</v>
      </c>
      <c r="R8" s="28" t="str">
        <f t="shared" si="2"/>
        <v>0D e 7h</v>
      </c>
      <c r="S8" s="40">
        <v>3</v>
      </c>
      <c r="T8" s="27" t="e">
        <f>SUMIFS(#REF!,#REF!,$F8,#REF!,I8)</f>
        <v>#REF!</v>
      </c>
      <c r="U8" s="27" t="e">
        <f>COUNTIFS(#REF!,$F8,#REF!,I8)</f>
        <v>#REF!</v>
      </c>
      <c r="V8" s="27" t="str">
        <f t="shared" si="3"/>
        <v>-</v>
      </c>
      <c r="W8" s="27" t="str">
        <f t="shared" si="4"/>
        <v>-</v>
      </c>
      <c r="X8" s="41" t="e" cm="1">
        <f t="array" ref="X8">_xlfn.IFS(L8&lt;=T8,"Concluído",T8=0,"Não Iniciado",AND(T8&gt;0,T8&lt;L8),"Em Produção")</f>
        <v>#REF!</v>
      </c>
      <c r="Y8" s="42" t="b">
        <v>1</v>
      </c>
      <c r="Z8" s="32" t="b">
        <v>1</v>
      </c>
      <c r="AA8" s="32" t="b">
        <v>1</v>
      </c>
      <c r="AB8" s="32" t="b">
        <v>1</v>
      </c>
      <c r="AC8" s="32" t="b">
        <v>1</v>
      </c>
      <c r="AD8" s="32" t="s">
        <v>38</v>
      </c>
      <c r="AE8" s="49" t="s">
        <v>38</v>
      </c>
      <c r="AF8" s="49" t="s">
        <v>38</v>
      </c>
      <c r="AG8" s="32" t="b">
        <v>1</v>
      </c>
      <c r="AH8" s="43" t="b">
        <v>1</v>
      </c>
      <c r="AI8" s="43" t="b">
        <v>1</v>
      </c>
      <c r="AJ8" s="46"/>
      <c r="AK8" s="40"/>
      <c r="AL8" s="47"/>
      <c r="AM8" s="45" t="b">
        <v>1</v>
      </c>
      <c r="AN8" s="35"/>
    </row>
    <row r="9" spans="2:40" s="36" customFormat="1" ht="25.15" customHeight="1" x14ac:dyDescent="0.25">
      <c r="B9" s="37"/>
      <c r="C9" s="38">
        <v>45803</v>
      </c>
      <c r="D9" s="23">
        <f>IFERROR(WORKDAY(C9,ROUNDDOWN(Q9/8,0),Feriados!$A$2:$A$937),"-")</f>
        <v>45803</v>
      </c>
      <c r="E9" s="23" t="str">
        <f>IFERROR(WORKDAY(C9,ROUNDUP(L9/V9,0),Feriados!$A$2:$A$937),"-")</f>
        <v>-</v>
      </c>
      <c r="F9" s="24" t="s">
        <v>361</v>
      </c>
      <c r="G9" s="24" t="s">
        <v>39</v>
      </c>
      <c r="H9" s="24"/>
      <c r="I9" s="24" t="s">
        <v>363</v>
      </c>
      <c r="J9" s="24"/>
      <c r="K9" s="24"/>
      <c r="L9" s="25">
        <f t="shared" si="5"/>
        <v>4325</v>
      </c>
      <c r="M9" s="26">
        <v>1</v>
      </c>
      <c r="N9" s="39">
        <v>5000</v>
      </c>
      <c r="O9" s="27">
        <f t="shared" si="0"/>
        <v>625</v>
      </c>
      <c r="P9" s="39">
        <v>5</v>
      </c>
      <c r="Q9" s="28">
        <f t="shared" si="1"/>
        <v>7</v>
      </c>
      <c r="R9" s="28" t="str">
        <f t="shared" si="2"/>
        <v>0D e 7h</v>
      </c>
      <c r="S9" s="40">
        <v>3</v>
      </c>
      <c r="T9" s="27" t="e">
        <f>SUMIFS(#REF!,#REF!,$F9,#REF!,I9)</f>
        <v>#REF!</v>
      </c>
      <c r="U9" s="27" t="e">
        <f>COUNTIFS(#REF!,$F9,#REF!,I9)</f>
        <v>#REF!</v>
      </c>
      <c r="V9" s="27" t="str">
        <f t="shared" si="3"/>
        <v>-</v>
      </c>
      <c r="W9" s="27" t="str">
        <f t="shared" si="4"/>
        <v>-</v>
      </c>
      <c r="X9" s="41" t="e" cm="1">
        <f t="array" ref="X9">_xlfn.IFS(L9&lt;=T9,"Concluído",T9=0,"Não Iniciado",AND(T9&gt;0,T9&lt;L9),"Em Produção")</f>
        <v>#REF!</v>
      </c>
      <c r="Y9" s="42" t="b">
        <v>1</v>
      </c>
      <c r="Z9" s="32" t="b">
        <v>1</v>
      </c>
      <c r="AA9" s="32" t="b">
        <v>1</v>
      </c>
      <c r="AB9" s="32" t="b">
        <v>1</v>
      </c>
      <c r="AC9" s="32" t="b">
        <v>1</v>
      </c>
      <c r="AD9" s="32" t="s">
        <v>38</v>
      </c>
      <c r="AE9" s="49" t="s">
        <v>38</v>
      </c>
      <c r="AF9" s="49" t="s">
        <v>38</v>
      </c>
      <c r="AG9" s="32" t="b">
        <v>1</v>
      </c>
      <c r="AH9" s="43" t="b">
        <v>1</v>
      </c>
      <c r="AI9" s="43" t="b">
        <v>1</v>
      </c>
      <c r="AJ9" s="46"/>
      <c r="AK9" s="40"/>
      <c r="AL9" s="47"/>
      <c r="AM9" s="45" t="b">
        <v>1</v>
      </c>
      <c r="AN9" s="35"/>
    </row>
    <row r="10" spans="2:40" s="36" customFormat="1" ht="25.15" customHeight="1" x14ac:dyDescent="0.25">
      <c r="B10" s="37"/>
      <c r="C10" s="38">
        <v>45803</v>
      </c>
      <c r="D10" s="23">
        <f>IFERROR(WORKDAY(C10,ROUNDDOWN(Q10/8,0),Feriados!$A$2:$A$937),"-")</f>
        <v>45803</v>
      </c>
      <c r="E10" s="23" t="str">
        <f>IFERROR(WORKDAY(C10,ROUNDUP(L10/V10,0),Feriados!$A$2:$A$937),"-")</f>
        <v>-</v>
      </c>
      <c r="F10" s="24" t="s">
        <v>361</v>
      </c>
      <c r="G10" s="24" t="s">
        <v>39</v>
      </c>
      <c r="H10" s="24"/>
      <c r="I10" s="24" t="s">
        <v>364</v>
      </c>
      <c r="J10" s="24"/>
      <c r="K10" s="24"/>
      <c r="L10" s="25">
        <f t="shared" si="5"/>
        <v>4325</v>
      </c>
      <c r="M10" s="26">
        <v>2</v>
      </c>
      <c r="N10" s="39">
        <v>5000</v>
      </c>
      <c r="O10" s="27">
        <f t="shared" si="0"/>
        <v>625</v>
      </c>
      <c r="P10" s="39">
        <v>5</v>
      </c>
      <c r="Q10" s="28">
        <f t="shared" si="1"/>
        <v>7</v>
      </c>
      <c r="R10" s="28" t="str">
        <f t="shared" si="2"/>
        <v>0D e 7h</v>
      </c>
      <c r="S10" s="40">
        <v>3</v>
      </c>
      <c r="T10" s="27" t="e">
        <f>SUMIFS(#REF!,#REF!,$F10,#REF!,I10)</f>
        <v>#REF!</v>
      </c>
      <c r="U10" s="27" t="e">
        <f>COUNTIFS(#REF!,$F10,#REF!,I10)</f>
        <v>#REF!</v>
      </c>
      <c r="V10" s="27" t="str">
        <f t="shared" si="3"/>
        <v>-</v>
      </c>
      <c r="W10" s="27" t="str">
        <f t="shared" si="4"/>
        <v>-</v>
      </c>
      <c r="X10" s="41" t="e" cm="1">
        <f t="array" ref="X10">_xlfn.IFS(L10&lt;=T10,"Concluído",T10=0,"Não Iniciado",AND(T10&gt;0,T10&lt;L10),"Em Produção")</f>
        <v>#REF!</v>
      </c>
      <c r="Y10" s="42" t="b">
        <v>1</v>
      </c>
      <c r="Z10" s="32" t="b">
        <v>1</v>
      </c>
      <c r="AA10" s="32" t="b">
        <v>1</v>
      </c>
      <c r="AB10" s="32" t="b">
        <v>1</v>
      </c>
      <c r="AC10" s="32" t="b">
        <v>1</v>
      </c>
      <c r="AD10" s="32" t="s">
        <v>38</v>
      </c>
      <c r="AE10" s="49" t="s">
        <v>38</v>
      </c>
      <c r="AF10" s="49" t="s">
        <v>38</v>
      </c>
      <c r="AG10" s="32" t="b">
        <v>1</v>
      </c>
      <c r="AH10" s="43" t="b">
        <v>1</v>
      </c>
      <c r="AI10" s="43" t="b">
        <v>1</v>
      </c>
      <c r="AJ10" s="46"/>
      <c r="AK10" s="40"/>
      <c r="AL10" s="47"/>
      <c r="AM10" s="45" t="b">
        <v>1</v>
      </c>
      <c r="AN10" s="35"/>
    </row>
    <row r="11" spans="2:40" s="36" customFormat="1" ht="25.15" customHeight="1" x14ac:dyDescent="0.25">
      <c r="B11" s="37"/>
      <c r="C11" s="38">
        <v>45803</v>
      </c>
      <c r="D11" s="23">
        <f>IFERROR(WORKDAY(C11,ROUNDDOWN(Q11/8,0),Feriados!$A$2:$A$937),"-")</f>
        <v>45803</v>
      </c>
      <c r="E11" s="23" t="str">
        <f>IFERROR(WORKDAY(C11,ROUNDUP(L11/V11,0),Feriados!$A$2:$A$937),"-")</f>
        <v>-</v>
      </c>
      <c r="F11" s="24" t="s">
        <v>361</v>
      </c>
      <c r="G11" s="24" t="s">
        <v>39</v>
      </c>
      <c r="H11" s="24"/>
      <c r="I11" s="24" t="s">
        <v>365</v>
      </c>
      <c r="J11" s="24"/>
      <c r="K11" s="24"/>
      <c r="L11" s="25">
        <f t="shared" si="5"/>
        <v>4325</v>
      </c>
      <c r="M11" s="26">
        <v>2</v>
      </c>
      <c r="N11" s="39">
        <v>5000</v>
      </c>
      <c r="O11" s="27">
        <f t="shared" si="0"/>
        <v>625</v>
      </c>
      <c r="P11" s="39">
        <v>5</v>
      </c>
      <c r="Q11" s="28">
        <f t="shared" si="1"/>
        <v>7</v>
      </c>
      <c r="R11" s="28" t="str">
        <f t="shared" si="2"/>
        <v>0D e 7h</v>
      </c>
      <c r="S11" s="40">
        <v>3</v>
      </c>
      <c r="T11" s="27" t="e">
        <f>SUMIFS(#REF!,#REF!,$F11,#REF!,I11)</f>
        <v>#REF!</v>
      </c>
      <c r="U11" s="27" t="e">
        <f>COUNTIFS(#REF!,$F11,#REF!,I11)</f>
        <v>#REF!</v>
      </c>
      <c r="V11" s="27" t="str">
        <f t="shared" si="3"/>
        <v>-</v>
      </c>
      <c r="W11" s="27" t="str">
        <f t="shared" si="4"/>
        <v>-</v>
      </c>
      <c r="X11" s="41" t="e" cm="1">
        <f t="array" ref="X11">_xlfn.IFS(L11&lt;=T11,"Concluído",T11=0,"Não Iniciado",AND(T11&gt;0,T11&lt;L11),"Em Produção")</f>
        <v>#REF!</v>
      </c>
      <c r="Y11" s="42" t="b">
        <v>1</v>
      </c>
      <c r="Z11" s="32" t="b">
        <v>1</v>
      </c>
      <c r="AA11" s="32" t="b">
        <v>1</v>
      </c>
      <c r="AB11" s="32" t="b">
        <v>1</v>
      </c>
      <c r="AC11" s="32" t="b">
        <v>1</v>
      </c>
      <c r="AD11" s="32" t="s">
        <v>38</v>
      </c>
      <c r="AE11" s="49" t="s">
        <v>38</v>
      </c>
      <c r="AF11" s="49" t="s">
        <v>38</v>
      </c>
      <c r="AG11" s="32" t="b">
        <v>1</v>
      </c>
      <c r="AH11" s="43" t="b">
        <v>1</v>
      </c>
      <c r="AI11" s="43" t="b">
        <v>1</v>
      </c>
      <c r="AJ11" s="46"/>
      <c r="AK11" s="40"/>
      <c r="AL11" s="47"/>
      <c r="AM11" s="45" t="b">
        <v>1</v>
      </c>
      <c r="AN11" s="35"/>
    </row>
    <row r="12" spans="2:40" s="36" customFormat="1" ht="25.15" customHeight="1" x14ac:dyDescent="0.25">
      <c r="B12" s="37"/>
      <c r="C12" s="38">
        <v>45803</v>
      </c>
      <c r="D12" s="23">
        <f>IFERROR(WORKDAY(C12,ROUNDDOWN(Q12/8,0),Feriados!$A$2:$A$937),"-")</f>
        <v>45803</v>
      </c>
      <c r="E12" s="23" t="str">
        <f>IFERROR(WORKDAY(C12,ROUNDUP(L12/V12,0),Feriados!$A$2:$A$937),"-")</f>
        <v>-</v>
      </c>
      <c r="F12" s="24" t="s">
        <v>361</v>
      </c>
      <c r="G12" s="24" t="s">
        <v>39</v>
      </c>
      <c r="H12" s="24"/>
      <c r="I12" s="24" t="s">
        <v>366</v>
      </c>
      <c r="J12" s="24">
        <v>300</v>
      </c>
      <c r="K12" s="24" t="s">
        <v>67</v>
      </c>
      <c r="L12" s="39">
        <f t="shared" si="5"/>
        <v>4325</v>
      </c>
      <c r="M12" s="26">
        <v>1</v>
      </c>
      <c r="N12" s="39">
        <v>5000</v>
      </c>
      <c r="O12" s="27">
        <f t="shared" si="0"/>
        <v>625</v>
      </c>
      <c r="P12" s="39">
        <v>5</v>
      </c>
      <c r="Q12" s="28">
        <f t="shared" si="1"/>
        <v>7</v>
      </c>
      <c r="R12" s="28" t="str">
        <f t="shared" si="2"/>
        <v>0D e 7h</v>
      </c>
      <c r="S12" s="40">
        <v>3</v>
      </c>
      <c r="T12" s="27" t="e">
        <f>SUMIFS(#REF!,#REF!,$F12,#REF!,I12)</f>
        <v>#REF!</v>
      </c>
      <c r="U12" s="27" t="e">
        <f>COUNTIFS(#REF!,$F12,#REF!,I12)</f>
        <v>#REF!</v>
      </c>
      <c r="V12" s="27" t="str">
        <f t="shared" si="3"/>
        <v>-</v>
      </c>
      <c r="W12" s="27" t="str">
        <f t="shared" si="4"/>
        <v>-</v>
      </c>
      <c r="X12" s="41" t="e" cm="1">
        <f t="array" ref="X12">_xlfn.IFS(L12&lt;=T12,"Concluído",T12=0,"Não Iniciado",AND(T12&gt;0,T12&lt;L12),"Em Produção")</f>
        <v>#REF!</v>
      </c>
      <c r="Y12" s="42" t="b">
        <v>1</v>
      </c>
      <c r="Z12" s="32" t="b">
        <v>1</v>
      </c>
      <c r="AA12" s="32" t="b">
        <v>1</v>
      </c>
      <c r="AB12" s="32" t="b">
        <v>1</v>
      </c>
      <c r="AC12" s="32" t="b">
        <v>1</v>
      </c>
      <c r="AD12" s="32" t="s">
        <v>38</v>
      </c>
      <c r="AE12" s="49" t="s">
        <v>38</v>
      </c>
      <c r="AF12" s="49" t="s">
        <v>38</v>
      </c>
      <c r="AG12" s="32" t="b">
        <v>1</v>
      </c>
      <c r="AH12" s="43" t="b">
        <v>1</v>
      </c>
      <c r="AI12" s="43" t="b">
        <v>1</v>
      </c>
      <c r="AJ12" s="46"/>
      <c r="AK12" s="40"/>
      <c r="AL12" s="47"/>
      <c r="AM12" s="45" t="b">
        <v>1</v>
      </c>
      <c r="AN12" s="35"/>
    </row>
    <row r="13" spans="2:40" s="36" customFormat="1" ht="25.15" customHeight="1" x14ac:dyDescent="0.25">
      <c r="B13" s="37"/>
      <c r="C13" s="38">
        <v>45803</v>
      </c>
      <c r="D13" s="23">
        <f>IFERROR(WORKDAY(C13,ROUNDDOWN(Q13/8,0),Feriados!$A$2:$A$937),"-")</f>
        <v>45803</v>
      </c>
      <c r="E13" s="23" t="str">
        <f>IFERROR(WORKDAY(C13,ROUNDUP(L13/V13,0),Feriados!$A$2:$A$937),"-")</f>
        <v>-</v>
      </c>
      <c r="F13" s="24" t="s">
        <v>361</v>
      </c>
      <c r="G13" s="24" t="s">
        <v>39</v>
      </c>
      <c r="H13" s="24"/>
      <c r="I13" s="24" t="s">
        <v>367</v>
      </c>
      <c r="J13" s="24">
        <v>300</v>
      </c>
      <c r="K13" s="24" t="s">
        <v>67</v>
      </c>
      <c r="L13" s="39">
        <f t="shared" si="5"/>
        <v>4325</v>
      </c>
      <c r="M13" s="26">
        <v>2</v>
      </c>
      <c r="N13" s="39">
        <v>5000</v>
      </c>
      <c r="O13" s="27">
        <f t="shared" si="0"/>
        <v>625</v>
      </c>
      <c r="P13" s="39">
        <v>5</v>
      </c>
      <c r="Q13" s="28">
        <f t="shared" si="1"/>
        <v>7</v>
      </c>
      <c r="R13" s="28" t="str">
        <f t="shared" si="2"/>
        <v>0D e 7h</v>
      </c>
      <c r="S13" s="40">
        <v>3</v>
      </c>
      <c r="T13" s="27" t="e">
        <f>SUMIFS(#REF!,#REF!,$F13,#REF!,I13)</f>
        <v>#REF!</v>
      </c>
      <c r="U13" s="27" t="e">
        <f>COUNTIFS(#REF!,$F13,#REF!,I13)</f>
        <v>#REF!</v>
      </c>
      <c r="V13" s="27" t="str">
        <f t="shared" si="3"/>
        <v>-</v>
      </c>
      <c r="W13" s="27" t="str">
        <f t="shared" si="4"/>
        <v>-</v>
      </c>
      <c r="X13" s="41" t="e" cm="1">
        <f t="array" ref="X13">_xlfn.IFS(L13&lt;=T13,"Concluído",T13=0,"Não Iniciado",AND(T13&gt;0,T13&lt;L13),"Em Produção")</f>
        <v>#REF!</v>
      </c>
      <c r="Y13" s="42" t="b">
        <v>1</v>
      </c>
      <c r="Z13" s="32" t="b">
        <v>1</v>
      </c>
      <c r="AA13" s="32" t="b">
        <v>1</v>
      </c>
      <c r="AB13" s="32" t="b">
        <v>1</v>
      </c>
      <c r="AC13" s="32" t="b">
        <v>1</v>
      </c>
      <c r="AD13" s="32" t="s">
        <v>38</v>
      </c>
      <c r="AE13" s="49" t="s">
        <v>38</v>
      </c>
      <c r="AF13" s="49" t="s">
        <v>38</v>
      </c>
      <c r="AG13" s="32" t="b">
        <v>1</v>
      </c>
      <c r="AH13" s="43" t="b">
        <v>1</v>
      </c>
      <c r="AI13" s="43" t="b">
        <v>1</v>
      </c>
      <c r="AJ13" s="46"/>
      <c r="AK13" s="40"/>
      <c r="AL13" s="47"/>
      <c r="AM13" s="45" t="b">
        <v>1</v>
      </c>
      <c r="AN13" s="35"/>
    </row>
    <row r="14" spans="2:40" s="36" customFormat="1" ht="25.15" customHeight="1" x14ac:dyDescent="0.25">
      <c r="B14" s="37"/>
      <c r="C14" s="38">
        <v>45812</v>
      </c>
      <c r="D14" s="23">
        <f>IFERROR(WORKDAY(C14,ROUNDDOWN(Q14/8,0),Feriados!$A$2:$A$937),"-")</f>
        <v>45812</v>
      </c>
      <c r="E14" s="23" t="str">
        <f>IFERROR(WORKDAY(C14,ROUNDUP(L14/V14,0),Feriados!$A$2:$A$937),"-")</f>
        <v>-</v>
      </c>
      <c r="F14" s="24" t="s">
        <v>361</v>
      </c>
      <c r="G14" s="24" t="s">
        <v>39</v>
      </c>
      <c r="H14" s="24"/>
      <c r="I14" s="24" t="s">
        <v>368</v>
      </c>
      <c r="J14" s="24">
        <v>250</v>
      </c>
      <c r="K14" s="24" t="s">
        <v>179</v>
      </c>
      <c r="L14" s="39">
        <f t="shared" si="5"/>
        <v>4325</v>
      </c>
      <c r="M14" s="26">
        <v>1</v>
      </c>
      <c r="N14" s="39">
        <v>5000</v>
      </c>
      <c r="O14" s="27">
        <f t="shared" si="0"/>
        <v>625</v>
      </c>
      <c r="P14" s="39">
        <v>5</v>
      </c>
      <c r="Q14" s="28">
        <f t="shared" si="1"/>
        <v>7</v>
      </c>
      <c r="R14" s="28" t="str">
        <f t="shared" si="2"/>
        <v>0D e 7h</v>
      </c>
      <c r="S14" s="40">
        <v>3</v>
      </c>
      <c r="T14" s="27" t="e">
        <f>SUMIFS(#REF!,#REF!,$F14,#REF!,I14)</f>
        <v>#REF!</v>
      </c>
      <c r="U14" s="27" t="e">
        <f>COUNTIFS(#REF!,$F14,#REF!,I14)</f>
        <v>#REF!</v>
      </c>
      <c r="V14" s="27" t="str">
        <f t="shared" si="3"/>
        <v>-</v>
      </c>
      <c r="W14" s="27" t="str">
        <f t="shared" si="4"/>
        <v>-</v>
      </c>
      <c r="X14" s="41" t="e" cm="1">
        <f t="array" ref="X14">_xlfn.IFS(L14&lt;=T14,"Concluído",T14=0,"Não Iniciado",AND(T14&gt;0,T14&lt;L14),"Em Produção")</f>
        <v>#REF!</v>
      </c>
      <c r="Y14" s="42" t="b">
        <v>1</v>
      </c>
      <c r="Z14" s="32" t="b">
        <v>1</v>
      </c>
      <c r="AA14" s="32" t="b">
        <v>1</v>
      </c>
      <c r="AB14" s="32" t="b">
        <v>1</v>
      </c>
      <c r="AC14" s="32" t="b">
        <v>1</v>
      </c>
      <c r="AD14" s="32" t="s">
        <v>38</v>
      </c>
      <c r="AE14" s="49" t="s">
        <v>38</v>
      </c>
      <c r="AF14" s="49" t="s">
        <v>38</v>
      </c>
      <c r="AG14" s="32" t="b">
        <v>1</v>
      </c>
      <c r="AH14" s="43" t="b">
        <v>1</v>
      </c>
      <c r="AI14" s="43" t="b">
        <v>1</v>
      </c>
      <c r="AJ14" s="46"/>
      <c r="AK14" s="40"/>
      <c r="AL14" s="47"/>
      <c r="AM14" s="45" t="b">
        <v>1</v>
      </c>
      <c r="AN14" s="35"/>
    </row>
    <row r="15" spans="2:40" s="36" customFormat="1" ht="25.15" customHeight="1" x14ac:dyDescent="0.25">
      <c r="B15" s="37"/>
      <c r="C15" s="38">
        <v>45812</v>
      </c>
      <c r="D15" s="23">
        <f>IFERROR(WORKDAY(C15,ROUNDDOWN(Q15/8,0),Feriados!$A$2:$A$937),"-")</f>
        <v>45812</v>
      </c>
      <c r="E15" s="23" t="str">
        <f>IFERROR(WORKDAY(C15,ROUNDUP(L15/V15,0),Feriados!$A$2:$A$937),"-")</f>
        <v>-</v>
      </c>
      <c r="F15" s="24" t="s">
        <v>361</v>
      </c>
      <c r="G15" s="24" t="s">
        <v>39</v>
      </c>
      <c r="H15" s="24"/>
      <c r="I15" s="24" t="s">
        <v>369</v>
      </c>
      <c r="J15" s="24">
        <v>250</v>
      </c>
      <c r="K15" s="24" t="s">
        <v>179</v>
      </c>
      <c r="L15" s="39">
        <f t="shared" si="5"/>
        <v>4325</v>
      </c>
      <c r="M15" s="26">
        <v>1</v>
      </c>
      <c r="N15" s="39">
        <v>5000</v>
      </c>
      <c r="O15" s="27">
        <f t="shared" si="0"/>
        <v>625</v>
      </c>
      <c r="P15" s="39">
        <v>5</v>
      </c>
      <c r="Q15" s="28">
        <f t="shared" si="1"/>
        <v>7</v>
      </c>
      <c r="R15" s="28" t="str">
        <f t="shared" si="2"/>
        <v>0D e 7h</v>
      </c>
      <c r="S15" s="40">
        <v>3</v>
      </c>
      <c r="T15" s="27" t="e">
        <f>SUMIFS(#REF!,#REF!,$F15,#REF!,I15)</f>
        <v>#REF!</v>
      </c>
      <c r="U15" s="27" t="e">
        <f>COUNTIFS(#REF!,$F15,#REF!,I15)</f>
        <v>#REF!</v>
      </c>
      <c r="V15" s="27" t="str">
        <f t="shared" si="3"/>
        <v>-</v>
      </c>
      <c r="W15" s="27" t="str">
        <f t="shared" si="4"/>
        <v>-</v>
      </c>
      <c r="X15" s="41" t="e" cm="1">
        <f t="array" ref="X15">_xlfn.IFS(L15&lt;=T15,"Concluído",T15=0,"Não Iniciado",AND(T15&gt;0,T15&lt;L15),"Em Produção")</f>
        <v>#REF!</v>
      </c>
      <c r="Y15" s="42" t="b">
        <v>1</v>
      </c>
      <c r="Z15" s="32" t="b">
        <v>1</v>
      </c>
      <c r="AA15" s="32" t="b">
        <v>1</v>
      </c>
      <c r="AB15" s="48" t="b">
        <v>1</v>
      </c>
      <c r="AC15" s="48" t="b">
        <v>1</v>
      </c>
      <c r="AD15" s="32" t="s">
        <v>38</v>
      </c>
      <c r="AE15" s="49" t="s">
        <v>38</v>
      </c>
      <c r="AF15" s="49" t="s">
        <v>38</v>
      </c>
      <c r="AG15" s="32" t="b">
        <v>1</v>
      </c>
      <c r="AH15" s="43" t="b">
        <v>1</v>
      </c>
      <c r="AI15" s="43" t="b">
        <v>1</v>
      </c>
      <c r="AJ15" s="46"/>
      <c r="AK15" s="40"/>
      <c r="AL15" s="47"/>
      <c r="AM15" s="45" t="b">
        <v>1</v>
      </c>
      <c r="AN15" s="35"/>
    </row>
    <row r="16" spans="2:40" s="36" customFormat="1" ht="25.15" customHeight="1" x14ac:dyDescent="0.25">
      <c r="B16" s="37"/>
      <c r="C16" s="38">
        <v>45812</v>
      </c>
      <c r="D16" s="23">
        <f>IFERROR(WORKDAY(C16,ROUNDDOWN(Q16/8,0),Feriados!$A$2:$A$937),"-")</f>
        <v>45812</v>
      </c>
      <c r="E16" s="23" t="str">
        <f>IFERROR(WORKDAY(C16,ROUNDUP(L16/V16,0),Feriados!$A$2:$A$937),"-")</f>
        <v>-</v>
      </c>
      <c r="F16" s="24" t="s">
        <v>361</v>
      </c>
      <c r="G16" s="24" t="s">
        <v>39</v>
      </c>
      <c r="H16" s="24"/>
      <c r="I16" s="24" t="s">
        <v>370</v>
      </c>
      <c r="J16" s="24">
        <v>250</v>
      </c>
      <c r="K16" s="24" t="s">
        <v>179</v>
      </c>
      <c r="L16" s="39">
        <f t="shared" si="5"/>
        <v>4325</v>
      </c>
      <c r="M16" s="26">
        <v>1</v>
      </c>
      <c r="N16" s="39">
        <v>5000</v>
      </c>
      <c r="O16" s="27">
        <f t="shared" si="0"/>
        <v>625</v>
      </c>
      <c r="P16" s="39">
        <v>5</v>
      </c>
      <c r="Q16" s="28">
        <f t="shared" si="1"/>
        <v>7</v>
      </c>
      <c r="R16" s="28" t="str">
        <f t="shared" si="2"/>
        <v>0D e 7h</v>
      </c>
      <c r="S16" s="40">
        <v>3</v>
      </c>
      <c r="T16" s="27" t="e">
        <f>SUMIFS(#REF!,#REF!,$F16,#REF!,I16)</f>
        <v>#REF!</v>
      </c>
      <c r="U16" s="27" t="e">
        <f>COUNTIFS(#REF!,$F16,#REF!,I16)</f>
        <v>#REF!</v>
      </c>
      <c r="V16" s="27" t="str">
        <f t="shared" si="3"/>
        <v>-</v>
      </c>
      <c r="W16" s="27" t="str">
        <f t="shared" si="4"/>
        <v>-</v>
      </c>
      <c r="X16" s="41" t="e" cm="1">
        <f t="array" ref="X16">_xlfn.IFS(L16&lt;=T16,"Concluído",T16=0,"Não Iniciado",AND(T16&gt;0,T16&lt;L16),"Em Produção")</f>
        <v>#REF!</v>
      </c>
      <c r="Y16" s="42" t="b">
        <v>1</v>
      </c>
      <c r="Z16" s="32" t="b">
        <v>1</v>
      </c>
      <c r="AA16" s="32" t="b">
        <v>1</v>
      </c>
      <c r="AB16" s="48" t="b">
        <v>1</v>
      </c>
      <c r="AC16" s="48" t="b">
        <v>1</v>
      </c>
      <c r="AD16" s="32" t="s">
        <v>38</v>
      </c>
      <c r="AE16" s="49" t="s">
        <v>38</v>
      </c>
      <c r="AF16" s="49" t="s">
        <v>38</v>
      </c>
      <c r="AG16" s="32" t="b">
        <v>1</v>
      </c>
      <c r="AH16" s="43" t="b">
        <v>1</v>
      </c>
      <c r="AI16" s="43" t="b">
        <v>1</v>
      </c>
      <c r="AJ16" s="46"/>
      <c r="AK16" s="40"/>
      <c r="AL16" s="47"/>
      <c r="AM16" s="45" t="b">
        <v>1</v>
      </c>
      <c r="AN16" s="35"/>
    </row>
    <row r="17" spans="2:40" s="36" customFormat="1" ht="25.15" customHeight="1" x14ac:dyDescent="0.25">
      <c r="B17" s="37"/>
      <c r="C17" s="38">
        <v>45812</v>
      </c>
      <c r="D17" s="23">
        <f>IFERROR(WORKDAY(C17,ROUNDDOWN(Q17/8,0),Feriados!$A$2:$A$937),"-")</f>
        <v>45812</v>
      </c>
      <c r="E17" s="23" t="str">
        <f>IFERROR(WORKDAY(C17,ROUNDUP(L17/V17,0),Feriados!$A$2:$A$937),"-")</f>
        <v>-</v>
      </c>
      <c r="F17" s="24" t="s">
        <v>361</v>
      </c>
      <c r="G17" s="24" t="s">
        <v>39</v>
      </c>
      <c r="H17" s="24"/>
      <c r="I17" s="24" t="s">
        <v>371</v>
      </c>
      <c r="J17" s="24">
        <v>250</v>
      </c>
      <c r="K17" s="24" t="s">
        <v>67</v>
      </c>
      <c r="L17" s="39">
        <f t="shared" si="5"/>
        <v>4325</v>
      </c>
      <c r="M17" s="26">
        <v>2</v>
      </c>
      <c r="N17" s="39">
        <v>6000</v>
      </c>
      <c r="O17" s="27">
        <f t="shared" si="0"/>
        <v>750</v>
      </c>
      <c r="P17" s="39">
        <v>5</v>
      </c>
      <c r="Q17" s="28">
        <f t="shared" si="1"/>
        <v>5.8</v>
      </c>
      <c r="R17" s="28" t="str">
        <f t="shared" si="2"/>
        <v>0D e 6h</v>
      </c>
      <c r="S17" s="40">
        <v>3</v>
      </c>
      <c r="T17" s="27" t="e">
        <f>SUMIFS(#REF!,#REF!,$F17,#REF!,I17)</f>
        <v>#REF!</v>
      </c>
      <c r="U17" s="27" t="e">
        <f>COUNTIFS(#REF!,$F17,#REF!,I17)</f>
        <v>#REF!</v>
      </c>
      <c r="V17" s="27" t="str">
        <f t="shared" si="3"/>
        <v>-</v>
      </c>
      <c r="W17" s="27" t="str">
        <f t="shared" si="4"/>
        <v>-</v>
      </c>
      <c r="X17" s="41" t="e" cm="1">
        <f t="array" ref="X17">_xlfn.IFS(L17&lt;=T17,"Concluído",T17=0,"Não Iniciado",AND(T17&gt;0,T17&lt;L17),"Em Produção")</f>
        <v>#REF!</v>
      </c>
      <c r="Y17" s="42" t="b">
        <v>1</v>
      </c>
      <c r="Z17" s="32" t="b">
        <v>1</v>
      </c>
      <c r="AA17" s="32" t="b">
        <v>1</v>
      </c>
      <c r="AB17" s="48" t="b">
        <v>1</v>
      </c>
      <c r="AC17" s="56" t="b">
        <v>1</v>
      </c>
      <c r="AD17" s="32" t="s">
        <v>38</v>
      </c>
      <c r="AE17" s="49" t="s">
        <v>38</v>
      </c>
      <c r="AF17" s="49" t="s">
        <v>38</v>
      </c>
      <c r="AG17" s="32" t="b">
        <v>1</v>
      </c>
      <c r="AH17" s="43" t="b">
        <v>1</v>
      </c>
      <c r="AI17" s="43" t="b">
        <v>1</v>
      </c>
      <c r="AJ17" s="46">
        <v>45807</v>
      </c>
      <c r="AK17" s="40">
        <v>3</v>
      </c>
      <c r="AL17" s="47">
        <f>WORKDAY(AJ17,AK17,Feriados!$A$2:$A$937)</f>
        <v>45812</v>
      </c>
      <c r="AM17" s="45" t="b">
        <v>1</v>
      </c>
      <c r="AN17" s="35"/>
    </row>
    <row r="18" spans="2:40" s="36" customFormat="1" ht="25.15" customHeight="1" x14ac:dyDescent="0.25">
      <c r="B18" s="37"/>
      <c r="C18" s="38">
        <v>45812</v>
      </c>
      <c r="D18" s="23">
        <f>IFERROR(WORKDAY(C18,ROUNDDOWN(Q18/8,0),Feriados!$A$2:$A$937),"-")</f>
        <v>45812</v>
      </c>
      <c r="E18" s="23" t="str">
        <f>IFERROR(WORKDAY(C18,ROUNDUP(L18/V18,0),Feriados!$A$2:$A$937),"-")</f>
        <v>-</v>
      </c>
      <c r="F18" s="24" t="s">
        <v>361</v>
      </c>
      <c r="G18" s="24" t="s">
        <v>39</v>
      </c>
      <c r="H18" s="24"/>
      <c r="I18" s="24" t="s">
        <v>372</v>
      </c>
      <c r="J18" s="24">
        <v>250</v>
      </c>
      <c r="K18" s="24" t="s">
        <v>67</v>
      </c>
      <c r="L18" s="39">
        <f t="shared" si="5"/>
        <v>4325</v>
      </c>
      <c r="M18" s="26">
        <v>2</v>
      </c>
      <c r="N18" s="39">
        <v>6000</v>
      </c>
      <c r="O18" s="27">
        <f t="shared" si="0"/>
        <v>750</v>
      </c>
      <c r="P18" s="39">
        <v>5</v>
      </c>
      <c r="Q18" s="28">
        <f t="shared" si="1"/>
        <v>5.8</v>
      </c>
      <c r="R18" s="28" t="str">
        <f t="shared" si="2"/>
        <v>0D e 6h</v>
      </c>
      <c r="S18" s="40">
        <v>3</v>
      </c>
      <c r="T18" s="27" t="e">
        <f>SUMIFS(#REF!,#REF!,$F18,#REF!,I18)</f>
        <v>#REF!</v>
      </c>
      <c r="U18" s="27" t="e">
        <f>COUNTIFS(#REF!,$F18,#REF!,I18)</f>
        <v>#REF!</v>
      </c>
      <c r="V18" s="27" t="str">
        <f t="shared" si="3"/>
        <v>-</v>
      </c>
      <c r="W18" s="27" t="str">
        <f t="shared" si="4"/>
        <v>-</v>
      </c>
      <c r="X18" s="41" t="e" cm="1">
        <f t="array" ref="X18">_xlfn.IFS(L18&lt;=T18,"Concluído",T18=0,"Não Iniciado",AND(T18&gt;0,T18&lt;L18),"Em Produção")</f>
        <v>#REF!</v>
      </c>
      <c r="Y18" s="42" t="b">
        <v>1</v>
      </c>
      <c r="Z18" s="32" t="b">
        <v>1</v>
      </c>
      <c r="AA18" s="32" t="b">
        <v>1</v>
      </c>
      <c r="AB18" s="48" t="b">
        <v>1</v>
      </c>
      <c r="AC18" s="56" t="b">
        <v>1</v>
      </c>
      <c r="AD18" s="32" t="s">
        <v>38</v>
      </c>
      <c r="AE18" s="49" t="s">
        <v>38</v>
      </c>
      <c r="AF18" s="49" t="s">
        <v>38</v>
      </c>
      <c r="AG18" s="32" t="b">
        <v>1</v>
      </c>
      <c r="AH18" s="43" t="b">
        <v>1</v>
      </c>
      <c r="AI18" s="43" t="b">
        <v>1</v>
      </c>
      <c r="AJ18" s="46">
        <v>45807</v>
      </c>
      <c r="AK18" s="40">
        <v>3</v>
      </c>
      <c r="AL18" s="47">
        <f>WORKDAY(AJ18,AK18,Feriados!$A$2:$A$937)</f>
        <v>45812</v>
      </c>
      <c r="AM18" s="45" t="b">
        <v>1</v>
      </c>
      <c r="AN18" s="35"/>
    </row>
    <row r="19" spans="2:40" s="36" customFormat="1" ht="25.15" customHeight="1" x14ac:dyDescent="0.25">
      <c r="B19" s="37"/>
      <c r="C19" s="38">
        <v>45812</v>
      </c>
      <c r="D19" s="23">
        <f>IFERROR(WORKDAY(C19,ROUNDDOWN(Q19/8,0),Feriados!$A$2:$A$937),"-")</f>
        <v>45812</v>
      </c>
      <c r="E19" s="23" t="str">
        <f>IFERROR(WORKDAY(C19,ROUNDUP(L19/V19,0),Feriados!$A$2:$A$937),"-")</f>
        <v>-</v>
      </c>
      <c r="F19" s="24" t="s">
        <v>361</v>
      </c>
      <c r="G19" s="24" t="s">
        <v>39</v>
      </c>
      <c r="H19" s="24"/>
      <c r="I19" s="24" t="s">
        <v>373</v>
      </c>
      <c r="J19" s="24">
        <v>250</v>
      </c>
      <c r="K19" s="24" t="s">
        <v>67</v>
      </c>
      <c r="L19" s="39">
        <f t="shared" si="5"/>
        <v>4325</v>
      </c>
      <c r="M19" s="26">
        <v>2</v>
      </c>
      <c r="N19" s="39">
        <v>6000</v>
      </c>
      <c r="O19" s="27">
        <f t="shared" si="0"/>
        <v>750</v>
      </c>
      <c r="P19" s="39">
        <v>5</v>
      </c>
      <c r="Q19" s="28">
        <f t="shared" si="1"/>
        <v>5.8</v>
      </c>
      <c r="R19" s="28" t="str">
        <f t="shared" si="2"/>
        <v>0D e 6h</v>
      </c>
      <c r="S19" s="40">
        <v>3</v>
      </c>
      <c r="T19" s="27" t="e">
        <f>SUMIFS(#REF!,#REF!,$F19,#REF!,I19)</f>
        <v>#REF!</v>
      </c>
      <c r="U19" s="27" t="e">
        <f>COUNTIFS(#REF!,$F19,#REF!,I19)</f>
        <v>#REF!</v>
      </c>
      <c r="V19" s="27" t="str">
        <f t="shared" si="3"/>
        <v>-</v>
      </c>
      <c r="W19" s="27" t="str">
        <f t="shared" si="4"/>
        <v>-</v>
      </c>
      <c r="X19" s="41" t="e" cm="1">
        <f t="array" ref="X19">_xlfn.IFS(L19&lt;=T19,"Concluído",T19=0,"Não Iniciado",AND(T19&gt;0,T19&lt;L19),"Em Produção")</f>
        <v>#REF!</v>
      </c>
      <c r="Y19" s="42" t="b">
        <v>1</v>
      </c>
      <c r="Z19" s="32" t="b">
        <v>1</v>
      </c>
      <c r="AA19" s="32" t="b">
        <v>1</v>
      </c>
      <c r="AB19" s="48" t="b">
        <v>1</v>
      </c>
      <c r="AC19" s="56" t="b">
        <v>1</v>
      </c>
      <c r="AD19" s="32" t="s">
        <v>38</v>
      </c>
      <c r="AE19" s="49" t="s">
        <v>38</v>
      </c>
      <c r="AF19" s="49" t="s">
        <v>38</v>
      </c>
      <c r="AG19" s="32" t="b">
        <v>1</v>
      </c>
      <c r="AH19" s="43" t="b">
        <v>1</v>
      </c>
      <c r="AI19" s="43" t="b">
        <v>1</v>
      </c>
      <c r="AJ19" s="46">
        <v>45807</v>
      </c>
      <c r="AK19" s="40">
        <v>3</v>
      </c>
      <c r="AL19" s="47">
        <f>WORKDAY(AJ19,AK19,Feriados!$A$2:$A$937)</f>
        <v>45812</v>
      </c>
      <c r="AM19" s="45" t="b">
        <v>1</v>
      </c>
      <c r="AN19" s="35"/>
    </row>
    <row r="20" spans="2:40" s="36" customFormat="1" ht="25.15" customHeight="1" x14ac:dyDescent="0.25">
      <c r="B20" s="37"/>
      <c r="C20" s="38"/>
      <c r="D20" s="23"/>
      <c r="E20" s="23"/>
      <c r="F20" s="24" t="s">
        <v>374</v>
      </c>
      <c r="G20" s="24" t="s">
        <v>58</v>
      </c>
      <c r="H20" s="24"/>
      <c r="I20" s="24" t="s">
        <v>375</v>
      </c>
      <c r="J20" s="24">
        <v>1000</v>
      </c>
      <c r="K20" s="24" t="s">
        <v>67</v>
      </c>
      <c r="L20" s="39"/>
      <c r="M20" s="26"/>
      <c r="N20" s="39"/>
      <c r="O20" s="27"/>
      <c r="P20" s="39"/>
      <c r="Q20" s="28"/>
      <c r="R20" s="28"/>
      <c r="S20" s="40"/>
      <c r="T20" s="27"/>
      <c r="U20" s="27"/>
      <c r="V20" s="27"/>
      <c r="W20" s="27"/>
      <c r="X20" s="41"/>
      <c r="Y20" s="42" t="b">
        <v>1</v>
      </c>
      <c r="Z20" s="32" t="b">
        <v>1</v>
      </c>
      <c r="AA20" s="32" t="b">
        <v>1</v>
      </c>
      <c r="AB20" s="48" t="b">
        <v>1</v>
      </c>
      <c r="AC20" s="48" t="b">
        <v>1</v>
      </c>
      <c r="AD20" s="32" t="b">
        <v>1</v>
      </c>
      <c r="AE20" s="32" t="b">
        <v>1</v>
      </c>
      <c r="AF20" s="32" t="b">
        <v>1</v>
      </c>
      <c r="AG20" s="32" t="b">
        <v>1</v>
      </c>
      <c r="AH20" s="43" t="b">
        <v>1</v>
      </c>
      <c r="AI20" s="43" t="b">
        <v>1</v>
      </c>
      <c r="AJ20" s="46"/>
      <c r="AK20" s="40"/>
      <c r="AL20" s="47"/>
      <c r="AM20" s="45" t="b">
        <v>1</v>
      </c>
      <c r="AN20" s="35"/>
    </row>
    <row r="21" spans="2:40" s="36" customFormat="1" ht="25.15" customHeight="1" x14ac:dyDescent="0.25">
      <c r="B21" s="37"/>
      <c r="C21" s="38">
        <v>45798</v>
      </c>
      <c r="D21" s="23">
        <f>IFERROR(WORKDAY(C21,ROUNDDOWN(Q21/8,0),Feriados!$A$2:$A$937),"-")</f>
        <v>45800</v>
      </c>
      <c r="E21" s="23" t="str">
        <f>IFERROR(WORKDAY(C21,ROUNDUP(L21/V21,0),Feriados!$A$2:$A$937),"-")</f>
        <v>-</v>
      </c>
      <c r="F21" s="24" t="s">
        <v>376</v>
      </c>
      <c r="G21" s="24" t="s">
        <v>39</v>
      </c>
      <c r="H21" s="24"/>
      <c r="I21" s="24" t="s">
        <v>377</v>
      </c>
      <c r="J21" s="24"/>
      <c r="K21" s="24"/>
      <c r="L21" s="39">
        <v>18000</v>
      </c>
      <c r="M21" s="26">
        <v>1</v>
      </c>
      <c r="N21" s="39">
        <v>8000</v>
      </c>
      <c r="O21" s="27">
        <f t="shared" ref="O21:O34" si="6">N21/8</f>
        <v>1000</v>
      </c>
      <c r="P21" s="39">
        <v>6</v>
      </c>
      <c r="Q21" s="28">
        <f t="shared" ref="Q21:Q34" si="7">IFERROR(ROUNDUP(L21/O21,1),"-")</f>
        <v>18</v>
      </c>
      <c r="R21" s="28" t="str">
        <f t="shared" ref="R21:R34" si="8">IFERROR(ROUNDDOWN(Q21/8,0)&amp;"D e "&amp;ROUNDUP(MOD(Q21,8),0)&amp;"h","-")</f>
        <v>2D e 2h</v>
      </c>
      <c r="S21" s="40">
        <v>1</v>
      </c>
      <c r="T21" s="27" t="e">
        <f>SUMIFS(#REF!,#REF!,$F21,#REF!,I21)</f>
        <v>#REF!</v>
      </c>
      <c r="U21" s="27" t="e">
        <f>COUNTIFS(#REF!,$F21,#REF!,I21)</f>
        <v>#REF!</v>
      </c>
      <c r="V21" s="27" t="str">
        <f t="shared" ref="V21:V34" si="9">IFERROR(AVERAGE(T21/U21),"-")</f>
        <v>-</v>
      </c>
      <c r="W21" s="27" t="str">
        <f t="shared" ref="W21:W34" si="10">IFERROR(ROUNDDOWN(Q21/8,0)-U21,"-")</f>
        <v>-</v>
      </c>
      <c r="X21" s="41" t="e" cm="1">
        <f t="array" ref="X21">_xlfn.IFS(L21&lt;=T21,"Concluído",T21=0,"Não Iniciado",AND(T21&gt;0,T21&lt;L21),"Em Produção")</f>
        <v>#REF!</v>
      </c>
      <c r="Y21" s="42" t="b">
        <v>1</v>
      </c>
      <c r="Z21" s="32" t="b">
        <v>1</v>
      </c>
      <c r="AA21" s="32" t="b">
        <v>1</v>
      </c>
      <c r="AB21" s="48" t="b">
        <v>1</v>
      </c>
      <c r="AC21" s="48" t="b">
        <v>1</v>
      </c>
      <c r="AD21" s="32" t="s">
        <v>38</v>
      </c>
      <c r="AE21" s="32" t="b">
        <v>1</v>
      </c>
      <c r="AF21" s="32" t="s">
        <v>38</v>
      </c>
      <c r="AG21" s="32" t="b">
        <v>1</v>
      </c>
      <c r="AH21" s="43" t="b">
        <v>1</v>
      </c>
      <c r="AI21" s="43" t="b">
        <v>1</v>
      </c>
      <c r="AJ21" s="46"/>
      <c r="AK21" s="40"/>
      <c r="AL21" s="47"/>
      <c r="AM21" s="45" t="b">
        <v>1</v>
      </c>
      <c r="AN21" s="35"/>
    </row>
    <row r="22" spans="2:40" s="36" customFormat="1" ht="25.15" customHeight="1" x14ac:dyDescent="0.25">
      <c r="B22" s="37"/>
      <c r="C22" s="38">
        <v>45793</v>
      </c>
      <c r="D22" s="23">
        <f>IFERROR(WORKDAY(C22,ROUNDDOWN(Q22/8,0),Feriados!$A$2:$A$937),"-")</f>
        <v>45796</v>
      </c>
      <c r="E22" s="23" t="str">
        <f>IFERROR(WORKDAY(C22,ROUNDUP(L22/V22,0),Feriados!$A$2:$A$937),"-")</f>
        <v>-</v>
      </c>
      <c r="F22" s="24" t="s">
        <v>376</v>
      </c>
      <c r="G22" s="24" t="s">
        <v>39</v>
      </c>
      <c r="H22" s="24"/>
      <c r="I22" s="24" t="s">
        <v>378</v>
      </c>
      <c r="J22" s="24"/>
      <c r="K22" s="24"/>
      <c r="L22" s="39">
        <v>15000</v>
      </c>
      <c r="M22" s="26">
        <v>1</v>
      </c>
      <c r="N22" s="39">
        <v>8000</v>
      </c>
      <c r="O22" s="27">
        <f t="shared" si="6"/>
        <v>1000</v>
      </c>
      <c r="P22" s="39">
        <v>6</v>
      </c>
      <c r="Q22" s="28">
        <f t="shared" si="7"/>
        <v>15</v>
      </c>
      <c r="R22" s="28" t="str">
        <f t="shared" si="8"/>
        <v>1D e 7h</v>
      </c>
      <c r="S22" s="40">
        <v>1</v>
      </c>
      <c r="T22" s="27" t="e">
        <f>SUMIFS(#REF!,#REF!,$F22,#REF!,I22)</f>
        <v>#REF!</v>
      </c>
      <c r="U22" s="27" t="e">
        <f>COUNTIFS(#REF!,$F22,#REF!,I22)</f>
        <v>#REF!</v>
      </c>
      <c r="V22" s="27" t="str">
        <f t="shared" si="9"/>
        <v>-</v>
      </c>
      <c r="W22" s="27" t="str">
        <f t="shared" si="10"/>
        <v>-</v>
      </c>
      <c r="X22" s="41" t="e" cm="1">
        <f t="array" ref="X22">_xlfn.IFS(L22&lt;=T22,"Concluído",T22=0,"Não Iniciado",AND(T22&gt;0,T22&lt;L22),"Em Produção")</f>
        <v>#REF!</v>
      </c>
      <c r="Y22" s="42" t="b">
        <v>1</v>
      </c>
      <c r="Z22" s="32" t="b">
        <v>1</v>
      </c>
      <c r="AA22" s="32" t="b">
        <v>1</v>
      </c>
      <c r="AB22" s="48" t="b">
        <v>1</v>
      </c>
      <c r="AC22" s="48" t="s">
        <v>38</v>
      </c>
      <c r="AD22" s="32" t="s">
        <v>38</v>
      </c>
      <c r="AE22" s="32" t="b">
        <v>1</v>
      </c>
      <c r="AF22" s="32" t="b">
        <v>1</v>
      </c>
      <c r="AG22" s="32" t="b">
        <v>1</v>
      </c>
      <c r="AH22" s="43" t="b">
        <v>1</v>
      </c>
      <c r="AI22" s="43" t="b">
        <v>1</v>
      </c>
      <c r="AJ22" s="46"/>
      <c r="AK22" s="40"/>
      <c r="AL22" s="47"/>
      <c r="AM22" s="45" t="b">
        <v>1</v>
      </c>
      <c r="AN22" s="35"/>
    </row>
    <row r="23" spans="2:40" s="36" customFormat="1" ht="25.15" customHeight="1" x14ac:dyDescent="0.25">
      <c r="B23" s="37"/>
      <c r="C23" s="38">
        <v>45797</v>
      </c>
      <c r="D23" s="23">
        <f>IFERROR(WORKDAY(C23,ROUNDDOWN(Q23/8,0),Feriados!$A$2:$A$937),"-")</f>
        <v>45798</v>
      </c>
      <c r="E23" s="23" t="str">
        <f>IFERROR(WORKDAY(C23,ROUNDUP(L23/V23,0),Feriados!$A$2:$A$937),"-")</f>
        <v>-</v>
      </c>
      <c r="F23" s="24" t="s">
        <v>376</v>
      </c>
      <c r="G23" s="24" t="s">
        <v>39</v>
      </c>
      <c r="H23" s="24"/>
      <c r="I23" s="24" t="s">
        <v>379</v>
      </c>
      <c r="J23" s="24"/>
      <c r="K23" s="24"/>
      <c r="L23" s="39">
        <v>10000</v>
      </c>
      <c r="M23" s="26">
        <v>1</v>
      </c>
      <c r="N23" s="39">
        <v>8000</v>
      </c>
      <c r="O23" s="27">
        <f t="shared" si="6"/>
        <v>1000</v>
      </c>
      <c r="P23" s="39">
        <v>6</v>
      </c>
      <c r="Q23" s="28">
        <f t="shared" si="7"/>
        <v>10</v>
      </c>
      <c r="R23" s="28" t="str">
        <f t="shared" si="8"/>
        <v>1D e 2h</v>
      </c>
      <c r="S23" s="40">
        <v>1</v>
      </c>
      <c r="T23" s="27" t="e">
        <f>SUMIFS(#REF!,#REF!,$F23,#REF!,I23)</f>
        <v>#REF!</v>
      </c>
      <c r="U23" s="27" t="e">
        <f>COUNTIFS(#REF!,$F23,#REF!,I23)</f>
        <v>#REF!</v>
      </c>
      <c r="V23" s="27" t="str">
        <f t="shared" si="9"/>
        <v>-</v>
      </c>
      <c r="W23" s="27" t="str">
        <f t="shared" si="10"/>
        <v>-</v>
      </c>
      <c r="X23" s="41" t="e" cm="1">
        <f t="array" ref="X23">_xlfn.IFS(L23&lt;=T23,"Concluído",T23=0,"Não Iniciado",AND(T23&gt;0,T23&lt;L23),"Em Produção")</f>
        <v>#REF!</v>
      </c>
      <c r="Y23" s="42" t="b">
        <v>1</v>
      </c>
      <c r="Z23" s="32" t="b">
        <v>1</v>
      </c>
      <c r="AA23" s="32" t="b">
        <v>1</v>
      </c>
      <c r="AB23" s="48" t="b">
        <v>1</v>
      </c>
      <c r="AC23" s="48" t="s">
        <v>38</v>
      </c>
      <c r="AD23" s="32" t="s">
        <v>38</v>
      </c>
      <c r="AE23" s="32" t="b">
        <v>1</v>
      </c>
      <c r="AF23" s="32" t="b">
        <v>1</v>
      </c>
      <c r="AG23" s="32" t="b">
        <v>1</v>
      </c>
      <c r="AH23" s="43" t="b">
        <v>1</v>
      </c>
      <c r="AI23" s="43" t="b">
        <v>1</v>
      </c>
      <c r="AJ23" s="46"/>
      <c r="AK23" s="40"/>
      <c r="AL23" s="47"/>
      <c r="AM23" s="45" t="b">
        <v>1</v>
      </c>
      <c r="AN23" s="35"/>
    </row>
    <row r="24" spans="2:40" s="36" customFormat="1" ht="25.15" customHeight="1" x14ac:dyDescent="0.25">
      <c r="B24" s="37"/>
      <c r="C24" s="38">
        <v>45786</v>
      </c>
      <c r="D24" s="23">
        <f>IFERROR(WORKDAY(C24,ROUNDDOWN(Q24/8,0),Feriados!$A$2:$A$937),"-")</f>
        <v>45792</v>
      </c>
      <c r="E24" s="23" t="str">
        <f>IFERROR(WORKDAY(C24,ROUNDUP(L24/V24,0),Feriados!$A$2:$A$937),"-")</f>
        <v>-</v>
      </c>
      <c r="F24" s="24" t="s">
        <v>380</v>
      </c>
      <c r="G24" s="24" t="s">
        <v>39</v>
      </c>
      <c r="H24" s="24"/>
      <c r="I24" s="24" t="s">
        <v>381</v>
      </c>
      <c r="J24" s="24"/>
      <c r="K24" s="24"/>
      <c r="L24" s="39">
        <f>(500*(S24-1))+1500</f>
        <v>6500</v>
      </c>
      <c r="M24" s="26">
        <v>2</v>
      </c>
      <c r="N24" s="39">
        <v>1500</v>
      </c>
      <c r="O24" s="27">
        <f t="shared" si="6"/>
        <v>187.5</v>
      </c>
      <c r="P24" s="39">
        <v>5</v>
      </c>
      <c r="Q24" s="28">
        <f t="shared" si="7"/>
        <v>34.700000000000003</v>
      </c>
      <c r="R24" s="28" t="str">
        <f t="shared" si="8"/>
        <v>4D e 3h</v>
      </c>
      <c r="S24" s="40">
        <v>11</v>
      </c>
      <c r="T24" s="27" t="e">
        <f>SUMIFS(#REF!,#REF!,$F24,#REF!,I24)</f>
        <v>#REF!</v>
      </c>
      <c r="U24" s="27" t="e">
        <f>COUNTIFS(#REF!,$F24,#REF!,I24)</f>
        <v>#REF!</v>
      </c>
      <c r="V24" s="27" t="str">
        <f t="shared" si="9"/>
        <v>-</v>
      </c>
      <c r="W24" s="27" t="str">
        <f t="shared" si="10"/>
        <v>-</v>
      </c>
      <c r="X24" s="41" t="e" cm="1">
        <f t="array" ref="X24">_xlfn.IFS(L24&lt;=T24,"Concluído",T24=0,"Não Iniciado",AND(T24&gt;0,T24&lt;L24),"Em Produção")</f>
        <v>#REF!</v>
      </c>
      <c r="Y24" s="42" t="b">
        <v>1</v>
      </c>
      <c r="Z24" s="32" t="b">
        <v>1</v>
      </c>
      <c r="AA24" s="32" t="b">
        <v>1</v>
      </c>
      <c r="AB24" s="48" t="b">
        <v>1</v>
      </c>
      <c r="AC24" s="48" t="b">
        <v>1</v>
      </c>
      <c r="AD24" s="32" t="b">
        <v>1</v>
      </c>
      <c r="AE24" s="32" t="b">
        <v>1</v>
      </c>
      <c r="AF24" s="32" t="b">
        <v>1</v>
      </c>
      <c r="AG24" s="32" t="b">
        <v>1</v>
      </c>
      <c r="AH24" s="43" t="b">
        <v>1</v>
      </c>
      <c r="AI24" s="43" t="b">
        <v>1</v>
      </c>
      <c r="AJ24" s="44"/>
      <c r="AK24" s="44"/>
      <c r="AL24" s="44"/>
      <c r="AM24" s="45" t="b">
        <v>1</v>
      </c>
      <c r="AN24" s="35"/>
    </row>
    <row r="25" spans="2:40" s="36" customFormat="1" ht="25.15" customHeight="1" x14ac:dyDescent="0.25">
      <c r="B25" s="37"/>
      <c r="C25" s="38">
        <v>45782</v>
      </c>
      <c r="D25" s="23">
        <f>IFERROR(WORKDAY(C25,ROUNDDOWN(Q25/8,0),Feriados!$A$2:$A$937),"-")</f>
        <v>45785</v>
      </c>
      <c r="E25" s="23" t="str">
        <f>IFERROR(WORKDAY(C25,ROUNDUP(L25/V25,0),Feriados!$A$2:$A$937),"-")</f>
        <v>-</v>
      </c>
      <c r="F25" s="24" t="s">
        <v>380</v>
      </c>
      <c r="G25" s="24" t="s">
        <v>39</v>
      </c>
      <c r="H25" s="24"/>
      <c r="I25" s="24" t="s">
        <v>382</v>
      </c>
      <c r="J25" s="24"/>
      <c r="K25" s="24"/>
      <c r="L25" s="39">
        <f>500*S25</f>
        <v>5500</v>
      </c>
      <c r="M25" s="26">
        <v>2</v>
      </c>
      <c r="N25" s="39">
        <v>1500</v>
      </c>
      <c r="O25" s="27">
        <f t="shared" si="6"/>
        <v>187.5</v>
      </c>
      <c r="P25" s="39">
        <v>5</v>
      </c>
      <c r="Q25" s="28">
        <f t="shared" si="7"/>
        <v>29.400000000000002</v>
      </c>
      <c r="R25" s="28" t="str">
        <f t="shared" si="8"/>
        <v>3D e 6h</v>
      </c>
      <c r="S25" s="40">
        <v>11</v>
      </c>
      <c r="T25" s="27" t="e">
        <f>SUMIFS(#REF!,#REF!,$F25,#REF!,I25)</f>
        <v>#REF!</v>
      </c>
      <c r="U25" s="27" t="e">
        <f>COUNTIFS(#REF!,$F25,#REF!,I25)</f>
        <v>#REF!</v>
      </c>
      <c r="V25" s="27" t="str">
        <f t="shared" si="9"/>
        <v>-</v>
      </c>
      <c r="W25" s="27" t="str">
        <f t="shared" si="10"/>
        <v>-</v>
      </c>
      <c r="X25" s="41" t="e" cm="1">
        <f t="array" ref="X25">_xlfn.IFS(L25&lt;=T25,"Concluído",T25=0,"Não Iniciado",AND(T25&gt;0,T25&lt;L25),"Em Produção")</f>
        <v>#REF!</v>
      </c>
      <c r="Y25" s="42" t="b">
        <v>1</v>
      </c>
      <c r="Z25" s="42" t="b">
        <v>1</v>
      </c>
      <c r="AA25" s="42" t="b">
        <v>1</v>
      </c>
      <c r="AB25" s="42" t="b">
        <v>1</v>
      </c>
      <c r="AC25" s="42" t="b">
        <v>1</v>
      </c>
      <c r="AD25" s="42" t="b">
        <v>1</v>
      </c>
      <c r="AE25" s="42" t="b">
        <v>1</v>
      </c>
      <c r="AF25" s="42" t="b">
        <v>1</v>
      </c>
      <c r="AG25" s="42" t="b">
        <v>1</v>
      </c>
      <c r="AH25" s="42" t="b">
        <v>1</v>
      </c>
      <c r="AI25" s="42" t="b">
        <v>1</v>
      </c>
      <c r="AJ25" s="44"/>
      <c r="AK25" s="44"/>
      <c r="AL25" s="44"/>
      <c r="AM25" s="45" t="b">
        <v>1</v>
      </c>
      <c r="AN25" s="35"/>
    </row>
    <row r="26" spans="2:40" s="36" customFormat="1" ht="25.15" customHeight="1" x14ac:dyDescent="0.25">
      <c r="B26" s="37"/>
      <c r="C26" s="38"/>
      <c r="D26" s="23">
        <f>IFERROR(WORKDAY(C26,ROUNDDOWN(Q26/8,0),Feriados!$A$2:$A$937),"-")</f>
        <v>0</v>
      </c>
      <c r="E26" s="23" t="str">
        <f>IFERROR(WORKDAY(C26,ROUNDUP(L26/V26,0),Feriados!$A$2:$A$937),"-")</f>
        <v>-</v>
      </c>
      <c r="F26" s="24" t="s">
        <v>383</v>
      </c>
      <c r="G26" s="24" t="s">
        <v>39</v>
      </c>
      <c r="H26" s="24"/>
      <c r="I26" s="24" t="s">
        <v>384</v>
      </c>
      <c r="J26" s="24">
        <v>1000</v>
      </c>
      <c r="K26" s="24" t="s">
        <v>67</v>
      </c>
      <c r="L26" s="39">
        <v>1000</v>
      </c>
      <c r="M26" s="26"/>
      <c r="N26" s="39">
        <v>4000</v>
      </c>
      <c r="O26" s="27">
        <f t="shared" si="6"/>
        <v>500</v>
      </c>
      <c r="P26" s="39">
        <v>4</v>
      </c>
      <c r="Q26" s="28">
        <f t="shared" si="7"/>
        <v>2</v>
      </c>
      <c r="R26" s="28" t="str">
        <f t="shared" si="8"/>
        <v>0D e 2h</v>
      </c>
      <c r="S26" s="40">
        <v>1</v>
      </c>
      <c r="T26" s="27" t="e">
        <f>SUMIFS(#REF!,#REF!,$F26,#REF!,I26)</f>
        <v>#REF!</v>
      </c>
      <c r="U26" s="27" t="e">
        <f>COUNTIFS(#REF!,$F26,#REF!,I26)</f>
        <v>#REF!</v>
      </c>
      <c r="V26" s="27" t="str">
        <f t="shared" si="9"/>
        <v>-</v>
      </c>
      <c r="W26" s="27" t="str">
        <f t="shared" si="10"/>
        <v>-</v>
      </c>
      <c r="X26" s="41" t="e" cm="1">
        <f t="array" ref="X26">_xlfn.IFS(L26&lt;=T26,"Concluído",T26=0,"Não Iniciado",AND(T26&gt;0,T26&lt;L26),"Em Produção")</f>
        <v>#REF!</v>
      </c>
      <c r="Y26" s="42" t="b">
        <v>1</v>
      </c>
      <c r="Z26" s="42" t="b">
        <v>1</v>
      </c>
      <c r="AA26" s="42" t="b">
        <v>1</v>
      </c>
      <c r="AB26" s="42" t="b">
        <v>1</v>
      </c>
      <c r="AC26" s="42" t="b">
        <v>1</v>
      </c>
      <c r="AD26" s="42" t="s">
        <v>38</v>
      </c>
      <c r="AE26" s="50" t="s">
        <v>38</v>
      </c>
      <c r="AF26" s="50" t="s">
        <v>38</v>
      </c>
      <c r="AG26" s="42" t="b">
        <v>1</v>
      </c>
      <c r="AH26" s="42" t="s">
        <v>38</v>
      </c>
      <c r="AI26" s="42" t="b">
        <v>1</v>
      </c>
      <c r="AJ26" s="46">
        <v>45807</v>
      </c>
      <c r="AK26" s="40">
        <v>2</v>
      </c>
      <c r="AL26" s="47">
        <f>WORKDAY(AJ26,AK26,Feriados!$A$2:$A$937)</f>
        <v>45811</v>
      </c>
      <c r="AM26" s="45" t="b">
        <v>1</v>
      </c>
      <c r="AN26" s="35"/>
    </row>
    <row r="27" spans="2:40" s="36" customFormat="1" ht="25.15" customHeight="1" x14ac:dyDescent="0.25">
      <c r="B27" s="37"/>
      <c r="C27" s="38"/>
      <c r="D27" s="23">
        <f>IFERROR(WORKDAY(C27,ROUNDDOWN(Q27/8,0),Feriados!$A$2:$A$937),"-")</f>
        <v>0</v>
      </c>
      <c r="E27" s="23" t="str">
        <f>IFERROR(WORKDAY(C27,ROUNDUP(L27/V27,0),Feriados!$A$2:$A$937),"-")</f>
        <v>-</v>
      </c>
      <c r="F27" s="24" t="s">
        <v>383</v>
      </c>
      <c r="G27" s="24" t="s">
        <v>39</v>
      </c>
      <c r="H27" s="24"/>
      <c r="I27" s="24" t="s">
        <v>375</v>
      </c>
      <c r="J27" s="24">
        <v>500</v>
      </c>
      <c r="K27" s="24" t="s">
        <v>67</v>
      </c>
      <c r="L27" s="39">
        <v>1000</v>
      </c>
      <c r="M27" s="26"/>
      <c r="N27" s="39">
        <v>4000</v>
      </c>
      <c r="O27" s="27">
        <f t="shared" si="6"/>
        <v>500</v>
      </c>
      <c r="P27" s="39">
        <v>4</v>
      </c>
      <c r="Q27" s="28">
        <f t="shared" si="7"/>
        <v>2</v>
      </c>
      <c r="R27" s="28" t="str">
        <f t="shared" si="8"/>
        <v>0D e 2h</v>
      </c>
      <c r="S27" s="40">
        <v>1</v>
      </c>
      <c r="T27" s="27" t="e">
        <f>SUMIFS(#REF!,#REF!,$F27,#REF!,I27)</f>
        <v>#REF!</v>
      </c>
      <c r="U27" s="27" t="e">
        <f>COUNTIFS(#REF!,$F27,#REF!,I27)</f>
        <v>#REF!</v>
      </c>
      <c r="V27" s="27" t="str">
        <f t="shared" si="9"/>
        <v>-</v>
      </c>
      <c r="W27" s="27" t="str">
        <f t="shared" si="10"/>
        <v>-</v>
      </c>
      <c r="X27" s="41" t="e" cm="1">
        <f t="array" ref="X27">_xlfn.IFS(L27&lt;=T27,"Concluído",T27=0,"Não Iniciado",AND(T27&gt;0,T27&lt;L27),"Em Produção")</f>
        <v>#REF!</v>
      </c>
      <c r="Y27" s="42" t="b">
        <v>1</v>
      </c>
      <c r="Z27" s="42" t="b">
        <v>1</v>
      </c>
      <c r="AA27" s="42" t="b">
        <v>1</v>
      </c>
      <c r="AB27" s="42" t="b">
        <v>1</v>
      </c>
      <c r="AC27" s="42" t="b">
        <v>1</v>
      </c>
      <c r="AD27" s="42" t="s">
        <v>38</v>
      </c>
      <c r="AE27" s="50" t="s">
        <v>38</v>
      </c>
      <c r="AF27" s="50" t="s">
        <v>38</v>
      </c>
      <c r="AG27" s="42" t="b">
        <v>1</v>
      </c>
      <c r="AH27" s="42" t="s">
        <v>38</v>
      </c>
      <c r="AI27" s="42" t="b">
        <v>1</v>
      </c>
      <c r="AJ27" s="46">
        <v>45807</v>
      </c>
      <c r="AK27" s="40">
        <v>2</v>
      </c>
      <c r="AL27" s="47">
        <f>WORKDAY(AJ27,AK27,Feriados!$A$2:$A$937)</f>
        <v>45811</v>
      </c>
      <c r="AM27" s="45" t="b">
        <v>1</v>
      </c>
      <c r="AN27" s="35"/>
    </row>
    <row r="28" spans="2:40" s="36" customFormat="1" ht="25.15" customHeight="1" x14ac:dyDescent="0.25">
      <c r="B28" s="37"/>
      <c r="C28" s="38"/>
      <c r="D28" s="23">
        <f>IFERROR(WORKDAY(C28,ROUNDDOWN(Q28/8,0),Feriados!$A$2:$A$937),"-")</f>
        <v>0</v>
      </c>
      <c r="E28" s="23" t="str">
        <f>IFERROR(WORKDAY(C28,ROUNDUP(L28/V28,0),Feriados!$A$2:$A$937),"-")</f>
        <v>-</v>
      </c>
      <c r="F28" s="24" t="s">
        <v>383</v>
      </c>
      <c r="G28" s="24" t="s">
        <v>39</v>
      </c>
      <c r="H28" s="24"/>
      <c r="I28" s="24" t="s">
        <v>375</v>
      </c>
      <c r="J28" s="24">
        <v>1000</v>
      </c>
      <c r="K28" s="24" t="s">
        <v>67</v>
      </c>
      <c r="L28" s="39">
        <v>1000</v>
      </c>
      <c r="M28" s="26"/>
      <c r="N28" s="39">
        <v>4000</v>
      </c>
      <c r="O28" s="27">
        <f t="shared" si="6"/>
        <v>500</v>
      </c>
      <c r="P28" s="39">
        <v>4</v>
      </c>
      <c r="Q28" s="28">
        <f t="shared" si="7"/>
        <v>2</v>
      </c>
      <c r="R28" s="28" t="str">
        <f t="shared" si="8"/>
        <v>0D e 2h</v>
      </c>
      <c r="S28" s="40">
        <v>1</v>
      </c>
      <c r="T28" s="27" t="e">
        <f>SUMIFS(#REF!,#REF!,$F28,#REF!,I28)</f>
        <v>#REF!</v>
      </c>
      <c r="U28" s="27" t="e">
        <f>COUNTIFS(#REF!,$F28,#REF!,I28)</f>
        <v>#REF!</v>
      </c>
      <c r="V28" s="27" t="str">
        <f t="shared" si="9"/>
        <v>-</v>
      </c>
      <c r="W28" s="27" t="str">
        <f t="shared" si="10"/>
        <v>-</v>
      </c>
      <c r="X28" s="41" t="e" cm="1">
        <f t="array" ref="X28">_xlfn.IFS(L28&lt;=T28,"Concluído",T28=0,"Não Iniciado",AND(T28&gt;0,T28&lt;L28),"Em Produção")</f>
        <v>#REF!</v>
      </c>
      <c r="Y28" s="42" t="b">
        <v>1</v>
      </c>
      <c r="Z28" s="42" t="b">
        <v>1</v>
      </c>
      <c r="AA28" s="42" t="b">
        <v>1</v>
      </c>
      <c r="AB28" s="42" t="b">
        <v>1</v>
      </c>
      <c r="AC28" s="42" t="b">
        <v>1</v>
      </c>
      <c r="AD28" s="42" t="s">
        <v>38</v>
      </c>
      <c r="AE28" s="50" t="s">
        <v>38</v>
      </c>
      <c r="AF28" s="50" t="s">
        <v>38</v>
      </c>
      <c r="AG28" s="42" t="b">
        <v>1</v>
      </c>
      <c r="AH28" s="42" t="s">
        <v>38</v>
      </c>
      <c r="AI28" s="42" t="b">
        <v>1</v>
      </c>
      <c r="AJ28" s="46">
        <v>45807</v>
      </c>
      <c r="AK28" s="40">
        <v>2</v>
      </c>
      <c r="AL28" s="47">
        <f>WORKDAY(AJ28,AK28,Feriados!$A$2:$A$937)</f>
        <v>45811</v>
      </c>
      <c r="AM28" s="45" t="b">
        <v>1</v>
      </c>
      <c r="AN28" s="35"/>
    </row>
    <row r="29" spans="2:40" s="36" customFormat="1" ht="25.15" customHeight="1" x14ac:dyDescent="0.25">
      <c r="B29" s="37"/>
      <c r="C29" s="38">
        <v>45785</v>
      </c>
      <c r="D29" s="23">
        <f>IFERROR(WORKDAY(C29,ROUNDDOWN(Q29/8,0),Feriados!$A$2:$A$937),"-")</f>
        <v>45786</v>
      </c>
      <c r="E29" s="23" t="str">
        <f>IFERROR(WORKDAY(C29,ROUNDUP(L29/V29,0),Feriados!$A$2:$A$937),"-")</f>
        <v>-</v>
      </c>
      <c r="F29" s="24" t="s">
        <v>385</v>
      </c>
      <c r="G29" s="24" t="s">
        <v>39</v>
      </c>
      <c r="H29" s="24"/>
      <c r="I29" s="24" t="s">
        <v>386</v>
      </c>
      <c r="J29" s="24"/>
      <c r="K29" s="24"/>
      <c r="L29" s="39">
        <f>6000</f>
        <v>6000</v>
      </c>
      <c r="M29" s="26">
        <v>1</v>
      </c>
      <c r="N29" s="39">
        <v>5000</v>
      </c>
      <c r="O29" s="27">
        <f t="shared" si="6"/>
        <v>625</v>
      </c>
      <c r="P29" s="39">
        <v>5</v>
      </c>
      <c r="Q29" s="28">
        <f t="shared" si="7"/>
        <v>9.6</v>
      </c>
      <c r="R29" s="28" t="str">
        <f t="shared" si="8"/>
        <v>1D e 2h</v>
      </c>
      <c r="S29" s="40">
        <v>1</v>
      </c>
      <c r="T29" s="27" t="e">
        <f>SUMIFS(#REF!,#REF!,$F29,#REF!,I29)</f>
        <v>#REF!</v>
      </c>
      <c r="U29" s="27" t="e">
        <f>COUNTIFS(#REF!,$F29,#REF!,I29)</f>
        <v>#REF!</v>
      </c>
      <c r="V29" s="27" t="str">
        <f t="shared" si="9"/>
        <v>-</v>
      </c>
      <c r="W29" s="27" t="str">
        <f t="shared" si="10"/>
        <v>-</v>
      </c>
      <c r="X29" s="41" t="e" cm="1">
        <f t="array" ref="X29">_xlfn.IFS(L29&lt;=T29,"Concluído",T29=0,"Não Iniciado",AND(T29&gt;0,T29&lt;L29),"Em Produção")</f>
        <v>#REF!</v>
      </c>
      <c r="Y29" s="42" t="b">
        <v>1</v>
      </c>
      <c r="Z29" s="42" t="b">
        <v>1</v>
      </c>
      <c r="AA29" s="42" t="b">
        <v>1</v>
      </c>
      <c r="AB29" s="42" t="b">
        <v>1</v>
      </c>
      <c r="AC29" s="42" t="b">
        <v>1</v>
      </c>
      <c r="AD29" s="42" t="s">
        <v>38</v>
      </c>
      <c r="AE29" s="42" t="s">
        <v>38</v>
      </c>
      <c r="AF29" s="42" t="s">
        <v>38</v>
      </c>
      <c r="AG29" s="42" t="b">
        <v>1</v>
      </c>
      <c r="AH29" s="42" t="b">
        <v>1</v>
      </c>
      <c r="AI29" s="42" t="b">
        <v>1</v>
      </c>
      <c r="AJ29" s="44"/>
      <c r="AK29" s="44"/>
      <c r="AL29" s="44"/>
      <c r="AM29" s="45" t="b">
        <v>1</v>
      </c>
      <c r="AN29" s="35"/>
    </row>
    <row r="30" spans="2:40" s="36" customFormat="1" ht="25.15" customHeight="1" x14ac:dyDescent="0.25">
      <c r="B30" s="37"/>
      <c r="C30" s="38">
        <v>45785</v>
      </c>
      <c r="D30" s="23">
        <f>IFERROR(WORKDAY(C30,ROUNDDOWN(Q30/8,0),Feriados!$A$2:$A$937),"-")</f>
        <v>45786</v>
      </c>
      <c r="E30" s="23" t="str">
        <f>IFERROR(WORKDAY(C30,ROUNDUP(L30/V30,0),Feriados!$A$2:$A$937),"-")</f>
        <v>-</v>
      </c>
      <c r="F30" s="24" t="s">
        <v>385</v>
      </c>
      <c r="G30" s="24" t="s">
        <v>39</v>
      </c>
      <c r="H30" s="24"/>
      <c r="I30" s="24" t="s">
        <v>387</v>
      </c>
      <c r="J30" s="24"/>
      <c r="K30" s="24"/>
      <c r="L30" s="39">
        <f>6000</f>
        <v>6000</v>
      </c>
      <c r="M30" s="26">
        <v>1</v>
      </c>
      <c r="N30" s="39">
        <v>5000</v>
      </c>
      <c r="O30" s="27">
        <f t="shared" si="6"/>
        <v>625</v>
      </c>
      <c r="P30" s="39">
        <v>5</v>
      </c>
      <c r="Q30" s="28">
        <f t="shared" si="7"/>
        <v>9.6</v>
      </c>
      <c r="R30" s="28" t="str">
        <f t="shared" si="8"/>
        <v>1D e 2h</v>
      </c>
      <c r="S30" s="40">
        <v>1</v>
      </c>
      <c r="T30" s="27" t="e">
        <f>SUMIFS(#REF!,#REF!,$F30,#REF!,I30)</f>
        <v>#REF!</v>
      </c>
      <c r="U30" s="27" t="e">
        <f>COUNTIFS(#REF!,$F30,#REF!,I30)</f>
        <v>#REF!</v>
      </c>
      <c r="V30" s="27" t="str">
        <f t="shared" si="9"/>
        <v>-</v>
      </c>
      <c r="W30" s="27" t="str">
        <f t="shared" si="10"/>
        <v>-</v>
      </c>
      <c r="X30" s="41" t="e" cm="1">
        <f t="array" ref="X30">_xlfn.IFS(L30&lt;=T30,"Concluído",T30=0,"Não Iniciado",AND(T30&gt;0,T30&lt;L30),"Em Produção")</f>
        <v>#REF!</v>
      </c>
      <c r="Y30" s="42" t="b">
        <v>1</v>
      </c>
      <c r="Z30" s="42" t="b">
        <v>1</v>
      </c>
      <c r="AA30" s="42" t="b">
        <v>1</v>
      </c>
      <c r="AB30" s="42" t="b">
        <v>1</v>
      </c>
      <c r="AC30" s="42" t="b">
        <v>1</v>
      </c>
      <c r="AD30" s="42" t="s">
        <v>38</v>
      </c>
      <c r="AE30" s="42" t="s">
        <v>38</v>
      </c>
      <c r="AF30" s="42" t="s">
        <v>38</v>
      </c>
      <c r="AG30" s="42" t="b">
        <v>1</v>
      </c>
      <c r="AH30" s="42" t="b">
        <v>1</v>
      </c>
      <c r="AI30" s="42" t="b">
        <v>1</v>
      </c>
      <c r="AJ30" s="44"/>
      <c r="AK30" s="44"/>
      <c r="AL30" s="44"/>
      <c r="AM30" s="45" t="b">
        <v>1</v>
      </c>
      <c r="AN30" s="35"/>
    </row>
    <row r="31" spans="2:40" s="36" customFormat="1" ht="25.15" customHeight="1" x14ac:dyDescent="0.25">
      <c r="B31" s="37"/>
      <c r="C31" s="38">
        <v>45785</v>
      </c>
      <c r="D31" s="23">
        <f>IFERROR(WORKDAY(C31,ROUNDDOWN(Q31/8,0),Feriados!$A$2:$A$937),"-")</f>
        <v>45786</v>
      </c>
      <c r="E31" s="23" t="str">
        <f>IFERROR(WORKDAY(C31,ROUNDUP(L31/V31,0),Feriados!$A$2:$A$937),"-")</f>
        <v>-</v>
      </c>
      <c r="F31" s="24" t="s">
        <v>385</v>
      </c>
      <c r="G31" s="24" t="s">
        <v>39</v>
      </c>
      <c r="H31" s="24"/>
      <c r="I31" s="24" t="s">
        <v>388</v>
      </c>
      <c r="J31" s="24"/>
      <c r="K31" s="24"/>
      <c r="L31" s="39">
        <f>6000</f>
        <v>6000</v>
      </c>
      <c r="M31" s="26">
        <v>1</v>
      </c>
      <c r="N31" s="39">
        <v>5000</v>
      </c>
      <c r="O31" s="27">
        <f t="shared" si="6"/>
        <v>625</v>
      </c>
      <c r="P31" s="39">
        <v>5</v>
      </c>
      <c r="Q31" s="28">
        <f t="shared" si="7"/>
        <v>9.6</v>
      </c>
      <c r="R31" s="28" t="str">
        <f t="shared" si="8"/>
        <v>1D e 2h</v>
      </c>
      <c r="S31" s="40">
        <v>1</v>
      </c>
      <c r="T31" s="27" t="e">
        <f>SUMIFS(#REF!,#REF!,$F31,#REF!,I31)</f>
        <v>#REF!</v>
      </c>
      <c r="U31" s="27" t="e">
        <f>COUNTIFS(#REF!,$F31,#REF!,I31)</f>
        <v>#REF!</v>
      </c>
      <c r="V31" s="27" t="str">
        <f t="shared" si="9"/>
        <v>-</v>
      </c>
      <c r="W31" s="27" t="str">
        <f t="shared" si="10"/>
        <v>-</v>
      </c>
      <c r="X31" s="41" t="e" cm="1">
        <f t="array" ref="X31">_xlfn.IFS(L31&lt;=T31,"Concluído",T31=0,"Não Iniciado",AND(T31&gt;0,T31&lt;L31),"Em Produção")</f>
        <v>#REF!</v>
      </c>
      <c r="Y31" s="42" t="b">
        <v>1</v>
      </c>
      <c r="Z31" s="42" t="b">
        <v>1</v>
      </c>
      <c r="AA31" s="42" t="b">
        <v>1</v>
      </c>
      <c r="AB31" s="42" t="b">
        <v>1</v>
      </c>
      <c r="AC31" s="42" t="b">
        <v>1</v>
      </c>
      <c r="AD31" s="42" t="s">
        <v>38</v>
      </c>
      <c r="AE31" s="42" t="s">
        <v>38</v>
      </c>
      <c r="AF31" s="42" t="s">
        <v>38</v>
      </c>
      <c r="AG31" s="42" t="b">
        <v>1</v>
      </c>
      <c r="AH31" s="42" t="b">
        <v>1</v>
      </c>
      <c r="AI31" s="42" t="b">
        <v>1</v>
      </c>
      <c r="AJ31" s="44"/>
      <c r="AK31" s="44"/>
      <c r="AL31" s="44"/>
      <c r="AM31" s="45" t="b">
        <v>1</v>
      </c>
      <c r="AN31" s="35"/>
    </row>
    <row r="32" spans="2:40" s="36" customFormat="1" ht="25.15" customHeight="1" x14ac:dyDescent="0.25">
      <c r="B32" s="37"/>
      <c r="C32" s="38">
        <v>45789</v>
      </c>
      <c r="D32" s="23">
        <f>IFERROR(WORKDAY(C32,ROUNDDOWN(Q32/8,0),Feriados!$A$2:$A$937),"-")</f>
        <v>45790</v>
      </c>
      <c r="E32" s="23" t="str">
        <f>IFERROR(WORKDAY(C32,ROUNDUP(L32/V32,0),Feriados!$A$2:$A$937),"-")</f>
        <v>-</v>
      </c>
      <c r="F32" s="24" t="s">
        <v>385</v>
      </c>
      <c r="G32" s="24" t="s">
        <v>39</v>
      </c>
      <c r="H32" s="24"/>
      <c r="I32" s="24" t="s">
        <v>389</v>
      </c>
      <c r="J32" s="24"/>
      <c r="K32" s="24"/>
      <c r="L32" s="39">
        <f>6000</f>
        <v>6000</v>
      </c>
      <c r="M32" s="26">
        <v>1</v>
      </c>
      <c r="N32" s="39">
        <v>5000</v>
      </c>
      <c r="O32" s="27">
        <f t="shared" si="6"/>
        <v>625</v>
      </c>
      <c r="P32" s="39">
        <v>5</v>
      </c>
      <c r="Q32" s="28">
        <f t="shared" si="7"/>
        <v>9.6</v>
      </c>
      <c r="R32" s="28" t="str">
        <f t="shared" si="8"/>
        <v>1D e 2h</v>
      </c>
      <c r="S32" s="40">
        <v>1</v>
      </c>
      <c r="T32" s="27" t="e">
        <f>SUMIFS(#REF!,#REF!,$F32,#REF!,I32)</f>
        <v>#REF!</v>
      </c>
      <c r="U32" s="27" t="e">
        <f>COUNTIFS(#REF!,$F32,#REF!,I32)</f>
        <v>#REF!</v>
      </c>
      <c r="V32" s="27" t="str">
        <f t="shared" si="9"/>
        <v>-</v>
      </c>
      <c r="W32" s="27" t="str">
        <f t="shared" si="10"/>
        <v>-</v>
      </c>
      <c r="X32" s="41" t="e" cm="1">
        <f t="array" ref="X32">_xlfn.IFS(L32&lt;=T32,"Concluído",T32=0,"Não Iniciado",AND(T32&gt;0,T32&lt;L32),"Em Produção")</f>
        <v>#REF!</v>
      </c>
      <c r="Y32" s="42" t="b">
        <v>1</v>
      </c>
      <c r="Z32" s="42" t="b">
        <v>1</v>
      </c>
      <c r="AA32" s="42" t="b">
        <v>1</v>
      </c>
      <c r="AB32" s="42" t="b">
        <v>1</v>
      </c>
      <c r="AC32" s="42" t="b">
        <v>1</v>
      </c>
      <c r="AD32" s="42" t="s">
        <v>38</v>
      </c>
      <c r="AE32" s="42" t="s">
        <v>38</v>
      </c>
      <c r="AF32" s="42" t="s">
        <v>38</v>
      </c>
      <c r="AG32" s="42" t="b">
        <v>1</v>
      </c>
      <c r="AH32" s="42" t="b">
        <v>1</v>
      </c>
      <c r="AI32" s="42" t="b">
        <v>1</v>
      </c>
      <c r="AJ32" s="44"/>
      <c r="AK32" s="44"/>
      <c r="AL32" s="44"/>
      <c r="AM32" s="45" t="b">
        <v>1</v>
      </c>
      <c r="AN32" s="35"/>
    </row>
    <row r="33" spans="2:40" s="36" customFormat="1" ht="25.15" customHeight="1" x14ac:dyDescent="0.25">
      <c r="B33" s="37"/>
      <c r="C33" s="38">
        <v>45789</v>
      </c>
      <c r="D33" s="23">
        <f>IFERROR(WORKDAY(C33,ROUNDDOWN(Q33/8,0),Feriados!$A$2:$A$937),"-")</f>
        <v>45790</v>
      </c>
      <c r="E33" s="23" t="str">
        <f>IFERROR(WORKDAY(C33,ROUNDUP(L33/V33,0),Feriados!$A$2:$A$937),"-")</f>
        <v>-</v>
      </c>
      <c r="F33" s="24" t="s">
        <v>385</v>
      </c>
      <c r="G33" s="24" t="s">
        <v>39</v>
      </c>
      <c r="H33" s="24"/>
      <c r="I33" s="24" t="s">
        <v>390</v>
      </c>
      <c r="J33" s="24"/>
      <c r="K33" s="24"/>
      <c r="L33" s="39">
        <f>6000</f>
        <v>6000</v>
      </c>
      <c r="M33" s="26">
        <v>1</v>
      </c>
      <c r="N33" s="39">
        <v>5000</v>
      </c>
      <c r="O33" s="27">
        <f t="shared" si="6"/>
        <v>625</v>
      </c>
      <c r="P33" s="39">
        <v>5</v>
      </c>
      <c r="Q33" s="28">
        <f t="shared" si="7"/>
        <v>9.6</v>
      </c>
      <c r="R33" s="28" t="str">
        <f t="shared" si="8"/>
        <v>1D e 2h</v>
      </c>
      <c r="S33" s="40">
        <v>1</v>
      </c>
      <c r="T33" s="27" t="e">
        <f>SUMIFS(#REF!,#REF!,$F33,#REF!,I33)</f>
        <v>#REF!</v>
      </c>
      <c r="U33" s="27" t="e">
        <f>COUNTIFS(#REF!,$F33,#REF!,I33)</f>
        <v>#REF!</v>
      </c>
      <c r="V33" s="27" t="str">
        <f t="shared" si="9"/>
        <v>-</v>
      </c>
      <c r="W33" s="27" t="str">
        <f t="shared" si="10"/>
        <v>-</v>
      </c>
      <c r="X33" s="41" t="e" cm="1">
        <f t="array" ref="X33">_xlfn.IFS(L33&lt;=T33,"Concluído",T33=0,"Não Iniciado",AND(T33&gt;0,T33&lt;L33),"Em Produção")</f>
        <v>#REF!</v>
      </c>
      <c r="Y33" s="42" t="b">
        <v>1</v>
      </c>
      <c r="Z33" s="42" t="b">
        <v>1</v>
      </c>
      <c r="AA33" s="42" t="b">
        <v>1</v>
      </c>
      <c r="AB33" s="42" t="b">
        <v>1</v>
      </c>
      <c r="AC33" s="42" t="b">
        <v>1</v>
      </c>
      <c r="AD33" s="42" t="s">
        <v>38</v>
      </c>
      <c r="AE33" s="42" t="s">
        <v>38</v>
      </c>
      <c r="AF33" s="42" t="s">
        <v>38</v>
      </c>
      <c r="AG33" s="42" t="b">
        <v>1</v>
      </c>
      <c r="AH33" s="42" t="b">
        <v>1</v>
      </c>
      <c r="AI33" s="42" t="b">
        <v>1</v>
      </c>
      <c r="AJ33" s="44"/>
      <c r="AK33" s="44"/>
      <c r="AL33" s="44"/>
      <c r="AM33" s="45" t="b">
        <v>1</v>
      </c>
      <c r="AN33" s="35"/>
    </row>
    <row r="34" spans="2:40" s="36" customFormat="1" ht="25.15" customHeight="1" x14ac:dyDescent="0.25">
      <c r="B34" s="37"/>
      <c r="C34" s="38">
        <v>45790</v>
      </c>
      <c r="D34" s="23">
        <f>IFERROR(WORKDAY(C34,ROUNDDOWN(Q34/8,0),Feriados!$A$2:$A$937),"-")</f>
        <v>45791</v>
      </c>
      <c r="E34" s="23" t="str">
        <f>IFERROR(WORKDAY(C34,ROUNDUP(L34/V34,0),Feriados!$A$2:$A$937),"-")</f>
        <v>-</v>
      </c>
      <c r="F34" s="24" t="s">
        <v>385</v>
      </c>
      <c r="G34" s="24" t="s">
        <v>39</v>
      </c>
      <c r="H34" s="24"/>
      <c r="I34" s="24" t="s">
        <v>391</v>
      </c>
      <c r="J34" s="24"/>
      <c r="K34" s="24"/>
      <c r="L34" s="39">
        <f>6000</f>
        <v>6000</v>
      </c>
      <c r="M34" s="26">
        <v>1</v>
      </c>
      <c r="N34" s="39">
        <v>5000</v>
      </c>
      <c r="O34" s="27">
        <f t="shared" si="6"/>
        <v>625</v>
      </c>
      <c r="P34" s="39">
        <v>5</v>
      </c>
      <c r="Q34" s="28">
        <f t="shared" si="7"/>
        <v>9.6</v>
      </c>
      <c r="R34" s="28" t="str">
        <f t="shared" si="8"/>
        <v>1D e 2h</v>
      </c>
      <c r="S34" s="40">
        <v>1</v>
      </c>
      <c r="T34" s="27" t="e">
        <f>SUMIFS(#REF!,#REF!,$F34,#REF!,I34)</f>
        <v>#REF!</v>
      </c>
      <c r="U34" s="27" t="e">
        <f>COUNTIFS(#REF!,$F34,#REF!,I34)</f>
        <v>#REF!</v>
      </c>
      <c r="V34" s="27" t="str">
        <f t="shared" si="9"/>
        <v>-</v>
      </c>
      <c r="W34" s="27" t="str">
        <f t="shared" si="10"/>
        <v>-</v>
      </c>
      <c r="X34" s="41" t="e" cm="1">
        <f t="array" ref="X34">_xlfn.IFS(L34&lt;=T34,"Concluído",T34=0,"Não Iniciado",AND(T34&gt;0,T34&lt;L34),"Em Produção")</f>
        <v>#REF!</v>
      </c>
      <c r="Y34" s="42" t="b">
        <v>1</v>
      </c>
      <c r="Z34" s="42" t="b">
        <v>1</v>
      </c>
      <c r="AA34" s="42" t="b">
        <v>1</v>
      </c>
      <c r="AB34" s="42" t="b">
        <v>1</v>
      </c>
      <c r="AC34" s="42" t="b">
        <v>1</v>
      </c>
      <c r="AD34" s="42" t="s">
        <v>38</v>
      </c>
      <c r="AE34" s="42" t="s">
        <v>38</v>
      </c>
      <c r="AF34" s="42" t="s">
        <v>38</v>
      </c>
      <c r="AG34" s="42" t="b">
        <v>1</v>
      </c>
      <c r="AH34" s="42" t="b">
        <v>1</v>
      </c>
      <c r="AI34" s="42" t="b">
        <v>1</v>
      </c>
      <c r="AJ34" s="44"/>
      <c r="AK34" s="44"/>
      <c r="AL34" s="44"/>
      <c r="AM34" s="45" t="b">
        <v>1</v>
      </c>
      <c r="AN34" s="35"/>
    </row>
  </sheetData>
  <autoFilter ref="B4:AN34" xr:uid="{9D4C1B06-ABAD-4877-9352-8A6FA937B25B}"/>
  <conditionalFormatting sqref="I5:I34">
    <cfRule type="expression" dxfId="13" priority="1">
      <formula>$AM5=TRUE</formula>
    </cfRule>
  </conditionalFormatting>
  <conditionalFormatting sqref="P1:Q1 P3:Q3">
    <cfRule type="containsText" dxfId="12" priority="59" operator="containsText" text="OK">
      <formula>NOT(ISERROR(SEARCH("OK",P1)))</formula>
    </cfRule>
    <cfRule type="containsText" dxfId="11" priority="60" operator="containsText" text="SOBREPOSIÇÃO">
      <formula>NOT(ISERROR(SEARCH("SOBREPOSIÇÃO",P1)))</formula>
    </cfRule>
  </conditionalFormatting>
  <conditionalFormatting sqref="W5:W34">
    <cfRule type="cellIs" dxfId="10" priority="6" operator="lessThan">
      <formula>0</formula>
    </cfRule>
  </conditionalFormatting>
  <conditionalFormatting sqref="X1">
    <cfRule type="containsText" dxfId="9" priority="56" operator="containsText" text="Não Iniciado">
      <formula>NOT(ISERROR(SEARCH("Não Iniciado",X1)))</formula>
    </cfRule>
    <cfRule type="containsText" dxfId="8" priority="57" operator="containsText" text="Concluído">
      <formula>NOT(ISERROR(SEARCH("Concluído",X1)))</formula>
    </cfRule>
    <cfRule type="containsText" dxfId="7" priority="58" operator="containsText" text="Em Produção">
      <formula>NOT(ISERROR(SEARCH("Em Produção",X1)))</formula>
    </cfRule>
  </conditionalFormatting>
  <conditionalFormatting sqref="X3:X34">
    <cfRule type="containsText" dxfId="6" priority="7" operator="containsText" text="Não Iniciado">
      <formula>NOT(ISERROR(SEARCH("Não Iniciado",X3)))</formula>
    </cfRule>
    <cfRule type="containsText" dxfId="5" priority="8" operator="containsText" text="Concluído">
      <formula>NOT(ISERROR(SEARCH("Concluído",X3)))</formula>
    </cfRule>
    <cfRule type="containsText" dxfId="4" priority="9" operator="containsText" text="Em Produção">
      <formula>NOT(ISERROR(SEARCH("Em Produção",X3)))</formula>
    </cfRule>
  </conditionalFormatting>
  <conditionalFormatting sqref="Y5:AM34">
    <cfRule type="cellIs" dxfId="3" priority="2" operator="equal">
      <formula>"-"</formula>
    </cfRule>
    <cfRule type="cellIs" dxfId="2" priority="3" operator="equal">
      <formula>""</formula>
    </cfRule>
    <cfRule type="cellIs" dxfId="1" priority="4" operator="equal">
      <formula>FALSE</formula>
    </cfRule>
    <cfRule type="cellIs" dxfId="0" priority="5" operator="equal">
      <formula>TRUE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AB733-A66B-486A-BF3B-90C091CDA059}">
  <sheetPr codeName="Sheet5">
    <pageSetUpPr fitToPage="1"/>
  </sheetPr>
  <dimension ref="A1:C937"/>
  <sheetViews>
    <sheetView showGridLines="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12.85546875" style="2" bestFit="1" customWidth="1"/>
    <col min="2" max="2" width="13.28515625" style="2" bestFit="1" customWidth="1"/>
    <col min="3" max="3" width="35.28515625" style="2" bestFit="1" customWidth="1"/>
    <col min="4" max="4" width="79.28515625" style="1" customWidth="1"/>
    <col min="5" max="5" width="5.140625" style="1" customWidth="1"/>
    <col min="6" max="16384" width="9.140625" style="1"/>
  </cols>
  <sheetData>
    <row r="1" spans="1:3" ht="13.5" thickBot="1" x14ac:dyDescent="0.25">
      <c r="A1" s="83" t="s">
        <v>392</v>
      </c>
      <c r="B1" s="84" t="s">
        <v>393</v>
      </c>
      <c r="C1" s="85" t="s">
        <v>394</v>
      </c>
    </row>
    <row r="2" spans="1:3" ht="12.75" x14ac:dyDescent="0.2">
      <c r="A2" s="11">
        <v>36892</v>
      </c>
      <c r="B2" s="10" t="s">
        <v>395</v>
      </c>
      <c r="C2" s="9" t="s">
        <v>396</v>
      </c>
    </row>
    <row r="3" spans="1:3" ht="12.75" x14ac:dyDescent="0.2">
      <c r="A3" s="8">
        <v>36948</v>
      </c>
      <c r="B3" s="7" t="s">
        <v>395</v>
      </c>
      <c r="C3" s="6" t="s">
        <v>397</v>
      </c>
    </row>
    <row r="4" spans="1:3" ht="12.75" x14ac:dyDescent="0.2">
      <c r="A4" s="8">
        <v>36949</v>
      </c>
      <c r="B4" s="7" t="s">
        <v>398</v>
      </c>
      <c r="C4" s="6" t="s">
        <v>397</v>
      </c>
    </row>
    <row r="5" spans="1:3" ht="12.75" x14ac:dyDescent="0.2">
      <c r="A5" s="8">
        <v>36994</v>
      </c>
      <c r="B5" s="7" t="s">
        <v>399</v>
      </c>
      <c r="C5" s="6" t="s">
        <v>400</v>
      </c>
    </row>
    <row r="6" spans="1:3" ht="12.75" x14ac:dyDescent="0.2">
      <c r="A6" s="8">
        <v>37002</v>
      </c>
      <c r="B6" s="7" t="s">
        <v>401</v>
      </c>
      <c r="C6" s="6" t="s">
        <v>402</v>
      </c>
    </row>
    <row r="7" spans="1:3" ht="12.75" x14ac:dyDescent="0.2">
      <c r="A7" s="8">
        <v>37012</v>
      </c>
      <c r="B7" s="7" t="s">
        <v>398</v>
      </c>
      <c r="C7" s="6" t="s">
        <v>403</v>
      </c>
    </row>
    <row r="8" spans="1:3" ht="12.75" x14ac:dyDescent="0.2">
      <c r="A8" s="8">
        <v>37056</v>
      </c>
      <c r="B8" s="7" t="s">
        <v>404</v>
      </c>
      <c r="C8" s="6" t="s">
        <v>405</v>
      </c>
    </row>
    <row r="9" spans="1:3" ht="12.75" x14ac:dyDescent="0.2">
      <c r="A9" s="8">
        <v>37141</v>
      </c>
      <c r="B9" s="7" t="s">
        <v>399</v>
      </c>
      <c r="C9" s="6" t="s">
        <v>406</v>
      </c>
    </row>
    <row r="10" spans="1:3" ht="13.5" x14ac:dyDescent="0.2">
      <c r="A10" s="8">
        <v>37176</v>
      </c>
      <c r="B10" s="7" t="s">
        <v>399</v>
      </c>
      <c r="C10" s="6" t="s">
        <v>407</v>
      </c>
    </row>
    <row r="11" spans="1:3" ht="12.75" x14ac:dyDescent="0.2">
      <c r="A11" s="8">
        <v>37197</v>
      </c>
      <c r="B11" s="7" t="s">
        <v>399</v>
      </c>
      <c r="C11" s="6" t="s">
        <v>408</v>
      </c>
    </row>
    <row r="12" spans="1:3" ht="12.75" x14ac:dyDescent="0.2">
      <c r="A12" s="8">
        <v>37210</v>
      </c>
      <c r="B12" s="7" t="s">
        <v>404</v>
      </c>
      <c r="C12" s="6" t="s">
        <v>409</v>
      </c>
    </row>
    <row r="13" spans="1:3" ht="12.75" x14ac:dyDescent="0.2">
      <c r="A13" s="8">
        <v>37250</v>
      </c>
      <c r="B13" s="7" t="s">
        <v>398</v>
      </c>
      <c r="C13" s="6" t="s">
        <v>410</v>
      </c>
    </row>
    <row r="14" spans="1:3" ht="12.75" x14ac:dyDescent="0.2">
      <c r="A14" s="8">
        <v>37257</v>
      </c>
      <c r="B14" s="7" t="s">
        <v>398</v>
      </c>
      <c r="C14" s="6" t="s">
        <v>396</v>
      </c>
    </row>
    <row r="15" spans="1:3" ht="12.75" x14ac:dyDescent="0.2">
      <c r="A15" s="8">
        <v>37298</v>
      </c>
      <c r="B15" s="7" t="s">
        <v>395</v>
      </c>
      <c r="C15" s="6" t="s">
        <v>397</v>
      </c>
    </row>
    <row r="16" spans="1:3" ht="12.75" x14ac:dyDescent="0.2">
      <c r="A16" s="8">
        <v>37299</v>
      </c>
      <c r="B16" s="7" t="s">
        <v>398</v>
      </c>
      <c r="C16" s="6" t="s">
        <v>397</v>
      </c>
    </row>
    <row r="17" spans="1:3" ht="12.75" x14ac:dyDescent="0.2">
      <c r="A17" s="8">
        <v>37344</v>
      </c>
      <c r="B17" s="7" t="s">
        <v>399</v>
      </c>
      <c r="C17" s="6" t="s">
        <v>400</v>
      </c>
    </row>
    <row r="18" spans="1:3" ht="12.75" x14ac:dyDescent="0.2">
      <c r="A18" s="8">
        <v>37367</v>
      </c>
      <c r="B18" s="7" t="s">
        <v>411</v>
      </c>
      <c r="C18" s="6" t="s">
        <v>402</v>
      </c>
    </row>
    <row r="19" spans="1:3" ht="12.75" x14ac:dyDescent="0.2">
      <c r="A19" s="8">
        <v>37377</v>
      </c>
      <c r="B19" s="7" t="s">
        <v>412</v>
      </c>
      <c r="C19" s="6" t="s">
        <v>403</v>
      </c>
    </row>
    <row r="20" spans="1:3" ht="12.75" x14ac:dyDescent="0.2">
      <c r="A20" s="8">
        <v>37406</v>
      </c>
      <c r="B20" s="7" t="s">
        <v>404</v>
      </c>
      <c r="C20" s="6" t="s">
        <v>405</v>
      </c>
    </row>
    <row r="21" spans="1:3" ht="12.75" x14ac:dyDescent="0.2">
      <c r="A21" s="8">
        <v>37506</v>
      </c>
      <c r="B21" s="7" t="s">
        <v>401</v>
      </c>
      <c r="C21" s="6" t="s">
        <v>406</v>
      </c>
    </row>
    <row r="22" spans="1:3" ht="13.5" x14ac:dyDescent="0.2">
      <c r="A22" s="8">
        <v>37541</v>
      </c>
      <c r="B22" s="7" t="s">
        <v>401</v>
      </c>
      <c r="C22" s="6" t="s">
        <v>407</v>
      </c>
    </row>
    <row r="23" spans="1:3" ht="12.75" x14ac:dyDescent="0.2">
      <c r="A23" s="8">
        <v>37562</v>
      </c>
      <c r="B23" s="7" t="s">
        <v>401</v>
      </c>
      <c r="C23" s="6" t="s">
        <v>408</v>
      </c>
    </row>
    <row r="24" spans="1:3" ht="12.75" x14ac:dyDescent="0.2">
      <c r="A24" s="8">
        <v>37575</v>
      </c>
      <c r="B24" s="7" t="s">
        <v>399</v>
      </c>
      <c r="C24" s="6" t="s">
        <v>409</v>
      </c>
    </row>
    <row r="25" spans="1:3" ht="12.75" x14ac:dyDescent="0.2">
      <c r="A25" s="8">
        <v>37615</v>
      </c>
      <c r="B25" s="7" t="s">
        <v>412</v>
      </c>
      <c r="C25" s="6" t="s">
        <v>410</v>
      </c>
    </row>
    <row r="26" spans="1:3" ht="12.75" x14ac:dyDescent="0.2">
      <c r="A26" s="8">
        <v>37622</v>
      </c>
      <c r="B26" s="7" t="s">
        <v>412</v>
      </c>
      <c r="C26" s="6" t="s">
        <v>396</v>
      </c>
    </row>
    <row r="27" spans="1:3" ht="12.75" x14ac:dyDescent="0.2">
      <c r="A27" s="8">
        <v>37683</v>
      </c>
      <c r="B27" s="7" t="s">
        <v>395</v>
      </c>
      <c r="C27" s="6" t="s">
        <v>397</v>
      </c>
    </row>
    <row r="28" spans="1:3" ht="12.75" x14ac:dyDescent="0.2">
      <c r="A28" s="8">
        <v>37684</v>
      </c>
      <c r="B28" s="7" t="s">
        <v>398</v>
      </c>
      <c r="C28" s="6" t="s">
        <v>397</v>
      </c>
    </row>
    <row r="29" spans="1:3" ht="12.75" x14ac:dyDescent="0.2">
      <c r="A29" s="8">
        <v>37729</v>
      </c>
      <c r="B29" s="7" t="s">
        <v>399</v>
      </c>
      <c r="C29" s="6" t="s">
        <v>400</v>
      </c>
    </row>
    <row r="30" spans="1:3" ht="12.75" x14ac:dyDescent="0.2">
      <c r="A30" s="8">
        <v>37732</v>
      </c>
      <c r="B30" s="7" t="s">
        <v>395</v>
      </c>
      <c r="C30" s="6" t="s">
        <v>402</v>
      </c>
    </row>
    <row r="31" spans="1:3" ht="12.75" x14ac:dyDescent="0.2">
      <c r="A31" s="8">
        <v>37742</v>
      </c>
      <c r="B31" s="7" t="s">
        <v>404</v>
      </c>
      <c r="C31" s="6" t="s">
        <v>403</v>
      </c>
    </row>
    <row r="32" spans="1:3" ht="12.75" x14ac:dyDescent="0.2">
      <c r="A32" s="8">
        <v>37791</v>
      </c>
      <c r="B32" s="7" t="s">
        <v>404</v>
      </c>
      <c r="C32" s="6" t="s">
        <v>405</v>
      </c>
    </row>
    <row r="33" spans="1:3" ht="12.75" x14ac:dyDescent="0.2">
      <c r="A33" s="8">
        <v>37871</v>
      </c>
      <c r="B33" s="7" t="s">
        <v>411</v>
      </c>
      <c r="C33" s="6" t="s">
        <v>406</v>
      </c>
    </row>
    <row r="34" spans="1:3" ht="13.5" x14ac:dyDescent="0.2">
      <c r="A34" s="8">
        <v>37906</v>
      </c>
      <c r="B34" s="7" t="s">
        <v>411</v>
      </c>
      <c r="C34" s="6" t="s">
        <v>407</v>
      </c>
    </row>
    <row r="35" spans="1:3" ht="12.75" x14ac:dyDescent="0.2">
      <c r="A35" s="8">
        <v>37927</v>
      </c>
      <c r="B35" s="7" t="s">
        <v>411</v>
      </c>
      <c r="C35" s="6" t="s">
        <v>408</v>
      </c>
    </row>
    <row r="36" spans="1:3" ht="12.75" x14ac:dyDescent="0.2">
      <c r="A36" s="8">
        <v>37940</v>
      </c>
      <c r="B36" s="7" t="s">
        <v>401</v>
      </c>
      <c r="C36" s="6" t="s">
        <v>409</v>
      </c>
    </row>
    <row r="37" spans="1:3" ht="12.75" x14ac:dyDescent="0.2">
      <c r="A37" s="8">
        <v>37980</v>
      </c>
      <c r="B37" s="7" t="s">
        <v>404</v>
      </c>
      <c r="C37" s="6" t="s">
        <v>410</v>
      </c>
    </row>
    <row r="38" spans="1:3" ht="12.75" x14ac:dyDescent="0.2">
      <c r="A38" s="8">
        <v>37987</v>
      </c>
      <c r="B38" s="7" t="s">
        <v>404</v>
      </c>
      <c r="C38" s="6" t="s">
        <v>396</v>
      </c>
    </row>
    <row r="39" spans="1:3" ht="12.75" x14ac:dyDescent="0.2">
      <c r="A39" s="8">
        <v>38040</v>
      </c>
      <c r="B39" s="7" t="s">
        <v>395</v>
      </c>
      <c r="C39" s="6" t="s">
        <v>397</v>
      </c>
    </row>
    <row r="40" spans="1:3" ht="12.75" x14ac:dyDescent="0.2">
      <c r="A40" s="8">
        <v>38041</v>
      </c>
      <c r="B40" s="7" t="s">
        <v>398</v>
      </c>
      <c r="C40" s="6" t="s">
        <v>397</v>
      </c>
    </row>
    <row r="41" spans="1:3" ht="12.75" x14ac:dyDescent="0.2">
      <c r="A41" s="8">
        <v>38086</v>
      </c>
      <c r="B41" s="7" t="s">
        <v>399</v>
      </c>
      <c r="C41" s="6" t="s">
        <v>400</v>
      </c>
    </row>
    <row r="42" spans="1:3" ht="12.75" x14ac:dyDescent="0.2">
      <c r="A42" s="8">
        <v>38098</v>
      </c>
      <c r="B42" s="7" t="s">
        <v>412</v>
      </c>
      <c r="C42" s="6" t="s">
        <v>402</v>
      </c>
    </row>
    <row r="43" spans="1:3" ht="12.75" x14ac:dyDescent="0.2">
      <c r="A43" s="8">
        <v>38108</v>
      </c>
      <c r="B43" s="7" t="s">
        <v>401</v>
      </c>
      <c r="C43" s="6" t="s">
        <v>403</v>
      </c>
    </row>
    <row r="44" spans="1:3" ht="12.75" x14ac:dyDescent="0.2">
      <c r="A44" s="8">
        <v>38148</v>
      </c>
      <c r="B44" s="7" t="s">
        <v>404</v>
      </c>
      <c r="C44" s="6" t="s">
        <v>405</v>
      </c>
    </row>
    <row r="45" spans="1:3" ht="12.75" x14ac:dyDescent="0.2">
      <c r="A45" s="8">
        <v>38237</v>
      </c>
      <c r="B45" s="7" t="s">
        <v>398</v>
      </c>
      <c r="C45" s="6" t="s">
        <v>406</v>
      </c>
    </row>
    <row r="46" spans="1:3" ht="13.5" x14ac:dyDescent="0.2">
      <c r="A46" s="8">
        <v>38272</v>
      </c>
      <c r="B46" s="7" t="s">
        <v>398</v>
      </c>
      <c r="C46" s="6" t="s">
        <v>407</v>
      </c>
    </row>
    <row r="47" spans="1:3" ht="12.75" x14ac:dyDescent="0.2">
      <c r="A47" s="8">
        <v>38293</v>
      </c>
      <c r="B47" s="7" t="s">
        <v>398</v>
      </c>
      <c r="C47" s="6" t="s">
        <v>408</v>
      </c>
    </row>
    <row r="48" spans="1:3" ht="12.75" x14ac:dyDescent="0.2">
      <c r="A48" s="8">
        <v>38306</v>
      </c>
      <c r="B48" s="7" t="s">
        <v>395</v>
      </c>
      <c r="C48" s="6" t="s">
        <v>409</v>
      </c>
    </row>
    <row r="49" spans="1:3" ht="12.75" x14ac:dyDescent="0.2">
      <c r="A49" s="8">
        <v>38346</v>
      </c>
      <c r="B49" s="7" t="s">
        <v>401</v>
      </c>
      <c r="C49" s="6" t="s">
        <v>410</v>
      </c>
    </row>
    <row r="50" spans="1:3" ht="12.75" x14ac:dyDescent="0.2">
      <c r="A50" s="8">
        <v>38353</v>
      </c>
      <c r="B50" s="7" t="s">
        <v>401</v>
      </c>
      <c r="C50" s="6" t="s">
        <v>396</v>
      </c>
    </row>
    <row r="51" spans="1:3" ht="12.75" x14ac:dyDescent="0.2">
      <c r="A51" s="8">
        <v>38390</v>
      </c>
      <c r="B51" s="7" t="s">
        <v>395</v>
      </c>
      <c r="C51" s="6" t="s">
        <v>397</v>
      </c>
    </row>
    <row r="52" spans="1:3" ht="12.75" x14ac:dyDescent="0.2">
      <c r="A52" s="8">
        <v>38391</v>
      </c>
      <c r="B52" s="7" t="s">
        <v>398</v>
      </c>
      <c r="C52" s="6" t="s">
        <v>397</v>
      </c>
    </row>
    <row r="53" spans="1:3" ht="12.75" x14ac:dyDescent="0.2">
      <c r="A53" s="8">
        <v>38436</v>
      </c>
      <c r="B53" s="7" t="s">
        <v>399</v>
      </c>
      <c r="C53" s="6" t="s">
        <v>400</v>
      </c>
    </row>
    <row r="54" spans="1:3" ht="12.75" x14ac:dyDescent="0.2">
      <c r="A54" s="8">
        <v>38463</v>
      </c>
      <c r="B54" s="7" t="s">
        <v>404</v>
      </c>
      <c r="C54" s="6" t="s">
        <v>402</v>
      </c>
    </row>
    <row r="55" spans="1:3" ht="12.75" x14ac:dyDescent="0.2">
      <c r="A55" s="8">
        <v>38473</v>
      </c>
      <c r="B55" s="7" t="s">
        <v>411</v>
      </c>
      <c r="C55" s="6" t="s">
        <v>403</v>
      </c>
    </row>
    <row r="56" spans="1:3" ht="12.75" x14ac:dyDescent="0.2">
      <c r="A56" s="8">
        <v>38498</v>
      </c>
      <c r="B56" s="7" t="s">
        <v>404</v>
      </c>
      <c r="C56" s="6" t="s">
        <v>405</v>
      </c>
    </row>
    <row r="57" spans="1:3" ht="12.75" x14ac:dyDescent="0.2">
      <c r="A57" s="8">
        <v>38602</v>
      </c>
      <c r="B57" s="7" t="s">
        <v>412</v>
      </c>
      <c r="C57" s="6" t="s">
        <v>406</v>
      </c>
    </row>
    <row r="58" spans="1:3" ht="13.5" x14ac:dyDescent="0.2">
      <c r="A58" s="8">
        <v>38637</v>
      </c>
      <c r="B58" s="7" t="s">
        <v>412</v>
      </c>
      <c r="C58" s="6" t="s">
        <v>407</v>
      </c>
    </row>
    <row r="59" spans="1:3" ht="12.75" x14ac:dyDescent="0.2">
      <c r="A59" s="8">
        <v>38658</v>
      </c>
      <c r="B59" s="7" t="s">
        <v>412</v>
      </c>
      <c r="C59" s="6" t="s">
        <v>408</v>
      </c>
    </row>
    <row r="60" spans="1:3" ht="12.75" x14ac:dyDescent="0.2">
      <c r="A60" s="8">
        <v>38671</v>
      </c>
      <c r="B60" s="7" t="s">
        <v>398</v>
      </c>
      <c r="C60" s="6" t="s">
        <v>409</v>
      </c>
    </row>
    <row r="61" spans="1:3" ht="12.75" x14ac:dyDescent="0.2">
      <c r="A61" s="8">
        <v>38711</v>
      </c>
      <c r="B61" s="7" t="s">
        <v>411</v>
      </c>
      <c r="C61" s="6" t="s">
        <v>410</v>
      </c>
    </row>
    <row r="62" spans="1:3" ht="12.75" x14ac:dyDescent="0.2">
      <c r="A62" s="8">
        <v>38718</v>
      </c>
      <c r="B62" s="7" t="s">
        <v>411</v>
      </c>
      <c r="C62" s="6" t="s">
        <v>396</v>
      </c>
    </row>
    <row r="63" spans="1:3" ht="12.75" x14ac:dyDescent="0.2">
      <c r="A63" s="8">
        <v>38775</v>
      </c>
      <c r="B63" s="7" t="s">
        <v>395</v>
      </c>
      <c r="C63" s="6" t="s">
        <v>397</v>
      </c>
    </row>
    <row r="64" spans="1:3" ht="12.75" x14ac:dyDescent="0.2">
      <c r="A64" s="8">
        <v>38776</v>
      </c>
      <c r="B64" s="7" t="s">
        <v>398</v>
      </c>
      <c r="C64" s="6" t="s">
        <v>397</v>
      </c>
    </row>
    <row r="65" spans="1:3" ht="12.75" x14ac:dyDescent="0.2">
      <c r="A65" s="8">
        <v>38821</v>
      </c>
      <c r="B65" s="7" t="s">
        <v>399</v>
      </c>
      <c r="C65" s="6" t="s">
        <v>400</v>
      </c>
    </row>
    <row r="66" spans="1:3" ht="12.75" x14ac:dyDescent="0.2">
      <c r="A66" s="8">
        <v>38828</v>
      </c>
      <c r="B66" s="7" t="s">
        <v>399</v>
      </c>
      <c r="C66" s="6" t="s">
        <v>402</v>
      </c>
    </row>
    <row r="67" spans="1:3" ht="12.75" x14ac:dyDescent="0.2">
      <c r="A67" s="8">
        <v>38838</v>
      </c>
      <c r="B67" s="7" t="s">
        <v>395</v>
      </c>
      <c r="C67" s="6" t="s">
        <v>403</v>
      </c>
    </row>
    <row r="68" spans="1:3" ht="12.75" x14ac:dyDescent="0.2">
      <c r="A68" s="8">
        <v>38883</v>
      </c>
      <c r="B68" s="7" t="s">
        <v>404</v>
      </c>
      <c r="C68" s="6" t="s">
        <v>405</v>
      </c>
    </row>
    <row r="69" spans="1:3" ht="12.75" x14ac:dyDescent="0.2">
      <c r="A69" s="8">
        <v>38967</v>
      </c>
      <c r="B69" s="7" t="s">
        <v>404</v>
      </c>
      <c r="C69" s="6" t="s">
        <v>406</v>
      </c>
    </row>
    <row r="70" spans="1:3" ht="13.5" x14ac:dyDescent="0.2">
      <c r="A70" s="8">
        <v>39002</v>
      </c>
      <c r="B70" s="7" t="s">
        <v>404</v>
      </c>
      <c r="C70" s="6" t="s">
        <v>407</v>
      </c>
    </row>
    <row r="71" spans="1:3" ht="12.75" x14ac:dyDescent="0.2">
      <c r="A71" s="8">
        <v>39023</v>
      </c>
      <c r="B71" s="7" t="s">
        <v>404</v>
      </c>
      <c r="C71" s="6" t="s">
        <v>408</v>
      </c>
    </row>
    <row r="72" spans="1:3" ht="12.75" x14ac:dyDescent="0.2">
      <c r="A72" s="8">
        <v>39036</v>
      </c>
      <c r="B72" s="7" t="s">
        <v>412</v>
      </c>
      <c r="C72" s="6" t="s">
        <v>409</v>
      </c>
    </row>
    <row r="73" spans="1:3" ht="12.75" x14ac:dyDescent="0.2">
      <c r="A73" s="8">
        <v>39076</v>
      </c>
      <c r="B73" s="7" t="s">
        <v>395</v>
      </c>
      <c r="C73" s="6" t="s">
        <v>410</v>
      </c>
    </row>
    <row r="74" spans="1:3" ht="12.75" x14ac:dyDescent="0.2">
      <c r="A74" s="8">
        <v>39083</v>
      </c>
      <c r="B74" s="7" t="s">
        <v>395</v>
      </c>
      <c r="C74" s="6" t="s">
        <v>396</v>
      </c>
    </row>
    <row r="75" spans="1:3" ht="12.75" x14ac:dyDescent="0.2">
      <c r="A75" s="8">
        <v>39132</v>
      </c>
      <c r="B75" s="7" t="s">
        <v>395</v>
      </c>
      <c r="C75" s="6" t="s">
        <v>397</v>
      </c>
    </row>
    <row r="76" spans="1:3" ht="12.75" x14ac:dyDescent="0.2">
      <c r="A76" s="8">
        <v>39133</v>
      </c>
      <c r="B76" s="7" t="s">
        <v>398</v>
      </c>
      <c r="C76" s="6" t="s">
        <v>397</v>
      </c>
    </row>
    <row r="77" spans="1:3" ht="12.75" x14ac:dyDescent="0.2">
      <c r="A77" s="8">
        <v>39178</v>
      </c>
      <c r="B77" s="7" t="s">
        <v>399</v>
      </c>
      <c r="C77" s="6" t="s">
        <v>400</v>
      </c>
    </row>
    <row r="78" spans="1:3" ht="12.75" x14ac:dyDescent="0.2">
      <c r="A78" s="8">
        <v>39193</v>
      </c>
      <c r="B78" s="7" t="s">
        <v>401</v>
      </c>
      <c r="C78" s="6" t="s">
        <v>402</v>
      </c>
    </row>
    <row r="79" spans="1:3" ht="12.75" x14ac:dyDescent="0.2">
      <c r="A79" s="8">
        <v>39203</v>
      </c>
      <c r="B79" s="7" t="s">
        <v>398</v>
      </c>
      <c r="C79" s="6" t="s">
        <v>403</v>
      </c>
    </row>
    <row r="80" spans="1:3" ht="12.75" x14ac:dyDescent="0.2">
      <c r="A80" s="8">
        <v>39240</v>
      </c>
      <c r="B80" s="7" t="s">
        <v>404</v>
      </c>
      <c r="C80" s="6" t="s">
        <v>405</v>
      </c>
    </row>
    <row r="81" spans="1:3" ht="12.75" x14ac:dyDescent="0.2">
      <c r="A81" s="8">
        <v>39332</v>
      </c>
      <c r="B81" s="7" t="s">
        <v>399</v>
      </c>
      <c r="C81" s="6" t="s">
        <v>406</v>
      </c>
    </row>
    <row r="82" spans="1:3" ht="13.5" x14ac:dyDescent="0.2">
      <c r="A82" s="8">
        <v>39367</v>
      </c>
      <c r="B82" s="7" t="s">
        <v>399</v>
      </c>
      <c r="C82" s="6" t="s">
        <v>407</v>
      </c>
    </row>
    <row r="83" spans="1:3" ht="12.75" x14ac:dyDescent="0.2">
      <c r="A83" s="8">
        <v>39388</v>
      </c>
      <c r="B83" s="7" t="s">
        <v>399</v>
      </c>
      <c r="C83" s="6" t="s">
        <v>408</v>
      </c>
    </row>
    <row r="84" spans="1:3" ht="12.75" x14ac:dyDescent="0.2">
      <c r="A84" s="8">
        <v>39401</v>
      </c>
      <c r="B84" s="7" t="s">
        <v>404</v>
      </c>
      <c r="C84" s="6" t="s">
        <v>409</v>
      </c>
    </row>
    <row r="85" spans="1:3" ht="12.75" x14ac:dyDescent="0.2">
      <c r="A85" s="8">
        <v>39441</v>
      </c>
      <c r="B85" s="7" t="s">
        <v>398</v>
      </c>
      <c r="C85" s="6" t="s">
        <v>410</v>
      </c>
    </row>
    <row r="86" spans="1:3" ht="12.75" x14ac:dyDescent="0.2">
      <c r="A86" s="8">
        <v>39448</v>
      </c>
      <c r="B86" s="7" t="s">
        <v>398</v>
      </c>
      <c r="C86" s="6" t="s">
        <v>396</v>
      </c>
    </row>
    <row r="87" spans="1:3" ht="12.75" x14ac:dyDescent="0.2">
      <c r="A87" s="8">
        <v>39482</v>
      </c>
      <c r="B87" s="7" t="s">
        <v>395</v>
      </c>
      <c r="C87" s="6" t="s">
        <v>397</v>
      </c>
    </row>
    <row r="88" spans="1:3" ht="12.75" x14ac:dyDescent="0.2">
      <c r="A88" s="8">
        <v>39483</v>
      </c>
      <c r="B88" s="7" t="s">
        <v>398</v>
      </c>
      <c r="C88" s="6" t="s">
        <v>397</v>
      </c>
    </row>
    <row r="89" spans="1:3" ht="12.75" x14ac:dyDescent="0.2">
      <c r="A89" s="8">
        <v>39528</v>
      </c>
      <c r="B89" s="7" t="s">
        <v>399</v>
      </c>
      <c r="C89" s="6" t="s">
        <v>400</v>
      </c>
    </row>
    <row r="90" spans="1:3" ht="12.75" x14ac:dyDescent="0.2">
      <c r="A90" s="8">
        <v>39559</v>
      </c>
      <c r="B90" s="7" t="s">
        <v>395</v>
      </c>
      <c r="C90" s="6" t="s">
        <v>402</v>
      </c>
    </row>
    <row r="91" spans="1:3" ht="12.75" x14ac:dyDescent="0.2">
      <c r="A91" s="8">
        <v>39569</v>
      </c>
      <c r="B91" s="7" t="s">
        <v>404</v>
      </c>
      <c r="C91" s="6" t="s">
        <v>403</v>
      </c>
    </row>
    <row r="92" spans="1:3" ht="12.75" x14ac:dyDescent="0.2">
      <c r="A92" s="8">
        <v>39590</v>
      </c>
      <c r="B92" s="7" t="s">
        <v>404</v>
      </c>
      <c r="C92" s="6" t="s">
        <v>405</v>
      </c>
    </row>
    <row r="93" spans="1:3" ht="12.75" x14ac:dyDescent="0.2">
      <c r="A93" s="8">
        <v>39698</v>
      </c>
      <c r="B93" s="7" t="s">
        <v>411</v>
      </c>
      <c r="C93" s="6" t="s">
        <v>406</v>
      </c>
    </row>
    <row r="94" spans="1:3" ht="13.5" x14ac:dyDescent="0.2">
      <c r="A94" s="8">
        <v>39733</v>
      </c>
      <c r="B94" s="7" t="s">
        <v>411</v>
      </c>
      <c r="C94" s="6" t="s">
        <v>407</v>
      </c>
    </row>
    <row r="95" spans="1:3" ht="12.75" x14ac:dyDescent="0.2">
      <c r="A95" s="8">
        <v>39754</v>
      </c>
      <c r="B95" s="7" t="s">
        <v>411</v>
      </c>
      <c r="C95" s="6" t="s">
        <v>408</v>
      </c>
    </row>
    <row r="96" spans="1:3" ht="12.75" x14ac:dyDescent="0.2">
      <c r="A96" s="8">
        <v>39767</v>
      </c>
      <c r="B96" s="7" t="s">
        <v>401</v>
      </c>
      <c r="C96" s="6" t="s">
        <v>409</v>
      </c>
    </row>
    <row r="97" spans="1:3" ht="12.75" x14ac:dyDescent="0.2">
      <c r="A97" s="8">
        <v>39807</v>
      </c>
      <c r="B97" s="7" t="s">
        <v>404</v>
      </c>
      <c r="C97" s="6" t="s">
        <v>410</v>
      </c>
    </row>
    <row r="98" spans="1:3" ht="12.75" x14ac:dyDescent="0.2">
      <c r="A98" s="8">
        <v>39814</v>
      </c>
      <c r="B98" s="7" t="s">
        <v>404</v>
      </c>
      <c r="C98" s="6" t="s">
        <v>396</v>
      </c>
    </row>
    <row r="99" spans="1:3" ht="12.75" x14ac:dyDescent="0.2">
      <c r="A99" s="8">
        <v>39867</v>
      </c>
      <c r="B99" s="7" t="s">
        <v>395</v>
      </c>
      <c r="C99" s="6" t="s">
        <v>397</v>
      </c>
    </row>
    <row r="100" spans="1:3" ht="12.75" x14ac:dyDescent="0.2">
      <c r="A100" s="8">
        <v>39868</v>
      </c>
      <c r="B100" s="7" t="s">
        <v>398</v>
      </c>
      <c r="C100" s="6" t="s">
        <v>397</v>
      </c>
    </row>
    <row r="101" spans="1:3" ht="12.75" x14ac:dyDescent="0.2">
      <c r="A101" s="8">
        <v>39913</v>
      </c>
      <c r="B101" s="7" t="s">
        <v>399</v>
      </c>
      <c r="C101" s="6" t="s">
        <v>400</v>
      </c>
    </row>
    <row r="102" spans="1:3" ht="12.75" x14ac:dyDescent="0.2">
      <c r="A102" s="8">
        <v>39924</v>
      </c>
      <c r="B102" s="7" t="s">
        <v>398</v>
      </c>
      <c r="C102" s="6" t="s">
        <v>402</v>
      </c>
    </row>
    <row r="103" spans="1:3" ht="12.75" x14ac:dyDescent="0.2">
      <c r="A103" s="8">
        <v>39934</v>
      </c>
      <c r="B103" s="7" t="s">
        <v>399</v>
      </c>
      <c r="C103" s="6" t="s">
        <v>403</v>
      </c>
    </row>
    <row r="104" spans="1:3" ht="12.75" x14ac:dyDescent="0.2">
      <c r="A104" s="8">
        <v>39975</v>
      </c>
      <c r="B104" s="7" t="s">
        <v>404</v>
      </c>
      <c r="C104" s="6" t="s">
        <v>405</v>
      </c>
    </row>
    <row r="105" spans="1:3" ht="12.75" x14ac:dyDescent="0.2">
      <c r="A105" s="8">
        <v>40063</v>
      </c>
      <c r="B105" s="7" t="s">
        <v>395</v>
      </c>
      <c r="C105" s="6" t="s">
        <v>406</v>
      </c>
    </row>
    <row r="106" spans="1:3" ht="13.5" x14ac:dyDescent="0.2">
      <c r="A106" s="8">
        <v>40098</v>
      </c>
      <c r="B106" s="7" t="s">
        <v>395</v>
      </c>
      <c r="C106" s="6" t="s">
        <v>407</v>
      </c>
    </row>
    <row r="107" spans="1:3" ht="12.75" x14ac:dyDescent="0.2">
      <c r="A107" s="8">
        <v>40119</v>
      </c>
      <c r="B107" s="7" t="s">
        <v>395</v>
      </c>
      <c r="C107" s="6" t="s">
        <v>408</v>
      </c>
    </row>
    <row r="108" spans="1:3" ht="12.75" x14ac:dyDescent="0.2">
      <c r="A108" s="8">
        <v>40132</v>
      </c>
      <c r="B108" s="7" t="s">
        <v>411</v>
      </c>
      <c r="C108" s="6" t="s">
        <v>409</v>
      </c>
    </row>
    <row r="109" spans="1:3" ht="12.75" x14ac:dyDescent="0.2">
      <c r="A109" s="8">
        <v>40172</v>
      </c>
      <c r="B109" s="7" t="s">
        <v>399</v>
      </c>
      <c r="C109" s="6" t="s">
        <v>410</v>
      </c>
    </row>
    <row r="110" spans="1:3" ht="12.75" x14ac:dyDescent="0.2">
      <c r="A110" s="8">
        <v>40179</v>
      </c>
      <c r="B110" s="7" t="s">
        <v>399</v>
      </c>
      <c r="C110" s="6" t="s">
        <v>396</v>
      </c>
    </row>
    <row r="111" spans="1:3" ht="12.75" x14ac:dyDescent="0.2">
      <c r="A111" s="8">
        <v>40224</v>
      </c>
      <c r="B111" s="7" t="s">
        <v>395</v>
      </c>
      <c r="C111" s="6" t="s">
        <v>397</v>
      </c>
    </row>
    <row r="112" spans="1:3" ht="12.75" x14ac:dyDescent="0.2">
      <c r="A112" s="8">
        <v>40225</v>
      </c>
      <c r="B112" s="7" t="s">
        <v>398</v>
      </c>
      <c r="C112" s="6" t="s">
        <v>397</v>
      </c>
    </row>
    <row r="113" spans="1:3" ht="12.75" x14ac:dyDescent="0.2">
      <c r="A113" s="8">
        <v>40270</v>
      </c>
      <c r="B113" s="7" t="s">
        <v>399</v>
      </c>
      <c r="C113" s="6" t="s">
        <v>400</v>
      </c>
    </row>
    <row r="114" spans="1:3" ht="12.75" x14ac:dyDescent="0.2">
      <c r="A114" s="8">
        <v>40289</v>
      </c>
      <c r="B114" s="7" t="s">
        <v>412</v>
      </c>
      <c r="C114" s="6" t="s">
        <v>402</v>
      </c>
    </row>
    <row r="115" spans="1:3" ht="12.75" x14ac:dyDescent="0.2">
      <c r="A115" s="8">
        <v>40299</v>
      </c>
      <c r="B115" s="7" t="s">
        <v>401</v>
      </c>
      <c r="C115" s="6" t="s">
        <v>403</v>
      </c>
    </row>
    <row r="116" spans="1:3" ht="12.75" x14ac:dyDescent="0.2">
      <c r="A116" s="8">
        <v>40332</v>
      </c>
      <c r="B116" s="7" t="s">
        <v>404</v>
      </c>
      <c r="C116" s="6" t="s">
        <v>405</v>
      </c>
    </row>
    <row r="117" spans="1:3" ht="12.75" x14ac:dyDescent="0.2">
      <c r="A117" s="8">
        <v>40428</v>
      </c>
      <c r="B117" s="7" t="s">
        <v>398</v>
      </c>
      <c r="C117" s="6" t="s">
        <v>406</v>
      </c>
    </row>
    <row r="118" spans="1:3" ht="13.5" x14ac:dyDescent="0.2">
      <c r="A118" s="8">
        <v>40463</v>
      </c>
      <c r="B118" s="7" t="s">
        <v>398</v>
      </c>
      <c r="C118" s="6" t="s">
        <v>407</v>
      </c>
    </row>
    <row r="119" spans="1:3" ht="12.75" x14ac:dyDescent="0.2">
      <c r="A119" s="8">
        <v>40484</v>
      </c>
      <c r="B119" s="7" t="s">
        <v>398</v>
      </c>
      <c r="C119" s="6" t="s">
        <v>408</v>
      </c>
    </row>
    <row r="120" spans="1:3" ht="12.75" x14ac:dyDescent="0.2">
      <c r="A120" s="8">
        <v>40497</v>
      </c>
      <c r="B120" s="7" t="s">
        <v>395</v>
      </c>
      <c r="C120" s="6" t="s">
        <v>409</v>
      </c>
    </row>
    <row r="121" spans="1:3" ht="12.75" x14ac:dyDescent="0.2">
      <c r="A121" s="8">
        <v>40537</v>
      </c>
      <c r="B121" s="7" t="s">
        <v>401</v>
      </c>
      <c r="C121" s="6" t="s">
        <v>410</v>
      </c>
    </row>
    <row r="122" spans="1:3" ht="12.75" x14ac:dyDescent="0.2">
      <c r="A122" s="8">
        <v>40544</v>
      </c>
      <c r="B122" s="7" t="s">
        <v>401</v>
      </c>
      <c r="C122" s="6" t="s">
        <v>396</v>
      </c>
    </row>
    <row r="123" spans="1:3" ht="12.75" x14ac:dyDescent="0.2">
      <c r="A123" s="8">
        <v>40609</v>
      </c>
      <c r="B123" s="7" t="s">
        <v>395</v>
      </c>
      <c r="C123" s="6" t="s">
        <v>397</v>
      </c>
    </row>
    <row r="124" spans="1:3" ht="12.75" x14ac:dyDescent="0.2">
      <c r="A124" s="8">
        <v>40610</v>
      </c>
      <c r="B124" s="7" t="s">
        <v>398</v>
      </c>
      <c r="C124" s="6" t="s">
        <v>397</v>
      </c>
    </row>
    <row r="125" spans="1:3" ht="12.75" x14ac:dyDescent="0.2">
      <c r="A125" s="8">
        <v>40654</v>
      </c>
      <c r="B125" s="7" t="s">
        <v>404</v>
      </c>
      <c r="C125" s="6" t="s">
        <v>400</v>
      </c>
    </row>
    <row r="126" spans="1:3" ht="12.75" x14ac:dyDescent="0.2">
      <c r="A126" s="8">
        <v>40655</v>
      </c>
      <c r="B126" s="7" t="s">
        <v>399</v>
      </c>
      <c r="C126" s="6" t="s">
        <v>402</v>
      </c>
    </row>
    <row r="127" spans="1:3" ht="12.75" x14ac:dyDescent="0.2">
      <c r="A127" s="8">
        <v>40664</v>
      </c>
      <c r="B127" s="7" t="s">
        <v>411</v>
      </c>
      <c r="C127" s="6" t="s">
        <v>403</v>
      </c>
    </row>
    <row r="128" spans="1:3" ht="12.75" x14ac:dyDescent="0.2">
      <c r="A128" s="8">
        <v>40717</v>
      </c>
      <c r="B128" s="7" t="s">
        <v>404</v>
      </c>
      <c r="C128" s="6" t="s">
        <v>405</v>
      </c>
    </row>
    <row r="129" spans="1:3" ht="12.75" x14ac:dyDescent="0.2">
      <c r="A129" s="8">
        <v>40793</v>
      </c>
      <c r="B129" s="7" t="s">
        <v>412</v>
      </c>
      <c r="C129" s="6" t="s">
        <v>406</v>
      </c>
    </row>
    <row r="130" spans="1:3" ht="13.5" x14ac:dyDescent="0.2">
      <c r="A130" s="8">
        <v>40828</v>
      </c>
      <c r="B130" s="7" t="s">
        <v>412</v>
      </c>
      <c r="C130" s="6" t="s">
        <v>407</v>
      </c>
    </row>
    <row r="131" spans="1:3" ht="12.75" x14ac:dyDescent="0.2">
      <c r="A131" s="8">
        <v>40849</v>
      </c>
      <c r="B131" s="7" t="s">
        <v>412</v>
      </c>
      <c r="C131" s="6" t="s">
        <v>408</v>
      </c>
    </row>
    <row r="132" spans="1:3" ht="12.75" x14ac:dyDescent="0.2">
      <c r="A132" s="8">
        <v>40862</v>
      </c>
      <c r="B132" s="7" t="s">
        <v>398</v>
      </c>
      <c r="C132" s="6" t="s">
        <v>409</v>
      </c>
    </row>
    <row r="133" spans="1:3" ht="12.75" x14ac:dyDescent="0.2">
      <c r="A133" s="8">
        <v>40902</v>
      </c>
      <c r="B133" s="7" t="s">
        <v>411</v>
      </c>
      <c r="C133" s="6" t="s">
        <v>410</v>
      </c>
    </row>
    <row r="134" spans="1:3" ht="12.75" x14ac:dyDescent="0.2">
      <c r="A134" s="8">
        <v>40909</v>
      </c>
      <c r="B134" s="7" t="s">
        <v>411</v>
      </c>
      <c r="C134" s="6" t="s">
        <v>396</v>
      </c>
    </row>
    <row r="135" spans="1:3" ht="12.75" x14ac:dyDescent="0.2">
      <c r="A135" s="8">
        <v>40959</v>
      </c>
      <c r="B135" s="7" t="s">
        <v>395</v>
      </c>
      <c r="C135" s="6" t="s">
        <v>397</v>
      </c>
    </row>
    <row r="136" spans="1:3" ht="12.75" x14ac:dyDescent="0.2">
      <c r="A136" s="8">
        <v>40960</v>
      </c>
      <c r="B136" s="7" t="s">
        <v>398</v>
      </c>
      <c r="C136" s="6" t="s">
        <v>397</v>
      </c>
    </row>
    <row r="137" spans="1:3" ht="12.75" x14ac:dyDescent="0.2">
      <c r="A137" s="8">
        <v>41005</v>
      </c>
      <c r="B137" s="7" t="s">
        <v>399</v>
      </c>
      <c r="C137" s="6" t="s">
        <v>400</v>
      </c>
    </row>
    <row r="138" spans="1:3" ht="12.75" x14ac:dyDescent="0.2">
      <c r="A138" s="8">
        <v>41020</v>
      </c>
      <c r="B138" s="7" t="s">
        <v>401</v>
      </c>
      <c r="C138" s="6" t="s">
        <v>402</v>
      </c>
    </row>
    <row r="139" spans="1:3" ht="12.75" x14ac:dyDescent="0.2">
      <c r="A139" s="8">
        <v>41030</v>
      </c>
      <c r="B139" s="7" t="s">
        <v>398</v>
      </c>
      <c r="C139" s="6" t="s">
        <v>403</v>
      </c>
    </row>
    <row r="140" spans="1:3" ht="12.75" x14ac:dyDescent="0.2">
      <c r="A140" s="8">
        <v>41067</v>
      </c>
      <c r="B140" s="7" t="s">
        <v>404</v>
      </c>
      <c r="C140" s="6" t="s">
        <v>405</v>
      </c>
    </row>
    <row r="141" spans="1:3" ht="12.75" x14ac:dyDescent="0.2">
      <c r="A141" s="8">
        <v>41159</v>
      </c>
      <c r="B141" s="7" t="s">
        <v>399</v>
      </c>
      <c r="C141" s="6" t="s">
        <v>406</v>
      </c>
    </row>
    <row r="142" spans="1:3" ht="13.5" x14ac:dyDescent="0.2">
      <c r="A142" s="8">
        <v>41194</v>
      </c>
      <c r="B142" s="7" t="s">
        <v>399</v>
      </c>
      <c r="C142" s="6" t="s">
        <v>407</v>
      </c>
    </row>
    <row r="143" spans="1:3" ht="12.75" x14ac:dyDescent="0.2">
      <c r="A143" s="8">
        <v>41215</v>
      </c>
      <c r="B143" s="7" t="s">
        <v>399</v>
      </c>
      <c r="C143" s="6" t="s">
        <v>408</v>
      </c>
    </row>
    <row r="144" spans="1:3" ht="12.75" x14ac:dyDescent="0.2">
      <c r="A144" s="8">
        <v>41228</v>
      </c>
      <c r="B144" s="7" t="s">
        <v>404</v>
      </c>
      <c r="C144" s="6" t="s">
        <v>409</v>
      </c>
    </row>
    <row r="145" spans="1:3" ht="12.75" x14ac:dyDescent="0.2">
      <c r="A145" s="8">
        <v>41268</v>
      </c>
      <c r="B145" s="7" t="s">
        <v>398</v>
      </c>
      <c r="C145" s="6" t="s">
        <v>410</v>
      </c>
    </row>
    <row r="146" spans="1:3" ht="12.75" x14ac:dyDescent="0.2">
      <c r="A146" s="8">
        <v>41275</v>
      </c>
      <c r="B146" s="7" t="s">
        <v>398</v>
      </c>
      <c r="C146" s="6" t="s">
        <v>396</v>
      </c>
    </row>
    <row r="147" spans="1:3" ht="12.75" x14ac:dyDescent="0.2">
      <c r="A147" s="8">
        <v>41316</v>
      </c>
      <c r="B147" s="7" t="s">
        <v>395</v>
      </c>
      <c r="C147" s="6" t="s">
        <v>397</v>
      </c>
    </row>
    <row r="148" spans="1:3" ht="12.75" x14ac:dyDescent="0.2">
      <c r="A148" s="8">
        <v>41317</v>
      </c>
      <c r="B148" s="7" t="s">
        <v>398</v>
      </c>
      <c r="C148" s="6" t="s">
        <v>397</v>
      </c>
    </row>
    <row r="149" spans="1:3" ht="12.75" x14ac:dyDescent="0.2">
      <c r="A149" s="8">
        <v>41362</v>
      </c>
      <c r="B149" s="7" t="s">
        <v>399</v>
      </c>
      <c r="C149" s="6" t="s">
        <v>400</v>
      </c>
    </row>
    <row r="150" spans="1:3" ht="12.75" x14ac:dyDescent="0.2">
      <c r="A150" s="8">
        <v>41385</v>
      </c>
      <c r="B150" s="7" t="s">
        <v>411</v>
      </c>
      <c r="C150" s="6" t="s">
        <v>402</v>
      </c>
    </row>
    <row r="151" spans="1:3" ht="12.75" x14ac:dyDescent="0.2">
      <c r="A151" s="8">
        <v>41395</v>
      </c>
      <c r="B151" s="7" t="s">
        <v>412</v>
      </c>
      <c r="C151" s="6" t="s">
        <v>403</v>
      </c>
    </row>
    <row r="152" spans="1:3" ht="12.75" x14ac:dyDescent="0.2">
      <c r="A152" s="8">
        <v>41424</v>
      </c>
      <c r="B152" s="7" t="s">
        <v>404</v>
      </c>
      <c r="C152" s="6" t="s">
        <v>405</v>
      </c>
    </row>
    <row r="153" spans="1:3" ht="12.75" x14ac:dyDescent="0.2">
      <c r="A153" s="8">
        <v>41524</v>
      </c>
      <c r="B153" s="7" t="s">
        <v>401</v>
      </c>
      <c r="C153" s="6" t="s">
        <v>406</v>
      </c>
    </row>
    <row r="154" spans="1:3" ht="13.5" x14ac:dyDescent="0.2">
      <c r="A154" s="8">
        <v>41559</v>
      </c>
      <c r="B154" s="7" t="s">
        <v>401</v>
      </c>
      <c r="C154" s="6" t="s">
        <v>407</v>
      </c>
    </row>
    <row r="155" spans="1:3" ht="12.75" x14ac:dyDescent="0.2">
      <c r="A155" s="8">
        <v>41580</v>
      </c>
      <c r="B155" s="7" t="s">
        <v>401</v>
      </c>
      <c r="C155" s="6" t="s">
        <v>408</v>
      </c>
    </row>
    <row r="156" spans="1:3" ht="12.75" x14ac:dyDescent="0.2">
      <c r="A156" s="8">
        <v>41593</v>
      </c>
      <c r="B156" s="7" t="s">
        <v>399</v>
      </c>
      <c r="C156" s="6" t="s">
        <v>409</v>
      </c>
    </row>
    <row r="157" spans="1:3" ht="12.75" x14ac:dyDescent="0.2">
      <c r="A157" s="8">
        <v>41633</v>
      </c>
      <c r="B157" s="7" t="s">
        <v>412</v>
      </c>
      <c r="C157" s="6" t="s">
        <v>410</v>
      </c>
    </row>
    <row r="158" spans="1:3" ht="12.75" x14ac:dyDescent="0.2">
      <c r="A158" s="8">
        <v>41640</v>
      </c>
      <c r="B158" s="7" t="s">
        <v>412</v>
      </c>
      <c r="C158" s="6" t="s">
        <v>396</v>
      </c>
    </row>
    <row r="159" spans="1:3" ht="12.75" x14ac:dyDescent="0.2">
      <c r="A159" s="8">
        <v>41701</v>
      </c>
      <c r="B159" s="7" t="s">
        <v>395</v>
      </c>
      <c r="C159" s="6" t="s">
        <v>397</v>
      </c>
    </row>
    <row r="160" spans="1:3" ht="12.75" x14ac:dyDescent="0.2">
      <c r="A160" s="8">
        <v>41702</v>
      </c>
      <c r="B160" s="7" t="s">
        <v>398</v>
      </c>
      <c r="C160" s="6" t="s">
        <v>397</v>
      </c>
    </row>
    <row r="161" spans="1:3" ht="12.75" x14ac:dyDescent="0.2">
      <c r="A161" s="8">
        <v>41747</v>
      </c>
      <c r="B161" s="7" t="s">
        <v>399</v>
      </c>
      <c r="C161" s="6" t="s">
        <v>400</v>
      </c>
    </row>
    <row r="162" spans="1:3" ht="12.75" x14ac:dyDescent="0.2">
      <c r="A162" s="8">
        <v>41750</v>
      </c>
      <c r="B162" s="7" t="s">
        <v>395</v>
      </c>
      <c r="C162" s="6" t="s">
        <v>402</v>
      </c>
    </row>
    <row r="163" spans="1:3" ht="12.75" x14ac:dyDescent="0.2">
      <c r="A163" s="8">
        <v>41760</v>
      </c>
      <c r="B163" s="7" t="s">
        <v>404</v>
      </c>
      <c r="C163" s="6" t="s">
        <v>403</v>
      </c>
    </row>
    <row r="164" spans="1:3" ht="12.75" x14ac:dyDescent="0.2">
      <c r="A164" s="8">
        <v>41809</v>
      </c>
      <c r="B164" s="7" t="s">
        <v>404</v>
      </c>
      <c r="C164" s="6" t="s">
        <v>405</v>
      </c>
    </row>
    <row r="165" spans="1:3" ht="12.75" x14ac:dyDescent="0.2">
      <c r="A165" s="8">
        <v>41889</v>
      </c>
      <c r="B165" s="7" t="s">
        <v>411</v>
      </c>
      <c r="C165" s="6" t="s">
        <v>406</v>
      </c>
    </row>
    <row r="166" spans="1:3" ht="13.5" x14ac:dyDescent="0.2">
      <c r="A166" s="8">
        <v>41924</v>
      </c>
      <c r="B166" s="7" t="s">
        <v>411</v>
      </c>
      <c r="C166" s="6" t="s">
        <v>407</v>
      </c>
    </row>
    <row r="167" spans="1:3" ht="12.75" x14ac:dyDescent="0.2">
      <c r="A167" s="8">
        <v>41945</v>
      </c>
      <c r="B167" s="7" t="s">
        <v>411</v>
      </c>
      <c r="C167" s="6" t="s">
        <v>408</v>
      </c>
    </row>
    <row r="168" spans="1:3" ht="12.75" x14ac:dyDescent="0.2">
      <c r="A168" s="8">
        <v>41958</v>
      </c>
      <c r="B168" s="7" t="s">
        <v>401</v>
      </c>
      <c r="C168" s="6" t="s">
        <v>409</v>
      </c>
    </row>
    <row r="169" spans="1:3" ht="12.75" x14ac:dyDescent="0.2">
      <c r="A169" s="8">
        <v>41998</v>
      </c>
      <c r="B169" s="7" t="s">
        <v>404</v>
      </c>
      <c r="C169" s="6" t="s">
        <v>410</v>
      </c>
    </row>
    <row r="170" spans="1:3" ht="12.75" x14ac:dyDescent="0.2">
      <c r="A170" s="8">
        <v>42005</v>
      </c>
      <c r="B170" s="7" t="s">
        <v>404</v>
      </c>
      <c r="C170" s="6" t="s">
        <v>396</v>
      </c>
    </row>
    <row r="171" spans="1:3" ht="12.75" x14ac:dyDescent="0.2">
      <c r="A171" s="8">
        <v>42051</v>
      </c>
      <c r="B171" s="7" t="s">
        <v>395</v>
      </c>
      <c r="C171" s="6" t="s">
        <v>397</v>
      </c>
    </row>
    <row r="172" spans="1:3" ht="12.75" x14ac:dyDescent="0.2">
      <c r="A172" s="8">
        <v>42052</v>
      </c>
      <c r="B172" s="7" t="s">
        <v>398</v>
      </c>
      <c r="C172" s="6" t="s">
        <v>397</v>
      </c>
    </row>
    <row r="173" spans="1:3" ht="12.75" x14ac:dyDescent="0.2">
      <c r="A173" s="8">
        <v>42097</v>
      </c>
      <c r="B173" s="7" t="s">
        <v>399</v>
      </c>
      <c r="C173" s="6" t="s">
        <v>400</v>
      </c>
    </row>
    <row r="174" spans="1:3" ht="12.75" x14ac:dyDescent="0.2">
      <c r="A174" s="8">
        <v>42115</v>
      </c>
      <c r="B174" s="7" t="s">
        <v>398</v>
      </c>
      <c r="C174" s="6" t="s">
        <v>402</v>
      </c>
    </row>
    <row r="175" spans="1:3" ht="12.75" x14ac:dyDescent="0.2">
      <c r="A175" s="8">
        <v>42125</v>
      </c>
      <c r="B175" s="7" t="s">
        <v>399</v>
      </c>
      <c r="C175" s="6" t="s">
        <v>403</v>
      </c>
    </row>
    <row r="176" spans="1:3" ht="12.75" x14ac:dyDescent="0.2">
      <c r="A176" s="8">
        <v>42159</v>
      </c>
      <c r="B176" s="7" t="s">
        <v>404</v>
      </c>
      <c r="C176" s="6" t="s">
        <v>405</v>
      </c>
    </row>
    <row r="177" spans="1:3" ht="12.75" x14ac:dyDescent="0.2">
      <c r="A177" s="8">
        <v>42254</v>
      </c>
      <c r="B177" s="7" t="s">
        <v>395</v>
      </c>
      <c r="C177" s="6" t="s">
        <v>406</v>
      </c>
    </row>
    <row r="178" spans="1:3" ht="13.5" x14ac:dyDescent="0.2">
      <c r="A178" s="8">
        <v>42289</v>
      </c>
      <c r="B178" s="7" t="s">
        <v>395</v>
      </c>
      <c r="C178" s="6" t="s">
        <v>407</v>
      </c>
    </row>
    <row r="179" spans="1:3" ht="12.75" x14ac:dyDescent="0.2">
      <c r="A179" s="8">
        <v>42310</v>
      </c>
      <c r="B179" s="7" t="s">
        <v>395</v>
      </c>
      <c r="C179" s="6" t="s">
        <v>408</v>
      </c>
    </row>
    <row r="180" spans="1:3" ht="12.75" x14ac:dyDescent="0.2">
      <c r="A180" s="8">
        <v>42323</v>
      </c>
      <c r="B180" s="7" t="s">
        <v>411</v>
      </c>
      <c r="C180" s="6" t="s">
        <v>409</v>
      </c>
    </row>
    <row r="181" spans="1:3" ht="12.75" x14ac:dyDescent="0.2">
      <c r="A181" s="8">
        <v>42363</v>
      </c>
      <c r="B181" s="7" t="s">
        <v>399</v>
      </c>
      <c r="C181" s="6" t="s">
        <v>410</v>
      </c>
    </row>
    <row r="182" spans="1:3" ht="12.75" x14ac:dyDescent="0.2">
      <c r="A182" s="8">
        <v>42370</v>
      </c>
      <c r="B182" s="7" t="s">
        <v>399</v>
      </c>
      <c r="C182" s="6" t="s">
        <v>396</v>
      </c>
    </row>
    <row r="183" spans="1:3" ht="12.75" x14ac:dyDescent="0.2">
      <c r="A183" s="8">
        <v>42408</v>
      </c>
      <c r="B183" s="7" t="s">
        <v>395</v>
      </c>
      <c r="C183" s="6" t="s">
        <v>397</v>
      </c>
    </row>
    <row r="184" spans="1:3" ht="12.75" x14ac:dyDescent="0.2">
      <c r="A184" s="8">
        <v>42409</v>
      </c>
      <c r="B184" s="7" t="s">
        <v>398</v>
      </c>
      <c r="C184" s="6" t="s">
        <v>397</v>
      </c>
    </row>
    <row r="185" spans="1:3" ht="12.75" x14ac:dyDescent="0.2">
      <c r="A185" s="8">
        <v>42454</v>
      </c>
      <c r="B185" s="7" t="s">
        <v>399</v>
      </c>
      <c r="C185" s="6" t="s">
        <v>400</v>
      </c>
    </row>
    <row r="186" spans="1:3" ht="12.75" x14ac:dyDescent="0.2">
      <c r="A186" s="8">
        <v>42481</v>
      </c>
      <c r="B186" s="7" t="s">
        <v>404</v>
      </c>
      <c r="C186" s="6" t="s">
        <v>402</v>
      </c>
    </row>
    <row r="187" spans="1:3" ht="12.75" x14ac:dyDescent="0.2">
      <c r="A187" s="8">
        <v>42491</v>
      </c>
      <c r="B187" s="7" t="s">
        <v>411</v>
      </c>
      <c r="C187" s="6" t="s">
        <v>403</v>
      </c>
    </row>
    <row r="188" spans="1:3" ht="12.75" x14ac:dyDescent="0.2">
      <c r="A188" s="8">
        <v>42516</v>
      </c>
      <c r="B188" s="7" t="s">
        <v>404</v>
      </c>
      <c r="C188" s="6" t="s">
        <v>405</v>
      </c>
    </row>
    <row r="189" spans="1:3" ht="12.75" x14ac:dyDescent="0.2">
      <c r="A189" s="8">
        <v>42620</v>
      </c>
      <c r="B189" s="7" t="s">
        <v>412</v>
      </c>
      <c r="C189" s="6" t="s">
        <v>406</v>
      </c>
    </row>
    <row r="190" spans="1:3" ht="13.5" x14ac:dyDescent="0.2">
      <c r="A190" s="8">
        <v>42655</v>
      </c>
      <c r="B190" s="7" t="s">
        <v>412</v>
      </c>
      <c r="C190" s="6" t="s">
        <v>407</v>
      </c>
    </row>
    <row r="191" spans="1:3" ht="12.75" x14ac:dyDescent="0.2">
      <c r="A191" s="8">
        <v>42676</v>
      </c>
      <c r="B191" s="7" t="s">
        <v>412</v>
      </c>
      <c r="C191" s="6" t="s">
        <v>408</v>
      </c>
    </row>
    <row r="192" spans="1:3" ht="12.75" x14ac:dyDescent="0.2">
      <c r="A192" s="8">
        <v>42689</v>
      </c>
      <c r="B192" s="7" t="s">
        <v>398</v>
      </c>
      <c r="C192" s="6" t="s">
        <v>409</v>
      </c>
    </row>
    <row r="193" spans="1:3" ht="12.75" x14ac:dyDescent="0.2">
      <c r="A193" s="8">
        <v>42729</v>
      </c>
      <c r="B193" s="7" t="s">
        <v>411</v>
      </c>
      <c r="C193" s="6" t="s">
        <v>410</v>
      </c>
    </row>
    <row r="194" spans="1:3" ht="12.75" x14ac:dyDescent="0.2">
      <c r="A194" s="8">
        <v>42736</v>
      </c>
      <c r="B194" s="7" t="s">
        <v>411</v>
      </c>
      <c r="C194" s="6" t="s">
        <v>396</v>
      </c>
    </row>
    <row r="195" spans="1:3" ht="12.75" x14ac:dyDescent="0.2">
      <c r="A195" s="8">
        <v>42793</v>
      </c>
      <c r="B195" s="7" t="s">
        <v>395</v>
      </c>
      <c r="C195" s="6" t="s">
        <v>397</v>
      </c>
    </row>
    <row r="196" spans="1:3" ht="12.75" x14ac:dyDescent="0.2">
      <c r="A196" s="8">
        <v>42794</v>
      </c>
      <c r="B196" s="7" t="s">
        <v>398</v>
      </c>
      <c r="C196" s="6" t="s">
        <v>397</v>
      </c>
    </row>
    <row r="197" spans="1:3" ht="12.75" x14ac:dyDescent="0.2">
      <c r="A197" s="8">
        <v>42839</v>
      </c>
      <c r="B197" s="7" t="s">
        <v>399</v>
      </c>
      <c r="C197" s="6" t="s">
        <v>400</v>
      </c>
    </row>
    <row r="198" spans="1:3" ht="12.75" x14ac:dyDescent="0.2">
      <c r="A198" s="8">
        <v>42846</v>
      </c>
      <c r="B198" s="7" t="s">
        <v>399</v>
      </c>
      <c r="C198" s="6" t="s">
        <v>402</v>
      </c>
    </row>
    <row r="199" spans="1:3" ht="12.75" x14ac:dyDescent="0.2">
      <c r="A199" s="8">
        <v>42856</v>
      </c>
      <c r="B199" s="7" t="s">
        <v>395</v>
      </c>
      <c r="C199" s="6" t="s">
        <v>403</v>
      </c>
    </row>
    <row r="200" spans="1:3" ht="12.75" x14ac:dyDescent="0.2">
      <c r="A200" s="8">
        <v>42901</v>
      </c>
      <c r="B200" s="7" t="s">
        <v>404</v>
      </c>
      <c r="C200" s="6" t="s">
        <v>405</v>
      </c>
    </row>
    <row r="201" spans="1:3" ht="12.75" x14ac:dyDescent="0.2">
      <c r="A201" s="8">
        <v>42985</v>
      </c>
      <c r="B201" s="7" t="s">
        <v>404</v>
      </c>
      <c r="C201" s="6" t="s">
        <v>406</v>
      </c>
    </row>
    <row r="202" spans="1:3" ht="13.5" x14ac:dyDescent="0.2">
      <c r="A202" s="8">
        <v>43020</v>
      </c>
      <c r="B202" s="7" t="s">
        <v>404</v>
      </c>
      <c r="C202" s="6" t="s">
        <v>407</v>
      </c>
    </row>
    <row r="203" spans="1:3" ht="12.75" x14ac:dyDescent="0.2">
      <c r="A203" s="8">
        <v>43041</v>
      </c>
      <c r="B203" s="7" t="s">
        <v>404</v>
      </c>
      <c r="C203" s="6" t="s">
        <v>408</v>
      </c>
    </row>
    <row r="204" spans="1:3" ht="12.75" x14ac:dyDescent="0.2">
      <c r="A204" s="8">
        <v>43054</v>
      </c>
      <c r="B204" s="7" t="s">
        <v>412</v>
      </c>
      <c r="C204" s="6" t="s">
        <v>409</v>
      </c>
    </row>
    <row r="205" spans="1:3" ht="12.75" x14ac:dyDescent="0.2">
      <c r="A205" s="8">
        <v>43094</v>
      </c>
      <c r="B205" s="7" t="s">
        <v>395</v>
      </c>
      <c r="C205" s="6" t="s">
        <v>410</v>
      </c>
    </row>
    <row r="206" spans="1:3" ht="12.75" x14ac:dyDescent="0.2">
      <c r="A206" s="8">
        <v>43101</v>
      </c>
      <c r="B206" s="7" t="s">
        <v>395</v>
      </c>
      <c r="C206" s="6" t="s">
        <v>396</v>
      </c>
    </row>
    <row r="207" spans="1:3" ht="12.75" x14ac:dyDescent="0.2">
      <c r="A207" s="8">
        <v>43143</v>
      </c>
      <c r="B207" s="7" t="s">
        <v>395</v>
      </c>
      <c r="C207" s="6" t="s">
        <v>397</v>
      </c>
    </row>
    <row r="208" spans="1:3" ht="12.75" x14ac:dyDescent="0.2">
      <c r="A208" s="8">
        <v>43144</v>
      </c>
      <c r="B208" s="7" t="s">
        <v>398</v>
      </c>
      <c r="C208" s="6" t="s">
        <v>397</v>
      </c>
    </row>
    <row r="209" spans="1:3" ht="12.75" x14ac:dyDescent="0.2">
      <c r="A209" s="8">
        <v>43189</v>
      </c>
      <c r="B209" s="7" t="s">
        <v>399</v>
      </c>
      <c r="C209" s="6" t="s">
        <v>400</v>
      </c>
    </row>
    <row r="210" spans="1:3" ht="12.75" x14ac:dyDescent="0.2">
      <c r="A210" s="8">
        <v>43211</v>
      </c>
      <c r="B210" s="7" t="s">
        <v>401</v>
      </c>
      <c r="C210" s="6" t="s">
        <v>402</v>
      </c>
    </row>
    <row r="211" spans="1:3" ht="12.75" x14ac:dyDescent="0.2">
      <c r="A211" s="8">
        <v>43221</v>
      </c>
      <c r="B211" s="7" t="s">
        <v>398</v>
      </c>
      <c r="C211" s="6" t="s">
        <v>403</v>
      </c>
    </row>
    <row r="212" spans="1:3" ht="12.75" x14ac:dyDescent="0.2">
      <c r="A212" s="8">
        <v>43251</v>
      </c>
      <c r="B212" s="7" t="s">
        <v>404</v>
      </c>
      <c r="C212" s="6" t="s">
        <v>405</v>
      </c>
    </row>
    <row r="213" spans="1:3" ht="12.75" x14ac:dyDescent="0.2">
      <c r="A213" s="8">
        <v>43350</v>
      </c>
      <c r="B213" s="7" t="s">
        <v>399</v>
      </c>
      <c r="C213" s="6" t="s">
        <v>406</v>
      </c>
    </row>
    <row r="214" spans="1:3" ht="13.5" x14ac:dyDescent="0.2">
      <c r="A214" s="8">
        <v>43385</v>
      </c>
      <c r="B214" s="7" t="s">
        <v>399</v>
      </c>
      <c r="C214" s="6" t="s">
        <v>407</v>
      </c>
    </row>
    <row r="215" spans="1:3" ht="12.75" x14ac:dyDescent="0.2">
      <c r="A215" s="8">
        <v>43406</v>
      </c>
      <c r="B215" s="7" t="s">
        <v>399</v>
      </c>
      <c r="C215" s="6" t="s">
        <v>408</v>
      </c>
    </row>
    <row r="216" spans="1:3" ht="12.75" x14ac:dyDescent="0.2">
      <c r="A216" s="8">
        <v>43419</v>
      </c>
      <c r="B216" s="7" t="s">
        <v>404</v>
      </c>
      <c r="C216" s="6" t="s">
        <v>409</v>
      </c>
    </row>
    <row r="217" spans="1:3" ht="12.75" x14ac:dyDescent="0.2">
      <c r="A217" s="8">
        <v>43459</v>
      </c>
      <c r="B217" s="7" t="s">
        <v>398</v>
      </c>
      <c r="C217" s="6" t="s">
        <v>410</v>
      </c>
    </row>
    <row r="218" spans="1:3" ht="12.75" x14ac:dyDescent="0.2">
      <c r="A218" s="8">
        <v>43466</v>
      </c>
      <c r="B218" s="7" t="s">
        <v>398</v>
      </c>
      <c r="C218" s="6" t="s">
        <v>396</v>
      </c>
    </row>
    <row r="219" spans="1:3" ht="12.75" x14ac:dyDescent="0.2">
      <c r="A219" s="8">
        <v>43528</v>
      </c>
      <c r="B219" s="7" t="s">
        <v>395</v>
      </c>
      <c r="C219" s="6" t="s">
        <v>397</v>
      </c>
    </row>
    <row r="220" spans="1:3" ht="12.75" x14ac:dyDescent="0.2">
      <c r="A220" s="8">
        <v>43529</v>
      </c>
      <c r="B220" s="7" t="s">
        <v>398</v>
      </c>
      <c r="C220" s="6" t="s">
        <v>397</v>
      </c>
    </row>
    <row r="221" spans="1:3" ht="12.75" x14ac:dyDescent="0.2">
      <c r="A221" s="8">
        <v>43574</v>
      </c>
      <c r="B221" s="7" t="s">
        <v>399</v>
      </c>
      <c r="C221" s="6" t="s">
        <v>400</v>
      </c>
    </row>
    <row r="222" spans="1:3" ht="12.75" x14ac:dyDescent="0.2">
      <c r="A222" s="8">
        <v>43576</v>
      </c>
      <c r="B222" s="7" t="s">
        <v>411</v>
      </c>
      <c r="C222" s="6" t="s">
        <v>402</v>
      </c>
    </row>
    <row r="223" spans="1:3" ht="12.75" x14ac:dyDescent="0.2">
      <c r="A223" s="8">
        <v>43586</v>
      </c>
      <c r="B223" s="7" t="s">
        <v>412</v>
      </c>
      <c r="C223" s="6" t="s">
        <v>403</v>
      </c>
    </row>
    <row r="224" spans="1:3" ht="12.75" x14ac:dyDescent="0.2">
      <c r="A224" s="8">
        <v>43636</v>
      </c>
      <c r="B224" s="7" t="s">
        <v>404</v>
      </c>
      <c r="C224" s="6" t="s">
        <v>405</v>
      </c>
    </row>
    <row r="225" spans="1:3" ht="12.75" x14ac:dyDescent="0.2">
      <c r="A225" s="8">
        <v>43715</v>
      </c>
      <c r="B225" s="7" t="s">
        <v>401</v>
      </c>
      <c r="C225" s="6" t="s">
        <v>406</v>
      </c>
    </row>
    <row r="226" spans="1:3" ht="13.5" x14ac:dyDescent="0.2">
      <c r="A226" s="8">
        <v>43750</v>
      </c>
      <c r="B226" s="7" t="s">
        <v>401</v>
      </c>
      <c r="C226" s="6" t="s">
        <v>407</v>
      </c>
    </row>
    <row r="227" spans="1:3" ht="12.75" x14ac:dyDescent="0.2">
      <c r="A227" s="8">
        <v>43771</v>
      </c>
      <c r="B227" s="7" t="s">
        <v>401</v>
      </c>
      <c r="C227" s="6" t="s">
        <v>408</v>
      </c>
    </row>
    <row r="228" spans="1:3" ht="12.75" x14ac:dyDescent="0.2">
      <c r="A228" s="8">
        <v>43784</v>
      </c>
      <c r="B228" s="7" t="s">
        <v>399</v>
      </c>
      <c r="C228" s="6" t="s">
        <v>409</v>
      </c>
    </row>
    <row r="229" spans="1:3" ht="12.75" x14ac:dyDescent="0.2">
      <c r="A229" s="8">
        <v>43824</v>
      </c>
      <c r="B229" s="7" t="s">
        <v>412</v>
      </c>
      <c r="C229" s="6" t="s">
        <v>410</v>
      </c>
    </row>
    <row r="230" spans="1:3" ht="12.75" x14ac:dyDescent="0.2">
      <c r="A230" s="8">
        <v>43831</v>
      </c>
      <c r="B230" s="7" t="s">
        <v>412</v>
      </c>
      <c r="C230" s="6" t="s">
        <v>396</v>
      </c>
    </row>
    <row r="231" spans="1:3" ht="12.75" x14ac:dyDescent="0.2">
      <c r="A231" s="8">
        <v>43885</v>
      </c>
      <c r="B231" s="7" t="s">
        <v>395</v>
      </c>
      <c r="C231" s="6" t="s">
        <v>397</v>
      </c>
    </row>
    <row r="232" spans="1:3" ht="12.75" x14ac:dyDescent="0.2">
      <c r="A232" s="8">
        <v>43886</v>
      </c>
      <c r="B232" s="7" t="s">
        <v>398</v>
      </c>
      <c r="C232" s="6" t="s">
        <v>397</v>
      </c>
    </row>
    <row r="233" spans="1:3" ht="12.75" x14ac:dyDescent="0.2">
      <c r="A233" s="8">
        <v>43931</v>
      </c>
      <c r="B233" s="7" t="s">
        <v>399</v>
      </c>
      <c r="C233" s="6" t="s">
        <v>400</v>
      </c>
    </row>
    <row r="234" spans="1:3" ht="12.75" x14ac:dyDescent="0.2">
      <c r="A234" s="8">
        <v>43942</v>
      </c>
      <c r="B234" s="7" t="s">
        <v>398</v>
      </c>
      <c r="C234" s="6" t="s">
        <v>402</v>
      </c>
    </row>
    <row r="235" spans="1:3" ht="12.75" x14ac:dyDescent="0.2">
      <c r="A235" s="8">
        <v>43952</v>
      </c>
      <c r="B235" s="7" t="s">
        <v>399</v>
      </c>
      <c r="C235" s="6" t="s">
        <v>403</v>
      </c>
    </row>
    <row r="236" spans="1:3" ht="12.75" x14ac:dyDescent="0.2">
      <c r="A236" s="8">
        <v>43993</v>
      </c>
      <c r="B236" s="7" t="s">
        <v>404</v>
      </c>
      <c r="C236" s="6" t="s">
        <v>405</v>
      </c>
    </row>
    <row r="237" spans="1:3" ht="12.75" x14ac:dyDescent="0.2">
      <c r="A237" s="8">
        <v>44081</v>
      </c>
      <c r="B237" s="7" t="s">
        <v>395</v>
      </c>
      <c r="C237" s="6" t="s">
        <v>406</v>
      </c>
    </row>
    <row r="238" spans="1:3" ht="13.5" x14ac:dyDescent="0.2">
      <c r="A238" s="8">
        <v>44116</v>
      </c>
      <c r="B238" s="7" t="s">
        <v>395</v>
      </c>
      <c r="C238" s="6" t="s">
        <v>407</v>
      </c>
    </row>
    <row r="239" spans="1:3" ht="12.75" x14ac:dyDescent="0.2">
      <c r="A239" s="8">
        <v>44137</v>
      </c>
      <c r="B239" s="7" t="s">
        <v>395</v>
      </c>
      <c r="C239" s="6" t="s">
        <v>408</v>
      </c>
    </row>
    <row r="240" spans="1:3" ht="12.75" x14ac:dyDescent="0.2">
      <c r="A240" s="8">
        <v>44150</v>
      </c>
      <c r="B240" s="7" t="s">
        <v>411</v>
      </c>
      <c r="C240" s="6" t="s">
        <v>409</v>
      </c>
    </row>
    <row r="241" spans="1:3" ht="12.75" x14ac:dyDescent="0.2">
      <c r="A241" s="8">
        <v>44190</v>
      </c>
      <c r="B241" s="7" t="s">
        <v>399</v>
      </c>
      <c r="C241" s="6" t="s">
        <v>410</v>
      </c>
    </row>
    <row r="242" spans="1:3" ht="12.75" x14ac:dyDescent="0.2">
      <c r="A242" s="8">
        <v>44197</v>
      </c>
      <c r="B242" s="7" t="s">
        <v>399</v>
      </c>
      <c r="C242" s="6" t="s">
        <v>396</v>
      </c>
    </row>
    <row r="243" spans="1:3" ht="12.75" x14ac:dyDescent="0.2">
      <c r="A243" s="8">
        <v>44242</v>
      </c>
      <c r="B243" s="7" t="s">
        <v>395</v>
      </c>
      <c r="C243" s="6" t="s">
        <v>397</v>
      </c>
    </row>
    <row r="244" spans="1:3" ht="12.75" x14ac:dyDescent="0.2">
      <c r="A244" s="8">
        <v>44243</v>
      </c>
      <c r="B244" s="7" t="s">
        <v>398</v>
      </c>
      <c r="C244" s="6" t="s">
        <v>397</v>
      </c>
    </row>
    <row r="245" spans="1:3" ht="12.75" x14ac:dyDescent="0.2">
      <c r="A245" s="8">
        <v>44288</v>
      </c>
      <c r="B245" s="7" t="s">
        <v>399</v>
      </c>
      <c r="C245" s="6" t="s">
        <v>400</v>
      </c>
    </row>
    <row r="246" spans="1:3" ht="12.75" x14ac:dyDescent="0.2">
      <c r="A246" s="8">
        <v>44307</v>
      </c>
      <c r="B246" s="7" t="s">
        <v>412</v>
      </c>
      <c r="C246" s="6" t="s">
        <v>402</v>
      </c>
    </row>
    <row r="247" spans="1:3" ht="12.75" x14ac:dyDescent="0.2">
      <c r="A247" s="8">
        <v>44317</v>
      </c>
      <c r="B247" s="7" t="s">
        <v>401</v>
      </c>
      <c r="C247" s="6" t="s">
        <v>403</v>
      </c>
    </row>
    <row r="248" spans="1:3" ht="12.75" x14ac:dyDescent="0.2">
      <c r="A248" s="8">
        <v>44350</v>
      </c>
      <c r="B248" s="7" t="s">
        <v>404</v>
      </c>
      <c r="C248" s="6" t="s">
        <v>405</v>
      </c>
    </row>
    <row r="249" spans="1:3" ht="12.75" x14ac:dyDescent="0.2">
      <c r="A249" s="8">
        <v>44446</v>
      </c>
      <c r="B249" s="7" t="s">
        <v>398</v>
      </c>
      <c r="C249" s="6" t="s">
        <v>406</v>
      </c>
    </row>
    <row r="250" spans="1:3" ht="13.5" x14ac:dyDescent="0.2">
      <c r="A250" s="8">
        <v>44481</v>
      </c>
      <c r="B250" s="7" t="s">
        <v>398</v>
      </c>
      <c r="C250" s="6" t="s">
        <v>407</v>
      </c>
    </row>
    <row r="251" spans="1:3" ht="12.75" x14ac:dyDescent="0.2">
      <c r="A251" s="8">
        <v>44502</v>
      </c>
      <c r="B251" s="7" t="s">
        <v>398</v>
      </c>
      <c r="C251" s="6" t="s">
        <v>408</v>
      </c>
    </row>
    <row r="252" spans="1:3" ht="12.75" x14ac:dyDescent="0.2">
      <c r="A252" s="8">
        <v>44515</v>
      </c>
      <c r="B252" s="7" t="s">
        <v>395</v>
      </c>
      <c r="C252" s="6" t="s">
        <v>409</v>
      </c>
    </row>
    <row r="253" spans="1:3" ht="12.75" x14ac:dyDescent="0.2">
      <c r="A253" s="8">
        <v>44555</v>
      </c>
      <c r="B253" s="7" t="s">
        <v>401</v>
      </c>
      <c r="C253" s="6" t="s">
        <v>410</v>
      </c>
    </row>
    <row r="254" spans="1:3" ht="12.75" x14ac:dyDescent="0.2">
      <c r="A254" s="8">
        <v>44562</v>
      </c>
      <c r="B254" s="7" t="s">
        <v>401</v>
      </c>
      <c r="C254" s="6" t="s">
        <v>396</v>
      </c>
    </row>
    <row r="255" spans="1:3" ht="12.75" x14ac:dyDescent="0.2">
      <c r="A255" s="8">
        <v>44620</v>
      </c>
      <c r="B255" s="7" t="s">
        <v>395</v>
      </c>
      <c r="C255" s="6" t="s">
        <v>397</v>
      </c>
    </row>
    <row r="256" spans="1:3" ht="12.75" x14ac:dyDescent="0.2">
      <c r="A256" s="8">
        <v>44621</v>
      </c>
      <c r="B256" s="7" t="s">
        <v>398</v>
      </c>
      <c r="C256" s="6" t="s">
        <v>397</v>
      </c>
    </row>
    <row r="257" spans="1:3" ht="12.75" x14ac:dyDescent="0.2">
      <c r="A257" s="8">
        <v>44666</v>
      </c>
      <c r="B257" s="7" t="s">
        <v>399</v>
      </c>
      <c r="C257" s="6" t="s">
        <v>400</v>
      </c>
    </row>
    <row r="258" spans="1:3" ht="12.75" x14ac:dyDescent="0.2">
      <c r="A258" s="8">
        <v>44672</v>
      </c>
      <c r="B258" s="7" t="s">
        <v>404</v>
      </c>
      <c r="C258" s="6" t="s">
        <v>402</v>
      </c>
    </row>
    <row r="259" spans="1:3" ht="12.75" x14ac:dyDescent="0.2">
      <c r="A259" s="8">
        <v>44682</v>
      </c>
      <c r="B259" s="7" t="s">
        <v>411</v>
      </c>
      <c r="C259" s="6" t="s">
        <v>403</v>
      </c>
    </row>
    <row r="260" spans="1:3" ht="12.75" x14ac:dyDescent="0.2">
      <c r="A260" s="8">
        <v>44728</v>
      </c>
      <c r="B260" s="7" t="s">
        <v>404</v>
      </c>
      <c r="C260" s="6" t="s">
        <v>405</v>
      </c>
    </row>
    <row r="261" spans="1:3" ht="12.75" x14ac:dyDescent="0.2">
      <c r="A261" s="8">
        <v>44811</v>
      </c>
      <c r="B261" s="7" t="s">
        <v>412</v>
      </c>
      <c r="C261" s="6" t="s">
        <v>406</v>
      </c>
    </row>
    <row r="262" spans="1:3" ht="13.5" x14ac:dyDescent="0.2">
      <c r="A262" s="8">
        <v>44846</v>
      </c>
      <c r="B262" s="7" t="s">
        <v>412</v>
      </c>
      <c r="C262" s="6" t="s">
        <v>407</v>
      </c>
    </row>
    <row r="263" spans="1:3" ht="12.75" x14ac:dyDescent="0.2">
      <c r="A263" s="8">
        <v>44867</v>
      </c>
      <c r="B263" s="7" t="s">
        <v>412</v>
      </c>
      <c r="C263" s="6" t="s">
        <v>408</v>
      </c>
    </row>
    <row r="264" spans="1:3" ht="12.75" x14ac:dyDescent="0.2">
      <c r="A264" s="8">
        <v>44880</v>
      </c>
      <c r="B264" s="7" t="s">
        <v>398</v>
      </c>
      <c r="C264" s="6" t="s">
        <v>409</v>
      </c>
    </row>
    <row r="265" spans="1:3" ht="12.75" x14ac:dyDescent="0.2">
      <c r="A265" s="8">
        <v>44920</v>
      </c>
      <c r="B265" s="7" t="s">
        <v>411</v>
      </c>
      <c r="C265" s="6" t="s">
        <v>410</v>
      </c>
    </row>
    <row r="266" spans="1:3" ht="12.75" x14ac:dyDescent="0.2">
      <c r="A266" s="8">
        <v>44927</v>
      </c>
      <c r="B266" s="7" t="s">
        <v>411</v>
      </c>
      <c r="C266" s="6" t="s">
        <v>396</v>
      </c>
    </row>
    <row r="267" spans="1:3" ht="12.75" x14ac:dyDescent="0.2">
      <c r="A267" s="8">
        <v>44977</v>
      </c>
      <c r="B267" s="7" t="s">
        <v>395</v>
      </c>
      <c r="C267" s="6" t="s">
        <v>397</v>
      </c>
    </row>
    <row r="268" spans="1:3" ht="12.75" x14ac:dyDescent="0.2">
      <c r="A268" s="8">
        <v>44978</v>
      </c>
      <c r="B268" s="7" t="s">
        <v>398</v>
      </c>
      <c r="C268" s="6" t="s">
        <v>397</v>
      </c>
    </row>
    <row r="269" spans="1:3" ht="12.75" x14ac:dyDescent="0.2">
      <c r="A269" s="8">
        <v>45023</v>
      </c>
      <c r="B269" s="7" t="s">
        <v>399</v>
      </c>
      <c r="C269" s="6" t="s">
        <v>400</v>
      </c>
    </row>
    <row r="270" spans="1:3" ht="12.75" x14ac:dyDescent="0.2">
      <c r="A270" s="8">
        <v>45037</v>
      </c>
      <c r="B270" s="7" t="s">
        <v>399</v>
      </c>
      <c r="C270" s="6" t="s">
        <v>402</v>
      </c>
    </row>
    <row r="271" spans="1:3" ht="12.75" x14ac:dyDescent="0.2">
      <c r="A271" s="8">
        <v>45047</v>
      </c>
      <c r="B271" s="7" t="s">
        <v>395</v>
      </c>
      <c r="C271" s="6" t="s">
        <v>403</v>
      </c>
    </row>
    <row r="272" spans="1:3" ht="12.75" x14ac:dyDescent="0.2">
      <c r="A272" s="8">
        <v>45085</v>
      </c>
      <c r="B272" s="7" t="s">
        <v>404</v>
      </c>
      <c r="C272" s="6" t="s">
        <v>405</v>
      </c>
    </row>
    <row r="273" spans="1:3" ht="12.75" x14ac:dyDescent="0.2">
      <c r="A273" s="8">
        <v>45176</v>
      </c>
      <c r="B273" s="7" t="s">
        <v>404</v>
      </c>
      <c r="C273" s="6" t="s">
        <v>406</v>
      </c>
    </row>
    <row r="274" spans="1:3" ht="13.5" x14ac:dyDescent="0.2">
      <c r="A274" s="8">
        <v>45211</v>
      </c>
      <c r="B274" s="7" t="s">
        <v>404</v>
      </c>
      <c r="C274" s="6" t="s">
        <v>407</v>
      </c>
    </row>
    <row r="275" spans="1:3" ht="12.75" x14ac:dyDescent="0.2">
      <c r="A275" s="8">
        <v>45232</v>
      </c>
      <c r="B275" s="7" t="s">
        <v>404</v>
      </c>
      <c r="C275" s="6" t="s">
        <v>408</v>
      </c>
    </row>
    <row r="276" spans="1:3" ht="12.75" x14ac:dyDescent="0.2">
      <c r="A276" s="8">
        <v>45245</v>
      </c>
      <c r="B276" s="7" t="s">
        <v>412</v>
      </c>
      <c r="C276" s="6" t="s">
        <v>409</v>
      </c>
    </row>
    <row r="277" spans="1:3" ht="12.75" x14ac:dyDescent="0.2">
      <c r="A277" s="8">
        <v>45285</v>
      </c>
      <c r="B277" s="7" t="s">
        <v>395</v>
      </c>
      <c r="C277" s="6" t="s">
        <v>410</v>
      </c>
    </row>
    <row r="278" spans="1:3" ht="12.75" x14ac:dyDescent="0.2">
      <c r="A278" s="8">
        <v>45292</v>
      </c>
      <c r="B278" s="7" t="s">
        <v>395</v>
      </c>
      <c r="C278" s="6" t="s">
        <v>396</v>
      </c>
    </row>
    <row r="279" spans="1:3" ht="12.75" x14ac:dyDescent="0.2">
      <c r="A279" s="8">
        <v>45334</v>
      </c>
      <c r="B279" s="7" t="s">
        <v>395</v>
      </c>
      <c r="C279" s="6" t="s">
        <v>397</v>
      </c>
    </row>
    <row r="280" spans="1:3" ht="12.75" x14ac:dyDescent="0.2">
      <c r="A280" s="8">
        <v>45335</v>
      </c>
      <c r="B280" s="7" t="s">
        <v>398</v>
      </c>
      <c r="C280" s="6" t="s">
        <v>397</v>
      </c>
    </row>
    <row r="281" spans="1:3" ht="12.75" x14ac:dyDescent="0.2">
      <c r="A281" s="8">
        <v>45380</v>
      </c>
      <c r="B281" s="7" t="s">
        <v>399</v>
      </c>
      <c r="C281" s="6" t="s">
        <v>400</v>
      </c>
    </row>
    <row r="282" spans="1:3" ht="12.75" x14ac:dyDescent="0.2">
      <c r="A282" s="8">
        <v>45403</v>
      </c>
      <c r="B282" s="7" t="s">
        <v>411</v>
      </c>
      <c r="C282" s="6" t="s">
        <v>402</v>
      </c>
    </row>
    <row r="283" spans="1:3" ht="12.75" x14ac:dyDescent="0.2">
      <c r="A283" s="8">
        <v>45413</v>
      </c>
      <c r="B283" s="7" t="s">
        <v>412</v>
      </c>
      <c r="C283" s="6" t="s">
        <v>403</v>
      </c>
    </row>
    <row r="284" spans="1:3" ht="12.75" x14ac:dyDescent="0.2">
      <c r="A284" s="8">
        <v>45442</v>
      </c>
      <c r="B284" s="7" t="s">
        <v>404</v>
      </c>
      <c r="C284" s="6" t="s">
        <v>405</v>
      </c>
    </row>
    <row r="285" spans="1:3" ht="12.75" x14ac:dyDescent="0.2">
      <c r="A285" s="8">
        <v>45542</v>
      </c>
      <c r="B285" s="7" t="s">
        <v>401</v>
      </c>
      <c r="C285" s="6" t="s">
        <v>406</v>
      </c>
    </row>
    <row r="286" spans="1:3" ht="13.5" x14ac:dyDescent="0.2">
      <c r="A286" s="8">
        <v>45577</v>
      </c>
      <c r="B286" s="7" t="s">
        <v>401</v>
      </c>
      <c r="C286" s="6" t="s">
        <v>407</v>
      </c>
    </row>
    <row r="287" spans="1:3" ht="12.75" x14ac:dyDescent="0.2">
      <c r="A287" s="8">
        <v>45598</v>
      </c>
      <c r="B287" s="7" t="s">
        <v>401</v>
      </c>
      <c r="C287" s="6" t="s">
        <v>408</v>
      </c>
    </row>
    <row r="288" spans="1:3" ht="12.75" x14ac:dyDescent="0.2">
      <c r="A288" s="8">
        <v>45611</v>
      </c>
      <c r="B288" s="7" t="s">
        <v>399</v>
      </c>
      <c r="C288" s="6" t="s">
        <v>409</v>
      </c>
    </row>
    <row r="289" spans="1:3" ht="12.75" x14ac:dyDescent="0.2">
      <c r="A289" s="8">
        <v>45651</v>
      </c>
      <c r="B289" s="7" t="s">
        <v>412</v>
      </c>
      <c r="C289" s="6" t="s">
        <v>410</v>
      </c>
    </row>
    <row r="290" spans="1:3" ht="12.75" x14ac:dyDescent="0.2">
      <c r="A290" s="8">
        <v>45658</v>
      </c>
      <c r="B290" s="7" t="s">
        <v>412</v>
      </c>
      <c r="C290" s="6" t="s">
        <v>396</v>
      </c>
    </row>
    <row r="291" spans="1:3" ht="12.75" x14ac:dyDescent="0.2">
      <c r="A291" s="8">
        <v>45719</v>
      </c>
      <c r="B291" s="7" t="s">
        <v>395</v>
      </c>
      <c r="C291" s="6" t="s">
        <v>397</v>
      </c>
    </row>
    <row r="292" spans="1:3" ht="12.75" x14ac:dyDescent="0.2">
      <c r="A292" s="8">
        <v>45720</v>
      </c>
      <c r="B292" s="7" t="s">
        <v>398</v>
      </c>
      <c r="C292" s="6" t="s">
        <v>397</v>
      </c>
    </row>
    <row r="293" spans="1:3" ht="12.75" x14ac:dyDescent="0.2">
      <c r="A293" s="8">
        <v>45765</v>
      </c>
      <c r="B293" s="7" t="s">
        <v>399</v>
      </c>
      <c r="C293" s="6" t="s">
        <v>400</v>
      </c>
    </row>
    <row r="294" spans="1:3" ht="12.75" x14ac:dyDescent="0.2">
      <c r="A294" s="8">
        <v>45768</v>
      </c>
      <c r="B294" s="7" t="s">
        <v>395</v>
      </c>
      <c r="C294" s="6" t="s">
        <v>402</v>
      </c>
    </row>
    <row r="295" spans="1:3" ht="12.75" x14ac:dyDescent="0.2">
      <c r="A295" s="8">
        <v>45778</v>
      </c>
      <c r="B295" s="7" t="s">
        <v>404</v>
      </c>
      <c r="C295" s="6" t="s">
        <v>403</v>
      </c>
    </row>
    <row r="296" spans="1:3" ht="12.75" x14ac:dyDescent="0.2">
      <c r="A296" s="8">
        <v>45827</v>
      </c>
      <c r="B296" s="7" t="s">
        <v>404</v>
      </c>
      <c r="C296" s="6" t="s">
        <v>405</v>
      </c>
    </row>
    <row r="297" spans="1:3" ht="12.75" x14ac:dyDescent="0.2">
      <c r="A297" s="8">
        <v>45907</v>
      </c>
      <c r="B297" s="7" t="s">
        <v>411</v>
      </c>
      <c r="C297" s="6" t="s">
        <v>406</v>
      </c>
    </row>
    <row r="298" spans="1:3" ht="13.5" x14ac:dyDescent="0.2">
      <c r="A298" s="8">
        <v>45942</v>
      </c>
      <c r="B298" s="7" t="s">
        <v>411</v>
      </c>
      <c r="C298" s="6" t="s">
        <v>407</v>
      </c>
    </row>
    <row r="299" spans="1:3" ht="12.75" x14ac:dyDescent="0.2">
      <c r="A299" s="8">
        <v>45963</v>
      </c>
      <c r="B299" s="7" t="s">
        <v>411</v>
      </c>
      <c r="C299" s="6" t="s">
        <v>408</v>
      </c>
    </row>
    <row r="300" spans="1:3" ht="12.75" x14ac:dyDescent="0.2">
      <c r="A300" s="8">
        <v>45976</v>
      </c>
      <c r="B300" s="7" t="s">
        <v>401</v>
      </c>
      <c r="C300" s="6" t="s">
        <v>409</v>
      </c>
    </row>
    <row r="301" spans="1:3" ht="12.75" x14ac:dyDescent="0.2">
      <c r="A301" s="8">
        <v>46016</v>
      </c>
      <c r="B301" s="7" t="s">
        <v>404</v>
      </c>
      <c r="C301" s="6" t="s">
        <v>410</v>
      </c>
    </row>
    <row r="302" spans="1:3" ht="12.75" x14ac:dyDescent="0.2">
      <c r="A302" s="8">
        <v>46023</v>
      </c>
      <c r="B302" s="7" t="s">
        <v>404</v>
      </c>
      <c r="C302" s="6" t="s">
        <v>396</v>
      </c>
    </row>
    <row r="303" spans="1:3" ht="12.75" x14ac:dyDescent="0.2">
      <c r="A303" s="8">
        <v>46069</v>
      </c>
      <c r="B303" s="7" t="s">
        <v>395</v>
      </c>
      <c r="C303" s="6" t="s">
        <v>397</v>
      </c>
    </row>
    <row r="304" spans="1:3" ht="12.75" x14ac:dyDescent="0.2">
      <c r="A304" s="8">
        <v>46070</v>
      </c>
      <c r="B304" s="7" t="s">
        <v>398</v>
      </c>
      <c r="C304" s="6" t="s">
        <v>397</v>
      </c>
    </row>
    <row r="305" spans="1:3" ht="12.75" x14ac:dyDescent="0.2">
      <c r="A305" s="8">
        <v>46115</v>
      </c>
      <c r="B305" s="7" t="s">
        <v>399</v>
      </c>
      <c r="C305" s="6" t="s">
        <v>400</v>
      </c>
    </row>
    <row r="306" spans="1:3" ht="12.75" x14ac:dyDescent="0.2">
      <c r="A306" s="8">
        <v>46133</v>
      </c>
      <c r="B306" s="7" t="s">
        <v>398</v>
      </c>
      <c r="C306" s="6" t="s">
        <v>402</v>
      </c>
    </row>
    <row r="307" spans="1:3" ht="12.75" x14ac:dyDescent="0.2">
      <c r="A307" s="8">
        <v>46143</v>
      </c>
      <c r="B307" s="7" t="s">
        <v>399</v>
      </c>
      <c r="C307" s="6" t="s">
        <v>403</v>
      </c>
    </row>
    <row r="308" spans="1:3" ht="12.75" x14ac:dyDescent="0.2">
      <c r="A308" s="8">
        <v>46177</v>
      </c>
      <c r="B308" s="7" t="s">
        <v>404</v>
      </c>
      <c r="C308" s="6" t="s">
        <v>405</v>
      </c>
    </row>
    <row r="309" spans="1:3" ht="12.75" x14ac:dyDescent="0.2">
      <c r="A309" s="8">
        <v>46272</v>
      </c>
      <c r="B309" s="7" t="s">
        <v>395</v>
      </c>
      <c r="C309" s="6" t="s">
        <v>406</v>
      </c>
    </row>
    <row r="310" spans="1:3" ht="13.5" x14ac:dyDescent="0.2">
      <c r="A310" s="8">
        <v>46307</v>
      </c>
      <c r="B310" s="7" t="s">
        <v>395</v>
      </c>
      <c r="C310" s="6" t="s">
        <v>407</v>
      </c>
    </row>
    <row r="311" spans="1:3" ht="12.75" x14ac:dyDescent="0.2">
      <c r="A311" s="8">
        <v>46328</v>
      </c>
      <c r="B311" s="7" t="s">
        <v>395</v>
      </c>
      <c r="C311" s="6" t="s">
        <v>408</v>
      </c>
    </row>
    <row r="312" spans="1:3" ht="12.75" x14ac:dyDescent="0.2">
      <c r="A312" s="8">
        <v>46341</v>
      </c>
      <c r="B312" s="7" t="s">
        <v>411</v>
      </c>
      <c r="C312" s="6" t="s">
        <v>409</v>
      </c>
    </row>
    <row r="313" spans="1:3" ht="12.75" x14ac:dyDescent="0.2">
      <c r="A313" s="8">
        <v>46381</v>
      </c>
      <c r="B313" s="7" t="s">
        <v>399</v>
      </c>
      <c r="C313" s="6" t="s">
        <v>410</v>
      </c>
    </row>
    <row r="314" spans="1:3" ht="12.75" x14ac:dyDescent="0.2">
      <c r="A314" s="8">
        <v>46388</v>
      </c>
      <c r="B314" s="7" t="s">
        <v>399</v>
      </c>
      <c r="C314" s="6" t="s">
        <v>396</v>
      </c>
    </row>
    <row r="315" spans="1:3" ht="12.75" x14ac:dyDescent="0.2">
      <c r="A315" s="8">
        <v>46426</v>
      </c>
      <c r="B315" s="7" t="s">
        <v>395</v>
      </c>
      <c r="C315" s="6" t="s">
        <v>397</v>
      </c>
    </row>
    <row r="316" spans="1:3" ht="12.75" x14ac:dyDescent="0.2">
      <c r="A316" s="8">
        <v>46427</v>
      </c>
      <c r="B316" s="7" t="s">
        <v>398</v>
      </c>
      <c r="C316" s="6" t="s">
        <v>397</v>
      </c>
    </row>
    <row r="317" spans="1:3" ht="12.75" x14ac:dyDescent="0.2">
      <c r="A317" s="8">
        <v>46472</v>
      </c>
      <c r="B317" s="7" t="s">
        <v>399</v>
      </c>
      <c r="C317" s="6" t="s">
        <v>400</v>
      </c>
    </row>
    <row r="318" spans="1:3" ht="12.75" x14ac:dyDescent="0.2">
      <c r="A318" s="8">
        <v>46498</v>
      </c>
      <c r="B318" s="7" t="s">
        <v>412</v>
      </c>
      <c r="C318" s="6" t="s">
        <v>402</v>
      </c>
    </row>
    <row r="319" spans="1:3" ht="12.75" x14ac:dyDescent="0.2">
      <c r="A319" s="8">
        <v>46508</v>
      </c>
      <c r="B319" s="7" t="s">
        <v>401</v>
      </c>
      <c r="C319" s="6" t="s">
        <v>403</v>
      </c>
    </row>
    <row r="320" spans="1:3" ht="12.75" x14ac:dyDescent="0.2">
      <c r="A320" s="8">
        <v>46534</v>
      </c>
      <c r="B320" s="7" t="s">
        <v>404</v>
      </c>
      <c r="C320" s="6" t="s">
        <v>405</v>
      </c>
    </row>
    <row r="321" spans="1:3" ht="12.75" x14ac:dyDescent="0.2">
      <c r="A321" s="8">
        <v>46637</v>
      </c>
      <c r="B321" s="7" t="s">
        <v>398</v>
      </c>
      <c r="C321" s="6" t="s">
        <v>406</v>
      </c>
    </row>
    <row r="322" spans="1:3" ht="13.5" x14ac:dyDescent="0.2">
      <c r="A322" s="8">
        <v>46672</v>
      </c>
      <c r="B322" s="7" t="s">
        <v>398</v>
      </c>
      <c r="C322" s="6" t="s">
        <v>407</v>
      </c>
    </row>
    <row r="323" spans="1:3" ht="12.75" x14ac:dyDescent="0.2">
      <c r="A323" s="8">
        <v>46693</v>
      </c>
      <c r="B323" s="7" t="s">
        <v>398</v>
      </c>
      <c r="C323" s="6" t="s">
        <v>408</v>
      </c>
    </row>
    <row r="324" spans="1:3" ht="12.75" x14ac:dyDescent="0.2">
      <c r="A324" s="8">
        <v>46706</v>
      </c>
      <c r="B324" s="7" t="s">
        <v>395</v>
      </c>
      <c r="C324" s="6" t="s">
        <v>409</v>
      </c>
    </row>
    <row r="325" spans="1:3" ht="12.75" x14ac:dyDescent="0.2">
      <c r="A325" s="8">
        <v>46746</v>
      </c>
      <c r="B325" s="7" t="s">
        <v>401</v>
      </c>
      <c r="C325" s="6" t="s">
        <v>410</v>
      </c>
    </row>
    <row r="326" spans="1:3" ht="12.75" x14ac:dyDescent="0.2">
      <c r="A326" s="8">
        <v>46753</v>
      </c>
      <c r="B326" s="7" t="s">
        <v>401</v>
      </c>
      <c r="C326" s="6" t="s">
        <v>396</v>
      </c>
    </row>
    <row r="327" spans="1:3" ht="12.75" x14ac:dyDescent="0.2">
      <c r="A327" s="8">
        <v>46811</v>
      </c>
      <c r="B327" s="7" t="s">
        <v>395</v>
      </c>
      <c r="C327" s="6" t="s">
        <v>397</v>
      </c>
    </row>
    <row r="328" spans="1:3" ht="12.75" x14ac:dyDescent="0.2">
      <c r="A328" s="8">
        <v>46812</v>
      </c>
      <c r="B328" s="7" t="s">
        <v>398</v>
      </c>
      <c r="C328" s="6" t="s">
        <v>397</v>
      </c>
    </row>
    <row r="329" spans="1:3" ht="12.75" x14ac:dyDescent="0.2">
      <c r="A329" s="8">
        <v>46857</v>
      </c>
      <c r="B329" s="7" t="s">
        <v>399</v>
      </c>
      <c r="C329" s="6" t="s">
        <v>400</v>
      </c>
    </row>
    <row r="330" spans="1:3" ht="12.75" x14ac:dyDescent="0.2">
      <c r="A330" s="8">
        <v>46864</v>
      </c>
      <c r="B330" s="7" t="s">
        <v>399</v>
      </c>
      <c r="C330" s="6" t="s">
        <v>402</v>
      </c>
    </row>
    <row r="331" spans="1:3" ht="12.75" x14ac:dyDescent="0.2">
      <c r="A331" s="8">
        <v>46874</v>
      </c>
      <c r="B331" s="7" t="s">
        <v>395</v>
      </c>
      <c r="C331" s="6" t="s">
        <v>403</v>
      </c>
    </row>
    <row r="332" spans="1:3" ht="12.75" x14ac:dyDescent="0.2">
      <c r="A332" s="8">
        <v>46919</v>
      </c>
      <c r="B332" s="7" t="s">
        <v>404</v>
      </c>
      <c r="C332" s="6" t="s">
        <v>405</v>
      </c>
    </row>
    <row r="333" spans="1:3" ht="12.75" x14ac:dyDescent="0.2">
      <c r="A333" s="8">
        <v>47003</v>
      </c>
      <c r="B333" s="7" t="s">
        <v>404</v>
      </c>
      <c r="C333" s="6" t="s">
        <v>406</v>
      </c>
    </row>
    <row r="334" spans="1:3" ht="13.5" x14ac:dyDescent="0.2">
      <c r="A334" s="8">
        <v>47038</v>
      </c>
      <c r="B334" s="7" t="s">
        <v>404</v>
      </c>
      <c r="C334" s="6" t="s">
        <v>407</v>
      </c>
    </row>
    <row r="335" spans="1:3" ht="12.75" x14ac:dyDescent="0.2">
      <c r="A335" s="8">
        <v>47059</v>
      </c>
      <c r="B335" s="7" t="s">
        <v>404</v>
      </c>
      <c r="C335" s="6" t="s">
        <v>408</v>
      </c>
    </row>
    <row r="336" spans="1:3" ht="12.75" x14ac:dyDescent="0.2">
      <c r="A336" s="8">
        <v>47072</v>
      </c>
      <c r="B336" s="7" t="s">
        <v>412</v>
      </c>
      <c r="C336" s="6" t="s">
        <v>409</v>
      </c>
    </row>
    <row r="337" spans="1:3" ht="12.75" x14ac:dyDescent="0.2">
      <c r="A337" s="8">
        <v>47112</v>
      </c>
      <c r="B337" s="7" t="s">
        <v>395</v>
      </c>
      <c r="C337" s="6" t="s">
        <v>410</v>
      </c>
    </row>
    <row r="338" spans="1:3" ht="12.75" x14ac:dyDescent="0.2">
      <c r="A338" s="8">
        <v>47119</v>
      </c>
      <c r="B338" s="7" t="s">
        <v>395</v>
      </c>
      <c r="C338" s="6" t="s">
        <v>396</v>
      </c>
    </row>
    <row r="339" spans="1:3" ht="12.75" x14ac:dyDescent="0.2">
      <c r="A339" s="8">
        <v>47161</v>
      </c>
      <c r="B339" s="7" t="s">
        <v>395</v>
      </c>
      <c r="C339" s="6" t="s">
        <v>397</v>
      </c>
    </row>
    <row r="340" spans="1:3" ht="12.75" x14ac:dyDescent="0.2">
      <c r="A340" s="8">
        <v>47162</v>
      </c>
      <c r="B340" s="7" t="s">
        <v>398</v>
      </c>
      <c r="C340" s="6" t="s">
        <v>397</v>
      </c>
    </row>
    <row r="341" spans="1:3" ht="12.75" x14ac:dyDescent="0.2">
      <c r="A341" s="8">
        <v>47207</v>
      </c>
      <c r="B341" s="7" t="s">
        <v>399</v>
      </c>
      <c r="C341" s="6" t="s">
        <v>400</v>
      </c>
    </row>
    <row r="342" spans="1:3" ht="12.75" x14ac:dyDescent="0.2">
      <c r="A342" s="8">
        <v>47229</v>
      </c>
      <c r="B342" s="7" t="s">
        <v>401</v>
      </c>
      <c r="C342" s="6" t="s">
        <v>402</v>
      </c>
    </row>
    <row r="343" spans="1:3" ht="12.75" x14ac:dyDescent="0.2">
      <c r="A343" s="8">
        <v>47239</v>
      </c>
      <c r="B343" s="7" t="s">
        <v>398</v>
      </c>
      <c r="C343" s="6" t="s">
        <v>403</v>
      </c>
    </row>
    <row r="344" spans="1:3" ht="12.75" x14ac:dyDescent="0.2">
      <c r="A344" s="8">
        <v>47269</v>
      </c>
      <c r="B344" s="7" t="s">
        <v>404</v>
      </c>
      <c r="C344" s="6" t="s">
        <v>405</v>
      </c>
    </row>
    <row r="345" spans="1:3" ht="12.75" x14ac:dyDescent="0.2">
      <c r="A345" s="8">
        <v>47368</v>
      </c>
      <c r="B345" s="7" t="s">
        <v>399</v>
      </c>
      <c r="C345" s="6" t="s">
        <v>406</v>
      </c>
    </row>
    <row r="346" spans="1:3" ht="13.5" x14ac:dyDescent="0.2">
      <c r="A346" s="8">
        <v>47403</v>
      </c>
      <c r="B346" s="7" t="s">
        <v>399</v>
      </c>
      <c r="C346" s="6" t="s">
        <v>407</v>
      </c>
    </row>
    <row r="347" spans="1:3" ht="12.75" x14ac:dyDescent="0.2">
      <c r="A347" s="8">
        <v>47424</v>
      </c>
      <c r="B347" s="7" t="s">
        <v>399</v>
      </c>
      <c r="C347" s="6" t="s">
        <v>408</v>
      </c>
    </row>
    <row r="348" spans="1:3" ht="12.75" x14ac:dyDescent="0.2">
      <c r="A348" s="8">
        <v>47437</v>
      </c>
      <c r="B348" s="7" t="s">
        <v>404</v>
      </c>
      <c r="C348" s="6" t="s">
        <v>409</v>
      </c>
    </row>
    <row r="349" spans="1:3" ht="12.75" x14ac:dyDescent="0.2">
      <c r="A349" s="8">
        <v>47477</v>
      </c>
      <c r="B349" s="7" t="s">
        <v>398</v>
      </c>
      <c r="C349" s="6" t="s">
        <v>410</v>
      </c>
    </row>
    <row r="350" spans="1:3" ht="12.75" x14ac:dyDescent="0.2">
      <c r="A350" s="8">
        <v>47484</v>
      </c>
      <c r="B350" s="7" t="s">
        <v>398</v>
      </c>
      <c r="C350" s="6" t="s">
        <v>396</v>
      </c>
    </row>
    <row r="351" spans="1:3" ht="12.75" x14ac:dyDescent="0.2">
      <c r="A351" s="8">
        <v>47546</v>
      </c>
      <c r="B351" s="7" t="s">
        <v>395</v>
      </c>
      <c r="C351" s="6" t="s">
        <v>397</v>
      </c>
    </row>
    <row r="352" spans="1:3" ht="12.75" x14ac:dyDescent="0.2">
      <c r="A352" s="8">
        <v>47547</v>
      </c>
      <c r="B352" s="7" t="s">
        <v>398</v>
      </c>
      <c r="C352" s="6" t="s">
        <v>397</v>
      </c>
    </row>
    <row r="353" spans="1:3" ht="12.75" x14ac:dyDescent="0.2">
      <c r="A353" s="8">
        <v>47592</v>
      </c>
      <c r="B353" s="7" t="s">
        <v>399</v>
      </c>
      <c r="C353" s="6" t="s">
        <v>400</v>
      </c>
    </row>
    <row r="354" spans="1:3" ht="12.75" x14ac:dyDescent="0.2">
      <c r="A354" s="8">
        <v>47594</v>
      </c>
      <c r="B354" s="7" t="s">
        <v>411</v>
      </c>
      <c r="C354" s="6" t="s">
        <v>402</v>
      </c>
    </row>
    <row r="355" spans="1:3" ht="12.75" x14ac:dyDescent="0.2">
      <c r="A355" s="8">
        <v>47604</v>
      </c>
      <c r="B355" s="7" t="s">
        <v>412</v>
      </c>
      <c r="C355" s="6" t="s">
        <v>403</v>
      </c>
    </row>
    <row r="356" spans="1:3" ht="12.75" x14ac:dyDescent="0.2">
      <c r="A356" s="8">
        <v>47654</v>
      </c>
      <c r="B356" s="7" t="s">
        <v>404</v>
      </c>
      <c r="C356" s="6" t="s">
        <v>405</v>
      </c>
    </row>
    <row r="357" spans="1:3" ht="12.75" x14ac:dyDescent="0.2">
      <c r="A357" s="8">
        <v>47733</v>
      </c>
      <c r="B357" s="7" t="s">
        <v>401</v>
      </c>
      <c r="C357" s="6" t="s">
        <v>406</v>
      </c>
    </row>
    <row r="358" spans="1:3" ht="13.5" x14ac:dyDescent="0.2">
      <c r="A358" s="8">
        <v>47768</v>
      </c>
      <c r="B358" s="7" t="s">
        <v>401</v>
      </c>
      <c r="C358" s="6" t="s">
        <v>407</v>
      </c>
    </row>
    <row r="359" spans="1:3" ht="12.75" x14ac:dyDescent="0.2">
      <c r="A359" s="8">
        <v>47789</v>
      </c>
      <c r="B359" s="7" t="s">
        <v>401</v>
      </c>
      <c r="C359" s="6" t="s">
        <v>408</v>
      </c>
    </row>
    <row r="360" spans="1:3" ht="12.75" x14ac:dyDescent="0.2">
      <c r="A360" s="8">
        <v>47802</v>
      </c>
      <c r="B360" s="7" t="s">
        <v>399</v>
      </c>
      <c r="C360" s="6" t="s">
        <v>409</v>
      </c>
    </row>
    <row r="361" spans="1:3" ht="12.75" x14ac:dyDescent="0.2">
      <c r="A361" s="8">
        <v>47842</v>
      </c>
      <c r="B361" s="7" t="s">
        <v>412</v>
      </c>
      <c r="C361" s="6" t="s">
        <v>410</v>
      </c>
    </row>
    <row r="362" spans="1:3" ht="12.75" x14ac:dyDescent="0.2">
      <c r="A362" s="8">
        <v>47849</v>
      </c>
      <c r="B362" s="7" t="s">
        <v>412</v>
      </c>
      <c r="C362" s="6" t="s">
        <v>396</v>
      </c>
    </row>
    <row r="363" spans="1:3" ht="12.75" x14ac:dyDescent="0.2">
      <c r="A363" s="8">
        <v>47903</v>
      </c>
      <c r="B363" s="7" t="s">
        <v>395</v>
      </c>
      <c r="C363" s="6" t="s">
        <v>397</v>
      </c>
    </row>
    <row r="364" spans="1:3" ht="12.75" x14ac:dyDescent="0.2">
      <c r="A364" s="8">
        <v>47904</v>
      </c>
      <c r="B364" s="7" t="s">
        <v>398</v>
      </c>
      <c r="C364" s="6" t="s">
        <v>397</v>
      </c>
    </row>
    <row r="365" spans="1:3" ht="12.75" x14ac:dyDescent="0.2">
      <c r="A365" s="8">
        <v>47949</v>
      </c>
      <c r="B365" s="7" t="s">
        <v>399</v>
      </c>
      <c r="C365" s="6" t="s">
        <v>400</v>
      </c>
    </row>
    <row r="366" spans="1:3" ht="12.75" x14ac:dyDescent="0.2">
      <c r="A366" s="8">
        <v>47959</v>
      </c>
      <c r="B366" s="7" t="s">
        <v>395</v>
      </c>
      <c r="C366" s="6" t="s">
        <v>402</v>
      </c>
    </row>
    <row r="367" spans="1:3" ht="12.75" x14ac:dyDescent="0.2">
      <c r="A367" s="8">
        <v>47969</v>
      </c>
      <c r="B367" s="7" t="s">
        <v>404</v>
      </c>
      <c r="C367" s="6" t="s">
        <v>403</v>
      </c>
    </row>
    <row r="368" spans="1:3" ht="12.75" x14ac:dyDescent="0.2">
      <c r="A368" s="8">
        <v>48011</v>
      </c>
      <c r="B368" s="7" t="s">
        <v>404</v>
      </c>
      <c r="C368" s="6" t="s">
        <v>405</v>
      </c>
    </row>
    <row r="369" spans="1:3" ht="12.75" x14ac:dyDescent="0.2">
      <c r="A369" s="8">
        <v>48098</v>
      </c>
      <c r="B369" s="7" t="s">
        <v>411</v>
      </c>
      <c r="C369" s="6" t="s">
        <v>406</v>
      </c>
    </row>
    <row r="370" spans="1:3" ht="13.5" x14ac:dyDescent="0.2">
      <c r="A370" s="8">
        <v>48133</v>
      </c>
      <c r="B370" s="7" t="s">
        <v>411</v>
      </c>
      <c r="C370" s="6" t="s">
        <v>407</v>
      </c>
    </row>
    <row r="371" spans="1:3" ht="12.75" x14ac:dyDescent="0.2">
      <c r="A371" s="8">
        <v>48154</v>
      </c>
      <c r="B371" s="7" t="s">
        <v>411</v>
      </c>
      <c r="C371" s="6" t="s">
        <v>408</v>
      </c>
    </row>
    <row r="372" spans="1:3" ht="12.75" x14ac:dyDescent="0.2">
      <c r="A372" s="8">
        <v>48167</v>
      </c>
      <c r="B372" s="7" t="s">
        <v>401</v>
      </c>
      <c r="C372" s="6" t="s">
        <v>409</v>
      </c>
    </row>
    <row r="373" spans="1:3" ht="12.75" x14ac:dyDescent="0.2">
      <c r="A373" s="8">
        <v>48207</v>
      </c>
      <c r="B373" s="7" t="s">
        <v>404</v>
      </c>
      <c r="C373" s="6" t="s">
        <v>410</v>
      </c>
    </row>
    <row r="374" spans="1:3" ht="12.75" x14ac:dyDescent="0.2">
      <c r="A374" s="8">
        <v>48214</v>
      </c>
      <c r="B374" s="7" t="s">
        <v>404</v>
      </c>
      <c r="C374" s="6" t="s">
        <v>396</v>
      </c>
    </row>
    <row r="375" spans="1:3" ht="12.75" x14ac:dyDescent="0.2">
      <c r="A375" s="8">
        <v>48253</v>
      </c>
      <c r="B375" s="7" t="s">
        <v>395</v>
      </c>
      <c r="C375" s="6" t="s">
        <v>397</v>
      </c>
    </row>
    <row r="376" spans="1:3" ht="12.75" x14ac:dyDescent="0.2">
      <c r="A376" s="8">
        <v>48254</v>
      </c>
      <c r="B376" s="7" t="s">
        <v>398</v>
      </c>
      <c r="C376" s="6" t="s">
        <v>397</v>
      </c>
    </row>
    <row r="377" spans="1:3" ht="12.75" x14ac:dyDescent="0.2">
      <c r="A377" s="8">
        <v>48299</v>
      </c>
      <c r="B377" s="7" t="s">
        <v>399</v>
      </c>
      <c r="C377" s="6" t="s">
        <v>400</v>
      </c>
    </row>
    <row r="378" spans="1:3" ht="12.75" x14ac:dyDescent="0.2">
      <c r="A378" s="8">
        <v>48325</v>
      </c>
      <c r="B378" s="7" t="s">
        <v>412</v>
      </c>
      <c r="C378" s="6" t="s">
        <v>402</v>
      </c>
    </row>
    <row r="379" spans="1:3" ht="12.75" x14ac:dyDescent="0.2">
      <c r="A379" s="8">
        <v>48335</v>
      </c>
      <c r="B379" s="7" t="s">
        <v>401</v>
      </c>
      <c r="C379" s="6" t="s">
        <v>403</v>
      </c>
    </row>
    <row r="380" spans="1:3" ht="12.75" x14ac:dyDescent="0.2">
      <c r="A380" s="8">
        <v>48361</v>
      </c>
      <c r="B380" s="7" t="s">
        <v>404</v>
      </c>
      <c r="C380" s="6" t="s">
        <v>405</v>
      </c>
    </row>
    <row r="381" spans="1:3" ht="12.75" x14ac:dyDescent="0.2">
      <c r="A381" s="8">
        <v>48464</v>
      </c>
      <c r="B381" s="7" t="s">
        <v>398</v>
      </c>
      <c r="C381" s="6" t="s">
        <v>406</v>
      </c>
    </row>
    <row r="382" spans="1:3" ht="13.5" x14ac:dyDescent="0.2">
      <c r="A382" s="8">
        <v>48499</v>
      </c>
      <c r="B382" s="7" t="s">
        <v>398</v>
      </c>
      <c r="C382" s="6" t="s">
        <v>407</v>
      </c>
    </row>
    <row r="383" spans="1:3" ht="12.75" x14ac:dyDescent="0.2">
      <c r="A383" s="8">
        <v>48520</v>
      </c>
      <c r="B383" s="7" t="s">
        <v>398</v>
      </c>
      <c r="C383" s="6" t="s">
        <v>408</v>
      </c>
    </row>
    <row r="384" spans="1:3" ht="12.75" x14ac:dyDescent="0.2">
      <c r="A384" s="8">
        <v>48533</v>
      </c>
      <c r="B384" s="7" t="s">
        <v>395</v>
      </c>
      <c r="C384" s="6" t="s">
        <v>409</v>
      </c>
    </row>
    <row r="385" spans="1:3" ht="12.75" x14ac:dyDescent="0.2">
      <c r="A385" s="8">
        <v>48573</v>
      </c>
      <c r="B385" s="7" t="s">
        <v>401</v>
      </c>
      <c r="C385" s="6" t="s">
        <v>410</v>
      </c>
    </row>
    <row r="386" spans="1:3" ht="12.75" x14ac:dyDescent="0.2">
      <c r="A386" s="8">
        <v>48580</v>
      </c>
      <c r="B386" s="7" t="s">
        <v>401</v>
      </c>
      <c r="C386" s="6" t="s">
        <v>396</v>
      </c>
    </row>
    <row r="387" spans="1:3" ht="12.75" x14ac:dyDescent="0.2">
      <c r="A387" s="8">
        <v>48638</v>
      </c>
      <c r="B387" s="7" t="s">
        <v>395</v>
      </c>
      <c r="C387" s="6" t="s">
        <v>397</v>
      </c>
    </row>
    <row r="388" spans="1:3" ht="12.75" x14ac:dyDescent="0.2">
      <c r="A388" s="8">
        <v>48639</v>
      </c>
      <c r="B388" s="7" t="s">
        <v>398</v>
      </c>
      <c r="C388" s="6" t="s">
        <v>397</v>
      </c>
    </row>
    <row r="389" spans="1:3" ht="12.75" x14ac:dyDescent="0.2">
      <c r="A389" s="8">
        <v>48684</v>
      </c>
      <c r="B389" s="7" t="s">
        <v>399</v>
      </c>
      <c r="C389" s="6" t="s">
        <v>400</v>
      </c>
    </row>
    <row r="390" spans="1:3" ht="12.75" x14ac:dyDescent="0.2">
      <c r="A390" s="8">
        <v>48690</v>
      </c>
      <c r="B390" s="7" t="s">
        <v>404</v>
      </c>
      <c r="C390" s="6" t="s">
        <v>402</v>
      </c>
    </row>
    <row r="391" spans="1:3" ht="12.75" x14ac:dyDescent="0.2">
      <c r="A391" s="8">
        <v>48700</v>
      </c>
      <c r="B391" s="7" t="s">
        <v>411</v>
      </c>
      <c r="C391" s="6" t="s">
        <v>403</v>
      </c>
    </row>
    <row r="392" spans="1:3" ht="12.75" x14ac:dyDescent="0.2">
      <c r="A392" s="8">
        <v>48746</v>
      </c>
      <c r="B392" s="7" t="s">
        <v>404</v>
      </c>
      <c r="C392" s="6" t="s">
        <v>405</v>
      </c>
    </row>
    <row r="393" spans="1:3" ht="12.75" x14ac:dyDescent="0.2">
      <c r="A393" s="8">
        <v>48829</v>
      </c>
      <c r="B393" s="7" t="s">
        <v>412</v>
      </c>
      <c r="C393" s="6" t="s">
        <v>406</v>
      </c>
    </row>
    <row r="394" spans="1:3" ht="13.5" x14ac:dyDescent="0.2">
      <c r="A394" s="8">
        <v>48864</v>
      </c>
      <c r="B394" s="7" t="s">
        <v>412</v>
      </c>
      <c r="C394" s="6" t="s">
        <v>407</v>
      </c>
    </row>
    <row r="395" spans="1:3" ht="12.75" x14ac:dyDescent="0.2">
      <c r="A395" s="8">
        <v>48885</v>
      </c>
      <c r="B395" s="7" t="s">
        <v>412</v>
      </c>
      <c r="C395" s="6" t="s">
        <v>408</v>
      </c>
    </row>
    <row r="396" spans="1:3" ht="12.75" x14ac:dyDescent="0.2">
      <c r="A396" s="8">
        <v>48898</v>
      </c>
      <c r="B396" s="7" t="s">
        <v>398</v>
      </c>
      <c r="C396" s="6" t="s">
        <v>409</v>
      </c>
    </row>
    <row r="397" spans="1:3" ht="12.75" x14ac:dyDescent="0.2">
      <c r="A397" s="8">
        <v>48938</v>
      </c>
      <c r="B397" s="7" t="s">
        <v>411</v>
      </c>
      <c r="C397" s="6" t="s">
        <v>410</v>
      </c>
    </row>
    <row r="398" spans="1:3" ht="12.75" x14ac:dyDescent="0.2">
      <c r="A398" s="8">
        <v>48945</v>
      </c>
      <c r="B398" s="7" t="s">
        <v>411</v>
      </c>
      <c r="C398" s="6" t="s">
        <v>396</v>
      </c>
    </row>
    <row r="399" spans="1:3" ht="12.75" x14ac:dyDescent="0.2">
      <c r="A399" s="8">
        <v>48995</v>
      </c>
      <c r="B399" s="7" t="s">
        <v>395</v>
      </c>
      <c r="C399" s="6" t="s">
        <v>397</v>
      </c>
    </row>
    <row r="400" spans="1:3" ht="12.75" x14ac:dyDescent="0.2">
      <c r="A400" s="8">
        <v>48996</v>
      </c>
      <c r="B400" s="7" t="s">
        <v>398</v>
      </c>
      <c r="C400" s="6" t="s">
        <v>397</v>
      </c>
    </row>
    <row r="401" spans="1:3" ht="12.75" x14ac:dyDescent="0.2">
      <c r="A401" s="8">
        <v>49041</v>
      </c>
      <c r="B401" s="7" t="s">
        <v>399</v>
      </c>
      <c r="C401" s="6" t="s">
        <v>400</v>
      </c>
    </row>
    <row r="402" spans="1:3" ht="12.75" x14ac:dyDescent="0.2">
      <c r="A402" s="8">
        <v>49055</v>
      </c>
      <c r="B402" s="7" t="s">
        <v>399</v>
      </c>
      <c r="C402" s="6" t="s">
        <v>402</v>
      </c>
    </row>
    <row r="403" spans="1:3" ht="12.75" x14ac:dyDescent="0.2">
      <c r="A403" s="8">
        <v>49065</v>
      </c>
      <c r="B403" s="7" t="s">
        <v>395</v>
      </c>
      <c r="C403" s="6" t="s">
        <v>403</v>
      </c>
    </row>
    <row r="404" spans="1:3" ht="12.75" x14ac:dyDescent="0.2">
      <c r="A404" s="8">
        <v>49103</v>
      </c>
      <c r="B404" s="7" t="s">
        <v>404</v>
      </c>
      <c r="C404" s="6" t="s">
        <v>405</v>
      </c>
    </row>
    <row r="405" spans="1:3" ht="12.75" x14ac:dyDescent="0.2">
      <c r="A405" s="8">
        <v>49194</v>
      </c>
      <c r="B405" s="7" t="s">
        <v>404</v>
      </c>
      <c r="C405" s="6" t="s">
        <v>406</v>
      </c>
    </row>
    <row r="406" spans="1:3" ht="13.5" x14ac:dyDescent="0.2">
      <c r="A406" s="8">
        <v>49229</v>
      </c>
      <c r="B406" s="7" t="s">
        <v>404</v>
      </c>
      <c r="C406" s="6" t="s">
        <v>407</v>
      </c>
    </row>
    <row r="407" spans="1:3" ht="12.75" x14ac:dyDescent="0.2">
      <c r="A407" s="8">
        <v>49250</v>
      </c>
      <c r="B407" s="7" t="s">
        <v>404</v>
      </c>
      <c r="C407" s="6" t="s">
        <v>408</v>
      </c>
    </row>
    <row r="408" spans="1:3" ht="12.75" x14ac:dyDescent="0.2">
      <c r="A408" s="8">
        <v>49263</v>
      </c>
      <c r="B408" s="7" t="s">
        <v>412</v>
      </c>
      <c r="C408" s="6" t="s">
        <v>409</v>
      </c>
    </row>
    <row r="409" spans="1:3" ht="12.75" x14ac:dyDescent="0.2">
      <c r="A409" s="8">
        <v>49303</v>
      </c>
      <c r="B409" s="7" t="s">
        <v>395</v>
      </c>
      <c r="C409" s="6" t="s">
        <v>410</v>
      </c>
    </row>
    <row r="410" spans="1:3" ht="12.75" x14ac:dyDescent="0.2">
      <c r="A410" s="8">
        <v>49310</v>
      </c>
      <c r="B410" s="7" t="s">
        <v>395</v>
      </c>
      <c r="C410" s="6" t="s">
        <v>396</v>
      </c>
    </row>
    <row r="411" spans="1:3" ht="12.75" x14ac:dyDescent="0.2">
      <c r="A411" s="8">
        <v>49345</v>
      </c>
      <c r="B411" s="7" t="s">
        <v>395</v>
      </c>
      <c r="C411" s="6" t="s">
        <v>397</v>
      </c>
    </row>
    <row r="412" spans="1:3" ht="12.75" x14ac:dyDescent="0.2">
      <c r="A412" s="8">
        <v>49346</v>
      </c>
      <c r="B412" s="7" t="s">
        <v>398</v>
      </c>
      <c r="C412" s="6" t="s">
        <v>397</v>
      </c>
    </row>
    <row r="413" spans="1:3" ht="12.75" x14ac:dyDescent="0.2">
      <c r="A413" s="8">
        <v>49391</v>
      </c>
      <c r="B413" s="7" t="s">
        <v>399</v>
      </c>
      <c r="C413" s="6" t="s">
        <v>400</v>
      </c>
    </row>
    <row r="414" spans="1:3" ht="12.75" x14ac:dyDescent="0.2">
      <c r="A414" s="8">
        <v>49420</v>
      </c>
      <c r="B414" s="7" t="s">
        <v>401</v>
      </c>
      <c r="C414" s="6" t="s">
        <v>402</v>
      </c>
    </row>
    <row r="415" spans="1:3" ht="12.75" x14ac:dyDescent="0.2">
      <c r="A415" s="8">
        <v>49430</v>
      </c>
      <c r="B415" s="7" t="s">
        <v>398</v>
      </c>
      <c r="C415" s="6" t="s">
        <v>403</v>
      </c>
    </row>
    <row r="416" spans="1:3" ht="12.75" x14ac:dyDescent="0.2">
      <c r="A416" s="8">
        <v>49453</v>
      </c>
      <c r="B416" s="7" t="s">
        <v>404</v>
      </c>
      <c r="C416" s="6" t="s">
        <v>405</v>
      </c>
    </row>
    <row r="417" spans="1:3" ht="12.75" x14ac:dyDescent="0.2">
      <c r="A417" s="8">
        <v>49559</v>
      </c>
      <c r="B417" s="7" t="s">
        <v>399</v>
      </c>
      <c r="C417" s="6" t="s">
        <v>406</v>
      </c>
    </row>
    <row r="418" spans="1:3" ht="13.5" x14ac:dyDescent="0.2">
      <c r="A418" s="8">
        <v>49594</v>
      </c>
      <c r="B418" s="7" t="s">
        <v>399</v>
      </c>
      <c r="C418" s="6" t="s">
        <v>407</v>
      </c>
    </row>
    <row r="419" spans="1:3" ht="12.75" x14ac:dyDescent="0.2">
      <c r="A419" s="8">
        <v>49615</v>
      </c>
      <c r="B419" s="7" t="s">
        <v>399</v>
      </c>
      <c r="C419" s="6" t="s">
        <v>408</v>
      </c>
    </row>
    <row r="420" spans="1:3" ht="12.75" x14ac:dyDescent="0.2">
      <c r="A420" s="8">
        <v>49628</v>
      </c>
      <c r="B420" s="7" t="s">
        <v>404</v>
      </c>
      <c r="C420" s="6" t="s">
        <v>409</v>
      </c>
    </row>
    <row r="421" spans="1:3" ht="12.75" x14ac:dyDescent="0.2">
      <c r="A421" s="8">
        <v>49668</v>
      </c>
      <c r="B421" s="7" t="s">
        <v>398</v>
      </c>
      <c r="C421" s="6" t="s">
        <v>410</v>
      </c>
    </row>
    <row r="422" spans="1:3" ht="12.75" x14ac:dyDescent="0.2">
      <c r="A422" s="8">
        <v>49675</v>
      </c>
      <c r="B422" s="7" t="s">
        <v>398</v>
      </c>
      <c r="C422" s="6" t="s">
        <v>396</v>
      </c>
    </row>
    <row r="423" spans="1:3" ht="12.75" x14ac:dyDescent="0.2">
      <c r="A423" s="8">
        <v>49730</v>
      </c>
      <c r="B423" s="7" t="s">
        <v>395</v>
      </c>
      <c r="C423" s="6" t="s">
        <v>397</v>
      </c>
    </row>
    <row r="424" spans="1:3" ht="12.75" x14ac:dyDescent="0.2">
      <c r="A424" s="8">
        <v>49731</v>
      </c>
      <c r="B424" s="7" t="s">
        <v>398</v>
      </c>
      <c r="C424" s="6" t="s">
        <v>397</v>
      </c>
    </row>
    <row r="425" spans="1:3" ht="12.75" x14ac:dyDescent="0.2">
      <c r="A425" s="8">
        <v>49776</v>
      </c>
      <c r="B425" s="7" t="s">
        <v>399</v>
      </c>
      <c r="C425" s="6" t="s">
        <v>400</v>
      </c>
    </row>
    <row r="426" spans="1:3" ht="12.75" x14ac:dyDescent="0.2">
      <c r="A426" s="8">
        <v>49786</v>
      </c>
      <c r="B426" s="7" t="s">
        <v>395</v>
      </c>
      <c r="C426" s="6" t="s">
        <v>402</v>
      </c>
    </row>
    <row r="427" spans="1:3" ht="12.75" x14ac:dyDescent="0.2">
      <c r="A427" s="8">
        <v>49796</v>
      </c>
      <c r="B427" s="7" t="s">
        <v>404</v>
      </c>
      <c r="C427" s="6" t="s">
        <v>403</v>
      </c>
    </row>
    <row r="428" spans="1:3" ht="12.75" x14ac:dyDescent="0.2">
      <c r="A428" s="8">
        <v>49838</v>
      </c>
      <c r="B428" s="7" t="s">
        <v>404</v>
      </c>
      <c r="C428" s="6" t="s">
        <v>405</v>
      </c>
    </row>
    <row r="429" spans="1:3" ht="12.75" x14ac:dyDescent="0.2">
      <c r="A429" s="8">
        <v>49925</v>
      </c>
      <c r="B429" s="7" t="s">
        <v>411</v>
      </c>
      <c r="C429" s="6" t="s">
        <v>406</v>
      </c>
    </row>
    <row r="430" spans="1:3" ht="13.5" x14ac:dyDescent="0.2">
      <c r="A430" s="8">
        <v>49960</v>
      </c>
      <c r="B430" s="7" t="s">
        <v>411</v>
      </c>
      <c r="C430" s="6" t="s">
        <v>407</v>
      </c>
    </row>
    <row r="431" spans="1:3" ht="12.75" x14ac:dyDescent="0.2">
      <c r="A431" s="8">
        <v>49981</v>
      </c>
      <c r="B431" s="7" t="s">
        <v>411</v>
      </c>
      <c r="C431" s="6" t="s">
        <v>408</v>
      </c>
    </row>
    <row r="432" spans="1:3" ht="12.75" x14ac:dyDescent="0.2">
      <c r="A432" s="8">
        <v>49994</v>
      </c>
      <c r="B432" s="7" t="s">
        <v>401</v>
      </c>
      <c r="C432" s="6" t="s">
        <v>409</v>
      </c>
    </row>
    <row r="433" spans="1:3" ht="12.75" x14ac:dyDescent="0.2">
      <c r="A433" s="8">
        <v>50034</v>
      </c>
      <c r="B433" s="7" t="s">
        <v>404</v>
      </c>
      <c r="C433" s="6" t="s">
        <v>410</v>
      </c>
    </row>
    <row r="434" spans="1:3" ht="12.75" x14ac:dyDescent="0.2">
      <c r="A434" s="8">
        <v>50041</v>
      </c>
      <c r="B434" s="7" t="s">
        <v>404</v>
      </c>
      <c r="C434" s="6" t="s">
        <v>396</v>
      </c>
    </row>
    <row r="435" spans="1:3" ht="12.75" x14ac:dyDescent="0.2">
      <c r="A435" s="8">
        <v>50087</v>
      </c>
      <c r="B435" s="7" t="s">
        <v>395</v>
      </c>
      <c r="C435" s="6" t="s">
        <v>397</v>
      </c>
    </row>
    <row r="436" spans="1:3" ht="12.75" x14ac:dyDescent="0.2">
      <c r="A436" s="8">
        <v>50088</v>
      </c>
      <c r="B436" s="7" t="s">
        <v>398</v>
      </c>
      <c r="C436" s="6" t="s">
        <v>397</v>
      </c>
    </row>
    <row r="437" spans="1:3" ht="12.75" x14ac:dyDescent="0.2">
      <c r="A437" s="8">
        <v>50133</v>
      </c>
      <c r="B437" s="7" t="s">
        <v>399</v>
      </c>
      <c r="C437" s="6" t="s">
        <v>400</v>
      </c>
    </row>
    <row r="438" spans="1:3" ht="12.75" x14ac:dyDescent="0.2">
      <c r="A438" s="8">
        <v>50151</v>
      </c>
      <c r="B438" s="7" t="s">
        <v>398</v>
      </c>
      <c r="C438" s="6" t="s">
        <v>402</v>
      </c>
    </row>
    <row r="439" spans="1:3" ht="12.75" x14ac:dyDescent="0.2">
      <c r="A439" s="8">
        <v>50161</v>
      </c>
      <c r="B439" s="7" t="s">
        <v>399</v>
      </c>
      <c r="C439" s="6" t="s">
        <v>403</v>
      </c>
    </row>
    <row r="440" spans="1:3" ht="12.75" x14ac:dyDescent="0.2">
      <c r="A440" s="8">
        <v>50195</v>
      </c>
      <c r="B440" s="7" t="s">
        <v>404</v>
      </c>
      <c r="C440" s="6" t="s">
        <v>405</v>
      </c>
    </row>
    <row r="441" spans="1:3" ht="12.75" x14ac:dyDescent="0.2">
      <c r="A441" s="8">
        <v>50290</v>
      </c>
      <c r="B441" s="7" t="s">
        <v>395</v>
      </c>
      <c r="C441" s="6" t="s">
        <v>406</v>
      </c>
    </row>
    <row r="442" spans="1:3" ht="13.5" x14ac:dyDescent="0.2">
      <c r="A442" s="8">
        <v>50325</v>
      </c>
      <c r="B442" s="7" t="s">
        <v>395</v>
      </c>
      <c r="C442" s="6" t="s">
        <v>407</v>
      </c>
    </row>
    <row r="443" spans="1:3" ht="12.75" x14ac:dyDescent="0.2">
      <c r="A443" s="8">
        <v>50346</v>
      </c>
      <c r="B443" s="7" t="s">
        <v>395</v>
      </c>
      <c r="C443" s="6" t="s">
        <v>408</v>
      </c>
    </row>
    <row r="444" spans="1:3" ht="12.75" x14ac:dyDescent="0.2">
      <c r="A444" s="8">
        <v>50359</v>
      </c>
      <c r="B444" s="7" t="s">
        <v>411</v>
      </c>
      <c r="C444" s="6" t="s">
        <v>409</v>
      </c>
    </row>
    <row r="445" spans="1:3" ht="12.75" x14ac:dyDescent="0.2">
      <c r="A445" s="8">
        <v>50399</v>
      </c>
      <c r="B445" s="7" t="s">
        <v>399</v>
      </c>
      <c r="C445" s="6" t="s">
        <v>410</v>
      </c>
    </row>
    <row r="446" spans="1:3" ht="12.75" x14ac:dyDescent="0.2">
      <c r="A446" s="8">
        <v>50406</v>
      </c>
      <c r="B446" s="7" t="s">
        <v>399</v>
      </c>
      <c r="C446" s="6" t="s">
        <v>396</v>
      </c>
    </row>
    <row r="447" spans="1:3" ht="12.75" x14ac:dyDescent="0.2">
      <c r="A447" s="8">
        <v>50472</v>
      </c>
      <c r="B447" s="7" t="s">
        <v>395</v>
      </c>
      <c r="C447" s="6" t="s">
        <v>397</v>
      </c>
    </row>
    <row r="448" spans="1:3" ht="12.75" x14ac:dyDescent="0.2">
      <c r="A448" s="8">
        <v>50473</v>
      </c>
      <c r="B448" s="7" t="s">
        <v>398</v>
      </c>
      <c r="C448" s="6" t="s">
        <v>397</v>
      </c>
    </row>
    <row r="449" spans="1:3" ht="12.75" x14ac:dyDescent="0.2">
      <c r="A449" s="8">
        <v>50516</v>
      </c>
      <c r="B449" s="7" t="s">
        <v>412</v>
      </c>
      <c r="C449" s="6" t="s">
        <v>402</v>
      </c>
    </row>
    <row r="450" spans="1:3" ht="12.75" x14ac:dyDescent="0.2">
      <c r="A450" s="8">
        <v>50518</v>
      </c>
      <c r="B450" s="7" t="s">
        <v>399</v>
      </c>
      <c r="C450" s="6" t="s">
        <v>400</v>
      </c>
    </row>
    <row r="451" spans="1:3" ht="12.75" x14ac:dyDescent="0.2">
      <c r="A451" s="8">
        <v>50526</v>
      </c>
      <c r="B451" s="7" t="s">
        <v>401</v>
      </c>
      <c r="C451" s="6" t="s">
        <v>403</v>
      </c>
    </row>
    <row r="452" spans="1:3" ht="12.75" x14ac:dyDescent="0.2">
      <c r="A452" s="8">
        <v>50580</v>
      </c>
      <c r="B452" s="7" t="s">
        <v>404</v>
      </c>
      <c r="C452" s="6" t="s">
        <v>405</v>
      </c>
    </row>
    <row r="453" spans="1:3" ht="12.75" x14ac:dyDescent="0.2">
      <c r="A453" s="8">
        <v>50655</v>
      </c>
      <c r="B453" s="7" t="s">
        <v>398</v>
      </c>
      <c r="C453" s="6" t="s">
        <v>406</v>
      </c>
    </row>
    <row r="454" spans="1:3" ht="13.5" x14ac:dyDescent="0.2">
      <c r="A454" s="8">
        <v>50690</v>
      </c>
      <c r="B454" s="7" t="s">
        <v>398</v>
      </c>
      <c r="C454" s="6" t="s">
        <v>407</v>
      </c>
    </row>
    <row r="455" spans="1:3" ht="12.75" x14ac:dyDescent="0.2">
      <c r="A455" s="8">
        <v>50711</v>
      </c>
      <c r="B455" s="7" t="s">
        <v>398</v>
      </c>
      <c r="C455" s="6" t="s">
        <v>408</v>
      </c>
    </row>
    <row r="456" spans="1:3" ht="12.75" x14ac:dyDescent="0.2">
      <c r="A456" s="8">
        <v>50724</v>
      </c>
      <c r="B456" s="7" t="s">
        <v>395</v>
      </c>
      <c r="C456" s="6" t="s">
        <v>409</v>
      </c>
    </row>
    <row r="457" spans="1:3" ht="12.75" x14ac:dyDescent="0.2">
      <c r="A457" s="8">
        <v>50764</v>
      </c>
      <c r="B457" s="7" t="s">
        <v>401</v>
      </c>
      <c r="C457" s="6" t="s">
        <v>410</v>
      </c>
    </row>
    <row r="458" spans="1:3" ht="12.75" x14ac:dyDescent="0.2">
      <c r="A458" s="8">
        <v>50771</v>
      </c>
      <c r="B458" s="7" t="s">
        <v>401</v>
      </c>
      <c r="C458" s="6" t="s">
        <v>396</v>
      </c>
    </row>
    <row r="459" spans="1:3" ht="12.75" x14ac:dyDescent="0.2">
      <c r="A459" s="8">
        <v>50822</v>
      </c>
      <c r="B459" s="7" t="s">
        <v>395</v>
      </c>
      <c r="C459" s="6" t="s">
        <v>397</v>
      </c>
    </row>
    <row r="460" spans="1:3" ht="12.75" x14ac:dyDescent="0.2">
      <c r="A460" s="8">
        <v>50823</v>
      </c>
      <c r="B460" s="7" t="s">
        <v>398</v>
      </c>
      <c r="C460" s="6" t="s">
        <v>397</v>
      </c>
    </row>
    <row r="461" spans="1:3" ht="12.75" x14ac:dyDescent="0.2">
      <c r="A461" s="8">
        <v>50868</v>
      </c>
      <c r="B461" s="7" t="s">
        <v>399</v>
      </c>
      <c r="C461" s="6" t="s">
        <v>400</v>
      </c>
    </row>
    <row r="462" spans="1:3" ht="12.75" x14ac:dyDescent="0.2">
      <c r="A462" s="8">
        <v>50881</v>
      </c>
      <c r="B462" s="7" t="s">
        <v>404</v>
      </c>
      <c r="C462" s="6" t="s">
        <v>402</v>
      </c>
    </row>
    <row r="463" spans="1:3" ht="12.75" x14ac:dyDescent="0.2">
      <c r="A463" s="8">
        <v>50891</v>
      </c>
      <c r="B463" s="7" t="s">
        <v>411</v>
      </c>
      <c r="C463" s="6" t="s">
        <v>403</v>
      </c>
    </row>
    <row r="464" spans="1:3" ht="12.75" x14ac:dyDescent="0.2">
      <c r="A464" s="8">
        <v>50930</v>
      </c>
      <c r="B464" s="7" t="s">
        <v>404</v>
      </c>
      <c r="C464" s="6" t="s">
        <v>405</v>
      </c>
    </row>
    <row r="465" spans="1:3" ht="12.75" x14ac:dyDescent="0.2">
      <c r="A465" s="8">
        <v>51020</v>
      </c>
      <c r="B465" s="7" t="s">
        <v>412</v>
      </c>
      <c r="C465" s="6" t="s">
        <v>406</v>
      </c>
    </row>
    <row r="466" spans="1:3" ht="13.5" x14ac:dyDescent="0.2">
      <c r="A466" s="8">
        <v>51055</v>
      </c>
      <c r="B466" s="7" t="s">
        <v>412</v>
      </c>
      <c r="C466" s="6" t="s">
        <v>407</v>
      </c>
    </row>
    <row r="467" spans="1:3" ht="12.75" x14ac:dyDescent="0.2">
      <c r="A467" s="8">
        <v>51076</v>
      </c>
      <c r="B467" s="7" t="s">
        <v>412</v>
      </c>
      <c r="C467" s="6" t="s">
        <v>408</v>
      </c>
    </row>
    <row r="468" spans="1:3" ht="12.75" x14ac:dyDescent="0.2">
      <c r="A468" s="8">
        <v>51089</v>
      </c>
      <c r="B468" s="7" t="s">
        <v>398</v>
      </c>
      <c r="C468" s="6" t="s">
        <v>409</v>
      </c>
    </row>
    <row r="469" spans="1:3" ht="12.75" x14ac:dyDescent="0.2">
      <c r="A469" s="8">
        <v>51129</v>
      </c>
      <c r="B469" s="7" t="s">
        <v>411</v>
      </c>
      <c r="C469" s="6" t="s">
        <v>410</v>
      </c>
    </row>
    <row r="470" spans="1:3" ht="12.75" x14ac:dyDescent="0.2">
      <c r="A470" s="8">
        <v>51136</v>
      </c>
      <c r="B470" s="7" t="s">
        <v>411</v>
      </c>
      <c r="C470" s="6" t="s">
        <v>396</v>
      </c>
    </row>
    <row r="471" spans="1:3" ht="12.75" x14ac:dyDescent="0.2">
      <c r="A471" s="8">
        <v>51179</v>
      </c>
      <c r="B471" s="7" t="s">
        <v>395</v>
      </c>
      <c r="C471" s="6" t="s">
        <v>397</v>
      </c>
    </row>
    <row r="472" spans="1:3" ht="12.75" x14ac:dyDescent="0.2">
      <c r="A472" s="8">
        <v>51180</v>
      </c>
      <c r="B472" s="7" t="s">
        <v>398</v>
      </c>
      <c r="C472" s="6" t="s">
        <v>397</v>
      </c>
    </row>
    <row r="473" spans="1:3" ht="12.75" x14ac:dyDescent="0.2">
      <c r="A473" s="8">
        <v>51225</v>
      </c>
      <c r="B473" s="7" t="s">
        <v>399</v>
      </c>
      <c r="C473" s="6" t="s">
        <v>400</v>
      </c>
    </row>
    <row r="474" spans="1:3" ht="12.75" x14ac:dyDescent="0.2">
      <c r="A474" s="8">
        <v>51247</v>
      </c>
      <c r="B474" s="7" t="s">
        <v>401</v>
      </c>
      <c r="C474" s="6" t="s">
        <v>402</v>
      </c>
    </row>
    <row r="475" spans="1:3" ht="12.75" x14ac:dyDescent="0.2">
      <c r="A475" s="8">
        <v>51257</v>
      </c>
      <c r="B475" s="7" t="s">
        <v>398</v>
      </c>
      <c r="C475" s="6" t="s">
        <v>403</v>
      </c>
    </row>
    <row r="476" spans="1:3" ht="12.75" x14ac:dyDescent="0.2">
      <c r="A476" s="8">
        <v>51287</v>
      </c>
      <c r="B476" s="7" t="s">
        <v>404</v>
      </c>
      <c r="C476" s="6" t="s">
        <v>405</v>
      </c>
    </row>
    <row r="477" spans="1:3" ht="12.75" x14ac:dyDescent="0.2">
      <c r="A477" s="8">
        <v>51386</v>
      </c>
      <c r="B477" s="7" t="s">
        <v>399</v>
      </c>
      <c r="C477" s="6" t="s">
        <v>406</v>
      </c>
    </row>
    <row r="478" spans="1:3" ht="13.5" x14ac:dyDescent="0.2">
      <c r="A478" s="8">
        <v>51421</v>
      </c>
      <c r="B478" s="7" t="s">
        <v>399</v>
      </c>
      <c r="C478" s="6" t="s">
        <v>407</v>
      </c>
    </row>
    <row r="479" spans="1:3" ht="12.75" x14ac:dyDescent="0.2">
      <c r="A479" s="8">
        <v>51442</v>
      </c>
      <c r="B479" s="7" t="s">
        <v>399</v>
      </c>
      <c r="C479" s="6" t="s">
        <v>408</v>
      </c>
    </row>
    <row r="480" spans="1:3" ht="12.75" x14ac:dyDescent="0.2">
      <c r="A480" s="8">
        <v>51455</v>
      </c>
      <c r="B480" s="7" t="s">
        <v>404</v>
      </c>
      <c r="C480" s="6" t="s">
        <v>409</v>
      </c>
    </row>
    <row r="481" spans="1:3" ht="12.75" x14ac:dyDescent="0.2">
      <c r="A481" s="8">
        <v>51495</v>
      </c>
      <c r="B481" s="7" t="s">
        <v>398</v>
      </c>
      <c r="C481" s="6" t="s">
        <v>410</v>
      </c>
    </row>
    <row r="482" spans="1:3" ht="12.75" x14ac:dyDescent="0.2">
      <c r="A482" s="8">
        <v>51502</v>
      </c>
      <c r="B482" s="7" t="s">
        <v>398</v>
      </c>
      <c r="C482" s="6" t="s">
        <v>396</v>
      </c>
    </row>
    <row r="483" spans="1:3" ht="12.75" x14ac:dyDescent="0.2">
      <c r="A483" s="8">
        <v>51564</v>
      </c>
      <c r="B483" s="7" t="s">
        <v>395</v>
      </c>
      <c r="C483" s="6" t="s">
        <v>397</v>
      </c>
    </row>
    <row r="484" spans="1:3" ht="12.75" x14ac:dyDescent="0.2">
      <c r="A484" s="8">
        <v>51565</v>
      </c>
      <c r="B484" s="7" t="s">
        <v>398</v>
      </c>
      <c r="C484" s="6" t="s">
        <v>397</v>
      </c>
    </row>
    <row r="485" spans="1:3" ht="12.75" x14ac:dyDescent="0.2">
      <c r="A485" s="8">
        <v>51610</v>
      </c>
      <c r="B485" s="7" t="s">
        <v>399</v>
      </c>
      <c r="C485" s="6" t="s">
        <v>400</v>
      </c>
    </row>
    <row r="486" spans="1:3" ht="12.75" x14ac:dyDescent="0.2">
      <c r="A486" s="8">
        <v>51612</v>
      </c>
      <c r="B486" s="7" t="s">
        <v>411</v>
      </c>
      <c r="C486" s="6" t="s">
        <v>402</v>
      </c>
    </row>
    <row r="487" spans="1:3" ht="12.75" x14ac:dyDescent="0.2">
      <c r="A487" s="8">
        <v>51622</v>
      </c>
      <c r="B487" s="7" t="s">
        <v>412</v>
      </c>
      <c r="C487" s="6" t="s">
        <v>403</v>
      </c>
    </row>
    <row r="488" spans="1:3" ht="12.75" x14ac:dyDescent="0.2">
      <c r="A488" s="8">
        <v>51672</v>
      </c>
      <c r="B488" s="7" t="s">
        <v>404</v>
      </c>
      <c r="C488" s="6" t="s">
        <v>405</v>
      </c>
    </row>
    <row r="489" spans="1:3" ht="12.75" x14ac:dyDescent="0.2">
      <c r="A489" s="8">
        <v>51751</v>
      </c>
      <c r="B489" s="7" t="s">
        <v>401</v>
      </c>
      <c r="C489" s="6" t="s">
        <v>406</v>
      </c>
    </row>
    <row r="490" spans="1:3" ht="13.5" x14ac:dyDescent="0.2">
      <c r="A490" s="8">
        <v>51786</v>
      </c>
      <c r="B490" s="7" t="s">
        <v>401</v>
      </c>
      <c r="C490" s="6" t="s">
        <v>407</v>
      </c>
    </row>
    <row r="491" spans="1:3" ht="12.75" x14ac:dyDescent="0.2">
      <c r="A491" s="8">
        <v>51807</v>
      </c>
      <c r="B491" s="7" t="s">
        <v>401</v>
      </c>
      <c r="C491" s="6" t="s">
        <v>408</v>
      </c>
    </row>
    <row r="492" spans="1:3" ht="12.75" x14ac:dyDescent="0.2">
      <c r="A492" s="8">
        <v>51820</v>
      </c>
      <c r="B492" s="7" t="s">
        <v>399</v>
      </c>
      <c r="C492" s="6" t="s">
        <v>409</v>
      </c>
    </row>
    <row r="493" spans="1:3" ht="12.75" x14ac:dyDescent="0.2">
      <c r="A493" s="8">
        <v>51860</v>
      </c>
      <c r="B493" s="7" t="s">
        <v>412</v>
      </c>
      <c r="C493" s="6" t="s">
        <v>410</v>
      </c>
    </row>
    <row r="494" spans="1:3" ht="12.75" x14ac:dyDescent="0.2">
      <c r="A494" s="8">
        <v>51867</v>
      </c>
      <c r="B494" s="7" t="s">
        <v>412</v>
      </c>
      <c r="C494" s="6" t="s">
        <v>396</v>
      </c>
    </row>
    <row r="495" spans="1:3" ht="12.75" x14ac:dyDescent="0.2">
      <c r="A495" s="8">
        <v>51914</v>
      </c>
      <c r="B495" s="7" t="s">
        <v>395</v>
      </c>
      <c r="C495" s="6" t="s">
        <v>397</v>
      </c>
    </row>
    <row r="496" spans="1:3" ht="12.75" x14ac:dyDescent="0.2">
      <c r="A496" s="8">
        <v>51915</v>
      </c>
      <c r="B496" s="7" t="s">
        <v>398</v>
      </c>
      <c r="C496" s="6" t="s">
        <v>397</v>
      </c>
    </row>
    <row r="497" spans="1:3" ht="12.75" x14ac:dyDescent="0.2">
      <c r="A497" s="8">
        <v>51960</v>
      </c>
      <c r="B497" s="7" t="s">
        <v>399</v>
      </c>
      <c r="C497" s="6" t="s">
        <v>400</v>
      </c>
    </row>
    <row r="498" spans="1:3" ht="12.75" x14ac:dyDescent="0.2">
      <c r="A498" s="8">
        <v>51977</v>
      </c>
      <c r="B498" s="7" t="s">
        <v>395</v>
      </c>
      <c r="C498" s="6" t="s">
        <v>402</v>
      </c>
    </row>
    <row r="499" spans="1:3" ht="12.75" x14ac:dyDescent="0.2">
      <c r="A499" s="8">
        <v>51987</v>
      </c>
      <c r="B499" s="7" t="s">
        <v>404</v>
      </c>
      <c r="C499" s="6" t="s">
        <v>403</v>
      </c>
    </row>
    <row r="500" spans="1:3" ht="12.75" x14ac:dyDescent="0.2">
      <c r="A500" s="8">
        <v>52022</v>
      </c>
      <c r="B500" s="7" t="s">
        <v>404</v>
      </c>
      <c r="C500" s="6" t="s">
        <v>405</v>
      </c>
    </row>
    <row r="501" spans="1:3" ht="12.75" x14ac:dyDescent="0.2">
      <c r="A501" s="8">
        <v>52116</v>
      </c>
      <c r="B501" s="7" t="s">
        <v>411</v>
      </c>
      <c r="C501" s="6" t="s">
        <v>406</v>
      </c>
    </row>
    <row r="502" spans="1:3" ht="13.5" x14ac:dyDescent="0.2">
      <c r="A502" s="8">
        <v>52151</v>
      </c>
      <c r="B502" s="7" t="s">
        <v>411</v>
      </c>
      <c r="C502" s="6" t="s">
        <v>407</v>
      </c>
    </row>
    <row r="503" spans="1:3" ht="12.75" x14ac:dyDescent="0.2">
      <c r="A503" s="8">
        <v>52172</v>
      </c>
      <c r="B503" s="7" t="s">
        <v>411</v>
      </c>
      <c r="C503" s="6" t="s">
        <v>408</v>
      </c>
    </row>
    <row r="504" spans="1:3" ht="12.75" x14ac:dyDescent="0.2">
      <c r="A504" s="8">
        <v>52185</v>
      </c>
      <c r="B504" s="7" t="s">
        <v>401</v>
      </c>
      <c r="C504" s="6" t="s">
        <v>409</v>
      </c>
    </row>
    <row r="505" spans="1:3" ht="12.75" x14ac:dyDescent="0.2">
      <c r="A505" s="8">
        <v>52225</v>
      </c>
      <c r="B505" s="7" t="s">
        <v>404</v>
      </c>
      <c r="C505" s="6" t="s">
        <v>410</v>
      </c>
    </row>
    <row r="506" spans="1:3" ht="12.75" x14ac:dyDescent="0.2">
      <c r="A506" s="8">
        <v>52232</v>
      </c>
      <c r="B506" s="7" t="s">
        <v>404</v>
      </c>
      <c r="C506" s="6" t="s">
        <v>396</v>
      </c>
    </row>
    <row r="507" spans="1:3" ht="12.75" x14ac:dyDescent="0.2">
      <c r="A507" s="8">
        <v>52271</v>
      </c>
      <c r="B507" s="7" t="s">
        <v>395</v>
      </c>
      <c r="C507" s="6" t="s">
        <v>397</v>
      </c>
    </row>
    <row r="508" spans="1:3" ht="12.75" x14ac:dyDescent="0.2">
      <c r="A508" s="8">
        <v>52272</v>
      </c>
      <c r="B508" s="7" t="s">
        <v>398</v>
      </c>
      <c r="C508" s="6" t="s">
        <v>397</v>
      </c>
    </row>
    <row r="509" spans="1:3" ht="12.75" x14ac:dyDescent="0.2">
      <c r="A509" s="8">
        <v>52317</v>
      </c>
      <c r="B509" s="7" t="s">
        <v>399</v>
      </c>
      <c r="C509" s="6" t="s">
        <v>400</v>
      </c>
    </row>
    <row r="510" spans="1:3" ht="12.75" x14ac:dyDescent="0.2">
      <c r="A510" s="8">
        <v>52342</v>
      </c>
      <c r="B510" s="7" t="s">
        <v>398</v>
      </c>
      <c r="C510" s="6" t="s">
        <v>402</v>
      </c>
    </row>
    <row r="511" spans="1:3" ht="12.75" x14ac:dyDescent="0.2">
      <c r="A511" s="8">
        <v>52352</v>
      </c>
      <c r="B511" s="7" t="s">
        <v>399</v>
      </c>
      <c r="C511" s="6" t="s">
        <v>403</v>
      </c>
    </row>
    <row r="512" spans="1:3" ht="12.75" x14ac:dyDescent="0.2">
      <c r="A512" s="8">
        <v>52379</v>
      </c>
      <c r="B512" s="7" t="s">
        <v>404</v>
      </c>
      <c r="C512" s="6" t="s">
        <v>405</v>
      </c>
    </row>
    <row r="513" spans="1:3" ht="12.75" x14ac:dyDescent="0.2">
      <c r="A513" s="8">
        <v>52481</v>
      </c>
      <c r="B513" s="7" t="s">
        <v>395</v>
      </c>
      <c r="C513" s="6" t="s">
        <v>406</v>
      </c>
    </row>
    <row r="514" spans="1:3" ht="13.5" x14ac:dyDescent="0.2">
      <c r="A514" s="8">
        <v>52516</v>
      </c>
      <c r="B514" s="7" t="s">
        <v>395</v>
      </c>
      <c r="C514" s="6" t="s">
        <v>407</v>
      </c>
    </row>
    <row r="515" spans="1:3" ht="12.75" x14ac:dyDescent="0.2">
      <c r="A515" s="8">
        <v>52537</v>
      </c>
      <c r="B515" s="7" t="s">
        <v>395</v>
      </c>
      <c r="C515" s="6" t="s">
        <v>408</v>
      </c>
    </row>
    <row r="516" spans="1:3" ht="12.75" x14ac:dyDescent="0.2">
      <c r="A516" s="8">
        <v>52550</v>
      </c>
      <c r="B516" s="7" t="s">
        <v>411</v>
      </c>
      <c r="C516" s="6" t="s">
        <v>409</v>
      </c>
    </row>
    <row r="517" spans="1:3" ht="12.75" x14ac:dyDescent="0.2">
      <c r="A517" s="8">
        <v>52590</v>
      </c>
      <c r="B517" s="7" t="s">
        <v>399</v>
      </c>
      <c r="C517" s="6" t="s">
        <v>410</v>
      </c>
    </row>
    <row r="518" spans="1:3" ht="12.75" x14ac:dyDescent="0.2">
      <c r="A518" s="8">
        <v>52597</v>
      </c>
      <c r="B518" s="7" t="s">
        <v>399</v>
      </c>
      <c r="C518" s="6" t="s">
        <v>396</v>
      </c>
    </row>
    <row r="519" spans="1:3" ht="12.75" x14ac:dyDescent="0.2">
      <c r="A519" s="8">
        <v>52656</v>
      </c>
      <c r="B519" s="7" t="s">
        <v>395</v>
      </c>
      <c r="C519" s="6" t="s">
        <v>397</v>
      </c>
    </row>
    <row r="520" spans="1:3" ht="12.75" x14ac:dyDescent="0.2">
      <c r="A520" s="8">
        <v>52657</v>
      </c>
      <c r="B520" s="7" t="s">
        <v>398</v>
      </c>
      <c r="C520" s="6" t="s">
        <v>397</v>
      </c>
    </row>
    <row r="521" spans="1:3" ht="12.75" x14ac:dyDescent="0.2">
      <c r="A521" s="8">
        <v>52702</v>
      </c>
      <c r="B521" s="7" t="s">
        <v>399</v>
      </c>
      <c r="C521" s="6" t="s">
        <v>400</v>
      </c>
    </row>
    <row r="522" spans="1:3" ht="12.75" x14ac:dyDescent="0.2">
      <c r="A522" s="8">
        <v>52708</v>
      </c>
      <c r="B522" s="7" t="s">
        <v>404</v>
      </c>
      <c r="C522" s="6" t="s">
        <v>402</v>
      </c>
    </row>
    <row r="523" spans="1:3" ht="12.75" x14ac:dyDescent="0.2">
      <c r="A523" s="8">
        <v>52718</v>
      </c>
      <c r="B523" s="7" t="s">
        <v>411</v>
      </c>
      <c r="C523" s="6" t="s">
        <v>403</v>
      </c>
    </row>
    <row r="524" spans="1:3" ht="12.75" x14ac:dyDescent="0.2">
      <c r="A524" s="8">
        <v>52764</v>
      </c>
      <c r="B524" s="7" t="s">
        <v>404</v>
      </c>
      <c r="C524" s="6" t="s">
        <v>405</v>
      </c>
    </row>
    <row r="525" spans="1:3" ht="12.75" x14ac:dyDescent="0.2">
      <c r="A525" s="8">
        <v>52847</v>
      </c>
      <c r="B525" s="7" t="s">
        <v>412</v>
      </c>
      <c r="C525" s="6" t="s">
        <v>406</v>
      </c>
    </row>
    <row r="526" spans="1:3" ht="13.5" x14ac:dyDescent="0.2">
      <c r="A526" s="8">
        <v>52882</v>
      </c>
      <c r="B526" s="7" t="s">
        <v>412</v>
      </c>
      <c r="C526" s="6" t="s">
        <v>407</v>
      </c>
    </row>
    <row r="527" spans="1:3" ht="12.75" x14ac:dyDescent="0.2">
      <c r="A527" s="8">
        <v>52903</v>
      </c>
      <c r="B527" s="7" t="s">
        <v>412</v>
      </c>
      <c r="C527" s="6" t="s">
        <v>408</v>
      </c>
    </row>
    <row r="528" spans="1:3" ht="12.75" x14ac:dyDescent="0.2">
      <c r="A528" s="8">
        <v>52916</v>
      </c>
      <c r="B528" s="7" t="s">
        <v>398</v>
      </c>
      <c r="C528" s="6" t="s">
        <v>409</v>
      </c>
    </row>
    <row r="529" spans="1:3" ht="12.75" x14ac:dyDescent="0.2">
      <c r="A529" s="8">
        <v>52956</v>
      </c>
      <c r="B529" s="7" t="s">
        <v>411</v>
      </c>
      <c r="C529" s="6" t="s">
        <v>410</v>
      </c>
    </row>
    <row r="530" spans="1:3" ht="12.75" x14ac:dyDescent="0.2">
      <c r="A530" s="8">
        <v>52963</v>
      </c>
      <c r="B530" s="7" t="s">
        <v>411</v>
      </c>
      <c r="C530" s="6" t="s">
        <v>396</v>
      </c>
    </row>
    <row r="531" spans="1:3" ht="12.75" x14ac:dyDescent="0.2">
      <c r="A531" s="8">
        <v>53013</v>
      </c>
      <c r="B531" s="7" t="s">
        <v>395</v>
      </c>
      <c r="C531" s="6" t="s">
        <v>397</v>
      </c>
    </row>
    <row r="532" spans="1:3" ht="12.75" x14ac:dyDescent="0.2">
      <c r="A532" s="8">
        <v>53014</v>
      </c>
      <c r="B532" s="7" t="s">
        <v>398</v>
      </c>
      <c r="C532" s="6" t="s">
        <v>397</v>
      </c>
    </row>
    <row r="533" spans="1:3" ht="12.75" x14ac:dyDescent="0.2">
      <c r="A533" s="8">
        <v>53059</v>
      </c>
      <c r="B533" s="7" t="s">
        <v>399</v>
      </c>
      <c r="C533" s="6" t="s">
        <v>400</v>
      </c>
    </row>
    <row r="534" spans="1:3" ht="12.75" x14ac:dyDescent="0.2">
      <c r="A534" s="8">
        <v>53073</v>
      </c>
      <c r="B534" s="7" t="s">
        <v>399</v>
      </c>
      <c r="C534" s="6" t="s">
        <v>402</v>
      </c>
    </row>
    <row r="535" spans="1:3" ht="12.75" x14ac:dyDescent="0.2">
      <c r="A535" s="8">
        <v>53083</v>
      </c>
      <c r="B535" s="7" t="s">
        <v>395</v>
      </c>
      <c r="C535" s="6" t="s">
        <v>403</v>
      </c>
    </row>
    <row r="536" spans="1:3" ht="12.75" x14ac:dyDescent="0.2">
      <c r="A536" s="8">
        <v>53121</v>
      </c>
      <c r="B536" s="7" t="s">
        <v>404</v>
      </c>
      <c r="C536" s="6" t="s">
        <v>405</v>
      </c>
    </row>
    <row r="537" spans="1:3" ht="12.75" x14ac:dyDescent="0.2">
      <c r="A537" s="8">
        <v>53212</v>
      </c>
      <c r="B537" s="7" t="s">
        <v>404</v>
      </c>
      <c r="C537" s="6" t="s">
        <v>406</v>
      </c>
    </row>
    <row r="538" spans="1:3" ht="13.5" x14ac:dyDescent="0.2">
      <c r="A538" s="8">
        <v>53247</v>
      </c>
      <c r="B538" s="7" t="s">
        <v>404</v>
      </c>
      <c r="C538" s="6" t="s">
        <v>407</v>
      </c>
    </row>
    <row r="539" spans="1:3" ht="12.75" x14ac:dyDescent="0.2">
      <c r="A539" s="8">
        <v>53268</v>
      </c>
      <c r="B539" s="7" t="s">
        <v>404</v>
      </c>
      <c r="C539" s="6" t="s">
        <v>408</v>
      </c>
    </row>
    <row r="540" spans="1:3" ht="12.75" x14ac:dyDescent="0.2">
      <c r="A540" s="8">
        <v>53281</v>
      </c>
      <c r="B540" s="7" t="s">
        <v>412</v>
      </c>
      <c r="C540" s="6" t="s">
        <v>409</v>
      </c>
    </row>
    <row r="541" spans="1:3" ht="12.75" x14ac:dyDescent="0.2">
      <c r="A541" s="8">
        <v>53321</v>
      </c>
      <c r="B541" s="7" t="s">
        <v>395</v>
      </c>
      <c r="C541" s="6" t="s">
        <v>410</v>
      </c>
    </row>
    <row r="542" spans="1:3" ht="12.75" x14ac:dyDescent="0.2">
      <c r="A542" s="8">
        <v>53328</v>
      </c>
      <c r="B542" s="7" t="s">
        <v>395</v>
      </c>
      <c r="C542" s="6" t="s">
        <v>396</v>
      </c>
    </row>
    <row r="543" spans="1:3" ht="12.75" x14ac:dyDescent="0.2">
      <c r="A543" s="8">
        <v>53363</v>
      </c>
      <c r="B543" s="7" t="s">
        <v>395</v>
      </c>
      <c r="C543" s="6" t="s">
        <v>397</v>
      </c>
    </row>
    <row r="544" spans="1:3" ht="12.75" x14ac:dyDescent="0.2">
      <c r="A544" s="8">
        <v>53364</v>
      </c>
      <c r="B544" s="7" t="s">
        <v>398</v>
      </c>
      <c r="C544" s="6" t="s">
        <v>397</v>
      </c>
    </row>
    <row r="545" spans="1:3" ht="12.75" x14ac:dyDescent="0.2">
      <c r="A545" s="8">
        <v>53409</v>
      </c>
      <c r="B545" s="7" t="s">
        <v>399</v>
      </c>
      <c r="C545" s="6" t="s">
        <v>400</v>
      </c>
    </row>
    <row r="546" spans="1:3" ht="12.75" x14ac:dyDescent="0.2">
      <c r="A546" s="8">
        <v>53438</v>
      </c>
      <c r="B546" s="7" t="s">
        <v>401</v>
      </c>
      <c r="C546" s="6" t="s">
        <v>402</v>
      </c>
    </row>
    <row r="547" spans="1:3" ht="12.75" x14ac:dyDescent="0.2">
      <c r="A547" s="8">
        <v>53448</v>
      </c>
      <c r="B547" s="7" t="s">
        <v>398</v>
      </c>
      <c r="C547" s="6" t="s">
        <v>403</v>
      </c>
    </row>
    <row r="548" spans="1:3" ht="12.75" x14ac:dyDescent="0.2">
      <c r="A548" s="8">
        <v>53471</v>
      </c>
      <c r="B548" s="7" t="s">
        <v>404</v>
      </c>
      <c r="C548" s="6" t="s">
        <v>405</v>
      </c>
    </row>
    <row r="549" spans="1:3" ht="12.75" x14ac:dyDescent="0.2">
      <c r="A549" s="8">
        <v>53577</v>
      </c>
      <c r="B549" s="7" t="s">
        <v>399</v>
      </c>
      <c r="C549" s="6" t="s">
        <v>406</v>
      </c>
    </row>
    <row r="550" spans="1:3" ht="13.5" x14ac:dyDescent="0.2">
      <c r="A550" s="8">
        <v>53612</v>
      </c>
      <c r="B550" s="7" t="s">
        <v>399</v>
      </c>
      <c r="C550" s="6" t="s">
        <v>407</v>
      </c>
    </row>
    <row r="551" spans="1:3" ht="12.75" x14ac:dyDescent="0.2">
      <c r="A551" s="8">
        <v>53633</v>
      </c>
      <c r="B551" s="7" t="s">
        <v>399</v>
      </c>
      <c r="C551" s="6" t="s">
        <v>408</v>
      </c>
    </row>
    <row r="552" spans="1:3" ht="12.75" x14ac:dyDescent="0.2">
      <c r="A552" s="8">
        <v>53646</v>
      </c>
      <c r="B552" s="7" t="s">
        <v>404</v>
      </c>
      <c r="C552" s="6" t="s">
        <v>409</v>
      </c>
    </row>
    <row r="553" spans="1:3" ht="12.75" x14ac:dyDescent="0.2">
      <c r="A553" s="8">
        <v>53686</v>
      </c>
      <c r="B553" s="7" t="s">
        <v>398</v>
      </c>
      <c r="C553" s="6" t="s">
        <v>410</v>
      </c>
    </row>
    <row r="554" spans="1:3" ht="12.75" x14ac:dyDescent="0.2">
      <c r="A554" s="8">
        <v>53693</v>
      </c>
      <c r="B554" s="7" t="s">
        <v>398</v>
      </c>
      <c r="C554" s="6" t="s">
        <v>396</v>
      </c>
    </row>
    <row r="555" spans="1:3" ht="12.75" x14ac:dyDescent="0.2">
      <c r="A555" s="8">
        <v>53748</v>
      </c>
      <c r="B555" s="7" t="s">
        <v>395</v>
      </c>
      <c r="C555" s="6" t="s">
        <v>397</v>
      </c>
    </row>
    <row r="556" spans="1:3" ht="12.75" x14ac:dyDescent="0.2">
      <c r="A556" s="8">
        <v>53749</v>
      </c>
      <c r="B556" s="7" t="s">
        <v>398</v>
      </c>
      <c r="C556" s="6" t="s">
        <v>397</v>
      </c>
    </row>
    <row r="557" spans="1:3" ht="12.75" x14ac:dyDescent="0.2">
      <c r="A557" s="8">
        <v>53794</v>
      </c>
      <c r="B557" s="7" t="s">
        <v>399</v>
      </c>
      <c r="C557" s="6" t="s">
        <v>400</v>
      </c>
    </row>
    <row r="558" spans="1:3" ht="12.75" x14ac:dyDescent="0.2">
      <c r="A558" s="8">
        <v>53803</v>
      </c>
      <c r="B558" s="7" t="s">
        <v>398</v>
      </c>
      <c r="C558" s="6" t="s">
        <v>402</v>
      </c>
    </row>
    <row r="559" spans="1:3" ht="12.75" x14ac:dyDescent="0.2">
      <c r="A559" s="8">
        <v>53813</v>
      </c>
      <c r="B559" s="7" t="s">
        <v>412</v>
      </c>
      <c r="C559" s="6" t="s">
        <v>403</v>
      </c>
    </row>
    <row r="560" spans="1:3" ht="12.75" x14ac:dyDescent="0.2">
      <c r="A560" s="8">
        <v>53856</v>
      </c>
      <c r="B560" s="7" t="s">
        <v>404</v>
      </c>
      <c r="C560" s="6" t="s">
        <v>405</v>
      </c>
    </row>
    <row r="561" spans="1:3" ht="12.75" x14ac:dyDescent="0.2">
      <c r="A561" s="8">
        <v>53942</v>
      </c>
      <c r="B561" s="7" t="s">
        <v>401</v>
      </c>
      <c r="C561" s="6" t="s">
        <v>406</v>
      </c>
    </row>
    <row r="562" spans="1:3" ht="13.5" x14ac:dyDescent="0.2">
      <c r="A562" s="8">
        <v>53977</v>
      </c>
      <c r="B562" s="7" t="s">
        <v>401</v>
      </c>
      <c r="C562" s="6" t="s">
        <v>407</v>
      </c>
    </row>
    <row r="563" spans="1:3" ht="12.75" x14ac:dyDescent="0.2">
      <c r="A563" s="8">
        <v>53998</v>
      </c>
      <c r="B563" s="7" t="s">
        <v>401</v>
      </c>
      <c r="C563" s="6" t="s">
        <v>408</v>
      </c>
    </row>
    <row r="564" spans="1:3" ht="12.75" x14ac:dyDescent="0.2">
      <c r="A564" s="8">
        <v>54011</v>
      </c>
      <c r="B564" s="7" t="s">
        <v>399</v>
      </c>
      <c r="C564" s="6" t="s">
        <v>409</v>
      </c>
    </row>
    <row r="565" spans="1:3" ht="12.75" x14ac:dyDescent="0.2">
      <c r="A565" s="8">
        <v>54051</v>
      </c>
      <c r="B565" s="7" t="s">
        <v>412</v>
      </c>
      <c r="C565" s="6" t="s">
        <v>410</v>
      </c>
    </row>
    <row r="566" spans="1:3" ht="12.75" x14ac:dyDescent="0.2">
      <c r="A566" s="8">
        <v>54058</v>
      </c>
      <c r="B566" s="7" t="s">
        <v>412</v>
      </c>
      <c r="C566" s="6" t="s">
        <v>396</v>
      </c>
    </row>
    <row r="567" spans="1:3" ht="12.75" x14ac:dyDescent="0.2">
      <c r="A567" s="8">
        <v>54105</v>
      </c>
      <c r="B567" s="7" t="s">
        <v>395</v>
      </c>
      <c r="C567" s="6" t="s">
        <v>397</v>
      </c>
    </row>
    <row r="568" spans="1:3" ht="12.75" x14ac:dyDescent="0.2">
      <c r="A568" s="8">
        <v>54106</v>
      </c>
      <c r="B568" s="7" t="s">
        <v>398</v>
      </c>
      <c r="C568" s="6" t="s">
        <v>397</v>
      </c>
    </row>
    <row r="569" spans="1:3" ht="12.75" x14ac:dyDescent="0.2">
      <c r="A569" s="8">
        <v>54151</v>
      </c>
      <c r="B569" s="7" t="s">
        <v>399</v>
      </c>
      <c r="C569" s="6" t="s">
        <v>400</v>
      </c>
    </row>
    <row r="570" spans="1:3" ht="12.75" x14ac:dyDescent="0.2">
      <c r="A570" s="8">
        <v>54169</v>
      </c>
      <c r="B570" s="7" t="s">
        <v>398</v>
      </c>
      <c r="C570" s="6" t="s">
        <v>402</v>
      </c>
    </row>
    <row r="571" spans="1:3" ht="12.75" x14ac:dyDescent="0.2">
      <c r="A571" s="8">
        <v>54179</v>
      </c>
      <c r="B571" s="7" t="s">
        <v>399</v>
      </c>
      <c r="C571" s="6" t="s">
        <v>403</v>
      </c>
    </row>
    <row r="572" spans="1:3" ht="12.75" x14ac:dyDescent="0.2">
      <c r="A572" s="8">
        <v>54213</v>
      </c>
      <c r="B572" s="7" t="s">
        <v>404</v>
      </c>
      <c r="C572" s="6" t="s">
        <v>405</v>
      </c>
    </row>
    <row r="573" spans="1:3" ht="12.75" x14ac:dyDescent="0.2">
      <c r="A573" s="8">
        <v>54308</v>
      </c>
      <c r="B573" s="7" t="s">
        <v>395</v>
      </c>
      <c r="C573" s="6" t="s">
        <v>406</v>
      </c>
    </row>
    <row r="574" spans="1:3" ht="13.5" x14ac:dyDescent="0.2">
      <c r="A574" s="8">
        <v>54343</v>
      </c>
      <c r="B574" s="7" t="s">
        <v>395</v>
      </c>
      <c r="C574" s="6" t="s">
        <v>407</v>
      </c>
    </row>
    <row r="575" spans="1:3" ht="12.75" x14ac:dyDescent="0.2">
      <c r="A575" s="8">
        <v>54364</v>
      </c>
      <c r="B575" s="7" t="s">
        <v>395</v>
      </c>
      <c r="C575" s="6" t="s">
        <v>408</v>
      </c>
    </row>
    <row r="576" spans="1:3" ht="12.75" x14ac:dyDescent="0.2">
      <c r="A576" s="8">
        <v>54377</v>
      </c>
      <c r="B576" s="7" t="s">
        <v>411</v>
      </c>
      <c r="C576" s="6" t="s">
        <v>409</v>
      </c>
    </row>
    <row r="577" spans="1:3" ht="12.75" x14ac:dyDescent="0.2">
      <c r="A577" s="8">
        <v>54417</v>
      </c>
      <c r="B577" s="7" t="s">
        <v>399</v>
      </c>
      <c r="C577" s="6" t="s">
        <v>410</v>
      </c>
    </row>
    <row r="578" spans="1:3" ht="12.75" x14ac:dyDescent="0.2">
      <c r="A578" s="8">
        <v>54424</v>
      </c>
      <c r="B578" s="7" t="s">
        <v>399</v>
      </c>
      <c r="C578" s="6" t="s">
        <v>396</v>
      </c>
    </row>
    <row r="579" spans="1:3" ht="12.75" x14ac:dyDescent="0.2">
      <c r="A579" s="8">
        <v>54483</v>
      </c>
      <c r="B579" s="7" t="s">
        <v>395</v>
      </c>
      <c r="C579" s="6" t="s">
        <v>397</v>
      </c>
    </row>
    <row r="580" spans="1:3" ht="12.75" x14ac:dyDescent="0.2">
      <c r="A580" s="8">
        <v>54484</v>
      </c>
      <c r="B580" s="7" t="s">
        <v>398</v>
      </c>
      <c r="C580" s="6" t="s">
        <v>397</v>
      </c>
    </row>
    <row r="581" spans="1:3" ht="12.75" x14ac:dyDescent="0.2">
      <c r="A581" s="8">
        <v>54529</v>
      </c>
      <c r="B581" s="7" t="s">
        <v>399</v>
      </c>
      <c r="C581" s="6" t="s">
        <v>400</v>
      </c>
    </row>
    <row r="582" spans="1:3" ht="12.75" x14ac:dyDescent="0.2">
      <c r="A582" s="8">
        <v>54534</v>
      </c>
      <c r="B582" s="7" t="s">
        <v>412</v>
      </c>
      <c r="C582" s="6" t="s">
        <v>402</v>
      </c>
    </row>
    <row r="583" spans="1:3" ht="12.75" x14ac:dyDescent="0.2">
      <c r="A583" s="8">
        <v>54544</v>
      </c>
      <c r="B583" s="7" t="s">
        <v>401</v>
      </c>
      <c r="C583" s="6" t="s">
        <v>403</v>
      </c>
    </row>
    <row r="584" spans="1:3" ht="12.75" x14ac:dyDescent="0.2">
      <c r="A584" s="8">
        <v>54591</v>
      </c>
      <c r="B584" s="7" t="s">
        <v>404</v>
      </c>
      <c r="C584" s="6" t="s">
        <v>405</v>
      </c>
    </row>
    <row r="585" spans="1:3" ht="12.75" x14ac:dyDescent="0.2">
      <c r="A585" s="8">
        <v>54673</v>
      </c>
      <c r="B585" s="7" t="s">
        <v>398</v>
      </c>
      <c r="C585" s="6" t="s">
        <v>406</v>
      </c>
    </row>
    <row r="586" spans="1:3" ht="13.5" x14ac:dyDescent="0.2">
      <c r="A586" s="8">
        <v>54708</v>
      </c>
      <c r="B586" s="7" t="s">
        <v>398</v>
      </c>
      <c r="C586" s="6" t="s">
        <v>407</v>
      </c>
    </row>
    <row r="587" spans="1:3" ht="12.75" x14ac:dyDescent="0.2">
      <c r="A587" s="8">
        <v>54729</v>
      </c>
      <c r="B587" s="7" t="s">
        <v>398</v>
      </c>
      <c r="C587" s="6" t="s">
        <v>408</v>
      </c>
    </row>
    <row r="588" spans="1:3" ht="12.75" x14ac:dyDescent="0.2">
      <c r="A588" s="8">
        <v>54742</v>
      </c>
      <c r="B588" s="7" t="s">
        <v>395</v>
      </c>
      <c r="C588" s="6" t="s">
        <v>409</v>
      </c>
    </row>
    <row r="589" spans="1:3" ht="12.75" x14ac:dyDescent="0.2">
      <c r="A589" s="8">
        <v>54782</v>
      </c>
      <c r="B589" s="7" t="s">
        <v>401</v>
      </c>
      <c r="C589" s="6" t="s">
        <v>410</v>
      </c>
    </row>
    <row r="590" spans="1:3" ht="12.75" x14ac:dyDescent="0.2">
      <c r="A590" s="8">
        <v>54789</v>
      </c>
      <c r="B590" s="7" t="s">
        <v>401</v>
      </c>
      <c r="C590" s="6" t="s">
        <v>396</v>
      </c>
    </row>
    <row r="591" spans="1:3" ht="12.75" x14ac:dyDescent="0.2">
      <c r="A591" s="8">
        <v>54840</v>
      </c>
      <c r="B591" s="7" t="s">
        <v>395</v>
      </c>
      <c r="C591" s="6" t="s">
        <v>397</v>
      </c>
    </row>
    <row r="592" spans="1:3" ht="12.75" x14ac:dyDescent="0.2">
      <c r="A592" s="8">
        <v>54841</v>
      </c>
      <c r="B592" s="7" t="s">
        <v>398</v>
      </c>
      <c r="C592" s="6" t="s">
        <v>397</v>
      </c>
    </row>
    <row r="593" spans="1:3" ht="12.75" x14ac:dyDescent="0.2">
      <c r="A593" s="8">
        <v>54886</v>
      </c>
      <c r="B593" s="7" t="s">
        <v>399</v>
      </c>
      <c r="C593" s="6" t="s">
        <v>400</v>
      </c>
    </row>
    <row r="594" spans="1:3" ht="12.75" x14ac:dyDescent="0.2">
      <c r="A594" s="8">
        <v>54899</v>
      </c>
      <c r="B594" s="7" t="s">
        <v>404</v>
      </c>
      <c r="C594" s="6" t="s">
        <v>402</v>
      </c>
    </row>
    <row r="595" spans="1:3" ht="12.75" x14ac:dyDescent="0.2">
      <c r="A595" s="8">
        <v>54909</v>
      </c>
      <c r="B595" s="7" t="s">
        <v>411</v>
      </c>
      <c r="C595" s="6" t="s">
        <v>403</v>
      </c>
    </row>
    <row r="596" spans="1:3" ht="12.75" x14ac:dyDescent="0.2">
      <c r="A596" s="8">
        <v>54948</v>
      </c>
      <c r="B596" s="7" t="s">
        <v>404</v>
      </c>
      <c r="C596" s="6" t="s">
        <v>405</v>
      </c>
    </row>
    <row r="597" spans="1:3" ht="12.75" x14ac:dyDescent="0.2">
      <c r="A597" s="8">
        <v>55038</v>
      </c>
      <c r="B597" s="7" t="s">
        <v>412</v>
      </c>
      <c r="C597" s="6" t="s">
        <v>406</v>
      </c>
    </row>
    <row r="598" spans="1:3" ht="13.5" x14ac:dyDescent="0.2">
      <c r="A598" s="8">
        <v>55073</v>
      </c>
      <c r="B598" s="7" t="s">
        <v>412</v>
      </c>
      <c r="C598" s="6" t="s">
        <v>407</v>
      </c>
    </row>
    <row r="599" spans="1:3" ht="12.75" x14ac:dyDescent="0.2">
      <c r="A599" s="8">
        <v>55094</v>
      </c>
      <c r="B599" s="7" t="s">
        <v>412</v>
      </c>
      <c r="C599" s="6" t="s">
        <v>408</v>
      </c>
    </row>
    <row r="600" spans="1:3" ht="12.75" x14ac:dyDescent="0.2">
      <c r="A600" s="8">
        <v>55107</v>
      </c>
      <c r="B600" s="7" t="s">
        <v>398</v>
      </c>
      <c r="C600" s="6" t="s">
        <v>409</v>
      </c>
    </row>
    <row r="601" spans="1:3" ht="12.75" x14ac:dyDescent="0.2">
      <c r="A601" s="8">
        <v>55147</v>
      </c>
      <c r="B601" s="7" t="s">
        <v>411</v>
      </c>
      <c r="C601" s="6" t="s">
        <v>410</v>
      </c>
    </row>
    <row r="602" spans="1:3" ht="12.75" x14ac:dyDescent="0.2">
      <c r="A602" s="8">
        <v>55154</v>
      </c>
      <c r="B602" s="7" t="s">
        <v>411</v>
      </c>
      <c r="C602" s="6" t="s">
        <v>396</v>
      </c>
    </row>
    <row r="603" spans="1:3" ht="12.75" x14ac:dyDescent="0.2">
      <c r="A603" s="8">
        <v>55197</v>
      </c>
      <c r="B603" s="7" t="s">
        <v>395</v>
      </c>
      <c r="C603" s="6" t="s">
        <v>397</v>
      </c>
    </row>
    <row r="604" spans="1:3" ht="12.75" x14ac:dyDescent="0.2">
      <c r="A604" s="8">
        <v>55198</v>
      </c>
      <c r="B604" s="7" t="s">
        <v>398</v>
      </c>
      <c r="C604" s="6" t="s">
        <v>397</v>
      </c>
    </row>
    <row r="605" spans="1:3" ht="12.75" x14ac:dyDescent="0.2">
      <c r="A605" s="8">
        <v>55243</v>
      </c>
      <c r="B605" s="7" t="s">
        <v>399</v>
      </c>
      <c r="C605" s="6" t="s">
        <v>400</v>
      </c>
    </row>
    <row r="606" spans="1:3" ht="12.75" x14ac:dyDescent="0.2">
      <c r="A606" s="8">
        <v>55264</v>
      </c>
      <c r="B606" s="7" t="s">
        <v>399</v>
      </c>
      <c r="C606" s="6" t="s">
        <v>402</v>
      </c>
    </row>
    <row r="607" spans="1:3" ht="12.75" x14ac:dyDescent="0.2">
      <c r="A607" s="8">
        <v>55274</v>
      </c>
      <c r="B607" s="7" t="s">
        <v>395</v>
      </c>
      <c r="C607" s="6" t="s">
        <v>403</v>
      </c>
    </row>
    <row r="608" spans="1:3" ht="12.75" x14ac:dyDescent="0.2">
      <c r="A608" s="8">
        <v>55305</v>
      </c>
      <c r="B608" s="7" t="s">
        <v>404</v>
      </c>
      <c r="C608" s="6" t="s">
        <v>405</v>
      </c>
    </row>
    <row r="609" spans="1:3" ht="12.75" x14ac:dyDescent="0.2">
      <c r="A609" s="8">
        <v>55403</v>
      </c>
      <c r="B609" s="7" t="s">
        <v>404</v>
      </c>
      <c r="C609" s="6" t="s">
        <v>406</v>
      </c>
    </row>
    <row r="610" spans="1:3" ht="13.5" x14ac:dyDescent="0.2">
      <c r="A610" s="8">
        <v>55438</v>
      </c>
      <c r="B610" s="7" t="s">
        <v>404</v>
      </c>
      <c r="C610" s="6" t="s">
        <v>407</v>
      </c>
    </row>
    <row r="611" spans="1:3" ht="12.75" x14ac:dyDescent="0.2">
      <c r="A611" s="8">
        <v>55459</v>
      </c>
      <c r="B611" s="7" t="s">
        <v>404</v>
      </c>
      <c r="C611" s="6" t="s">
        <v>408</v>
      </c>
    </row>
    <row r="612" spans="1:3" ht="12.75" x14ac:dyDescent="0.2">
      <c r="A612" s="8">
        <v>55472</v>
      </c>
      <c r="B612" s="7" t="s">
        <v>412</v>
      </c>
      <c r="C612" s="6" t="s">
        <v>409</v>
      </c>
    </row>
    <row r="613" spans="1:3" ht="12.75" x14ac:dyDescent="0.2">
      <c r="A613" s="8">
        <v>55512</v>
      </c>
      <c r="B613" s="7" t="s">
        <v>395</v>
      </c>
      <c r="C613" s="6" t="s">
        <v>410</v>
      </c>
    </row>
    <row r="614" spans="1:3" ht="12.75" x14ac:dyDescent="0.2">
      <c r="A614" s="8">
        <v>55519</v>
      </c>
      <c r="B614" s="7" t="s">
        <v>395</v>
      </c>
      <c r="C614" s="6" t="s">
        <v>396</v>
      </c>
    </row>
    <row r="615" spans="1:3" ht="12.75" x14ac:dyDescent="0.2">
      <c r="A615" s="8">
        <v>55582</v>
      </c>
      <c r="B615" s="7" t="s">
        <v>395</v>
      </c>
      <c r="C615" s="6" t="s">
        <v>397</v>
      </c>
    </row>
    <row r="616" spans="1:3" ht="12.75" x14ac:dyDescent="0.2">
      <c r="A616" s="8">
        <v>55583</v>
      </c>
      <c r="B616" s="7" t="s">
        <v>398</v>
      </c>
      <c r="C616" s="6" t="s">
        <v>397</v>
      </c>
    </row>
    <row r="617" spans="1:3" ht="12.75" x14ac:dyDescent="0.2">
      <c r="A617" s="8">
        <v>55628</v>
      </c>
      <c r="B617" s="7" t="s">
        <v>399</v>
      </c>
      <c r="C617" s="6" t="s">
        <v>400</v>
      </c>
    </row>
    <row r="618" spans="1:3" ht="12.75" x14ac:dyDescent="0.2">
      <c r="A618" s="8">
        <v>55630</v>
      </c>
      <c r="B618" s="7" t="s">
        <v>411</v>
      </c>
      <c r="C618" s="6" t="s">
        <v>402</v>
      </c>
    </row>
    <row r="619" spans="1:3" ht="12.75" x14ac:dyDescent="0.2">
      <c r="A619" s="8">
        <v>55640</v>
      </c>
      <c r="B619" s="7" t="s">
        <v>412</v>
      </c>
      <c r="C619" s="6" t="s">
        <v>403</v>
      </c>
    </row>
    <row r="620" spans="1:3" ht="12.75" x14ac:dyDescent="0.2">
      <c r="A620" s="8">
        <v>55690</v>
      </c>
      <c r="B620" s="7" t="s">
        <v>404</v>
      </c>
      <c r="C620" s="6" t="s">
        <v>405</v>
      </c>
    </row>
    <row r="621" spans="1:3" ht="12.75" x14ac:dyDescent="0.2">
      <c r="A621" s="8">
        <v>55769</v>
      </c>
      <c r="B621" s="7" t="s">
        <v>401</v>
      </c>
      <c r="C621" s="6" t="s">
        <v>406</v>
      </c>
    </row>
    <row r="622" spans="1:3" ht="13.5" x14ac:dyDescent="0.2">
      <c r="A622" s="8">
        <v>55804</v>
      </c>
      <c r="B622" s="7" t="s">
        <v>401</v>
      </c>
      <c r="C622" s="6" t="s">
        <v>407</v>
      </c>
    </row>
    <row r="623" spans="1:3" ht="12.75" x14ac:dyDescent="0.2">
      <c r="A623" s="8">
        <v>55825</v>
      </c>
      <c r="B623" s="7" t="s">
        <v>401</v>
      </c>
      <c r="C623" s="6" t="s">
        <v>408</v>
      </c>
    </row>
    <row r="624" spans="1:3" ht="12.75" x14ac:dyDescent="0.2">
      <c r="A624" s="8">
        <v>55838</v>
      </c>
      <c r="B624" s="7" t="s">
        <v>399</v>
      </c>
      <c r="C624" s="6" t="s">
        <v>409</v>
      </c>
    </row>
    <row r="625" spans="1:3" ht="12.75" x14ac:dyDescent="0.2">
      <c r="A625" s="8">
        <v>55878</v>
      </c>
      <c r="B625" s="7" t="s">
        <v>412</v>
      </c>
      <c r="C625" s="6" t="s">
        <v>410</v>
      </c>
    </row>
    <row r="626" spans="1:3" ht="12.75" x14ac:dyDescent="0.2">
      <c r="A626" s="8">
        <v>55885</v>
      </c>
      <c r="B626" s="7" t="s">
        <v>412</v>
      </c>
      <c r="C626" s="6" t="s">
        <v>396</v>
      </c>
    </row>
    <row r="627" spans="1:3" ht="12.75" x14ac:dyDescent="0.2">
      <c r="A627" s="8">
        <v>55932</v>
      </c>
      <c r="B627" s="7" t="s">
        <v>395</v>
      </c>
      <c r="C627" s="6" t="s">
        <v>397</v>
      </c>
    </row>
    <row r="628" spans="1:3" ht="12.75" x14ac:dyDescent="0.2">
      <c r="A628" s="8">
        <v>55933</v>
      </c>
      <c r="B628" s="7" t="s">
        <v>398</v>
      </c>
      <c r="C628" s="6" t="s">
        <v>397</v>
      </c>
    </row>
    <row r="629" spans="1:3" ht="12.75" x14ac:dyDescent="0.2">
      <c r="A629" s="8">
        <v>55978</v>
      </c>
      <c r="B629" s="7" t="s">
        <v>399</v>
      </c>
      <c r="C629" s="6" t="s">
        <v>400</v>
      </c>
    </row>
    <row r="630" spans="1:3" ht="12.75" x14ac:dyDescent="0.2">
      <c r="A630" s="8">
        <v>55995</v>
      </c>
      <c r="B630" s="7" t="s">
        <v>395</v>
      </c>
      <c r="C630" s="6" t="s">
        <v>402</v>
      </c>
    </row>
    <row r="631" spans="1:3" ht="12.75" x14ac:dyDescent="0.2">
      <c r="A631" s="8">
        <v>56005</v>
      </c>
      <c r="B631" s="7" t="s">
        <v>404</v>
      </c>
      <c r="C631" s="6" t="s">
        <v>403</v>
      </c>
    </row>
    <row r="632" spans="1:3" ht="12.75" x14ac:dyDescent="0.2">
      <c r="A632" s="8">
        <v>56040</v>
      </c>
      <c r="B632" s="7" t="s">
        <v>404</v>
      </c>
      <c r="C632" s="6" t="s">
        <v>405</v>
      </c>
    </row>
    <row r="633" spans="1:3" ht="12.75" x14ac:dyDescent="0.2">
      <c r="A633" s="8">
        <v>56134</v>
      </c>
      <c r="B633" s="7" t="s">
        <v>411</v>
      </c>
      <c r="C633" s="6" t="s">
        <v>406</v>
      </c>
    </row>
    <row r="634" spans="1:3" ht="13.5" x14ac:dyDescent="0.2">
      <c r="A634" s="8">
        <v>56169</v>
      </c>
      <c r="B634" s="7" t="s">
        <v>411</v>
      </c>
      <c r="C634" s="6" t="s">
        <v>407</v>
      </c>
    </row>
    <row r="635" spans="1:3" ht="12.75" x14ac:dyDescent="0.2">
      <c r="A635" s="8">
        <v>56190</v>
      </c>
      <c r="B635" s="7" t="s">
        <v>411</v>
      </c>
      <c r="C635" s="6" t="s">
        <v>408</v>
      </c>
    </row>
    <row r="636" spans="1:3" ht="12.75" x14ac:dyDescent="0.2">
      <c r="A636" s="8">
        <v>56203</v>
      </c>
      <c r="B636" s="7" t="s">
        <v>401</v>
      </c>
      <c r="C636" s="6" t="s">
        <v>409</v>
      </c>
    </row>
    <row r="637" spans="1:3" ht="12.75" x14ac:dyDescent="0.2">
      <c r="A637" s="8">
        <v>56243</v>
      </c>
      <c r="B637" s="7" t="s">
        <v>404</v>
      </c>
      <c r="C637" s="6" t="s">
        <v>410</v>
      </c>
    </row>
    <row r="638" spans="1:3" ht="12.75" x14ac:dyDescent="0.2">
      <c r="A638" s="8">
        <v>56250</v>
      </c>
      <c r="B638" s="7" t="s">
        <v>404</v>
      </c>
      <c r="C638" s="6" t="s">
        <v>396</v>
      </c>
    </row>
    <row r="639" spans="1:3" ht="12.75" x14ac:dyDescent="0.2">
      <c r="A639" s="8">
        <v>56289</v>
      </c>
      <c r="B639" s="7" t="s">
        <v>395</v>
      </c>
      <c r="C639" s="6" t="s">
        <v>397</v>
      </c>
    </row>
    <row r="640" spans="1:3" ht="12.75" x14ac:dyDescent="0.2">
      <c r="A640" s="8">
        <v>56290</v>
      </c>
      <c r="B640" s="7" t="s">
        <v>398</v>
      </c>
      <c r="C640" s="6" t="s">
        <v>397</v>
      </c>
    </row>
    <row r="641" spans="1:3" ht="12.75" x14ac:dyDescent="0.2">
      <c r="A641" s="8">
        <v>56335</v>
      </c>
      <c r="B641" s="7" t="s">
        <v>399</v>
      </c>
      <c r="C641" s="6" t="s">
        <v>400</v>
      </c>
    </row>
    <row r="642" spans="1:3" ht="12.75" x14ac:dyDescent="0.2">
      <c r="A642" s="8">
        <v>56360</v>
      </c>
      <c r="B642" s="7" t="s">
        <v>398</v>
      </c>
      <c r="C642" s="6" t="s">
        <v>402</v>
      </c>
    </row>
    <row r="643" spans="1:3" ht="12.75" x14ac:dyDescent="0.2">
      <c r="A643" s="8">
        <v>56370</v>
      </c>
      <c r="B643" s="7" t="s">
        <v>399</v>
      </c>
      <c r="C643" s="6" t="s">
        <v>403</v>
      </c>
    </row>
    <row r="644" spans="1:3" ht="12.75" x14ac:dyDescent="0.2">
      <c r="A644" s="8">
        <v>56397</v>
      </c>
      <c r="B644" s="7" t="s">
        <v>404</v>
      </c>
      <c r="C644" s="6" t="s">
        <v>405</v>
      </c>
    </row>
    <row r="645" spans="1:3" ht="12.75" x14ac:dyDescent="0.2">
      <c r="A645" s="8">
        <v>56499</v>
      </c>
      <c r="B645" s="7" t="s">
        <v>395</v>
      </c>
      <c r="C645" s="6" t="s">
        <v>406</v>
      </c>
    </row>
    <row r="646" spans="1:3" ht="13.5" x14ac:dyDescent="0.2">
      <c r="A646" s="8">
        <v>56534</v>
      </c>
      <c r="B646" s="7" t="s">
        <v>395</v>
      </c>
      <c r="C646" s="6" t="s">
        <v>407</v>
      </c>
    </row>
    <row r="647" spans="1:3" ht="12.75" x14ac:dyDescent="0.2">
      <c r="A647" s="8">
        <v>56555</v>
      </c>
      <c r="B647" s="7" t="s">
        <v>395</v>
      </c>
      <c r="C647" s="6" t="s">
        <v>408</v>
      </c>
    </row>
    <row r="648" spans="1:3" ht="12.75" x14ac:dyDescent="0.2">
      <c r="A648" s="8">
        <v>56568</v>
      </c>
      <c r="B648" s="7" t="s">
        <v>411</v>
      </c>
      <c r="C648" s="6" t="s">
        <v>409</v>
      </c>
    </row>
    <row r="649" spans="1:3" ht="12.75" x14ac:dyDescent="0.2">
      <c r="A649" s="8">
        <v>56608</v>
      </c>
      <c r="B649" s="7" t="s">
        <v>399</v>
      </c>
      <c r="C649" s="6" t="s">
        <v>410</v>
      </c>
    </row>
    <row r="650" spans="1:3" ht="12.75" x14ac:dyDescent="0.2">
      <c r="A650" s="8">
        <v>56615</v>
      </c>
      <c r="B650" s="7" t="s">
        <v>399</v>
      </c>
      <c r="C650" s="6" t="s">
        <v>396</v>
      </c>
    </row>
    <row r="651" spans="1:3" ht="12.75" x14ac:dyDescent="0.2">
      <c r="A651" s="8">
        <v>56674</v>
      </c>
      <c r="B651" s="7" t="s">
        <v>395</v>
      </c>
      <c r="C651" s="6" t="s">
        <v>397</v>
      </c>
    </row>
    <row r="652" spans="1:3" ht="12.75" x14ac:dyDescent="0.2">
      <c r="A652" s="8">
        <v>56675</v>
      </c>
      <c r="B652" s="7" t="s">
        <v>398</v>
      </c>
      <c r="C652" s="6" t="s">
        <v>397</v>
      </c>
    </row>
    <row r="653" spans="1:3" ht="12.75" x14ac:dyDescent="0.2">
      <c r="A653" s="8">
        <v>56720</v>
      </c>
      <c r="B653" s="7" t="s">
        <v>399</v>
      </c>
      <c r="C653" s="6" t="s">
        <v>400</v>
      </c>
    </row>
    <row r="654" spans="1:3" ht="12.75" x14ac:dyDescent="0.2">
      <c r="A654" s="8">
        <v>56725</v>
      </c>
      <c r="B654" s="7" t="s">
        <v>412</v>
      </c>
      <c r="C654" s="6" t="s">
        <v>402</v>
      </c>
    </row>
    <row r="655" spans="1:3" ht="12.75" x14ac:dyDescent="0.2">
      <c r="A655" s="8">
        <v>56735</v>
      </c>
      <c r="B655" s="7" t="s">
        <v>401</v>
      </c>
      <c r="C655" s="6" t="s">
        <v>403</v>
      </c>
    </row>
    <row r="656" spans="1:3" ht="12.75" x14ac:dyDescent="0.2">
      <c r="A656" s="8">
        <v>56782</v>
      </c>
      <c r="B656" s="7" t="s">
        <v>404</v>
      </c>
      <c r="C656" s="6" t="s">
        <v>405</v>
      </c>
    </row>
    <row r="657" spans="1:3" ht="12.75" x14ac:dyDescent="0.2">
      <c r="A657" s="8">
        <v>56864</v>
      </c>
      <c r="B657" s="7" t="s">
        <v>398</v>
      </c>
      <c r="C657" s="6" t="s">
        <v>406</v>
      </c>
    </row>
    <row r="658" spans="1:3" ht="13.5" x14ac:dyDescent="0.2">
      <c r="A658" s="8">
        <v>56899</v>
      </c>
      <c r="B658" s="7" t="s">
        <v>398</v>
      </c>
      <c r="C658" s="6" t="s">
        <v>407</v>
      </c>
    </row>
    <row r="659" spans="1:3" ht="12.75" x14ac:dyDescent="0.2">
      <c r="A659" s="8">
        <v>56920</v>
      </c>
      <c r="B659" s="7" t="s">
        <v>398</v>
      </c>
      <c r="C659" s="6" t="s">
        <v>408</v>
      </c>
    </row>
    <row r="660" spans="1:3" ht="12.75" x14ac:dyDescent="0.2">
      <c r="A660" s="8">
        <v>56933</v>
      </c>
      <c r="B660" s="7" t="s">
        <v>395</v>
      </c>
      <c r="C660" s="6" t="s">
        <v>409</v>
      </c>
    </row>
    <row r="661" spans="1:3" ht="12.75" x14ac:dyDescent="0.2">
      <c r="A661" s="8">
        <v>56973</v>
      </c>
      <c r="B661" s="7" t="s">
        <v>401</v>
      </c>
      <c r="C661" s="6" t="s">
        <v>410</v>
      </c>
    </row>
    <row r="662" spans="1:3" ht="12.75" x14ac:dyDescent="0.2">
      <c r="A662" s="8">
        <v>56980</v>
      </c>
      <c r="B662" s="7" t="s">
        <v>401</v>
      </c>
      <c r="C662" s="6" t="s">
        <v>396</v>
      </c>
    </row>
    <row r="663" spans="1:3" ht="12.75" x14ac:dyDescent="0.2">
      <c r="A663" s="8">
        <v>57024</v>
      </c>
      <c r="B663" s="7" t="s">
        <v>395</v>
      </c>
      <c r="C663" s="6" t="s">
        <v>397</v>
      </c>
    </row>
    <row r="664" spans="1:3" ht="12.75" x14ac:dyDescent="0.2">
      <c r="A664" s="8">
        <v>57025</v>
      </c>
      <c r="B664" s="7" t="s">
        <v>398</v>
      </c>
      <c r="C664" s="6" t="s">
        <v>397</v>
      </c>
    </row>
    <row r="665" spans="1:3" ht="12.75" x14ac:dyDescent="0.2">
      <c r="A665" s="8">
        <v>57070</v>
      </c>
      <c r="B665" s="7" t="s">
        <v>399</v>
      </c>
      <c r="C665" s="6" t="s">
        <v>400</v>
      </c>
    </row>
    <row r="666" spans="1:3" ht="12.75" x14ac:dyDescent="0.2">
      <c r="A666" s="8">
        <v>57091</v>
      </c>
      <c r="B666" s="7" t="s">
        <v>399</v>
      </c>
      <c r="C666" s="6" t="s">
        <v>402</v>
      </c>
    </row>
    <row r="667" spans="1:3" ht="12.75" x14ac:dyDescent="0.2">
      <c r="A667" s="8">
        <v>57101</v>
      </c>
      <c r="B667" s="7" t="s">
        <v>395</v>
      </c>
      <c r="C667" s="6" t="s">
        <v>403</v>
      </c>
    </row>
    <row r="668" spans="1:3" ht="12.75" x14ac:dyDescent="0.2">
      <c r="A668" s="8">
        <v>57132</v>
      </c>
      <c r="B668" s="7" t="s">
        <v>404</v>
      </c>
      <c r="C668" s="6" t="s">
        <v>405</v>
      </c>
    </row>
    <row r="669" spans="1:3" ht="12.75" x14ac:dyDescent="0.2">
      <c r="A669" s="8">
        <v>57230</v>
      </c>
      <c r="B669" s="7" t="s">
        <v>404</v>
      </c>
      <c r="C669" s="6" t="s">
        <v>406</v>
      </c>
    </row>
    <row r="670" spans="1:3" ht="13.5" x14ac:dyDescent="0.2">
      <c r="A670" s="8">
        <v>57265</v>
      </c>
      <c r="B670" s="7" t="s">
        <v>404</v>
      </c>
      <c r="C670" s="6" t="s">
        <v>407</v>
      </c>
    </row>
    <row r="671" spans="1:3" ht="12.75" x14ac:dyDescent="0.2">
      <c r="A671" s="8">
        <v>57286</v>
      </c>
      <c r="B671" s="7" t="s">
        <v>404</v>
      </c>
      <c r="C671" s="6" t="s">
        <v>408</v>
      </c>
    </row>
    <row r="672" spans="1:3" ht="12.75" x14ac:dyDescent="0.2">
      <c r="A672" s="8">
        <v>57299</v>
      </c>
      <c r="B672" s="7" t="s">
        <v>412</v>
      </c>
      <c r="C672" s="6" t="s">
        <v>409</v>
      </c>
    </row>
    <row r="673" spans="1:3" ht="12.75" x14ac:dyDescent="0.2">
      <c r="A673" s="8">
        <v>57339</v>
      </c>
      <c r="B673" s="7" t="s">
        <v>395</v>
      </c>
      <c r="C673" s="6" t="s">
        <v>410</v>
      </c>
    </row>
    <row r="674" spans="1:3" ht="12.75" x14ac:dyDescent="0.2">
      <c r="A674" s="8">
        <v>57346</v>
      </c>
      <c r="B674" s="7" t="s">
        <v>395</v>
      </c>
      <c r="C674" s="6" t="s">
        <v>396</v>
      </c>
    </row>
    <row r="675" spans="1:3" ht="12.75" x14ac:dyDescent="0.2">
      <c r="A675" s="8">
        <v>57409</v>
      </c>
      <c r="B675" s="7" t="s">
        <v>395</v>
      </c>
      <c r="C675" s="6" t="s">
        <v>397</v>
      </c>
    </row>
    <row r="676" spans="1:3" ht="12.75" x14ac:dyDescent="0.2">
      <c r="A676" s="8">
        <v>57410</v>
      </c>
      <c r="B676" s="7" t="s">
        <v>398</v>
      </c>
      <c r="C676" s="6" t="s">
        <v>397</v>
      </c>
    </row>
    <row r="677" spans="1:3" ht="12.75" x14ac:dyDescent="0.2">
      <c r="A677" s="8">
        <v>57455</v>
      </c>
      <c r="B677" s="7" t="s">
        <v>399</v>
      </c>
      <c r="C677" s="6" t="s">
        <v>400</v>
      </c>
    </row>
    <row r="678" spans="1:3" ht="12.75" x14ac:dyDescent="0.2">
      <c r="A678" s="8">
        <v>57456</v>
      </c>
      <c r="B678" s="7" t="s">
        <v>401</v>
      </c>
      <c r="C678" s="6" t="s">
        <v>402</v>
      </c>
    </row>
    <row r="679" spans="1:3" ht="12.75" x14ac:dyDescent="0.2">
      <c r="A679" s="8">
        <v>57466</v>
      </c>
      <c r="B679" s="7" t="s">
        <v>398</v>
      </c>
      <c r="C679" s="6" t="s">
        <v>403</v>
      </c>
    </row>
    <row r="680" spans="1:3" ht="12.75" x14ac:dyDescent="0.2">
      <c r="A680" s="8">
        <v>57517</v>
      </c>
      <c r="B680" s="7" t="s">
        <v>404</v>
      </c>
      <c r="C680" s="6" t="s">
        <v>405</v>
      </c>
    </row>
    <row r="681" spans="1:3" ht="12.75" x14ac:dyDescent="0.2">
      <c r="A681" s="8">
        <v>57595</v>
      </c>
      <c r="B681" s="7" t="s">
        <v>399</v>
      </c>
      <c r="C681" s="6" t="s">
        <v>406</v>
      </c>
    </row>
    <row r="682" spans="1:3" ht="13.5" x14ac:dyDescent="0.2">
      <c r="A682" s="8">
        <v>57630</v>
      </c>
      <c r="B682" s="7" t="s">
        <v>399</v>
      </c>
      <c r="C682" s="6" t="s">
        <v>407</v>
      </c>
    </row>
    <row r="683" spans="1:3" ht="12.75" x14ac:dyDescent="0.2">
      <c r="A683" s="8">
        <v>57651</v>
      </c>
      <c r="B683" s="7" t="s">
        <v>399</v>
      </c>
      <c r="C683" s="6" t="s">
        <v>408</v>
      </c>
    </row>
    <row r="684" spans="1:3" ht="12.75" x14ac:dyDescent="0.2">
      <c r="A684" s="8">
        <v>57664</v>
      </c>
      <c r="B684" s="7" t="s">
        <v>404</v>
      </c>
      <c r="C684" s="6" t="s">
        <v>409</v>
      </c>
    </row>
    <row r="685" spans="1:3" ht="12.75" x14ac:dyDescent="0.2">
      <c r="A685" s="8">
        <v>57704</v>
      </c>
      <c r="B685" s="7" t="s">
        <v>398</v>
      </c>
      <c r="C685" s="6" t="s">
        <v>410</v>
      </c>
    </row>
    <row r="686" spans="1:3" ht="12.75" x14ac:dyDescent="0.2">
      <c r="A686" s="8">
        <v>57711</v>
      </c>
      <c r="B686" s="7" t="s">
        <v>398</v>
      </c>
      <c r="C686" s="6" t="s">
        <v>396</v>
      </c>
    </row>
    <row r="687" spans="1:3" ht="12.75" x14ac:dyDescent="0.2">
      <c r="A687" s="8">
        <v>57766</v>
      </c>
      <c r="B687" s="7" t="s">
        <v>395</v>
      </c>
      <c r="C687" s="6" t="s">
        <v>397</v>
      </c>
    </row>
    <row r="688" spans="1:3" ht="12.75" x14ac:dyDescent="0.2">
      <c r="A688" s="8">
        <v>57767</v>
      </c>
      <c r="B688" s="7" t="s">
        <v>398</v>
      </c>
      <c r="C688" s="6" t="s">
        <v>397</v>
      </c>
    </row>
    <row r="689" spans="1:3" ht="12.75" x14ac:dyDescent="0.2">
      <c r="A689" s="8">
        <v>57812</v>
      </c>
      <c r="B689" s="7" t="s">
        <v>399</v>
      </c>
      <c r="C689" s="6" t="s">
        <v>400</v>
      </c>
    </row>
    <row r="690" spans="1:3" ht="12.75" x14ac:dyDescent="0.2">
      <c r="A690" s="8">
        <v>57821</v>
      </c>
      <c r="B690" s="7" t="s">
        <v>411</v>
      </c>
      <c r="C690" s="6" t="s">
        <v>402</v>
      </c>
    </row>
    <row r="691" spans="1:3" ht="12.75" x14ac:dyDescent="0.2">
      <c r="A691" s="8">
        <v>57831</v>
      </c>
      <c r="B691" s="7" t="s">
        <v>412</v>
      </c>
      <c r="C691" s="6" t="s">
        <v>403</v>
      </c>
    </row>
    <row r="692" spans="1:3" ht="12.75" x14ac:dyDescent="0.2">
      <c r="A692" s="8">
        <v>57874</v>
      </c>
      <c r="B692" s="7" t="s">
        <v>404</v>
      </c>
      <c r="C692" s="6" t="s">
        <v>405</v>
      </c>
    </row>
    <row r="693" spans="1:3" ht="12.75" x14ac:dyDescent="0.2">
      <c r="A693" s="8">
        <v>57960</v>
      </c>
      <c r="B693" s="7" t="s">
        <v>401</v>
      </c>
      <c r="C693" s="6" t="s">
        <v>406</v>
      </c>
    </row>
    <row r="694" spans="1:3" ht="13.5" x14ac:dyDescent="0.2">
      <c r="A694" s="8">
        <v>57995</v>
      </c>
      <c r="B694" s="7" t="s">
        <v>401</v>
      </c>
      <c r="C694" s="6" t="s">
        <v>407</v>
      </c>
    </row>
    <row r="695" spans="1:3" ht="12.75" x14ac:dyDescent="0.2">
      <c r="A695" s="8">
        <v>58016</v>
      </c>
      <c r="B695" s="7" t="s">
        <v>401</v>
      </c>
      <c r="C695" s="6" t="s">
        <v>408</v>
      </c>
    </row>
    <row r="696" spans="1:3" ht="12.75" x14ac:dyDescent="0.2">
      <c r="A696" s="8">
        <v>58029</v>
      </c>
      <c r="B696" s="7" t="s">
        <v>399</v>
      </c>
      <c r="C696" s="6" t="s">
        <v>409</v>
      </c>
    </row>
    <row r="697" spans="1:3" ht="12.75" x14ac:dyDescent="0.2">
      <c r="A697" s="8">
        <v>58069</v>
      </c>
      <c r="B697" s="7" t="s">
        <v>412</v>
      </c>
      <c r="C697" s="6" t="s">
        <v>410</v>
      </c>
    </row>
    <row r="698" spans="1:3" ht="12.75" x14ac:dyDescent="0.2">
      <c r="A698" s="8">
        <v>58076</v>
      </c>
      <c r="B698" s="7" t="s">
        <v>412</v>
      </c>
      <c r="C698" s="6" t="s">
        <v>396</v>
      </c>
    </row>
    <row r="699" spans="1:3" ht="12.75" x14ac:dyDescent="0.2">
      <c r="A699" s="8">
        <v>58116</v>
      </c>
      <c r="B699" s="7" t="s">
        <v>395</v>
      </c>
      <c r="C699" s="6" t="s">
        <v>397</v>
      </c>
    </row>
    <row r="700" spans="1:3" ht="12.75" x14ac:dyDescent="0.2">
      <c r="A700" s="8">
        <v>58117</v>
      </c>
      <c r="B700" s="7" t="s">
        <v>398</v>
      </c>
      <c r="C700" s="6" t="s">
        <v>397</v>
      </c>
    </row>
    <row r="701" spans="1:3" ht="12.75" x14ac:dyDescent="0.2">
      <c r="A701" s="8">
        <v>58162</v>
      </c>
      <c r="B701" s="7" t="s">
        <v>399</v>
      </c>
      <c r="C701" s="6" t="s">
        <v>400</v>
      </c>
    </row>
    <row r="702" spans="1:3" ht="12.75" x14ac:dyDescent="0.2">
      <c r="A702" s="8">
        <v>58186</v>
      </c>
      <c r="B702" s="7" t="s">
        <v>395</v>
      </c>
      <c r="C702" s="6" t="s">
        <v>402</v>
      </c>
    </row>
    <row r="703" spans="1:3" ht="12.75" x14ac:dyDescent="0.2">
      <c r="A703" s="8">
        <v>58196</v>
      </c>
      <c r="B703" s="7" t="s">
        <v>404</v>
      </c>
      <c r="C703" s="6" t="s">
        <v>403</v>
      </c>
    </row>
    <row r="704" spans="1:3" ht="12.75" x14ac:dyDescent="0.2">
      <c r="A704" s="8">
        <v>58224</v>
      </c>
      <c r="B704" s="7" t="s">
        <v>404</v>
      </c>
      <c r="C704" s="6" t="s">
        <v>405</v>
      </c>
    </row>
    <row r="705" spans="1:3" ht="12.75" x14ac:dyDescent="0.2">
      <c r="A705" s="8">
        <v>58325</v>
      </c>
      <c r="B705" s="7" t="s">
        <v>411</v>
      </c>
      <c r="C705" s="6" t="s">
        <v>406</v>
      </c>
    </row>
    <row r="706" spans="1:3" ht="13.5" x14ac:dyDescent="0.2">
      <c r="A706" s="8">
        <v>58360</v>
      </c>
      <c r="B706" s="7" t="s">
        <v>411</v>
      </c>
      <c r="C706" s="6" t="s">
        <v>407</v>
      </c>
    </row>
    <row r="707" spans="1:3" ht="12.75" x14ac:dyDescent="0.2">
      <c r="A707" s="8">
        <v>58381</v>
      </c>
      <c r="B707" s="7" t="s">
        <v>411</v>
      </c>
      <c r="C707" s="6" t="s">
        <v>408</v>
      </c>
    </row>
    <row r="708" spans="1:3" ht="12.75" x14ac:dyDescent="0.2">
      <c r="A708" s="8">
        <v>58394</v>
      </c>
      <c r="B708" s="7" t="s">
        <v>401</v>
      </c>
      <c r="C708" s="6" t="s">
        <v>409</v>
      </c>
    </row>
    <row r="709" spans="1:3" ht="12.75" x14ac:dyDescent="0.2">
      <c r="A709" s="8">
        <v>58434</v>
      </c>
      <c r="B709" s="7" t="s">
        <v>404</v>
      </c>
      <c r="C709" s="6" t="s">
        <v>410</v>
      </c>
    </row>
    <row r="710" spans="1:3" ht="12.75" x14ac:dyDescent="0.2">
      <c r="A710" s="8">
        <v>58441</v>
      </c>
      <c r="B710" s="7" t="s">
        <v>404</v>
      </c>
      <c r="C710" s="6" t="s">
        <v>396</v>
      </c>
    </row>
    <row r="711" spans="1:3" ht="12.75" x14ac:dyDescent="0.2">
      <c r="A711" s="8">
        <v>58501</v>
      </c>
      <c r="B711" s="7" t="s">
        <v>395</v>
      </c>
      <c r="C711" s="6" t="s">
        <v>397</v>
      </c>
    </row>
    <row r="712" spans="1:3" ht="12.75" x14ac:dyDescent="0.2">
      <c r="A712" s="8">
        <v>58502</v>
      </c>
      <c r="B712" s="7" t="s">
        <v>398</v>
      </c>
      <c r="C712" s="6" t="s">
        <v>397</v>
      </c>
    </row>
    <row r="713" spans="1:3" ht="12.75" x14ac:dyDescent="0.2">
      <c r="A713" s="8">
        <v>58547</v>
      </c>
      <c r="B713" s="7" t="s">
        <v>399</v>
      </c>
      <c r="C713" s="6" t="s">
        <v>400</v>
      </c>
    </row>
    <row r="714" spans="1:3" ht="12.75" x14ac:dyDescent="0.2">
      <c r="A714" s="8">
        <v>58552</v>
      </c>
      <c r="B714" s="7" t="s">
        <v>412</v>
      </c>
      <c r="C714" s="6" t="s">
        <v>402</v>
      </c>
    </row>
    <row r="715" spans="1:3" ht="12.75" x14ac:dyDescent="0.2">
      <c r="A715" s="8">
        <v>58562</v>
      </c>
      <c r="B715" s="7" t="s">
        <v>401</v>
      </c>
      <c r="C715" s="6" t="s">
        <v>403</v>
      </c>
    </row>
    <row r="716" spans="1:3" ht="12.75" x14ac:dyDescent="0.2">
      <c r="A716" s="8">
        <v>58609</v>
      </c>
      <c r="B716" s="7" t="s">
        <v>404</v>
      </c>
      <c r="C716" s="6" t="s">
        <v>405</v>
      </c>
    </row>
    <row r="717" spans="1:3" ht="12.75" x14ac:dyDescent="0.2">
      <c r="A717" s="8">
        <v>58691</v>
      </c>
      <c r="B717" s="7" t="s">
        <v>398</v>
      </c>
      <c r="C717" s="6" t="s">
        <v>406</v>
      </c>
    </row>
    <row r="718" spans="1:3" ht="13.5" x14ac:dyDescent="0.2">
      <c r="A718" s="8">
        <v>58726</v>
      </c>
      <c r="B718" s="7" t="s">
        <v>398</v>
      </c>
      <c r="C718" s="6" t="s">
        <v>407</v>
      </c>
    </row>
    <row r="719" spans="1:3" ht="12.75" x14ac:dyDescent="0.2">
      <c r="A719" s="8">
        <v>58747</v>
      </c>
      <c r="B719" s="7" t="s">
        <v>398</v>
      </c>
      <c r="C719" s="6" t="s">
        <v>408</v>
      </c>
    </row>
    <row r="720" spans="1:3" ht="12.75" x14ac:dyDescent="0.2">
      <c r="A720" s="8">
        <v>58760</v>
      </c>
      <c r="B720" s="7" t="s">
        <v>395</v>
      </c>
      <c r="C720" s="6" t="s">
        <v>409</v>
      </c>
    </row>
    <row r="721" spans="1:3" ht="12.75" x14ac:dyDescent="0.2">
      <c r="A721" s="8">
        <v>58800</v>
      </c>
      <c r="B721" s="7" t="s">
        <v>401</v>
      </c>
      <c r="C721" s="6" t="s">
        <v>410</v>
      </c>
    </row>
    <row r="722" spans="1:3" ht="12.75" x14ac:dyDescent="0.2">
      <c r="A722" s="8">
        <v>58807</v>
      </c>
      <c r="B722" s="7" t="s">
        <v>401</v>
      </c>
      <c r="C722" s="6" t="s">
        <v>396</v>
      </c>
    </row>
    <row r="723" spans="1:3" ht="12.75" x14ac:dyDescent="0.2">
      <c r="A723" s="8">
        <v>58858</v>
      </c>
      <c r="B723" s="7" t="s">
        <v>395</v>
      </c>
      <c r="C723" s="6" t="s">
        <v>397</v>
      </c>
    </row>
    <row r="724" spans="1:3" ht="12.75" x14ac:dyDescent="0.2">
      <c r="A724" s="8">
        <v>58859</v>
      </c>
      <c r="B724" s="7" t="s">
        <v>398</v>
      </c>
      <c r="C724" s="6" t="s">
        <v>397</v>
      </c>
    </row>
    <row r="725" spans="1:3" ht="12.75" x14ac:dyDescent="0.2">
      <c r="A725" s="8">
        <v>58904</v>
      </c>
      <c r="B725" s="7" t="s">
        <v>399</v>
      </c>
      <c r="C725" s="6" t="s">
        <v>400</v>
      </c>
    </row>
    <row r="726" spans="1:3" ht="12.75" x14ac:dyDescent="0.2">
      <c r="A726" s="8">
        <v>58917</v>
      </c>
      <c r="B726" s="7" t="s">
        <v>404</v>
      </c>
      <c r="C726" s="6" t="s">
        <v>402</v>
      </c>
    </row>
    <row r="727" spans="1:3" ht="12.75" x14ac:dyDescent="0.2">
      <c r="A727" s="8">
        <v>58927</v>
      </c>
      <c r="B727" s="7" t="s">
        <v>411</v>
      </c>
      <c r="C727" s="6" t="s">
        <v>403</v>
      </c>
    </row>
    <row r="728" spans="1:3" ht="12.75" x14ac:dyDescent="0.2">
      <c r="A728" s="8">
        <v>58966</v>
      </c>
      <c r="B728" s="7" t="s">
        <v>404</v>
      </c>
      <c r="C728" s="6" t="s">
        <v>405</v>
      </c>
    </row>
    <row r="729" spans="1:3" ht="12.75" x14ac:dyDescent="0.2">
      <c r="A729" s="8">
        <v>59056</v>
      </c>
      <c r="B729" s="7" t="s">
        <v>412</v>
      </c>
      <c r="C729" s="6" t="s">
        <v>406</v>
      </c>
    </row>
    <row r="730" spans="1:3" ht="13.5" x14ac:dyDescent="0.2">
      <c r="A730" s="8">
        <v>59091</v>
      </c>
      <c r="B730" s="7" t="s">
        <v>412</v>
      </c>
      <c r="C730" s="6" t="s">
        <v>407</v>
      </c>
    </row>
    <row r="731" spans="1:3" ht="12.75" x14ac:dyDescent="0.2">
      <c r="A731" s="8">
        <v>59112</v>
      </c>
      <c r="B731" s="7" t="s">
        <v>412</v>
      </c>
      <c r="C731" s="6" t="s">
        <v>408</v>
      </c>
    </row>
    <row r="732" spans="1:3" ht="12.75" x14ac:dyDescent="0.2">
      <c r="A732" s="8">
        <v>59125</v>
      </c>
      <c r="B732" s="7" t="s">
        <v>398</v>
      </c>
      <c r="C732" s="6" t="s">
        <v>409</v>
      </c>
    </row>
    <row r="733" spans="1:3" ht="12.75" x14ac:dyDescent="0.2">
      <c r="A733" s="8">
        <v>59165</v>
      </c>
      <c r="B733" s="7" t="s">
        <v>411</v>
      </c>
      <c r="C733" s="6" t="s">
        <v>410</v>
      </c>
    </row>
    <row r="734" spans="1:3" ht="12.75" x14ac:dyDescent="0.2">
      <c r="A734" s="8">
        <v>59172</v>
      </c>
      <c r="B734" s="7" t="s">
        <v>411</v>
      </c>
      <c r="C734" s="6" t="s">
        <v>396</v>
      </c>
    </row>
    <row r="735" spans="1:3" ht="12.75" x14ac:dyDescent="0.2">
      <c r="A735" s="8">
        <v>59208</v>
      </c>
      <c r="B735" s="7" t="s">
        <v>395</v>
      </c>
      <c r="C735" s="6" t="s">
        <v>397</v>
      </c>
    </row>
    <row r="736" spans="1:3" ht="12.75" x14ac:dyDescent="0.2">
      <c r="A736" s="8">
        <v>59209</v>
      </c>
      <c r="B736" s="7" t="s">
        <v>398</v>
      </c>
      <c r="C736" s="6" t="s">
        <v>397</v>
      </c>
    </row>
    <row r="737" spans="1:3" ht="12.75" x14ac:dyDescent="0.2">
      <c r="A737" s="8">
        <v>59254</v>
      </c>
      <c r="B737" s="7" t="s">
        <v>399</v>
      </c>
      <c r="C737" s="6" t="s">
        <v>400</v>
      </c>
    </row>
    <row r="738" spans="1:3" ht="12.75" x14ac:dyDescent="0.2">
      <c r="A738" s="8">
        <v>59282</v>
      </c>
      <c r="B738" s="7" t="s">
        <v>399</v>
      </c>
      <c r="C738" s="6" t="s">
        <v>402</v>
      </c>
    </row>
    <row r="739" spans="1:3" ht="12.75" x14ac:dyDescent="0.2">
      <c r="A739" s="8">
        <v>59292</v>
      </c>
      <c r="B739" s="7" t="s">
        <v>395</v>
      </c>
      <c r="C739" s="6" t="s">
        <v>403</v>
      </c>
    </row>
    <row r="740" spans="1:3" ht="12.75" x14ac:dyDescent="0.2">
      <c r="A740" s="8">
        <v>59316</v>
      </c>
      <c r="B740" s="7" t="s">
        <v>404</v>
      </c>
      <c r="C740" s="6" t="s">
        <v>405</v>
      </c>
    </row>
    <row r="741" spans="1:3" ht="12.75" x14ac:dyDescent="0.2">
      <c r="A741" s="8">
        <v>59421</v>
      </c>
      <c r="B741" s="7" t="s">
        <v>404</v>
      </c>
      <c r="C741" s="6" t="s">
        <v>406</v>
      </c>
    </row>
    <row r="742" spans="1:3" ht="13.5" x14ac:dyDescent="0.2">
      <c r="A742" s="8">
        <v>59456</v>
      </c>
      <c r="B742" s="7" t="s">
        <v>404</v>
      </c>
      <c r="C742" s="6" t="s">
        <v>407</v>
      </c>
    </row>
    <row r="743" spans="1:3" ht="12.75" x14ac:dyDescent="0.2">
      <c r="A743" s="8">
        <v>59477</v>
      </c>
      <c r="B743" s="7" t="s">
        <v>404</v>
      </c>
      <c r="C743" s="6" t="s">
        <v>408</v>
      </c>
    </row>
    <row r="744" spans="1:3" ht="12.75" x14ac:dyDescent="0.2">
      <c r="A744" s="8">
        <v>59490</v>
      </c>
      <c r="B744" s="7" t="s">
        <v>412</v>
      </c>
      <c r="C744" s="6" t="s">
        <v>409</v>
      </c>
    </row>
    <row r="745" spans="1:3" ht="12.75" x14ac:dyDescent="0.2">
      <c r="A745" s="8">
        <v>59530</v>
      </c>
      <c r="B745" s="7" t="s">
        <v>395</v>
      </c>
      <c r="C745" s="6" t="s">
        <v>410</v>
      </c>
    </row>
    <row r="746" spans="1:3" ht="12.75" x14ac:dyDescent="0.2">
      <c r="A746" s="8">
        <v>59537</v>
      </c>
      <c r="B746" s="7" t="s">
        <v>395</v>
      </c>
      <c r="C746" s="6" t="s">
        <v>396</v>
      </c>
    </row>
    <row r="747" spans="1:3" ht="12.75" x14ac:dyDescent="0.2">
      <c r="A747" s="8">
        <v>59593</v>
      </c>
      <c r="B747" s="7" t="s">
        <v>395</v>
      </c>
      <c r="C747" s="6" t="s">
        <v>397</v>
      </c>
    </row>
    <row r="748" spans="1:3" ht="12.75" x14ac:dyDescent="0.2">
      <c r="A748" s="8">
        <v>59594</v>
      </c>
      <c r="B748" s="7" t="s">
        <v>398</v>
      </c>
      <c r="C748" s="6" t="s">
        <v>397</v>
      </c>
    </row>
    <row r="749" spans="1:3" ht="12.75" x14ac:dyDescent="0.2">
      <c r="A749" s="8">
        <v>59639</v>
      </c>
      <c r="B749" s="7" t="s">
        <v>399</v>
      </c>
      <c r="C749" s="6" t="s">
        <v>400</v>
      </c>
    </row>
    <row r="750" spans="1:3" ht="12.75" x14ac:dyDescent="0.2">
      <c r="A750" s="8">
        <v>59647</v>
      </c>
      <c r="B750" s="7" t="s">
        <v>401</v>
      </c>
      <c r="C750" s="6" t="s">
        <v>402</v>
      </c>
    </row>
    <row r="751" spans="1:3" ht="12.75" x14ac:dyDescent="0.2">
      <c r="A751" s="8">
        <v>59657</v>
      </c>
      <c r="B751" s="7" t="s">
        <v>398</v>
      </c>
      <c r="C751" s="6" t="s">
        <v>403</v>
      </c>
    </row>
    <row r="752" spans="1:3" ht="12.75" x14ac:dyDescent="0.2">
      <c r="A752" s="8">
        <v>59701</v>
      </c>
      <c r="B752" s="7" t="s">
        <v>404</v>
      </c>
      <c r="C752" s="6" t="s">
        <v>405</v>
      </c>
    </row>
    <row r="753" spans="1:3" ht="12.75" x14ac:dyDescent="0.2">
      <c r="A753" s="8">
        <v>59786</v>
      </c>
      <c r="B753" s="7" t="s">
        <v>399</v>
      </c>
      <c r="C753" s="6" t="s">
        <v>406</v>
      </c>
    </row>
    <row r="754" spans="1:3" ht="13.5" x14ac:dyDescent="0.2">
      <c r="A754" s="8">
        <v>59821</v>
      </c>
      <c r="B754" s="7" t="s">
        <v>399</v>
      </c>
      <c r="C754" s="6" t="s">
        <v>407</v>
      </c>
    </row>
    <row r="755" spans="1:3" ht="12.75" x14ac:dyDescent="0.2">
      <c r="A755" s="8">
        <v>59842</v>
      </c>
      <c r="B755" s="7" t="s">
        <v>399</v>
      </c>
      <c r="C755" s="6" t="s">
        <v>408</v>
      </c>
    </row>
    <row r="756" spans="1:3" ht="12.75" x14ac:dyDescent="0.2">
      <c r="A756" s="8">
        <v>59855</v>
      </c>
      <c r="B756" s="7" t="s">
        <v>404</v>
      </c>
      <c r="C756" s="6" t="s">
        <v>409</v>
      </c>
    </row>
    <row r="757" spans="1:3" ht="12.75" x14ac:dyDescent="0.2">
      <c r="A757" s="8">
        <v>59895</v>
      </c>
      <c r="B757" s="7" t="s">
        <v>398</v>
      </c>
      <c r="C757" s="6" t="s">
        <v>410</v>
      </c>
    </row>
    <row r="758" spans="1:3" ht="12.75" x14ac:dyDescent="0.2">
      <c r="A758" s="8">
        <v>59902</v>
      </c>
      <c r="B758" s="7" t="s">
        <v>398</v>
      </c>
      <c r="C758" s="6" t="s">
        <v>396</v>
      </c>
    </row>
    <row r="759" spans="1:3" ht="12.75" x14ac:dyDescent="0.2">
      <c r="A759" s="8">
        <v>59950</v>
      </c>
      <c r="B759" s="7" t="s">
        <v>395</v>
      </c>
      <c r="C759" s="6" t="s">
        <v>397</v>
      </c>
    </row>
    <row r="760" spans="1:3" ht="12.75" x14ac:dyDescent="0.2">
      <c r="A760" s="8">
        <v>59951</v>
      </c>
      <c r="B760" s="7" t="s">
        <v>398</v>
      </c>
      <c r="C760" s="6" t="s">
        <v>397</v>
      </c>
    </row>
    <row r="761" spans="1:3" ht="12.75" x14ac:dyDescent="0.2">
      <c r="A761" s="8">
        <v>59996</v>
      </c>
      <c r="B761" s="7" t="s">
        <v>399</v>
      </c>
      <c r="C761" s="6" t="s">
        <v>400</v>
      </c>
    </row>
    <row r="762" spans="1:3" ht="12.75" x14ac:dyDescent="0.2">
      <c r="A762" s="8">
        <v>60013</v>
      </c>
      <c r="B762" s="7" t="s">
        <v>395</v>
      </c>
      <c r="C762" s="6" t="s">
        <v>402</v>
      </c>
    </row>
    <row r="763" spans="1:3" ht="12.75" x14ac:dyDescent="0.2">
      <c r="A763" s="8">
        <v>60023</v>
      </c>
      <c r="B763" s="7" t="s">
        <v>404</v>
      </c>
      <c r="C763" s="6" t="s">
        <v>403</v>
      </c>
    </row>
    <row r="764" spans="1:3" ht="12.75" x14ac:dyDescent="0.2">
      <c r="A764" s="8">
        <v>60058</v>
      </c>
      <c r="B764" s="7" t="s">
        <v>404</v>
      </c>
      <c r="C764" s="6" t="s">
        <v>405</v>
      </c>
    </row>
    <row r="765" spans="1:3" ht="12.75" x14ac:dyDescent="0.2">
      <c r="A765" s="8">
        <v>60152</v>
      </c>
      <c r="B765" s="7" t="s">
        <v>411</v>
      </c>
      <c r="C765" s="6" t="s">
        <v>406</v>
      </c>
    </row>
    <row r="766" spans="1:3" ht="13.5" x14ac:dyDescent="0.2">
      <c r="A766" s="8">
        <v>60187</v>
      </c>
      <c r="B766" s="7" t="s">
        <v>411</v>
      </c>
      <c r="C766" s="6" t="s">
        <v>407</v>
      </c>
    </row>
    <row r="767" spans="1:3" ht="12.75" x14ac:dyDescent="0.2">
      <c r="A767" s="8">
        <v>60208</v>
      </c>
      <c r="B767" s="7" t="s">
        <v>411</v>
      </c>
      <c r="C767" s="6" t="s">
        <v>408</v>
      </c>
    </row>
    <row r="768" spans="1:3" ht="12.75" x14ac:dyDescent="0.2">
      <c r="A768" s="8">
        <v>60221</v>
      </c>
      <c r="B768" s="7" t="s">
        <v>401</v>
      </c>
      <c r="C768" s="6" t="s">
        <v>409</v>
      </c>
    </row>
    <row r="769" spans="1:3" ht="12.75" x14ac:dyDescent="0.2">
      <c r="A769" s="8">
        <v>60261</v>
      </c>
      <c r="B769" s="7" t="s">
        <v>404</v>
      </c>
      <c r="C769" s="6" t="s">
        <v>410</v>
      </c>
    </row>
    <row r="770" spans="1:3" ht="12.75" x14ac:dyDescent="0.2">
      <c r="A770" s="8">
        <v>60268</v>
      </c>
      <c r="B770" s="7" t="s">
        <v>404</v>
      </c>
      <c r="C770" s="6" t="s">
        <v>396</v>
      </c>
    </row>
    <row r="771" spans="1:3" ht="12.75" x14ac:dyDescent="0.2">
      <c r="A771" s="8">
        <v>60307</v>
      </c>
      <c r="B771" s="7" t="s">
        <v>395</v>
      </c>
      <c r="C771" s="6" t="s">
        <v>397</v>
      </c>
    </row>
    <row r="772" spans="1:3" ht="12.75" x14ac:dyDescent="0.2">
      <c r="A772" s="8">
        <v>60308</v>
      </c>
      <c r="B772" s="7" t="s">
        <v>398</v>
      </c>
      <c r="C772" s="6" t="s">
        <v>397</v>
      </c>
    </row>
    <row r="773" spans="1:3" ht="12.75" x14ac:dyDescent="0.2">
      <c r="A773" s="8">
        <v>60353</v>
      </c>
      <c r="B773" s="7" t="s">
        <v>399</v>
      </c>
      <c r="C773" s="6" t="s">
        <v>400</v>
      </c>
    </row>
    <row r="774" spans="1:3" ht="12.75" x14ac:dyDescent="0.2">
      <c r="A774" s="8">
        <v>60378</v>
      </c>
      <c r="B774" s="7" t="s">
        <v>398</v>
      </c>
      <c r="C774" s="6" t="s">
        <v>402</v>
      </c>
    </row>
    <row r="775" spans="1:3" ht="12.75" x14ac:dyDescent="0.2">
      <c r="A775" s="8">
        <v>60388</v>
      </c>
      <c r="B775" s="7" t="s">
        <v>399</v>
      </c>
      <c r="C775" s="6" t="s">
        <v>403</v>
      </c>
    </row>
    <row r="776" spans="1:3" ht="12.75" x14ac:dyDescent="0.2">
      <c r="A776" s="8">
        <v>60415</v>
      </c>
      <c r="B776" s="7" t="s">
        <v>404</v>
      </c>
      <c r="C776" s="6" t="s">
        <v>405</v>
      </c>
    </row>
    <row r="777" spans="1:3" ht="12.75" x14ac:dyDescent="0.2">
      <c r="A777" s="8">
        <v>60517</v>
      </c>
      <c r="B777" s="7" t="s">
        <v>395</v>
      </c>
      <c r="C777" s="6" t="s">
        <v>406</v>
      </c>
    </row>
    <row r="778" spans="1:3" ht="13.5" x14ac:dyDescent="0.2">
      <c r="A778" s="8">
        <v>60552</v>
      </c>
      <c r="B778" s="7" t="s">
        <v>395</v>
      </c>
      <c r="C778" s="6" t="s">
        <v>407</v>
      </c>
    </row>
    <row r="779" spans="1:3" ht="12.75" x14ac:dyDescent="0.2">
      <c r="A779" s="8">
        <v>60573</v>
      </c>
      <c r="B779" s="7" t="s">
        <v>395</v>
      </c>
      <c r="C779" s="6" t="s">
        <v>408</v>
      </c>
    </row>
    <row r="780" spans="1:3" ht="12.75" x14ac:dyDescent="0.2">
      <c r="A780" s="8">
        <v>60586</v>
      </c>
      <c r="B780" s="7" t="s">
        <v>411</v>
      </c>
      <c r="C780" s="6" t="s">
        <v>409</v>
      </c>
    </row>
    <row r="781" spans="1:3" ht="12.75" x14ac:dyDescent="0.2">
      <c r="A781" s="8">
        <v>60626</v>
      </c>
      <c r="B781" s="7" t="s">
        <v>399</v>
      </c>
      <c r="C781" s="6" t="s">
        <v>410</v>
      </c>
    </row>
    <row r="782" spans="1:3" ht="12.75" x14ac:dyDescent="0.2">
      <c r="A782" s="8">
        <v>60633</v>
      </c>
      <c r="B782" s="7" t="s">
        <v>399</v>
      </c>
      <c r="C782" s="6" t="s">
        <v>396</v>
      </c>
    </row>
    <row r="783" spans="1:3" ht="12.75" x14ac:dyDescent="0.2">
      <c r="A783" s="8">
        <v>60685</v>
      </c>
      <c r="B783" s="7" t="s">
        <v>395</v>
      </c>
      <c r="C783" s="6" t="s">
        <v>397</v>
      </c>
    </row>
    <row r="784" spans="1:3" ht="12.75" x14ac:dyDescent="0.2">
      <c r="A784" s="8">
        <v>60686</v>
      </c>
      <c r="B784" s="7" t="s">
        <v>398</v>
      </c>
      <c r="C784" s="6" t="s">
        <v>397</v>
      </c>
    </row>
    <row r="785" spans="1:3" ht="12.75" x14ac:dyDescent="0.2">
      <c r="A785" s="8">
        <v>60731</v>
      </c>
      <c r="B785" s="7" t="s">
        <v>399</v>
      </c>
      <c r="C785" s="6" t="s">
        <v>400</v>
      </c>
    </row>
    <row r="786" spans="1:3" ht="12.75" x14ac:dyDescent="0.2">
      <c r="A786" s="8">
        <v>60743</v>
      </c>
      <c r="B786" s="7" t="s">
        <v>412</v>
      </c>
      <c r="C786" s="6" t="s">
        <v>402</v>
      </c>
    </row>
    <row r="787" spans="1:3" ht="12.75" x14ac:dyDescent="0.2">
      <c r="A787" s="8">
        <v>60753</v>
      </c>
      <c r="B787" s="7" t="s">
        <v>401</v>
      </c>
      <c r="C787" s="6" t="s">
        <v>403</v>
      </c>
    </row>
    <row r="788" spans="1:3" ht="12.75" x14ac:dyDescent="0.2">
      <c r="A788" s="8">
        <v>60793</v>
      </c>
      <c r="B788" s="7" t="s">
        <v>404</v>
      </c>
      <c r="C788" s="6" t="s">
        <v>405</v>
      </c>
    </row>
    <row r="789" spans="1:3" ht="12.75" x14ac:dyDescent="0.2">
      <c r="A789" s="8">
        <v>60882</v>
      </c>
      <c r="B789" s="7" t="s">
        <v>398</v>
      </c>
      <c r="C789" s="6" t="s">
        <v>406</v>
      </c>
    </row>
    <row r="790" spans="1:3" ht="13.5" x14ac:dyDescent="0.2">
      <c r="A790" s="8">
        <v>60917</v>
      </c>
      <c r="B790" s="7" t="s">
        <v>398</v>
      </c>
      <c r="C790" s="6" t="s">
        <v>407</v>
      </c>
    </row>
    <row r="791" spans="1:3" ht="12.75" x14ac:dyDescent="0.2">
      <c r="A791" s="8">
        <v>60938</v>
      </c>
      <c r="B791" s="7" t="s">
        <v>398</v>
      </c>
      <c r="C791" s="6" t="s">
        <v>408</v>
      </c>
    </row>
    <row r="792" spans="1:3" ht="12.75" x14ac:dyDescent="0.2">
      <c r="A792" s="8">
        <v>60951</v>
      </c>
      <c r="B792" s="7" t="s">
        <v>395</v>
      </c>
      <c r="C792" s="6" t="s">
        <v>409</v>
      </c>
    </row>
    <row r="793" spans="1:3" ht="12.75" x14ac:dyDescent="0.2">
      <c r="A793" s="8">
        <v>60991</v>
      </c>
      <c r="B793" s="7" t="s">
        <v>401</v>
      </c>
      <c r="C793" s="6" t="s">
        <v>410</v>
      </c>
    </row>
    <row r="794" spans="1:3" ht="12.75" x14ac:dyDescent="0.2">
      <c r="A794" s="8">
        <v>60998</v>
      </c>
      <c r="B794" s="7" t="s">
        <v>401</v>
      </c>
      <c r="C794" s="6" t="s">
        <v>396</v>
      </c>
    </row>
    <row r="795" spans="1:3" ht="12.75" x14ac:dyDescent="0.2">
      <c r="A795" s="8">
        <v>61042</v>
      </c>
      <c r="B795" s="7" t="s">
        <v>395</v>
      </c>
      <c r="C795" s="6" t="s">
        <v>397</v>
      </c>
    </row>
    <row r="796" spans="1:3" ht="12.75" x14ac:dyDescent="0.2">
      <c r="A796" s="8">
        <v>61043</v>
      </c>
      <c r="B796" s="7" t="s">
        <v>398</v>
      </c>
      <c r="C796" s="6" t="s">
        <v>397</v>
      </c>
    </row>
    <row r="797" spans="1:3" ht="12.75" x14ac:dyDescent="0.2">
      <c r="A797" s="8">
        <v>61088</v>
      </c>
      <c r="B797" s="7" t="s">
        <v>399</v>
      </c>
      <c r="C797" s="6" t="s">
        <v>400</v>
      </c>
    </row>
    <row r="798" spans="1:3" ht="12.75" x14ac:dyDescent="0.2">
      <c r="A798" s="8">
        <v>61108</v>
      </c>
      <c r="B798" s="7" t="s">
        <v>404</v>
      </c>
      <c r="C798" s="6" t="s">
        <v>402</v>
      </c>
    </row>
    <row r="799" spans="1:3" ht="12.75" x14ac:dyDescent="0.2">
      <c r="A799" s="8">
        <v>61118</v>
      </c>
      <c r="B799" s="7" t="s">
        <v>411</v>
      </c>
      <c r="C799" s="6" t="s">
        <v>403</v>
      </c>
    </row>
    <row r="800" spans="1:3" ht="12.75" x14ac:dyDescent="0.2">
      <c r="A800" s="8">
        <v>61150</v>
      </c>
      <c r="B800" s="7" t="s">
        <v>404</v>
      </c>
      <c r="C800" s="6" t="s">
        <v>405</v>
      </c>
    </row>
    <row r="801" spans="1:3" ht="12.75" x14ac:dyDescent="0.2">
      <c r="A801" s="8">
        <v>61247</v>
      </c>
      <c r="B801" s="7" t="s">
        <v>412</v>
      </c>
      <c r="C801" s="6" t="s">
        <v>406</v>
      </c>
    </row>
    <row r="802" spans="1:3" ht="13.5" x14ac:dyDescent="0.2">
      <c r="A802" s="8">
        <v>61282</v>
      </c>
      <c r="B802" s="7" t="s">
        <v>412</v>
      </c>
      <c r="C802" s="6" t="s">
        <v>407</v>
      </c>
    </row>
    <row r="803" spans="1:3" ht="12.75" x14ac:dyDescent="0.2">
      <c r="A803" s="8">
        <v>61303</v>
      </c>
      <c r="B803" s="7" t="s">
        <v>412</v>
      </c>
      <c r="C803" s="6" t="s">
        <v>408</v>
      </c>
    </row>
    <row r="804" spans="1:3" ht="12.75" x14ac:dyDescent="0.2">
      <c r="A804" s="8">
        <v>61316</v>
      </c>
      <c r="B804" s="7" t="s">
        <v>398</v>
      </c>
      <c r="C804" s="6" t="s">
        <v>409</v>
      </c>
    </row>
    <row r="805" spans="1:3" ht="12.75" x14ac:dyDescent="0.2">
      <c r="A805" s="8">
        <v>61356</v>
      </c>
      <c r="B805" s="7" t="s">
        <v>411</v>
      </c>
      <c r="C805" s="6" t="s">
        <v>410</v>
      </c>
    </row>
    <row r="806" spans="1:3" ht="12.75" x14ac:dyDescent="0.2">
      <c r="A806" s="8">
        <v>61363</v>
      </c>
      <c r="B806" s="7" t="s">
        <v>411</v>
      </c>
      <c r="C806" s="6" t="s">
        <v>396</v>
      </c>
    </row>
    <row r="807" spans="1:3" ht="12.75" x14ac:dyDescent="0.2">
      <c r="A807" s="8">
        <v>61427</v>
      </c>
      <c r="B807" s="7" t="s">
        <v>395</v>
      </c>
      <c r="C807" s="6" t="s">
        <v>397</v>
      </c>
    </row>
    <row r="808" spans="1:3" ht="12.75" x14ac:dyDescent="0.2">
      <c r="A808" s="8">
        <v>61428</v>
      </c>
      <c r="B808" s="7" t="s">
        <v>398</v>
      </c>
      <c r="C808" s="6" t="s">
        <v>397</v>
      </c>
    </row>
    <row r="809" spans="1:3" ht="12.75" x14ac:dyDescent="0.2">
      <c r="A809" s="8">
        <v>61473</v>
      </c>
      <c r="B809" s="7" t="s">
        <v>399</v>
      </c>
      <c r="C809" s="6" t="s">
        <v>400</v>
      </c>
    </row>
    <row r="810" spans="1:3" ht="12.75" x14ac:dyDescent="0.2">
      <c r="A810" s="8">
        <v>61474</v>
      </c>
      <c r="B810" s="7" t="s">
        <v>401</v>
      </c>
      <c r="C810" s="6" t="s">
        <v>402</v>
      </c>
    </row>
    <row r="811" spans="1:3" ht="12.75" x14ac:dyDescent="0.2">
      <c r="A811" s="8">
        <v>61484</v>
      </c>
      <c r="B811" s="7" t="s">
        <v>398</v>
      </c>
      <c r="C811" s="6" t="s">
        <v>403</v>
      </c>
    </row>
    <row r="812" spans="1:3" ht="12.75" x14ac:dyDescent="0.2">
      <c r="A812" s="8">
        <v>61535</v>
      </c>
      <c r="B812" s="7" t="s">
        <v>404</v>
      </c>
      <c r="C812" s="6" t="s">
        <v>405</v>
      </c>
    </row>
    <row r="813" spans="1:3" ht="12.75" x14ac:dyDescent="0.2">
      <c r="A813" s="8">
        <v>61613</v>
      </c>
      <c r="B813" s="7" t="s">
        <v>399</v>
      </c>
      <c r="C813" s="6" t="s">
        <v>406</v>
      </c>
    </row>
    <row r="814" spans="1:3" ht="13.5" x14ac:dyDescent="0.2">
      <c r="A814" s="8">
        <v>61648</v>
      </c>
      <c r="B814" s="7" t="s">
        <v>399</v>
      </c>
      <c r="C814" s="6" t="s">
        <v>407</v>
      </c>
    </row>
    <row r="815" spans="1:3" ht="12.75" x14ac:dyDescent="0.2">
      <c r="A815" s="8">
        <v>61669</v>
      </c>
      <c r="B815" s="7" t="s">
        <v>399</v>
      </c>
      <c r="C815" s="6" t="s">
        <v>408</v>
      </c>
    </row>
    <row r="816" spans="1:3" ht="12.75" x14ac:dyDescent="0.2">
      <c r="A816" s="8">
        <v>61682</v>
      </c>
      <c r="B816" s="7" t="s">
        <v>404</v>
      </c>
      <c r="C816" s="6" t="s">
        <v>409</v>
      </c>
    </row>
    <row r="817" spans="1:3" ht="12.75" x14ac:dyDescent="0.2">
      <c r="A817" s="8">
        <v>61722</v>
      </c>
      <c r="B817" s="7" t="s">
        <v>398</v>
      </c>
      <c r="C817" s="6" t="s">
        <v>410</v>
      </c>
    </row>
    <row r="818" spans="1:3" ht="12.75" x14ac:dyDescent="0.2">
      <c r="A818" s="8">
        <v>61729</v>
      </c>
      <c r="B818" s="7" t="s">
        <v>398</v>
      </c>
      <c r="C818" s="6" t="s">
        <v>396</v>
      </c>
    </row>
    <row r="819" spans="1:3" ht="12.75" x14ac:dyDescent="0.2">
      <c r="A819" s="8">
        <v>61784</v>
      </c>
      <c r="B819" s="7" t="s">
        <v>395</v>
      </c>
      <c r="C819" s="6" t="s">
        <v>397</v>
      </c>
    </row>
    <row r="820" spans="1:3" ht="12.75" x14ac:dyDescent="0.2">
      <c r="A820" s="8">
        <v>61785</v>
      </c>
      <c r="B820" s="7" t="s">
        <v>398</v>
      </c>
      <c r="C820" s="6" t="s">
        <v>397</v>
      </c>
    </row>
    <row r="821" spans="1:3" ht="12.75" x14ac:dyDescent="0.2">
      <c r="A821" s="8">
        <v>61830</v>
      </c>
      <c r="B821" s="7" t="s">
        <v>399</v>
      </c>
      <c r="C821" s="6" t="s">
        <v>400</v>
      </c>
    </row>
    <row r="822" spans="1:3" ht="12.75" x14ac:dyDescent="0.2">
      <c r="A822" s="8">
        <v>61839</v>
      </c>
      <c r="B822" s="7" t="s">
        <v>411</v>
      </c>
      <c r="C822" s="6" t="s">
        <v>402</v>
      </c>
    </row>
    <row r="823" spans="1:3" ht="12.75" x14ac:dyDescent="0.2">
      <c r="A823" s="8">
        <v>61849</v>
      </c>
      <c r="B823" s="7" t="s">
        <v>412</v>
      </c>
      <c r="C823" s="6" t="s">
        <v>403</v>
      </c>
    </row>
    <row r="824" spans="1:3" ht="12.75" x14ac:dyDescent="0.2">
      <c r="A824" s="8">
        <v>61892</v>
      </c>
      <c r="B824" s="7" t="s">
        <v>404</v>
      </c>
      <c r="C824" s="6" t="s">
        <v>405</v>
      </c>
    </row>
    <row r="825" spans="1:3" ht="12.75" x14ac:dyDescent="0.2">
      <c r="A825" s="8">
        <v>61978</v>
      </c>
      <c r="B825" s="7" t="s">
        <v>401</v>
      </c>
      <c r="C825" s="6" t="s">
        <v>406</v>
      </c>
    </row>
    <row r="826" spans="1:3" ht="13.5" x14ac:dyDescent="0.2">
      <c r="A826" s="8">
        <v>62013</v>
      </c>
      <c r="B826" s="7" t="s">
        <v>401</v>
      </c>
      <c r="C826" s="6" t="s">
        <v>407</v>
      </c>
    </row>
    <row r="827" spans="1:3" ht="12.75" x14ac:dyDescent="0.2">
      <c r="A827" s="8">
        <v>62034</v>
      </c>
      <c r="B827" s="7" t="s">
        <v>401</v>
      </c>
      <c r="C827" s="6" t="s">
        <v>408</v>
      </c>
    </row>
    <row r="828" spans="1:3" ht="12.75" x14ac:dyDescent="0.2">
      <c r="A828" s="8">
        <v>62047</v>
      </c>
      <c r="B828" s="7" t="s">
        <v>399</v>
      </c>
      <c r="C828" s="6" t="s">
        <v>409</v>
      </c>
    </row>
    <row r="829" spans="1:3" ht="12.75" x14ac:dyDescent="0.2">
      <c r="A829" s="8">
        <v>62087</v>
      </c>
      <c r="B829" s="7" t="s">
        <v>412</v>
      </c>
      <c r="C829" s="6" t="s">
        <v>410</v>
      </c>
    </row>
    <row r="830" spans="1:3" ht="12.75" x14ac:dyDescent="0.2">
      <c r="A830" s="8">
        <v>62094</v>
      </c>
      <c r="B830" s="7" t="s">
        <v>412</v>
      </c>
      <c r="C830" s="6" t="s">
        <v>396</v>
      </c>
    </row>
    <row r="831" spans="1:3" ht="12.75" x14ac:dyDescent="0.2">
      <c r="A831" s="8">
        <v>62134</v>
      </c>
      <c r="B831" s="7" t="s">
        <v>395</v>
      </c>
      <c r="C831" s="6" t="s">
        <v>397</v>
      </c>
    </row>
    <row r="832" spans="1:3" ht="12.75" x14ac:dyDescent="0.2">
      <c r="A832" s="8">
        <v>62135</v>
      </c>
      <c r="B832" s="7" t="s">
        <v>398</v>
      </c>
      <c r="C832" s="6" t="s">
        <v>397</v>
      </c>
    </row>
    <row r="833" spans="1:3" ht="12.75" x14ac:dyDescent="0.2">
      <c r="A833" s="8">
        <v>62180</v>
      </c>
      <c r="B833" s="7" t="s">
        <v>399</v>
      </c>
      <c r="C833" s="6" t="s">
        <v>400</v>
      </c>
    </row>
    <row r="834" spans="1:3" ht="12.75" x14ac:dyDescent="0.2">
      <c r="A834" s="8">
        <v>62204</v>
      </c>
      <c r="B834" s="7" t="s">
        <v>395</v>
      </c>
      <c r="C834" s="6" t="s">
        <v>402</v>
      </c>
    </row>
    <row r="835" spans="1:3" ht="12.75" x14ac:dyDescent="0.2">
      <c r="A835" s="8">
        <v>62214</v>
      </c>
      <c r="B835" s="7" t="s">
        <v>404</v>
      </c>
      <c r="C835" s="6" t="s">
        <v>403</v>
      </c>
    </row>
    <row r="836" spans="1:3" ht="12.75" x14ac:dyDescent="0.2">
      <c r="A836" s="8">
        <v>62242</v>
      </c>
      <c r="B836" s="7" t="s">
        <v>404</v>
      </c>
      <c r="C836" s="6" t="s">
        <v>405</v>
      </c>
    </row>
    <row r="837" spans="1:3" ht="12.75" x14ac:dyDescent="0.2">
      <c r="A837" s="8">
        <v>62343</v>
      </c>
      <c r="B837" s="7" t="s">
        <v>411</v>
      </c>
      <c r="C837" s="6" t="s">
        <v>406</v>
      </c>
    </row>
    <row r="838" spans="1:3" ht="13.5" x14ac:dyDescent="0.2">
      <c r="A838" s="8">
        <v>62378</v>
      </c>
      <c r="B838" s="7" t="s">
        <v>411</v>
      </c>
      <c r="C838" s="6" t="s">
        <v>407</v>
      </c>
    </row>
    <row r="839" spans="1:3" ht="12.75" x14ac:dyDescent="0.2">
      <c r="A839" s="8">
        <v>62399</v>
      </c>
      <c r="B839" s="7" t="s">
        <v>411</v>
      </c>
      <c r="C839" s="6" t="s">
        <v>408</v>
      </c>
    </row>
    <row r="840" spans="1:3" ht="12.75" x14ac:dyDescent="0.2">
      <c r="A840" s="8">
        <v>62412</v>
      </c>
      <c r="B840" s="7" t="s">
        <v>401</v>
      </c>
      <c r="C840" s="6" t="s">
        <v>409</v>
      </c>
    </row>
    <row r="841" spans="1:3" ht="12.75" x14ac:dyDescent="0.2">
      <c r="A841" s="8">
        <v>62452</v>
      </c>
      <c r="B841" s="7" t="s">
        <v>404</v>
      </c>
      <c r="C841" s="6" t="s">
        <v>410</v>
      </c>
    </row>
    <row r="842" spans="1:3" ht="12.75" x14ac:dyDescent="0.2">
      <c r="A842" s="8">
        <v>62459</v>
      </c>
      <c r="B842" s="7" t="s">
        <v>404</v>
      </c>
      <c r="C842" s="6" t="s">
        <v>396</v>
      </c>
    </row>
    <row r="843" spans="1:3" ht="12.75" x14ac:dyDescent="0.2">
      <c r="A843" s="8">
        <v>62519</v>
      </c>
      <c r="B843" s="7" t="s">
        <v>395</v>
      </c>
      <c r="C843" s="6" t="s">
        <v>397</v>
      </c>
    </row>
    <row r="844" spans="1:3" ht="12.75" x14ac:dyDescent="0.2">
      <c r="A844" s="8">
        <v>62520</v>
      </c>
      <c r="B844" s="7" t="s">
        <v>398</v>
      </c>
      <c r="C844" s="6" t="s">
        <v>397</v>
      </c>
    </row>
    <row r="845" spans="1:3" ht="12.75" x14ac:dyDescent="0.2">
      <c r="A845" s="8">
        <v>62565</v>
      </c>
      <c r="B845" s="7" t="s">
        <v>399</v>
      </c>
      <c r="C845" s="6" t="s">
        <v>400</v>
      </c>
    </row>
    <row r="846" spans="1:3" ht="12.75" x14ac:dyDescent="0.2">
      <c r="A846" s="8">
        <v>62569</v>
      </c>
      <c r="B846" s="7" t="s">
        <v>398</v>
      </c>
      <c r="C846" s="6" t="s">
        <v>402</v>
      </c>
    </row>
    <row r="847" spans="1:3" ht="12.75" x14ac:dyDescent="0.2">
      <c r="A847" s="8">
        <v>62579</v>
      </c>
      <c r="B847" s="7" t="s">
        <v>399</v>
      </c>
      <c r="C847" s="6" t="s">
        <v>403</v>
      </c>
    </row>
    <row r="848" spans="1:3" ht="12.75" x14ac:dyDescent="0.2">
      <c r="A848" s="8">
        <v>62627</v>
      </c>
      <c r="B848" s="7" t="s">
        <v>404</v>
      </c>
      <c r="C848" s="6" t="s">
        <v>405</v>
      </c>
    </row>
    <row r="849" spans="1:3" ht="12.75" x14ac:dyDescent="0.2">
      <c r="A849" s="8">
        <v>62708</v>
      </c>
      <c r="B849" s="7" t="s">
        <v>395</v>
      </c>
      <c r="C849" s="6" t="s">
        <v>406</v>
      </c>
    </row>
    <row r="850" spans="1:3" ht="13.5" x14ac:dyDescent="0.2">
      <c r="A850" s="8">
        <v>62743</v>
      </c>
      <c r="B850" s="7" t="s">
        <v>395</v>
      </c>
      <c r="C850" s="6" t="s">
        <v>407</v>
      </c>
    </row>
    <row r="851" spans="1:3" ht="12.75" x14ac:dyDescent="0.2">
      <c r="A851" s="8">
        <v>62764</v>
      </c>
      <c r="B851" s="7" t="s">
        <v>395</v>
      </c>
      <c r="C851" s="6" t="s">
        <v>408</v>
      </c>
    </row>
    <row r="852" spans="1:3" ht="12.75" x14ac:dyDescent="0.2">
      <c r="A852" s="8">
        <v>62777</v>
      </c>
      <c r="B852" s="7" t="s">
        <v>411</v>
      </c>
      <c r="C852" s="6" t="s">
        <v>409</v>
      </c>
    </row>
    <row r="853" spans="1:3" ht="12.75" x14ac:dyDescent="0.2">
      <c r="A853" s="8">
        <v>62817</v>
      </c>
      <c r="B853" s="7" t="s">
        <v>399</v>
      </c>
      <c r="C853" s="6" t="s">
        <v>410</v>
      </c>
    </row>
    <row r="854" spans="1:3" ht="12.75" x14ac:dyDescent="0.2">
      <c r="A854" s="8">
        <v>62824</v>
      </c>
      <c r="B854" s="7" t="s">
        <v>399</v>
      </c>
      <c r="C854" s="6" t="s">
        <v>396</v>
      </c>
    </row>
    <row r="855" spans="1:3" ht="12.75" x14ac:dyDescent="0.2">
      <c r="A855" s="8">
        <v>62876</v>
      </c>
      <c r="B855" s="7" t="s">
        <v>395</v>
      </c>
      <c r="C855" s="6" t="s">
        <v>397</v>
      </c>
    </row>
    <row r="856" spans="1:3" ht="12.75" x14ac:dyDescent="0.2">
      <c r="A856" s="8">
        <v>62877</v>
      </c>
      <c r="B856" s="7" t="s">
        <v>398</v>
      </c>
      <c r="C856" s="6" t="s">
        <v>397</v>
      </c>
    </row>
    <row r="857" spans="1:3" ht="12.75" x14ac:dyDescent="0.2">
      <c r="A857" s="8">
        <v>62922</v>
      </c>
      <c r="B857" s="7" t="s">
        <v>399</v>
      </c>
      <c r="C857" s="6" t="s">
        <v>400</v>
      </c>
    </row>
    <row r="858" spans="1:3" ht="12.75" x14ac:dyDescent="0.2">
      <c r="A858" s="8">
        <v>62935</v>
      </c>
      <c r="B858" s="7" t="s">
        <v>404</v>
      </c>
      <c r="C858" s="6" t="s">
        <v>402</v>
      </c>
    </row>
    <row r="859" spans="1:3" ht="12.75" x14ac:dyDescent="0.2">
      <c r="A859" s="8">
        <v>62945</v>
      </c>
      <c r="B859" s="7" t="s">
        <v>411</v>
      </c>
      <c r="C859" s="6" t="s">
        <v>403</v>
      </c>
    </row>
    <row r="860" spans="1:3" ht="12.75" x14ac:dyDescent="0.2">
      <c r="A860" s="8">
        <v>62984</v>
      </c>
      <c r="B860" s="7" t="s">
        <v>404</v>
      </c>
      <c r="C860" s="6" t="s">
        <v>405</v>
      </c>
    </row>
    <row r="861" spans="1:3" ht="12.75" x14ac:dyDescent="0.2">
      <c r="A861" s="8">
        <v>63074</v>
      </c>
      <c r="B861" s="7" t="s">
        <v>412</v>
      </c>
      <c r="C861" s="6" t="s">
        <v>406</v>
      </c>
    </row>
    <row r="862" spans="1:3" ht="13.5" x14ac:dyDescent="0.2">
      <c r="A862" s="8">
        <v>63109</v>
      </c>
      <c r="B862" s="7" t="s">
        <v>412</v>
      </c>
      <c r="C862" s="6" t="s">
        <v>407</v>
      </c>
    </row>
    <row r="863" spans="1:3" ht="12.75" x14ac:dyDescent="0.2">
      <c r="A863" s="8">
        <v>63130</v>
      </c>
      <c r="B863" s="7" t="s">
        <v>412</v>
      </c>
      <c r="C863" s="6" t="s">
        <v>408</v>
      </c>
    </row>
    <row r="864" spans="1:3" ht="12.75" x14ac:dyDescent="0.2">
      <c r="A864" s="8">
        <v>63143</v>
      </c>
      <c r="B864" s="7" t="s">
        <v>398</v>
      </c>
      <c r="C864" s="6" t="s">
        <v>409</v>
      </c>
    </row>
    <row r="865" spans="1:3" ht="12.75" x14ac:dyDescent="0.2">
      <c r="A865" s="8">
        <v>63183</v>
      </c>
      <c r="B865" s="7" t="s">
        <v>411</v>
      </c>
      <c r="C865" s="6" t="s">
        <v>410</v>
      </c>
    </row>
    <row r="866" spans="1:3" ht="12.75" x14ac:dyDescent="0.2">
      <c r="A866" s="8">
        <v>63190</v>
      </c>
      <c r="B866" s="7" t="s">
        <v>411</v>
      </c>
      <c r="C866" s="6" t="s">
        <v>396</v>
      </c>
    </row>
    <row r="867" spans="1:3" ht="12.75" x14ac:dyDescent="0.2">
      <c r="A867" s="8">
        <v>63226</v>
      </c>
      <c r="B867" s="7" t="s">
        <v>395</v>
      </c>
      <c r="C867" s="6" t="s">
        <v>397</v>
      </c>
    </row>
    <row r="868" spans="1:3" ht="12.75" x14ac:dyDescent="0.2">
      <c r="A868" s="8">
        <v>63227</v>
      </c>
      <c r="B868" s="7" t="s">
        <v>398</v>
      </c>
      <c r="C868" s="6" t="s">
        <v>397</v>
      </c>
    </row>
    <row r="869" spans="1:3" ht="12.75" x14ac:dyDescent="0.2">
      <c r="A869" s="8">
        <v>63272</v>
      </c>
      <c r="B869" s="7" t="s">
        <v>399</v>
      </c>
      <c r="C869" s="6" t="s">
        <v>400</v>
      </c>
    </row>
    <row r="870" spans="1:3" ht="12.75" x14ac:dyDescent="0.2">
      <c r="A870" s="8">
        <v>63300</v>
      </c>
      <c r="B870" s="7" t="s">
        <v>399</v>
      </c>
      <c r="C870" s="6" t="s">
        <v>402</v>
      </c>
    </row>
    <row r="871" spans="1:3" ht="12.75" x14ac:dyDescent="0.2">
      <c r="A871" s="8">
        <v>63310</v>
      </c>
      <c r="B871" s="7" t="s">
        <v>395</v>
      </c>
      <c r="C871" s="6" t="s">
        <v>403</v>
      </c>
    </row>
    <row r="872" spans="1:3" ht="12.75" x14ac:dyDescent="0.2">
      <c r="A872" s="8">
        <v>63334</v>
      </c>
      <c r="B872" s="7" t="s">
        <v>404</v>
      </c>
      <c r="C872" s="6" t="s">
        <v>405</v>
      </c>
    </row>
    <row r="873" spans="1:3" ht="12.75" x14ac:dyDescent="0.2">
      <c r="A873" s="8">
        <v>63439</v>
      </c>
      <c r="B873" s="7" t="s">
        <v>404</v>
      </c>
      <c r="C873" s="6" t="s">
        <v>406</v>
      </c>
    </row>
    <row r="874" spans="1:3" ht="13.5" x14ac:dyDescent="0.2">
      <c r="A874" s="8">
        <v>63474</v>
      </c>
      <c r="B874" s="7" t="s">
        <v>404</v>
      </c>
      <c r="C874" s="6" t="s">
        <v>407</v>
      </c>
    </row>
    <row r="875" spans="1:3" ht="12.75" x14ac:dyDescent="0.2">
      <c r="A875" s="8">
        <v>63495</v>
      </c>
      <c r="B875" s="7" t="s">
        <v>404</v>
      </c>
      <c r="C875" s="6" t="s">
        <v>408</v>
      </c>
    </row>
    <row r="876" spans="1:3" ht="12.75" x14ac:dyDescent="0.2">
      <c r="A876" s="8">
        <v>63508</v>
      </c>
      <c r="B876" s="7" t="s">
        <v>412</v>
      </c>
      <c r="C876" s="6" t="s">
        <v>409</v>
      </c>
    </row>
    <row r="877" spans="1:3" ht="12.75" x14ac:dyDescent="0.2">
      <c r="A877" s="8">
        <v>63548</v>
      </c>
      <c r="B877" s="7" t="s">
        <v>395</v>
      </c>
      <c r="C877" s="6" t="s">
        <v>410</v>
      </c>
    </row>
    <row r="878" spans="1:3" ht="12.75" x14ac:dyDescent="0.2">
      <c r="A878" s="8">
        <v>63555</v>
      </c>
      <c r="B878" s="7" t="s">
        <v>395</v>
      </c>
      <c r="C878" s="6" t="s">
        <v>396</v>
      </c>
    </row>
    <row r="879" spans="1:3" ht="12.75" x14ac:dyDescent="0.2">
      <c r="A879" s="8">
        <v>63611</v>
      </c>
      <c r="B879" s="7" t="s">
        <v>395</v>
      </c>
      <c r="C879" s="6" t="s">
        <v>397</v>
      </c>
    </row>
    <row r="880" spans="1:3" ht="12.75" x14ac:dyDescent="0.2">
      <c r="A880" s="8">
        <v>63612</v>
      </c>
      <c r="B880" s="7" t="s">
        <v>398</v>
      </c>
      <c r="C880" s="6" t="s">
        <v>397</v>
      </c>
    </row>
    <row r="881" spans="1:3" ht="12.75" x14ac:dyDescent="0.2">
      <c r="A881" s="8">
        <v>63657</v>
      </c>
      <c r="B881" s="7" t="s">
        <v>399</v>
      </c>
      <c r="C881" s="6" t="s">
        <v>400</v>
      </c>
    </row>
    <row r="882" spans="1:3" ht="12.75" x14ac:dyDescent="0.2">
      <c r="A882" s="8">
        <v>63665</v>
      </c>
      <c r="B882" s="7" t="s">
        <v>401</v>
      </c>
      <c r="C882" s="6" t="s">
        <v>402</v>
      </c>
    </row>
    <row r="883" spans="1:3" ht="12.75" x14ac:dyDescent="0.2">
      <c r="A883" s="8">
        <v>63675</v>
      </c>
      <c r="B883" s="7" t="s">
        <v>398</v>
      </c>
      <c r="C883" s="6" t="s">
        <v>403</v>
      </c>
    </row>
    <row r="884" spans="1:3" ht="12.75" x14ac:dyDescent="0.2">
      <c r="A884" s="8">
        <v>63719</v>
      </c>
      <c r="B884" s="7" t="s">
        <v>404</v>
      </c>
      <c r="C884" s="6" t="s">
        <v>405</v>
      </c>
    </row>
    <row r="885" spans="1:3" ht="12.75" x14ac:dyDescent="0.2">
      <c r="A885" s="8">
        <v>63804</v>
      </c>
      <c r="B885" s="7" t="s">
        <v>399</v>
      </c>
      <c r="C885" s="6" t="s">
        <v>406</v>
      </c>
    </row>
    <row r="886" spans="1:3" ht="13.5" x14ac:dyDescent="0.2">
      <c r="A886" s="8">
        <v>63839</v>
      </c>
      <c r="B886" s="7" t="s">
        <v>399</v>
      </c>
      <c r="C886" s="6" t="s">
        <v>407</v>
      </c>
    </row>
    <row r="887" spans="1:3" ht="12.75" x14ac:dyDescent="0.2">
      <c r="A887" s="8">
        <v>63860</v>
      </c>
      <c r="B887" s="7" t="s">
        <v>399</v>
      </c>
      <c r="C887" s="6" t="s">
        <v>408</v>
      </c>
    </row>
    <row r="888" spans="1:3" ht="12.75" x14ac:dyDescent="0.2">
      <c r="A888" s="8">
        <v>63873</v>
      </c>
      <c r="B888" s="7" t="s">
        <v>404</v>
      </c>
      <c r="C888" s="6" t="s">
        <v>409</v>
      </c>
    </row>
    <row r="889" spans="1:3" ht="12.75" x14ac:dyDescent="0.2">
      <c r="A889" s="8">
        <v>63913</v>
      </c>
      <c r="B889" s="7" t="s">
        <v>398</v>
      </c>
      <c r="C889" s="6" t="s">
        <v>410</v>
      </c>
    </row>
    <row r="890" spans="1:3" ht="12.75" x14ac:dyDescent="0.2">
      <c r="A890" s="8">
        <v>63920</v>
      </c>
      <c r="B890" s="7" t="s">
        <v>398</v>
      </c>
      <c r="C890" s="6" t="s">
        <v>396</v>
      </c>
    </row>
    <row r="891" spans="1:3" ht="12.75" x14ac:dyDescent="0.2">
      <c r="A891" s="8">
        <v>63968</v>
      </c>
      <c r="B891" s="7" t="s">
        <v>395</v>
      </c>
      <c r="C891" s="6" t="s">
        <v>397</v>
      </c>
    </row>
    <row r="892" spans="1:3" ht="12.75" x14ac:dyDescent="0.2">
      <c r="A892" s="8">
        <v>63969</v>
      </c>
      <c r="B892" s="7" t="s">
        <v>398</v>
      </c>
      <c r="C892" s="6" t="s">
        <v>397</v>
      </c>
    </row>
    <row r="893" spans="1:3" ht="12.75" x14ac:dyDescent="0.2">
      <c r="A893" s="8">
        <v>64014</v>
      </c>
      <c r="B893" s="7" t="s">
        <v>399</v>
      </c>
      <c r="C893" s="6" t="s">
        <v>400</v>
      </c>
    </row>
    <row r="894" spans="1:3" ht="12.75" x14ac:dyDescent="0.2">
      <c r="A894" s="8">
        <v>64030</v>
      </c>
      <c r="B894" s="7" t="s">
        <v>411</v>
      </c>
      <c r="C894" s="6" t="s">
        <v>402</v>
      </c>
    </row>
    <row r="895" spans="1:3" ht="12.75" x14ac:dyDescent="0.2">
      <c r="A895" s="8">
        <v>64040</v>
      </c>
      <c r="B895" s="7" t="s">
        <v>412</v>
      </c>
      <c r="C895" s="6" t="s">
        <v>403</v>
      </c>
    </row>
    <row r="896" spans="1:3" ht="12.75" x14ac:dyDescent="0.2">
      <c r="A896" s="8">
        <v>64076</v>
      </c>
      <c r="B896" s="7" t="s">
        <v>404</v>
      </c>
      <c r="C896" s="6" t="s">
        <v>405</v>
      </c>
    </row>
    <row r="897" spans="1:3" ht="12.75" x14ac:dyDescent="0.2">
      <c r="A897" s="8">
        <v>64169</v>
      </c>
      <c r="B897" s="7" t="s">
        <v>401</v>
      </c>
      <c r="C897" s="6" t="s">
        <v>406</v>
      </c>
    </row>
    <row r="898" spans="1:3" ht="13.5" x14ac:dyDescent="0.2">
      <c r="A898" s="8">
        <v>64204</v>
      </c>
      <c r="B898" s="7" t="s">
        <v>401</v>
      </c>
      <c r="C898" s="6" t="s">
        <v>407</v>
      </c>
    </row>
    <row r="899" spans="1:3" ht="12.75" x14ac:dyDescent="0.2">
      <c r="A899" s="8">
        <v>64225</v>
      </c>
      <c r="B899" s="7" t="s">
        <v>401</v>
      </c>
      <c r="C899" s="6" t="s">
        <v>408</v>
      </c>
    </row>
    <row r="900" spans="1:3" ht="12.75" x14ac:dyDescent="0.2">
      <c r="A900" s="8">
        <v>64238</v>
      </c>
      <c r="B900" s="7" t="s">
        <v>399</v>
      </c>
      <c r="C900" s="6" t="s">
        <v>409</v>
      </c>
    </row>
    <row r="901" spans="1:3" ht="12.75" x14ac:dyDescent="0.2">
      <c r="A901" s="8">
        <v>64278</v>
      </c>
      <c r="B901" s="7" t="s">
        <v>412</v>
      </c>
      <c r="C901" s="6" t="s">
        <v>410</v>
      </c>
    </row>
    <row r="902" spans="1:3" ht="12.75" x14ac:dyDescent="0.2">
      <c r="A902" s="8">
        <v>64285</v>
      </c>
      <c r="B902" s="7" t="s">
        <v>412</v>
      </c>
      <c r="C902" s="6" t="s">
        <v>396</v>
      </c>
    </row>
    <row r="903" spans="1:3" ht="12.75" x14ac:dyDescent="0.2">
      <c r="A903" s="8">
        <v>64346</v>
      </c>
      <c r="B903" s="7" t="s">
        <v>395</v>
      </c>
      <c r="C903" s="6" t="s">
        <v>397</v>
      </c>
    </row>
    <row r="904" spans="1:3" ht="12.75" x14ac:dyDescent="0.2">
      <c r="A904" s="8">
        <v>64347</v>
      </c>
      <c r="B904" s="7" t="s">
        <v>398</v>
      </c>
      <c r="C904" s="6" t="s">
        <v>397</v>
      </c>
    </row>
    <row r="905" spans="1:3" ht="12.75" x14ac:dyDescent="0.2">
      <c r="A905" s="8">
        <v>64392</v>
      </c>
      <c r="B905" s="7" t="s">
        <v>399</v>
      </c>
      <c r="C905" s="6" t="s">
        <v>400</v>
      </c>
    </row>
    <row r="906" spans="1:3" ht="12.75" x14ac:dyDescent="0.2">
      <c r="A906" s="8">
        <v>64396</v>
      </c>
      <c r="B906" s="7" t="s">
        <v>398</v>
      </c>
      <c r="C906" s="6" t="s">
        <v>402</v>
      </c>
    </row>
    <row r="907" spans="1:3" ht="12.75" x14ac:dyDescent="0.2">
      <c r="A907" s="8">
        <v>64406</v>
      </c>
      <c r="B907" s="7" t="s">
        <v>399</v>
      </c>
      <c r="C907" s="6" t="s">
        <v>403</v>
      </c>
    </row>
    <row r="908" spans="1:3" ht="12.75" x14ac:dyDescent="0.2">
      <c r="A908" s="8">
        <v>64454</v>
      </c>
      <c r="B908" s="7" t="s">
        <v>404</v>
      </c>
      <c r="C908" s="6" t="s">
        <v>405</v>
      </c>
    </row>
    <row r="909" spans="1:3" ht="12.75" x14ac:dyDescent="0.2">
      <c r="A909" s="8">
        <v>64535</v>
      </c>
      <c r="B909" s="7" t="s">
        <v>395</v>
      </c>
      <c r="C909" s="6" t="s">
        <v>406</v>
      </c>
    </row>
    <row r="910" spans="1:3" ht="13.5" x14ac:dyDescent="0.2">
      <c r="A910" s="8">
        <v>64570</v>
      </c>
      <c r="B910" s="7" t="s">
        <v>395</v>
      </c>
      <c r="C910" s="6" t="s">
        <v>407</v>
      </c>
    </row>
    <row r="911" spans="1:3" ht="12.75" x14ac:dyDescent="0.2">
      <c r="A911" s="8">
        <v>64591</v>
      </c>
      <c r="B911" s="7" t="s">
        <v>395</v>
      </c>
      <c r="C911" s="6" t="s">
        <v>408</v>
      </c>
    </row>
    <row r="912" spans="1:3" ht="12.75" x14ac:dyDescent="0.2">
      <c r="A912" s="8">
        <v>64604</v>
      </c>
      <c r="B912" s="7" t="s">
        <v>411</v>
      </c>
      <c r="C912" s="6" t="s">
        <v>409</v>
      </c>
    </row>
    <row r="913" spans="1:3" ht="12.75" x14ac:dyDescent="0.2">
      <c r="A913" s="8">
        <v>64644</v>
      </c>
      <c r="B913" s="7" t="s">
        <v>399</v>
      </c>
      <c r="C913" s="6" t="s">
        <v>410</v>
      </c>
    </row>
    <row r="914" spans="1:3" ht="12.75" x14ac:dyDescent="0.2">
      <c r="A914" s="8">
        <v>64651</v>
      </c>
      <c r="B914" s="7" t="s">
        <v>399</v>
      </c>
      <c r="C914" s="6" t="s">
        <v>396</v>
      </c>
    </row>
    <row r="915" spans="1:3" ht="12.75" x14ac:dyDescent="0.2">
      <c r="A915" s="8">
        <v>64703</v>
      </c>
      <c r="B915" s="7" t="s">
        <v>395</v>
      </c>
      <c r="C915" s="6" t="s">
        <v>397</v>
      </c>
    </row>
    <row r="916" spans="1:3" ht="12.75" x14ac:dyDescent="0.2">
      <c r="A916" s="8">
        <v>64704</v>
      </c>
      <c r="B916" s="7" t="s">
        <v>398</v>
      </c>
      <c r="C916" s="6" t="s">
        <v>397</v>
      </c>
    </row>
    <row r="917" spans="1:3" ht="12.75" x14ac:dyDescent="0.2">
      <c r="A917" s="8">
        <v>64749</v>
      </c>
      <c r="B917" s="7" t="s">
        <v>399</v>
      </c>
      <c r="C917" s="6" t="s">
        <v>400</v>
      </c>
    </row>
    <row r="918" spans="1:3" ht="12.75" x14ac:dyDescent="0.2">
      <c r="A918" s="8">
        <v>64761</v>
      </c>
      <c r="B918" s="7" t="s">
        <v>412</v>
      </c>
      <c r="C918" s="6" t="s">
        <v>402</v>
      </c>
    </row>
    <row r="919" spans="1:3" ht="12.75" x14ac:dyDescent="0.2">
      <c r="A919" s="8">
        <v>64771</v>
      </c>
      <c r="B919" s="7" t="s">
        <v>401</v>
      </c>
      <c r="C919" s="6" t="s">
        <v>403</v>
      </c>
    </row>
    <row r="920" spans="1:3" ht="12.75" x14ac:dyDescent="0.2">
      <c r="A920" s="8">
        <v>64811</v>
      </c>
      <c r="B920" s="7" t="s">
        <v>404</v>
      </c>
      <c r="C920" s="6" t="s">
        <v>405</v>
      </c>
    </row>
    <row r="921" spans="1:3" ht="12.75" x14ac:dyDescent="0.2">
      <c r="A921" s="8">
        <v>64900</v>
      </c>
      <c r="B921" s="7" t="s">
        <v>398</v>
      </c>
      <c r="C921" s="6" t="s">
        <v>406</v>
      </c>
    </row>
    <row r="922" spans="1:3" ht="13.5" x14ac:dyDescent="0.2">
      <c r="A922" s="8">
        <v>64935</v>
      </c>
      <c r="B922" s="7" t="s">
        <v>398</v>
      </c>
      <c r="C922" s="6" t="s">
        <v>407</v>
      </c>
    </row>
    <row r="923" spans="1:3" ht="12.75" x14ac:dyDescent="0.2">
      <c r="A923" s="8">
        <v>64956</v>
      </c>
      <c r="B923" s="7" t="s">
        <v>398</v>
      </c>
      <c r="C923" s="6" t="s">
        <v>408</v>
      </c>
    </row>
    <row r="924" spans="1:3" ht="12.75" x14ac:dyDescent="0.2">
      <c r="A924" s="8">
        <v>64969</v>
      </c>
      <c r="B924" s="7" t="s">
        <v>395</v>
      </c>
      <c r="C924" s="6" t="s">
        <v>409</v>
      </c>
    </row>
    <row r="925" spans="1:3" ht="12.75" x14ac:dyDescent="0.2">
      <c r="A925" s="8">
        <v>65009</v>
      </c>
      <c r="B925" s="7" t="s">
        <v>401</v>
      </c>
      <c r="C925" s="6" t="s">
        <v>410</v>
      </c>
    </row>
    <row r="926" spans="1:3" ht="12.75" x14ac:dyDescent="0.2">
      <c r="A926" s="8">
        <v>65016</v>
      </c>
      <c r="B926" s="7" t="s">
        <v>398</v>
      </c>
      <c r="C926" s="6" t="s">
        <v>396</v>
      </c>
    </row>
    <row r="927" spans="1:3" ht="12.75" x14ac:dyDescent="0.2">
      <c r="A927" s="8">
        <v>65060</v>
      </c>
      <c r="B927" s="7" t="s">
        <v>395</v>
      </c>
      <c r="C927" s="6" t="s">
        <v>397</v>
      </c>
    </row>
    <row r="928" spans="1:3" ht="12.75" x14ac:dyDescent="0.2">
      <c r="A928" s="8">
        <v>65061</v>
      </c>
      <c r="B928" s="7" t="s">
        <v>398</v>
      </c>
      <c r="C928" s="6" t="s">
        <v>397</v>
      </c>
    </row>
    <row r="929" spans="1:3" ht="12.75" x14ac:dyDescent="0.2">
      <c r="A929" s="8">
        <v>65106</v>
      </c>
      <c r="B929" s="7" t="s">
        <v>399</v>
      </c>
      <c r="C929" s="6" t="s">
        <v>400</v>
      </c>
    </row>
    <row r="930" spans="1:3" ht="12.75" x14ac:dyDescent="0.2">
      <c r="A930" s="8">
        <v>65126</v>
      </c>
      <c r="B930" s="7" t="s">
        <v>404</v>
      </c>
      <c r="C930" s="6" t="s">
        <v>402</v>
      </c>
    </row>
    <row r="931" spans="1:3" ht="12.75" x14ac:dyDescent="0.2">
      <c r="A931" s="8">
        <v>65136</v>
      </c>
      <c r="B931" s="7" t="s">
        <v>412</v>
      </c>
      <c r="C931" s="6" t="s">
        <v>403</v>
      </c>
    </row>
    <row r="932" spans="1:3" ht="12.75" x14ac:dyDescent="0.2">
      <c r="A932" s="8">
        <v>65168</v>
      </c>
      <c r="B932" s="7" t="s">
        <v>404</v>
      </c>
      <c r="C932" s="6" t="s">
        <v>405</v>
      </c>
    </row>
    <row r="933" spans="1:3" ht="12.75" x14ac:dyDescent="0.2">
      <c r="A933" s="8">
        <v>65265</v>
      </c>
      <c r="B933" s="7" t="s">
        <v>412</v>
      </c>
      <c r="C933" s="6" t="s">
        <v>406</v>
      </c>
    </row>
    <row r="934" spans="1:3" ht="13.5" x14ac:dyDescent="0.2">
      <c r="A934" s="8">
        <v>65300</v>
      </c>
      <c r="B934" s="7" t="s">
        <v>412</v>
      </c>
      <c r="C934" s="6" t="s">
        <v>407</v>
      </c>
    </row>
    <row r="935" spans="1:3" ht="12.75" x14ac:dyDescent="0.2">
      <c r="A935" s="8">
        <v>65321</v>
      </c>
      <c r="B935" s="7" t="s">
        <v>412</v>
      </c>
      <c r="C935" s="6" t="s">
        <v>408</v>
      </c>
    </row>
    <row r="936" spans="1:3" ht="12.75" x14ac:dyDescent="0.2">
      <c r="A936" s="8">
        <v>65334</v>
      </c>
      <c r="B936" s="7" t="s">
        <v>398</v>
      </c>
      <c r="C936" s="6" t="s">
        <v>409</v>
      </c>
    </row>
    <row r="937" spans="1:3" ht="13.5" thickBot="1" x14ac:dyDescent="0.25">
      <c r="A937" s="5">
        <v>65374</v>
      </c>
      <c r="B937" s="4" t="s">
        <v>412</v>
      </c>
      <c r="C937" s="3" t="s">
        <v>410</v>
      </c>
    </row>
  </sheetData>
  <pageMargins left="0.7" right="0.7" top="0.75" bottom="0.75" header="0.3" footer="0.3"/>
  <pageSetup scale="17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8808e04-a48d-44ec-aaa2-84ab3c4a9789">
      <Terms xmlns="http://schemas.microsoft.com/office/infopath/2007/PartnerControls"/>
    </lcf76f155ced4ddcb4097134ff3c332f>
    <TaxCatchAll xmlns="c5b6ebd3-f450-4e70-b671-65da7a07c91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9447714D3A6D845B2C488CFF31F7610" ma:contentTypeVersion="12" ma:contentTypeDescription="Crie um novo documento." ma:contentTypeScope="" ma:versionID="6fa32a5c988deab99a0b1251f5483cb4">
  <xsd:schema xmlns:xsd="http://www.w3.org/2001/XMLSchema" xmlns:xs="http://www.w3.org/2001/XMLSchema" xmlns:p="http://schemas.microsoft.com/office/2006/metadata/properties" xmlns:ns2="c8808e04-a48d-44ec-aaa2-84ab3c4a9789" xmlns:ns3="c5b6ebd3-f450-4e70-b671-65da7a07c917" targetNamespace="http://schemas.microsoft.com/office/2006/metadata/properties" ma:root="true" ma:fieldsID="55497553e391f965470c51cd26d4f446" ns2:_="" ns3:_="">
    <xsd:import namespace="c8808e04-a48d-44ec-aaa2-84ab3c4a9789"/>
    <xsd:import namespace="c5b6ebd3-f450-4e70-b671-65da7a07c9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808e04-a48d-44ec-aaa2-84ab3c4a97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a37a8b96-04af-4aae-8640-b2dc0a4a615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b6ebd3-f450-4e70-b671-65da7a07c91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06013b66-1a75-4ca6-8753-51d1ed2a48c5}" ma:internalName="TaxCatchAll" ma:showField="CatchAllData" ma:web="c5b6ebd3-f450-4e70-b671-65da7a07c9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CB3C6A-3676-49F1-A7AE-A021A498E448}">
  <ds:schemaRefs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c5b6ebd3-f450-4e70-b671-65da7a07c917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c8808e04-a48d-44ec-aaa2-84ab3c4a9789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839103B-F794-44DA-AE3C-2B642ED9D798}"/>
</file>

<file path=customXml/itemProps3.xml><?xml version="1.0" encoding="utf-8"?>
<ds:datastoreItem xmlns:ds="http://schemas.openxmlformats.org/officeDocument/2006/customXml" ds:itemID="{AE39EE02-6580-4249-A14B-BD2463EE7DA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Pedidos</vt:lpstr>
      <vt:lpstr>Pedidos Concluídos</vt:lpstr>
      <vt:lpstr>Feriados</vt:lpstr>
      <vt:lpstr>Feriados!H_Date</vt:lpstr>
      <vt:lpstr>Feriados!H_Name</vt:lpstr>
      <vt:lpstr>Feriados!H_Type</vt:lpstr>
      <vt:lpstr>Feriados!Print_Area</vt:lpstr>
      <vt:lpstr>Feriados!wc.L_Courtesy_of</vt:lpstr>
      <vt:lpstr>Feriados!wc.L_Date</vt:lpstr>
      <vt:lpstr>Feriados!wc.L_Holiday_Name</vt:lpstr>
      <vt:lpstr>Feriados!wc.L_Holiday_Type</vt:lpstr>
      <vt:lpstr>Feriados!WinCalendar.HolidaysTable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Gustavo Callegaro</dc:creator>
  <cp:keywords/>
  <dc:description/>
  <cp:lastModifiedBy>Gustavo Callegaro</cp:lastModifiedBy>
  <cp:revision/>
  <cp:lastPrinted>2026-03-19T18:29:27Z</cp:lastPrinted>
  <dcterms:created xsi:type="dcterms:W3CDTF">2025-03-11T23:13:51Z</dcterms:created>
  <dcterms:modified xsi:type="dcterms:W3CDTF">2026-07-07T17:11:43Z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0x01010079447714D3A6D845B2C488CFF31F7610</vt:lpwstr>
  </property>
  <property fmtid="{D5CDD505-2E9C-101B-9397-08002B2CF9AE}" pid="3" name="MediaServiceImageTags">
    <vt:lpwstr/>
  </property>
</Properties>
</file>