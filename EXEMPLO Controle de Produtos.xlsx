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kuryos.sharepoint.com/sites/ServidorKuryos/Shared Documents/08. Logistica e Armazenamento/00. Logistica/"/>
    </mc:Choice>
  </mc:AlternateContent>
  <xr:revisionPtr revIDLastSave="1550" documentId="8_{7AB616CA-D108-4FDF-9302-F13AAD23E0FA}" xr6:coauthVersionLast="47" xr6:coauthVersionMax="47" xr10:uidLastSave="{C198C5E8-6ACA-43B4-A595-C6B8A8542775}"/>
  <bookViews>
    <workbookView xWindow="-120" yWindow="-120" windowWidth="29040" windowHeight="15720" activeTab="1" xr2:uid="{64DE674F-1338-49BD-B1F8-15F95E7CA700}"/>
  </bookViews>
  <sheets>
    <sheet name="Gerador de SKU" sheetId="9" r:id="rId1"/>
    <sheet name="Produtos" sheetId="1" r:id="rId2"/>
    <sheet name="Sheet2" sheetId="6" r:id="rId3"/>
    <sheet name="MPs" sheetId="3" r:id="rId4"/>
    <sheet name="Insumos" sheetId="4" r:id="rId5"/>
    <sheet name="Sheet1" sheetId="5" r:id="rId6"/>
    <sheet name="TAB_FORMAS" sheetId="7" r:id="rId7"/>
    <sheet name="TAB_CLIENTES" sheetId="8" r:id="rId8"/>
  </sheets>
  <externalReferences>
    <externalReference r:id="rId9"/>
  </externalReferences>
  <definedNames>
    <definedName name="_xlnm._FilterDatabase" localSheetId="4" hidden="1">Insumos!$B$2:$G$31</definedName>
    <definedName name="_xlnm._FilterDatabase" localSheetId="3" hidden="1">MPs!$B$2:$I$144</definedName>
    <definedName name="_xlnm._FilterDatabase" localSheetId="1" hidden="1">Produtos!$B$2:$AH$364</definedName>
    <definedName name="_FiltrarBancodeDados" localSheetId="1" hidden="1">Produtos!$B$2:$AH$364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3" i="9" l="1"/>
  <c r="N103" i="9" s="1" a="1"/>
  <c r="L103" i="9"/>
  <c r="K103" i="9"/>
  <c r="I103" i="9"/>
  <c r="H103" i="9"/>
  <c r="G103" i="9" a="1"/>
  <c r="F103" i="9"/>
  <c r="J103" i="9" s="1"/>
  <c r="M102" i="9"/>
  <c r="G102" i="9" s="1" a="1"/>
  <c r="L102" i="9"/>
  <c r="K102" i="9"/>
  <c r="I102" i="9"/>
  <c r="H102" i="9"/>
  <c r="F102" i="9"/>
  <c r="J102" i="9" s="1"/>
  <c r="N101" i="9" a="1"/>
  <c r="M101" i="9"/>
  <c r="L101" i="9"/>
  <c r="K101" i="9"/>
  <c r="I101" i="9"/>
  <c r="H101" i="9"/>
  <c r="G101" i="9" a="1"/>
  <c r="F101" i="9"/>
  <c r="M100" i="9"/>
  <c r="G100" i="9" s="1" a="1"/>
  <c r="L100" i="9"/>
  <c r="K100" i="9"/>
  <c r="I100" i="9"/>
  <c r="H100" i="9"/>
  <c r="F100" i="9"/>
  <c r="J100" i="9" s="1"/>
  <c r="M99" i="9"/>
  <c r="G99" i="9" s="1" a="1"/>
  <c r="L99" i="9"/>
  <c r="K99" i="9"/>
  <c r="I99" i="9"/>
  <c r="H99" i="9"/>
  <c r="F99" i="9"/>
  <c r="M98" i="9"/>
  <c r="G98" i="9" s="1" a="1"/>
  <c r="L98" i="9"/>
  <c r="K98" i="9"/>
  <c r="I98" i="9"/>
  <c r="H98" i="9"/>
  <c r="F98" i="9"/>
  <c r="J98" i="9" s="1"/>
  <c r="M97" i="9"/>
  <c r="G97" i="9" s="1" a="1"/>
  <c r="L97" i="9"/>
  <c r="K97" i="9"/>
  <c r="J97" i="9"/>
  <c r="I97" i="9"/>
  <c r="H97" i="9"/>
  <c r="F97" i="9"/>
  <c r="M96" i="9"/>
  <c r="G96" i="9" s="1" a="1"/>
  <c r="L96" i="9"/>
  <c r="K96" i="9"/>
  <c r="I96" i="9"/>
  <c r="H96" i="9"/>
  <c r="F96" i="9"/>
  <c r="M95" i="9"/>
  <c r="G95" i="9" s="1" a="1"/>
  <c r="L95" i="9"/>
  <c r="K95" i="9"/>
  <c r="I95" i="9"/>
  <c r="J95" i="9" s="1"/>
  <c r="H95" i="9"/>
  <c r="F95" i="9"/>
  <c r="M94" i="9"/>
  <c r="G94" i="9" s="1" a="1"/>
  <c r="L94" i="9"/>
  <c r="K94" i="9"/>
  <c r="I94" i="9"/>
  <c r="H94" i="9"/>
  <c r="F94" i="9"/>
  <c r="N93" i="9" a="1"/>
  <c r="M93" i="9"/>
  <c r="G93" i="9" s="1" a="1"/>
  <c r="L93" i="9"/>
  <c r="K93" i="9"/>
  <c r="I93" i="9"/>
  <c r="H93" i="9"/>
  <c r="F93" i="9"/>
  <c r="J93" i="9" s="1"/>
  <c r="M92" i="9"/>
  <c r="N92" i="9" s="1" a="1"/>
  <c r="L92" i="9"/>
  <c r="K92" i="9"/>
  <c r="I92" i="9"/>
  <c r="H92" i="9"/>
  <c r="G92" i="9" a="1"/>
  <c r="F92" i="9"/>
  <c r="M91" i="9"/>
  <c r="N91" i="9" s="1" a="1"/>
  <c r="L91" i="9"/>
  <c r="K91" i="9"/>
  <c r="I91" i="9"/>
  <c r="H91" i="9"/>
  <c r="G91" i="9" a="1"/>
  <c r="F91" i="9"/>
  <c r="J91" i="9" s="1"/>
  <c r="N90" i="9" a="1"/>
  <c r="M90" i="9"/>
  <c r="G90" i="9" s="1" a="1"/>
  <c r="L90" i="9"/>
  <c r="K90" i="9"/>
  <c r="I90" i="9"/>
  <c r="H90" i="9"/>
  <c r="F90" i="9"/>
  <c r="J90" i="9" s="1"/>
  <c r="N89" i="9" a="1"/>
  <c r="M89" i="9"/>
  <c r="G89" i="9" s="1" a="1"/>
  <c r="L89" i="9"/>
  <c r="K89" i="9"/>
  <c r="I89" i="9"/>
  <c r="H89" i="9"/>
  <c r="F89" i="9"/>
  <c r="M88" i="9"/>
  <c r="G88" i="9" s="1" a="1"/>
  <c r="L88" i="9"/>
  <c r="K88" i="9"/>
  <c r="I88" i="9"/>
  <c r="H88" i="9"/>
  <c r="F88" i="9"/>
  <c r="M87" i="9"/>
  <c r="G87" i="9" s="1" a="1"/>
  <c r="L87" i="9"/>
  <c r="K87" i="9"/>
  <c r="I87" i="9"/>
  <c r="H87" i="9"/>
  <c r="F87" i="9"/>
  <c r="M86" i="9"/>
  <c r="G86" i="9" s="1" a="1"/>
  <c r="L86" i="9"/>
  <c r="K86" i="9"/>
  <c r="I86" i="9"/>
  <c r="H86" i="9"/>
  <c r="F86" i="9"/>
  <c r="M85" i="9"/>
  <c r="G85" i="9" s="1" a="1"/>
  <c r="L85" i="9"/>
  <c r="K85" i="9"/>
  <c r="I85" i="9"/>
  <c r="H85" i="9"/>
  <c r="F85" i="9"/>
  <c r="J85" i="9" s="1"/>
  <c r="M84" i="9"/>
  <c r="G84" i="9" s="1" a="1"/>
  <c r="L84" i="9"/>
  <c r="K84" i="9"/>
  <c r="I84" i="9"/>
  <c r="H84" i="9"/>
  <c r="F84" i="9"/>
  <c r="M83" i="9"/>
  <c r="G83" i="9" s="1" a="1"/>
  <c r="L83" i="9"/>
  <c r="K83" i="9"/>
  <c r="I83" i="9"/>
  <c r="H83" i="9"/>
  <c r="F83" i="9"/>
  <c r="M82" i="9"/>
  <c r="G82" i="9" s="1" a="1"/>
  <c r="L82" i="9"/>
  <c r="K82" i="9"/>
  <c r="I82" i="9"/>
  <c r="H82" i="9"/>
  <c r="F82" i="9"/>
  <c r="M81" i="9"/>
  <c r="G81" i="9" s="1" a="1"/>
  <c r="L81" i="9"/>
  <c r="K81" i="9"/>
  <c r="I81" i="9"/>
  <c r="H81" i="9"/>
  <c r="F81" i="9"/>
  <c r="J81" i="9" s="1"/>
  <c r="M80" i="9"/>
  <c r="N80" i="9" s="1" a="1"/>
  <c r="L80" i="9"/>
  <c r="K80" i="9"/>
  <c r="I80" i="9"/>
  <c r="H80" i="9"/>
  <c r="F80" i="9"/>
  <c r="M79" i="9"/>
  <c r="N79" i="9" s="1" a="1"/>
  <c r="L79" i="9"/>
  <c r="K79" i="9"/>
  <c r="I79" i="9"/>
  <c r="H79" i="9"/>
  <c r="G79" i="9" a="1"/>
  <c r="F79" i="9"/>
  <c r="J79" i="9" s="1"/>
  <c r="M78" i="9"/>
  <c r="G78" i="9" s="1" a="1"/>
  <c r="L78" i="9"/>
  <c r="K78" i="9"/>
  <c r="I78" i="9"/>
  <c r="H78" i="9"/>
  <c r="F78" i="9"/>
  <c r="J78" i="9" s="1"/>
  <c r="M77" i="9"/>
  <c r="G77" i="9" s="1" a="1"/>
  <c r="L77" i="9"/>
  <c r="K77" i="9"/>
  <c r="I77" i="9"/>
  <c r="H77" i="9"/>
  <c r="F77" i="9"/>
  <c r="M76" i="9"/>
  <c r="G76" i="9" s="1" a="1"/>
  <c r="L76" i="9"/>
  <c r="K76" i="9"/>
  <c r="I76" i="9"/>
  <c r="H76" i="9"/>
  <c r="F76" i="9"/>
  <c r="J76" i="9" s="1"/>
  <c r="M75" i="9"/>
  <c r="G75" i="9" s="1" a="1"/>
  <c r="L75" i="9"/>
  <c r="K75" i="9"/>
  <c r="I75" i="9"/>
  <c r="H75" i="9"/>
  <c r="F75" i="9"/>
  <c r="M74" i="9"/>
  <c r="G74" i="9" s="1" a="1"/>
  <c r="L74" i="9"/>
  <c r="K74" i="9"/>
  <c r="I74" i="9"/>
  <c r="H74" i="9"/>
  <c r="F74" i="9"/>
  <c r="J74" i="9" s="1"/>
  <c r="N73" i="9" a="1"/>
  <c r="M73" i="9"/>
  <c r="G73" i="9" s="1" a="1"/>
  <c r="L73" i="9"/>
  <c r="K73" i="9"/>
  <c r="I73" i="9"/>
  <c r="H73" i="9"/>
  <c r="F73" i="9"/>
  <c r="J73" i="9" s="1"/>
  <c r="M72" i="9"/>
  <c r="G72" i="9" s="1" a="1"/>
  <c r="L72" i="9"/>
  <c r="K72" i="9"/>
  <c r="I72" i="9"/>
  <c r="H72" i="9"/>
  <c r="F72" i="9"/>
  <c r="M71" i="9"/>
  <c r="G71" i="9" s="1" a="1"/>
  <c r="L71" i="9"/>
  <c r="K71" i="9"/>
  <c r="I71" i="9"/>
  <c r="H71" i="9"/>
  <c r="F71" i="9"/>
  <c r="M70" i="9"/>
  <c r="G70" i="9" s="1" a="1"/>
  <c r="L70" i="9"/>
  <c r="K70" i="9"/>
  <c r="I70" i="9"/>
  <c r="H70" i="9"/>
  <c r="F70" i="9"/>
  <c r="N69" i="9" a="1"/>
  <c r="M69" i="9"/>
  <c r="L69" i="9"/>
  <c r="K69" i="9"/>
  <c r="I69" i="9"/>
  <c r="H69" i="9"/>
  <c r="G69" i="9" a="1"/>
  <c r="F69" i="9"/>
  <c r="J69" i="9" s="1"/>
  <c r="M68" i="9"/>
  <c r="N68" i="9" s="1" a="1"/>
  <c r="L68" i="9"/>
  <c r="K68" i="9"/>
  <c r="I68" i="9"/>
  <c r="H68" i="9"/>
  <c r="F68" i="9"/>
  <c r="J68" i="9" s="1"/>
  <c r="M67" i="9"/>
  <c r="N67" i="9" s="1" a="1"/>
  <c r="L67" i="9"/>
  <c r="K67" i="9"/>
  <c r="I67" i="9"/>
  <c r="H67" i="9"/>
  <c r="G67" i="9" a="1"/>
  <c r="F67" i="9"/>
  <c r="J67" i="9" s="1"/>
  <c r="N66" i="9" a="1"/>
  <c r="M66" i="9"/>
  <c r="L66" i="9"/>
  <c r="K66" i="9"/>
  <c r="I66" i="9"/>
  <c r="H66" i="9"/>
  <c r="G66" i="9" a="1"/>
  <c r="F66" i="9"/>
  <c r="J66" i="9" s="1"/>
  <c r="N65" i="9" a="1"/>
  <c r="M65" i="9"/>
  <c r="G65" i="9" s="1" a="1"/>
  <c r="L65" i="9"/>
  <c r="K65" i="9"/>
  <c r="I65" i="9"/>
  <c r="H65" i="9"/>
  <c r="F65" i="9"/>
  <c r="J65" i="9" s="1"/>
  <c r="M64" i="9"/>
  <c r="G64" i="9" s="1" a="1"/>
  <c r="L64" i="9"/>
  <c r="K64" i="9"/>
  <c r="I64" i="9"/>
  <c r="H64" i="9"/>
  <c r="F64" i="9"/>
  <c r="J64" i="9" s="1"/>
  <c r="M63" i="9"/>
  <c r="G63" i="9" s="1" a="1"/>
  <c r="L63" i="9"/>
  <c r="K63" i="9"/>
  <c r="I63" i="9"/>
  <c r="H63" i="9"/>
  <c r="F63" i="9"/>
  <c r="J63" i="9" s="1"/>
  <c r="M62" i="9"/>
  <c r="G62" i="9" s="1" a="1"/>
  <c r="L62" i="9"/>
  <c r="K62" i="9"/>
  <c r="I62" i="9"/>
  <c r="H62" i="9"/>
  <c r="F62" i="9"/>
  <c r="J62" i="9" s="1"/>
  <c r="N61" i="9" a="1"/>
  <c r="M61" i="9"/>
  <c r="L61" i="9"/>
  <c r="K61" i="9"/>
  <c r="I61" i="9"/>
  <c r="H61" i="9"/>
  <c r="G61" i="9" a="1"/>
  <c r="F61" i="9"/>
  <c r="J61" i="9" s="1"/>
  <c r="M60" i="9"/>
  <c r="G60" i="9" s="1" a="1"/>
  <c r="L60" i="9"/>
  <c r="K60" i="9"/>
  <c r="I60" i="9"/>
  <c r="J60" i="9" s="1"/>
  <c r="H60" i="9"/>
  <c r="F60" i="9"/>
  <c r="M59" i="9"/>
  <c r="G59" i="9" s="1" a="1"/>
  <c r="L59" i="9"/>
  <c r="K59" i="9"/>
  <c r="I59" i="9"/>
  <c r="H59" i="9"/>
  <c r="F59" i="9"/>
  <c r="M58" i="9"/>
  <c r="G58" i="9" s="1" a="1"/>
  <c r="L58" i="9"/>
  <c r="K58" i="9"/>
  <c r="I58" i="9"/>
  <c r="J58" i="9" s="1"/>
  <c r="H58" i="9"/>
  <c r="F58" i="9"/>
  <c r="N57" i="9" a="1"/>
  <c r="M57" i="9"/>
  <c r="L57" i="9"/>
  <c r="K57" i="9"/>
  <c r="I57" i="9"/>
  <c r="H57" i="9"/>
  <c r="G57" i="9" a="1"/>
  <c r="F57" i="9"/>
  <c r="J57" i="9" s="1"/>
  <c r="M56" i="9"/>
  <c r="N56" i="9" s="1" a="1"/>
  <c r="L56" i="9"/>
  <c r="K56" i="9"/>
  <c r="I56" i="9"/>
  <c r="H56" i="9"/>
  <c r="G56" i="9" a="1"/>
  <c r="F56" i="9"/>
  <c r="J56" i="9" s="1"/>
  <c r="M55" i="9"/>
  <c r="N55" i="9" s="1" a="1"/>
  <c r="L55" i="9"/>
  <c r="K55" i="9"/>
  <c r="I55" i="9"/>
  <c r="H55" i="9"/>
  <c r="G55" i="9" a="1"/>
  <c r="F55" i="9"/>
  <c r="N54" i="9" a="1"/>
  <c r="M54" i="9"/>
  <c r="L54" i="9"/>
  <c r="K54" i="9"/>
  <c r="I54" i="9"/>
  <c r="H54" i="9"/>
  <c r="G54" i="9" a="1"/>
  <c r="F54" i="9"/>
  <c r="J54" i="9" s="1"/>
  <c r="N53" i="9" a="1"/>
  <c r="M53" i="9"/>
  <c r="L53" i="9"/>
  <c r="K53" i="9"/>
  <c r="I53" i="9"/>
  <c r="H53" i="9"/>
  <c r="G53" i="9" a="1"/>
  <c r="F53" i="9"/>
  <c r="J53" i="9" s="1"/>
  <c r="M52" i="9"/>
  <c r="G52" i="9" s="1" a="1"/>
  <c r="L52" i="9"/>
  <c r="K52" i="9"/>
  <c r="I52" i="9"/>
  <c r="H52" i="9"/>
  <c r="F52" i="9"/>
  <c r="M51" i="9"/>
  <c r="G51" i="9" s="1" a="1"/>
  <c r="L51" i="9"/>
  <c r="K51" i="9"/>
  <c r="I51" i="9"/>
  <c r="H51" i="9"/>
  <c r="F51" i="9"/>
  <c r="J51" i="9" s="1"/>
  <c r="M50" i="9"/>
  <c r="G50" i="9" s="1" a="1"/>
  <c r="L50" i="9"/>
  <c r="K50" i="9"/>
  <c r="I50" i="9"/>
  <c r="H50" i="9"/>
  <c r="F50" i="9"/>
  <c r="N49" i="9" a="1"/>
  <c r="M49" i="9"/>
  <c r="L49" i="9"/>
  <c r="K49" i="9"/>
  <c r="I49" i="9"/>
  <c r="H49" i="9"/>
  <c r="G49" i="9" a="1"/>
  <c r="F49" i="9"/>
  <c r="J49" i="9" s="1"/>
  <c r="M48" i="9"/>
  <c r="G48" i="9" s="1" a="1"/>
  <c r="L48" i="9"/>
  <c r="K48" i="9"/>
  <c r="I48" i="9"/>
  <c r="H48" i="9"/>
  <c r="F48" i="9"/>
  <c r="M47" i="9"/>
  <c r="G47" i="9" s="1" a="1"/>
  <c r="L47" i="9"/>
  <c r="K47" i="9"/>
  <c r="I47" i="9"/>
  <c r="H47" i="9"/>
  <c r="F47" i="9"/>
  <c r="M46" i="9"/>
  <c r="G46" i="9" s="1" a="1"/>
  <c r="L46" i="9"/>
  <c r="K46" i="9"/>
  <c r="I46" i="9"/>
  <c r="J46" i="9" s="1"/>
  <c r="H46" i="9"/>
  <c r="F46" i="9"/>
  <c r="N45" i="9" a="1"/>
  <c r="M45" i="9"/>
  <c r="G45" i="9" s="1" a="1"/>
  <c r="L45" i="9"/>
  <c r="K45" i="9"/>
  <c r="I45" i="9"/>
  <c r="J45" i="9" s="1"/>
  <c r="H45" i="9"/>
  <c r="F45" i="9"/>
  <c r="M44" i="9"/>
  <c r="N44" i="9" s="1" a="1"/>
  <c r="L44" i="9"/>
  <c r="K44" i="9"/>
  <c r="I44" i="9"/>
  <c r="H44" i="9"/>
  <c r="G44" i="9" a="1"/>
  <c r="F44" i="9"/>
  <c r="J44" i="9" s="1"/>
  <c r="M43" i="9"/>
  <c r="N43" i="9" s="1" a="1"/>
  <c r="L43" i="9"/>
  <c r="K43" i="9"/>
  <c r="I43" i="9"/>
  <c r="H43" i="9"/>
  <c r="F43" i="9"/>
  <c r="J43" i="9" s="1"/>
  <c r="N42" i="9" a="1"/>
  <c r="M42" i="9"/>
  <c r="G42" i="9" s="1" a="1"/>
  <c r="L42" i="9"/>
  <c r="K42" i="9"/>
  <c r="I42" i="9"/>
  <c r="H42" i="9"/>
  <c r="F42" i="9"/>
  <c r="N41" i="9" a="1"/>
  <c r="M41" i="9"/>
  <c r="L41" i="9"/>
  <c r="K41" i="9"/>
  <c r="I41" i="9"/>
  <c r="H41" i="9"/>
  <c r="G41" i="9" a="1"/>
  <c r="F41" i="9"/>
  <c r="J41" i="9" s="1"/>
  <c r="M40" i="9"/>
  <c r="G40" i="9" s="1" a="1"/>
  <c r="L40" i="9"/>
  <c r="K40" i="9"/>
  <c r="I40" i="9"/>
  <c r="H40" i="9"/>
  <c r="F40" i="9"/>
  <c r="M39" i="9"/>
  <c r="G39" i="9" s="1" a="1"/>
  <c r="L39" i="9"/>
  <c r="K39" i="9"/>
  <c r="I39" i="9"/>
  <c r="H39" i="9"/>
  <c r="F39" i="9"/>
  <c r="J39" i="9" s="1"/>
  <c r="M38" i="9"/>
  <c r="G38" i="9" s="1" a="1"/>
  <c r="L38" i="9"/>
  <c r="K38" i="9"/>
  <c r="I38" i="9"/>
  <c r="H38" i="9"/>
  <c r="F38" i="9"/>
  <c r="N37" i="9" a="1"/>
  <c r="M37" i="9"/>
  <c r="G37" i="9" s="1" a="1"/>
  <c r="L37" i="9"/>
  <c r="K37" i="9"/>
  <c r="I37" i="9"/>
  <c r="J37" i="9" s="1"/>
  <c r="H37" i="9"/>
  <c r="F37" i="9"/>
  <c r="M36" i="9"/>
  <c r="G36" i="9" s="1" a="1"/>
  <c r="L36" i="9"/>
  <c r="K36" i="9"/>
  <c r="I36" i="9"/>
  <c r="H36" i="9"/>
  <c r="F36" i="9"/>
  <c r="M35" i="9"/>
  <c r="G35" i="9" s="1" a="1"/>
  <c r="L35" i="9"/>
  <c r="K35" i="9"/>
  <c r="I35" i="9"/>
  <c r="J35" i="9" s="1"/>
  <c r="H35" i="9"/>
  <c r="F35" i="9"/>
  <c r="M34" i="9"/>
  <c r="G34" i="9" s="1" a="1"/>
  <c r="L34" i="9"/>
  <c r="K34" i="9"/>
  <c r="I34" i="9"/>
  <c r="H34" i="9"/>
  <c r="F34" i="9"/>
  <c r="N33" i="9" a="1"/>
  <c r="M33" i="9"/>
  <c r="G33" i="9" s="1" a="1"/>
  <c r="L33" i="9"/>
  <c r="K33" i="9"/>
  <c r="I33" i="9"/>
  <c r="H33" i="9"/>
  <c r="F33" i="9"/>
  <c r="J33" i="9" s="1"/>
  <c r="M32" i="9"/>
  <c r="N32" i="9" s="1" a="1"/>
  <c r="L32" i="9"/>
  <c r="K32" i="9"/>
  <c r="I32" i="9"/>
  <c r="H32" i="9"/>
  <c r="G32" i="9" a="1"/>
  <c r="F32" i="9"/>
  <c r="M31" i="9"/>
  <c r="N31" i="9" s="1" a="1"/>
  <c r="L31" i="9"/>
  <c r="K31" i="9"/>
  <c r="I31" i="9"/>
  <c r="H31" i="9"/>
  <c r="G31" i="9" a="1"/>
  <c r="F31" i="9"/>
  <c r="J31" i="9" s="1"/>
  <c r="N30" i="9" a="1"/>
  <c r="M30" i="9"/>
  <c r="G30" i="9" s="1" a="1"/>
  <c r="L30" i="9"/>
  <c r="K30" i="9"/>
  <c r="I30" i="9"/>
  <c r="H30" i="9"/>
  <c r="F30" i="9"/>
  <c r="J30" i="9" s="1"/>
  <c r="N29" i="9" a="1"/>
  <c r="M29" i="9"/>
  <c r="G29" i="9" s="1" a="1"/>
  <c r="L29" i="9"/>
  <c r="K29" i="9"/>
  <c r="I29" i="9"/>
  <c r="J29" i="9" s="1"/>
  <c r="H29" i="9"/>
  <c r="F29" i="9"/>
  <c r="M28" i="9"/>
  <c r="G28" i="9" s="1" a="1"/>
  <c r="L28" i="9"/>
  <c r="K28" i="9"/>
  <c r="I28" i="9"/>
  <c r="H28" i="9"/>
  <c r="F28" i="9"/>
  <c r="M27" i="9"/>
  <c r="G27" i="9" s="1" a="1"/>
  <c r="L27" i="9"/>
  <c r="K27" i="9"/>
  <c r="I27" i="9"/>
  <c r="H27" i="9"/>
  <c r="F27" i="9"/>
  <c r="M26" i="9"/>
  <c r="G26" i="9" s="1" a="1"/>
  <c r="L26" i="9"/>
  <c r="K26" i="9"/>
  <c r="I26" i="9"/>
  <c r="H26" i="9"/>
  <c r="F26" i="9"/>
  <c r="N25" i="9" a="1"/>
  <c r="M25" i="9"/>
  <c r="G25" i="9" s="1" a="1"/>
  <c r="L25" i="9"/>
  <c r="K25" i="9"/>
  <c r="I25" i="9"/>
  <c r="H25" i="9"/>
  <c r="F25" i="9"/>
  <c r="J25" i="9" s="1"/>
  <c r="M24" i="9"/>
  <c r="G24" i="9" s="1" a="1"/>
  <c r="L24" i="9"/>
  <c r="K24" i="9"/>
  <c r="I24" i="9"/>
  <c r="H24" i="9"/>
  <c r="F24" i="9"/>
  <c r="M23" i="9"/>
  <c r="G23" i="9" s="1" a="1"/>
  <c r="L23" i="9"/>
  <c r="K23" i="9"/>
  <c r="I23" i="9"/>
  <c r="J23" i="9" s="1"/>
  <c r="H23" i="9"/>
  <c r="F23" i="9"/>
  <c r="M22" i="9"/>
  <c r="G22" i="9" s="1" a="1"/>
  <c r="L22" i="9"/>
  <c r="K22" i="9"/>
  <c r="I22" i="9"/>
  <c r="H22" i="9"/>
  <c r="F22" i="9"/>
  <c r="J22" i="9" s="1"/>
  <c r="N21" i="9" a="1"/>
  <c r="M21" i="9"/>
  <c r="L21" i="9"/>
  <c r="K21" i="9"/>
  <c r="I21" i="9"/>
  <c r="H21" i="9"/>
  <c r="G21" i="9" a="1"/>
  <c r="F21" i="9"/>
  <c r="J21" i="9" s="1"/>
  <c r="M20" i="9"/>
  <c r="N20" i="9" s="1" a="1"/>
  <c r="L20" i="9"/>
  <c r="K20" i="9"/>
  <c r="I20" i="9"/>
  <c r="H20" i="9"/>
  <c r="F20" i="9"/>
  <c r="M19" i="9"/>
  <c r="N19" i="9" s="1" a="1"/>
  <c r="L19" i="9"/>
  <c r="K19" i="9"/>
  <c r="I19" i="9"/>
  <c r="H19" i="9"/>
  <c r="G19" i="9" a="1"/>
  <c r="F19" i="9"/>
  <c r="J19" i="9" s="1"/>
  <c r="N18" i="9" a="1"/>
  <c r="M18" i="9"/>
  <c r="G18" i="9" s="1" a="1"/>
  <c r="L18" i="9"/>
  <c r="K18" i="9"/>
  <c r="I18" i="9"/>
  <c r="H18" i="9"/>
  <c r="F18" i="9"/>
  <c r="J18" i="9" s="1"/>
  <c r="M17" i="9"/>
  <c r="G17" i="9" s="1" a="1"/>
  <c r="L17" i="9"/>
  <c r="K17" i="9"/>
  <c r="J17" i="9"/>
  <c r="I17" i="9"/>
  <c r="H17" i="9"/>
  <c r="F17" i="9"/>
  <c r="M16" i="9"/>
  <c r="G16" i="9" s="1" a="1"/>
  <c r="L16" i="9"/>
  <c r="K16" i="9"/>
  <c r="I16" i="9"/>
  <c r="H16" i="9"/>
  <c r="F16" i="9"/>
  <c r="J16" i="9" s="1"/>
  <c r="M15" i="9"/>
  <c r="G15" i="9" s="1" a="1"/>
  <c r="L15" i="9"/>
  <c r="K15" i="9"/>
  <c r="I15" i="9"/>
  <c r="H15" i="9"/>
  <c r="F15" i="9"/>
  <c r="J15" i="9" s="1"/>
  <c r="M14" i="9"/>
  <c r="G14" i="9" s="1" a="1"/>
  <c r="L14" i="9"/>
  <c r="K14" i="9"/>
  <c r="I14" i="9"/>
  <c r="H14" i="9"/>
  <c r="F14" i="9"/>
  <c r="J14" i="9" s="1"/>
  <c r="M13" i="9"/>
  <c r="G13" i="9" s="1" a="1"/>
  <c r="L13" i="9"/>
  <c r="K13" i="9"/>
  <c r="I13" i="9"/>
  <c r="H13" i="9"/>
  <c r="F13" i="9"/>
  <c r="J13" i="9" s="1"/>
  <c r="M12" i="9"/>
  <c r="N12" i="9" s="1" a="1"/>
  <c r="L12" i="9"/>
  <c r="K12" i="9"/>
  <c r="I12" i="9"/>
  <c r="J12" i="9" s="1"/>
  <c r="H12" i="9"/>
  <c r="F12" i="9"/>
  <c r="M11" i="9"/>
  <c r="G11" i="9" s="1" a="1"/>
  <c r="L11" i="9"/>
  <c r="K11" i="9"/>
  <c r="I11" i="9"/>
  <c r="H11" i="9"/>
  <c r="F11" i="9"/>
  <c r="M10" i="9"/>
  <c r="G10" i="9" s="1" a="1"/>
  <c r="L10" i="9"/>
  <c r="K10" i="9"/>
  <c r="I10" i="9"/>
  <c r="H10" i="9"/>
  <c r="F10" i="9"/>
  <c r="M9" i="9"/>
  <c r="N9" i="9" s="1" a="1"/>
  <c r="F9" i="9" s="1"/>
  <c r="L9" i="9"/>
  <c r="I9" i="9"/>
  <c r="G9" i="9" a="1"/>
  <c r="H9" i="9" s="1"/>
  <c r="M8" i="9"/>
  <c r="N8" i="9" s="1" a="1"/>
  <c r="F8" i="9" s="1"/>
  <c r="J8" i="9" s="1"/>
  <c r="L8" i="9"/>
  <c r="I8" i="9"/>
  <c r="K8" i="9" s="1"/>
  <c r="M7" i="9"/>
  <c r="N7" i="9" s="1" a="1"/>
  <c r="F7" i="9" s="1"/>
  <c r="L7" i="9"/>
  <c r="I7" i="9"/>
  <c r="M6" i="9"/>
  <c r="G6" i="9" s="1" a="1"/>
  <c r="H6" i="9" s="1"/>
  <c r="L6" i="9"/>
  <c r="I6" i="9"/>
  <c r="M5" i="9"/>
  <c r="G5" i="9" s="1" a="1"/>
  <c r="H5" i="9" s="1"/>
  <c r="L5" i="9"/>
  <c r="I5" i="9"/>
  <c r="L4" i="9"/>
  <c r="I4" i="9"/>
  <c r="M4" i="9"/>
  <c r="N4" i="9" s="1" a="1"/>
  <c r="F4" i="9" s="1"/>
  <c r="N13" i="9" l="1" a="1"/>
  <c r="N78" i="9" a="1"/>
  <c r="N81" i="9" a="1"/>
  <c r="J28" i="9"/>
  <c r="N85" i="9" a="1"/>
  <c r="N102" i="9" a="1"/>
  <c r="J70" i="9"/>
  <c r="J26" i="9"/>
  <c r="G4" i="9" a="1"/>
  <c r="H4" i="9" s="1"/>
  <c r="N17" i="9" a="1"/>
  <c r="N77" i="9" a="1"/>
  <c r="J82" i="9"/>
  <c r="J84" i="9"/>
  <c r="J86" i="9"/>
  <c r="J88" i="9"/>
  <c r="N97" i="9" a="1"/>
  <c r="J34" i="9"/>
  <c r="J36" i="9"/>
  <c r="J59" i="9"/>
  <c r="J94" i="9"/>
  <c r="J96" i="9"/>
  <c r="J24" i="9"/>
  <c r="J38" i="9"/>
  <c r="J40" i="9"/>
  <c r="J11" i="9"/>
  <c r="J47" i="9"/>
  <c r="J72" i="9"/>
  <c r="J20" i="9"/>
  <c r="G43" i="9" a="1"/>
  <c r="J48" i="9"/>
  <c r="J71" i="9"/>
  <c r="G20" i="9" a="1"/>
  <c r="J27" i="9"/>
  <c r="J42" i="9"/>
  <c r="J50" i="9"/>
  <c r="J52" i="9"/>
  <c r="G68" i="9" a="1"/>
  <c r="J75" i="9"/>
  <c r="J77" i="9"/>
  <c r="J55" i="9"/>
  <c r="J80" i="9"/>
  <c r="J83" i="9"/>
  <c r="J87" i="9"/>
  <c r="J89" i="9"/>
  <c r="J10" i="9"/>
  <c r="J32" i="9"/>
  <c r="G80" i="9" a="1"/>
  <c r="J92" i="9"/>
  <c r="J99" i="9"/>
  <c r="J101" i="9"/>
  <c r="K5" i="9"/>
  <c r="J9" i="9"/>
  <c r="K9" i="9" s="1"/>
  <c r="G8" i="9" a="1"/>
  <c r="H8" i="9" s="1"/>
  <c r="J7" i="9"/>
  <c r="K7" i="9" s="1"/>
  <c r="G7" i="9" a="1"/>
  <c r="H7" i="9" s="1"/>
  <c r="N6" i="9" a="1"/>
  <c r="F6" i="9" s="1"/>
  <c r="J6" i="9" s="1"/>
  <c r="K6" i="9" s="1"/>
  <c r="N5" i="9" a="1"/>
  <c r="F5" i="9" s="1"/>
  <c r="J5" i="9" s="1"/>
  <c r="J4" i="9"/>
  <c r="K4" i="9" s="1"/>
  <c r="N40" i="9" a="1"/>
  <c r="N52" i="9" a="1"/>
  <c r="N64" i="9" a="1"/>
  <c r="N76" i="9" a="1"/>
  <c r="N88" i="9" a="1"/>
  <c r="N100" i="9" a="1"/>
  <c r="N16" i="9" a="1"/>
  <c r="N27" i="9" a="1"/>
  <c r="N39" i="9" a="1"/>
  <c r="N51" i="9" a="1"/>
  <c r="N63" i="9" a="1"/>
  <c r="N75" i="9" a="1"/>
  <c r="N87" i="9" a="1"/>
  <c r="N99" i="9" a="1"/>
  <c r="N28" i="9" a="1"/>
  <c r="N15" i="9" a="1"/>
  <c r="N14" i="9" a="1"/>
  <c r="N26" i="9" a="1"/>
  <c r="N38" i="9" a="1"/>
  <c r="N50" i="9" a="1"/>
  <c r="N62" i="9" a="1"/>
  <c r="N74" i="9" a="1"/>
  <c r="N86" i="9" a="1"/>
  <c r="N98" i="9" a="1"/>
  <c r="N36" i="9" a="1"/>
  <c r="N60" i="9" a="1"/>
  <c r="N72" i="9" a="1"/>
  <c r="N84" i="9" a="1"/>
  <c r="N96" i="9" a="1"/>
  <c r="N11" i="9" a="1"/>
  <c r="N35" i="9" a="1"/>
  <c r="N47" i="9" a="1"/>
  <c r="N59" i="9" a="1"/>
  <c r="N71" i="9" a="1"/>
  <c r="N83" i="9" a="1"/>
  <c r="N95" i="9" a="1"/>
  <c r="N48" i="9" a="1"/>
  <c r="N10" i="9" a="1"/>
  <c r="N22" i="9" a="1"/>
  <c r="N34" i="9" a="1"/>
  <c r="N46" i="9" a="1"/>
  <c r="N58" i="9" a="1"/>
  <c r="N70" i="9" a="1"/>
  <c r="N82" i="9" a="1"/>
  <c r="N94" i="9" a="1"/>
  <c r="N24" i="9" a="1"/>
  <c r="N23" i="9" a="1"/>
  <c r="G12" i="9" a="1"/>
  <c r="Y363" i="1" l="1"/>
  <c r="Y362" i="1"/>
  <c r="Y361" i="1"/>
  <c r="Y360" i="1"/>
  <c r="Y359" i="1"/>
  <c r="Y364" i="1"/>
  <c r="N103" i="9" l="1"/>
  <c r="G103" i="9"/>
  <c r="N102" i="9"/>
  <c r="G102" i="9"/>
  <c r="N101" i="9"/>
  <c r="G101" i="9"/>
  <c r="N100" i="9"/>
  <c r="G100" i="9"/>
  <c r="N99" i="9"/>
  <c r="G99" i="9"/>
  <c r="N98" i="9"/>
  <c r="G98" i="9"/>
  <c r="N97" i="9"/>
  <c r="G97" i="9"/>
  <c r="N96" i="9"/>
  <c r="G96" i="9"/>
  <c r="N95" i="9"/>
  <c r="G95" i="9"/>
  <c r="N94" i="9"/>
  <c r="G94" i="9"/>
  <c r="N93" i="9"/>
  <c r="G93" i="9"/>
  <c r="N92" i="9"/>
  <c r="G92" i="9"/>
  <c r="N91" i="9"/>
  <c r="G91" i="9"/>
  <c r="N90" i="9"/>
  <c r="G90" i="9"/>
  <c r="N89" i="9"/>
  <c r="G89" i="9"/>
  <c r="N88" i="9"/>
  <c r="G88" i="9"/>
  <c r="N87" i="9"/>
  <c r="G87" i="9"/>
  <c r="N86" i="9"/>
  <c r="G86" i="9"/>
  <c r="N85" i="9"/>
  <c r="G85" i="9"/>
  <c r="N84" i="9"/>
  <c r="G84" i="9"/>
  <c r="N83" i="9"/>
  <c r="G83" i="9"/>
  <c r="N82" i="9"/>
  <c r="G82" i="9"/>
  <c r="N81" i="9"/>
  <c r="G81" i="9"/>
  <c r="N80" i="9"/>
  <c r="G80" i="9"/>
  <c r="N79" i="9"/>
  <c r="G79" i="9"/>
  <c r="N78" i="9"/>
  <c r="G78" i="9"/>
  <c r="N77" i="9"/>
  <c r="G77" i="9"/>
  <c r="N76" i="9"/>
  <c r="G76" i="9"/>
  <c r="N75" i="9"/>
  <c r="G75" i="9"/>
  <c r="N74" i="9"/>
  <c r="G74" i="9"/>
  <c r="N73" i="9"/>
  <c r="G73" i="9"/>
  <c r="N72" i="9"/>
  <c r="G72" i="9"/>
  <c r="N71" i="9"/>
  <c r="G71" i="9"/>
  <c r="N70" i="9"/>
  <c r="G70" i="9"/>
  <c r="N69" i="9"/>
  <c r="G69" i="9"/>
  <c r="N68" i="9"/>
  <c r="G68" i="9"/>
  <c r="N67" i="9"/>
  <c r="G67" i="9"/>
  <c r="N66" i="9"/>
  <c r="G66" i="9"/>
  <c r="N65" i="9"/>
  <c r="G65" i="9"/>
  <c r="N64" i="9"/>
  <c r="G64" i="9"/>
  <c r="N63" i="9"/>
  <c r="G63" i="9"/>
  <c r="N62" i="9"/>
  <c r="G62" i="9"/>
  <c r="N61" i="9"/>
  <c r="G61" i="9"/>
  <c r="N60" i="9"/>
  <c r="G60" i="9"/>
  <c r="N59" i="9"/>
  <c r="G59" i="9"/>
  <c r="N58" i="9"/>
  <c r="G58" i="9"/>
  <c r="N57" i="9"/>
  <c r="G57" i="9"/>
  <c r="N56" i="9"/>
  <c r="G56" i="9"/>
  <c r="N55" i="9"/>
  <c r="G55" i="9"/>
  <c r="N54" i="9"/>
  <c r="G54" i="9"/>
  <c r="N53" i="9"/>
  <c r="G53" i="9"/>
  <c r="N52" i="9"/>
  <c r="G52" i="9"/>
  <c r="N51" i="9"/>
  <c r="G51" i="9"/>
  <c r="N50" i="9"/>
  <c r="G50" i="9"/>
  <c r="N49" i="9"/>
  <c r="G49" i="9"/>
  <c r="N48" i="9"/>
  <c r="G48" i="9"/>
  <c r="N47" i="9"/>
  <c r="G47" i="9"/>
  <c r="N46" i="9"/>
  <c r="G46" i="9"/>
  <c r="N45" i="9"/>
  <c r="G45" i="9"/>
  <c r="N44" i="9"/>
  <c r="G44" i="9"/>
  <c r="N43" i="9"/>
  <c r="G43" i="9"/>
  <c r="N42" i="9"/>
  <c r="G42" i="9"/>
  <c r="N41" i="9"/>
  <c r="G41" i="9"/>
  <c r="N40" i="9"/>
  <c r="G40" i="9"/>
  <c r="N39" i="9"/>
  <c r="G39" i="9"/>
  <c r="N38" i="9"/>
  <c r="G38" i="9"/>
  <c r="N37" i="9"/>
  <c r="G37" i="9"/>
  <c r="N36" i="9"/>
  <c r="G36" i="9"/>
  <c r="N35" i="9"/>
  <c r="G35" i="9"/>
  <c r="N34" i="9"/>
  <c r="G34" i="9"/>
  <c r="N33" i="9"/>
  <c r="G33" i="9"/>
  <c r="N32" i="9"/>
  <c r="G32" i="9"/>
  <c r="N31" i="9"/>
  <c r="G31" i="9"/>
  <c r="N30" i="9"/>
  <c r="G30" i="9"/>
  <c r="N29" i="9"/>
  <c r="G29" i="9"/>
  <c r="N28" i="9"/>
  <c r="G28" i="9"/>
  <c r="N27" i="9"/>
  <c r="G27" i="9"/>
  <c r="N26" i="9"/>
  <c r="G26" i="9"/>
  <c r="N25" i="9"/>
  <c r="G25" i="9"/>
  <c r="N24" i="9"/>
  <c r="G24" i="9"/>
  <c r="N23" i="9"/>
  <c r="G23" i="9"/>
  <c r="N22" i="9"/>
  <c r="G22" i="9"/>
  <c r="N21" i="9"/>
  <c r="G21" i="9"/>
  <c r="N20" i="9"/>
  <c r="G20" i="9"/>
  <c r="N19" i="9"/>
  <c r="G19" i="9"/>
  <c r="N18" i="9"/>
  <c r="G18" i="9"/>
  <c r="N17" i="9"/>
  <c r="G17" i="9"/>
  <c r="N16" i="9"/>
  <c r="G16" i="9"/>
  <c r="N15" i="9"/>
  <c r="G15" i="9"/>
  <c r="N14" i="9"/>
  <c r="G14" i="9"/>
  <c r="N13" i="9"/>
  <c r="G13" i="9"/>
  <c r="N12" i="9"/>
  <c r="G12" i="9"/>
  <c r="N11" i="9"/>
  <c r="G11" i="9"/>
  <c r="N10" i="9"/>
  <c r="G10" i="9"/>
  <c r="N9" i="9"/>
  <c r="G9" i="9"/>
  <c r="N8" i="9"/>
  <c r="G8" i="9"/>
  <c r="N7" i="9"/>
  <c r="G7" i="9"/>
  <c r="N6" i="9"/>
  <c r="G6" i="9"/>
  <c r="N5" i="9"/>
  <c r="G5" i="9"/>
  <c r="N4" i="9"/>
  <c r="G4" i="9"/>
  <c r="K289" i="1" l="1"/>
  <c r="K301" i="1"/>
  <c r="K281" i="1"/>
  <c r="K329" i="1"/>
  <c r="K8" i="1"/>
  <c r="K312" i="1"/>
  <c r="K337" i="1"/>
  <c r="K10" i="1"/>
  <c r="K316" i="1"/>
  <c r="K308" i="1"/>
  <c r="K342" i="1"/>
  <c r="K284" i="1"/>
  <c r="K302" i="1"/>
  <c r="K280" i="1"/>
  <c r="K311" i="1"/>
  <c r="K299" i="1"/>
  <c r="K5" i="1"/>
  <c r="K321" i="1"/>
  <c r="K288" i="1"/>
  <c r="K173" i="1"/>
  <c r="K282" i="1"/>
  <c r="K294" i="1"/>
  <c r="K172" i="1"/>
  <c r="K287" i="1"/>
  <c r="K330" i="1"/>
  <c r="K332" i="1"/>
  <c r="K313" i="1"/>
  <c r="K319" i="1"/>
  <c r="K306" i="1"/>
  <c r="K292" i="1"/>
  <c r="K317" i="1"/>
  <c r="K333" i="1"/>
  <c r="K305" i="1"/>
  <c r="K171" i="1"/>
  <c r="K300" i="1"/>
  <c r="K304" i="1"/>
  <c r="K116" i="1"/>
  <c r="K278" i="1"/>
  <c r="K336" i="1"/>
  <c r="K7" i="1"/>
  <c r="K303" i="1"/>
  <c r="K130" i="1"/>
  <c r="K298" i="1"/>
  <c r="K340" i="1"/>
  <c r="K295" i="1"/>
  <c r="K290" i="1"/>
  <c r="K320" i="1"/>
  <c r="K279" i="1"/>
  <c r="K335" i="1"/>
  <c r="K6" i="1"/>
  <c r="K283" i="1"/>
  <c r="K293" i="1"/>
  <c r="K174" i="1"/>
  <c r="K285" i="1"/>
  <c r="K318" i="1"/>
  <c r="K132" i="1"/>
  <c r="K156" i="1"/>
  <c r="K291" i="1"/>
  <c r="K296" i="1"/>
  <c r="K322" i="1"/>
  <c r="K334" i="1"/>
  <c r="K339" i="1"/>
  <c r="K105" i="1"/>
  <c r="K314" i="1"/>
  <c r="K315" i="1"/>
  <c r="K338" i="1"/>
  <c r="K331" i="1"/>
  <c r="K131" i="1"/>
  <c r="K129" i="1"/>
  <c r="K170" i="1"/>
  <c r="K309" i="1"/>
  <c r="K286" i="1"/>
  <c r="K169" i="1"/>
  <c r="K9" i="1"/>
  <c r="K307" i="1"/>
  <c r="K310" i="1"/>
  <c r="K297" i="1"/>
  <c r="K91" i="1"/>
  <c r="K125" i="1"/>
  <c r="K32" i="1"/>
  <c r="K48" i="1"/>
  <c r="K69" i="1"/>
  <c r="K210" i="1"/>
  <c r="K175" i="1"/>
  <c r="K179" i="1"/>
  <c r="K205" i="1"/>
  <c r="K47" i="1"/>
  <c r="K16" i="1"/>
  <c r="K70" i="1"/>
  <c r="K60" i="1"/>
  <c r="K207" i="1"/>
  <c r="K14" i="1"/>
  <c r="K12" i="1"/>
  <c r="K211" i="1"/>
  <c r="K177" i="1"/>
  <c r="K73" i="1"/>
  <c r="K206" i="1"/>
  <c r="K30" i="1"/>
  <c r="K13" i="1"/>
  <c r="K186" i="1"/>
  <c r="K144" i="1"/>
  <c r="K343" i="1"/>
  <c r="K323" i="1"/>
  <c r="K50" i="1"/>
  <c r="K123" i="1"/>
  <c r="K209" i="1"/>
  <c r="K29" i="1"/>
  <c r="K28" i="1"/>
  <c r="K11" i="1"/>
  <c r="K184" i="1"/>
  <c r="K147" i="1"/>
  <c r="K146" i="1"/>
  <c r="K276" i="1"/>
  <c r="K43" i="1"/>
  <c r="K62" i="1"/>
  <c r="K45" i="1"/>
  <c r="K27" i="1"/>
  <c r="K185" i="1"/>
  <c r="K133" i="1"/>
  <c r="K180" i="1"/>
  <c r="K72" i="1"/>
  <c r="K31" i="1"/>
  <c r="K33" i="1"/>
  <c r="K104" i="1"/>
  <c r="K348" i="1"/>
  <c r="K145" i="1"/>
  <c r="K90" i="1"/>
  <c r="K358" i="1"/>
  <c r="K203" i="1"/>
  <c r="K18" i="1"/>
  <c r="K46" i="1"/>
  <c r="K59" i="1"/>
  <c r="K347" i="1"/>
  <c r="K142" i="1"/>
  <c r="K134" i="1"/>
  <c r="K17" i="1"/>
  <c r="K15" i="1"/>
  <c r="K75" i="1"/>
  <c r="K34" i="1"/>
  <c r="K341" i="1"/>
  <c r="K68" i="1"/>
  <c r="K346" i="1"/>
  <c r="K143" i="1"/>
  <c r="K124" i="1"/>
  <c r="K44" i="1"/>
  <c r="K49" i="1"/>
  <c r="K178" i="1"/>
  <c r="K74" i="1"/>
  <c r="K176" i="1"/>
  <c r="K98" i="1"/>
  <c r="K126" i="1"/>
  <c r="K96" i="1"/>
  <c r="K110" i="1"/>
  <c r="K109" i="1"/>
  <c r="K64" i="1"/>
  <c r="K97" i="1"/>
  <c r="K111" i="1"/>
  <c r="K208" i="1"/>
  <c r="K204" i="1"/>
  <c r="K76" i="1"/>
  <c r="K71" i="1"/>
  <c r="K267" i="1"/>
  <c r="K345" i="1"/>
  <c r="K120" i="1"/>
  <c r="K269" i="1"/>
  <c r="K268" i="1"/>
  <c r="K265" i="1"/>
  <c r="K264" i="1"/>
  <c r="K277" i="1"/>
  <c r="K263" i="1"/>
  <c r="K117" i="1"/>
  <c r="K266" i="1"/>
  <c r="K118" i="1"/>
  <c r="K35" i="1"/>
  <c r="K42" i="1"/>
  <c r="K56" i="1"/>
  <c r="K22" i="1"/>
  <c r="K165" i="1"/>
  <c r="K23" i="1"/>
  <c r="K58" i="1"/>
  <c r="K24" i="1"/>
  <c r="K40" i="1"/>
  <c r="K37" i="1"/>
  <c r="K163" i="1"/>
  <c r="K19" i="1"/>
  <c r="K39" i="1"/>
  <c r="K51" i="1"/>
  <c r="K164" i="1"/>
  <c r="K26" i="1"/>
  <c r="K167" i="1"/>
  <c r="K52" i="1"/>
  <c r="K20" i="1"/>
  <c r="K54" i="1"/>
  <c r="K21" i="1"/>
  <c r="K25" i="1"/>
  <c r="K41" i="1"/>
  <c r="K57" i="1"/>
  <c r="K36" i="1"/>
  <c r="K168" i="1"/>
  <c r="K53" i="1"/>
  <c r="K38" i="1"/>
  <c r="K55" i="1"/>
  <c r="K166" i="1"/>
  <c r="K352" i="1"/>
  <c r="K353" i="1"/>
  <c r="K183" i="1"/>
  <c r="K182" i="1"/>
  <c r="K181" i="1"/>
  <c r="K92" i="1"/>
  <c r="K113" i="1"/>
  <c r="K127" i="1"/>
  <c r="K100" i="1"/>
  <c r="K114" i="1"/>
  <c r="K128" i="1"/>
  <c r="K112" i="1"/>
  <c r="K99" i="1"/>
  <c r="K101" i="1"/>
  <c r="K67" i="1"/>
  <c r="K159" i="1"/>
  <c r="K61" i="1"/>
  <c r="K136" i="1"/>
  <c r="K137" i="1"/>
  <c r="K106" i="1"/>
  <c r="K121" i="1"/>
  <c r="K158" i="1"/>
  <c r="K139" i="1"/>
  <c r="K362" i="1"/>
  <c r="K66" i="1"/>
  <c r="K65" i="1"/>
  <c r="K108" i="1"/>
  <c r="K363" i="1"/>
  <c r="K162" i="1"/>
  <c r="K160" i="1"/>
  <c r="K141" i="1"/>
  <c r="K359" i="1"/>
  <c r="K63" i="1"/>
  <c r="K122" i="1"/>
  <c r="K135" i="1"/>
  <c r="K157" i="1"/>
  <c r="K360" i="1"/>
  <c r="K140" i="1"/>
  <c r="K161" i="1"/>
  <c r="K107" i="1"/>
  <c r="K138" i="1"/>
  <c r="K361" i="1"/>
  <c r="K89" i="1"/>
  <c r="K364" i="1"/>
  <c r="K102" i="1"/>
  <c r="K93" i="1"/>
  <c r="K94" i="1"/>
  <c r="K256" i="1"/>
  <c r="K248" i="1"/>
  <c r="K224" i="1"/>
  <c r="K230" i="1"/>
  <c r="K223" i="1"/>
  <c r="K221" i="1"/>
  <c r="K119" i="1"/>
  <c r="K250" i="1"/>
  <c r="K220" i="1"/>
  <c r="K232" i="1"/>
  <c r="K243" i="1"/>
  <c r="K217" i="1"/>
  <c r="K219" i="1"/>
  <c r="K247" i="1"/>
  <c r="K242" i="1"/>
  <c r="K199" i="1"/>
  <c r="K197" i="1"/>
  <c r="K249" i="1"/>
  <c r="K251" i="1"/>
  <c r="K103" i="1"/>
  <c r="K215" i="1"/>
  <c r="K327" i="1"/>
  <c r="K229" i="1"/>
  <c r="K240" i="1"/>
  <c r="K198" i="1"/>
  <c r="K95" i="1"/>
  <c r="K324" i="1"/>
  <c r="K227" i="1"/>
  <c r="K326" i="1"/>
  <c r="K254" i="1"/>
  <c r="K225" i="1"/>
  <c r="K228" i="1"/>
  <c r="K255" i="1"/>
  <c r="K231" i="1"/>
  <c r="K246" i="1"/>
  <c r="K325" i="1"/>
  <c r="K222" i="1"/>
  <c r="K213" i="1"/>
  <c r="K245" i="1"/>
  <c r="K253" i="1"/>
  <c r="K328" i="1"/>
  <c r="K214" i="1"/>
  <c r="K257" i="1"/>
  <c r="K252" i="1"/>
  <c r="K241" i="1"/>
  <c r="K212" i="1"/>
  <c r="K218" i="1"/>
  <c r="K244" i="1"/>
  <c r="K344" i="1"/>
  <c r="K216" i="1"/>
  <c r="K226" i="1"/>
  <c r="K239" i="1"/>
  <c r="K148" i="1"/>
  <c r="K153" i="1"/>
  <c r="K194" i="1"/>
  <c r="K190" i="1"/>
  <c r="K275" i="1"/>
  <c r="K355" i="1"/>
  <c r="K188" i="1"/>
  <c r="K354" i="1"/>
  <c r="K151" i="1"/>
  <c r="K150" i="1"/>
  <c r="K152" i="1"/>
  <c r="K196" i="1"/>
  <c r="K154" i="1"/>
  <c r="K274" i="1"/>
  <c r="K273" i="1"/>
  <c r="K195" i="1"/>
  <c r="K272" i="1"/>
  <c r="K149" i="1"/>
  <c r="K155" i="1"/>
  <c r="K357" i="1"/>
  <c r="K193" i="1"/>
  <c r="K356" i="1"/>
  <c r="K191" i="1"/>
  <c r="K192" i="1"/>
  <c r="K201" i="1"/>
  <c r="K189" i="1"/>
  <c r="K202" i="1"/>
  <c r="K200" i="1"/>
  <c r="K187" i="1"/>
  <c r="K115" i="1"/>
  <c r="K351" i="1"/>
  <c r="K349" i="1"/>
  <c r="K350" i="1"/>
  <c r="K260" i="1"/>
  <c r="K259" i="1"/>
  <c r="K262" i="1"/>
  <c r="K258" i="1"/>
  <c r="K261" i="1"/>
  <c r="K80" i="1"/>
  <c r="K77" i="1"/>
  <c r="K79" i="1"/>
  <c r="K78" i="1"/>
  <c r="K84" i="1"/>
  <c r="K83" i="1"/>
  <c r="K81" i="1"/>
  <c r="K82" i="1"/>
  <c r="K88" i="1"/>
  <c r="K87" i="1"/>
  <c r="K85" i="1"/>
  <c r="K86" i="1"/>
  <c r="K4" i="1"/>
  <c r="K3" i="1"/>
  <c r="K270" i="1"/>
  <c r="K271" i="1"/>
  <c r="L297" i="1"/>
  <c r="L170" i="1"/>
  <c r="L292" i="1"/>
  <c r="L294" i="1"/>
  <c r="L290" i="1"/>
  <c r="L132" i="1"/>
  <c r="L182" i="1"/>
  <c r="L249" i="1"/>
  <c r="L224" i="1"/>
  <c r="L221" i="1"/>
  <c r="L239" i="1"/>
  <c r="L324" i="1"/>
  <c r="L328" i="1"/>
  <c r="L216" i="1"/>
  <c r="L184" i="1"/>
  <c r="L187" i="1"/>
  <c r="L72" i="1"/>
  <c r="L362" i="1"/>
  <c r="L351" i="1"/>
  <c r="L30" i="1"/>
  <c r="L106" i="1"/>
  <c r="L27" i="1"/>
  <c r="L48" i="1"/>
  <c r="L358" i="1"/>
  <c r="L272" i="1"/>
  <c r="L281" i="1"/>
  <c r="L300" i="1"/>
  <c r="L173" i="1"/>
  <c r="L282" i="1"/>
  <c r="L309" i="1"/>
  <c r="L181" i="1"/>
  <c r="L241" i="1"/>
  <c r="L344" i="1"/>
  <c r="L240" i="1"/>
  <c r="L243" i="1"/>
  <c r="L197" i="1"/>
  <c r="L134" i="1"/>
  <c r="L196" i="1"/>
  <c r="L186" i="1"/>
  <c r="L116" i="1"/>
  <c r="L341" i="1"/>
  <c r="L209" i="1"/>
  <c r="L73" i="1"/>
  <c r="L11" i="1"/>
  <c r="L75" i="1"/>
  <c r="L60" i="1"/>
  <c r="L16" i="1"/>
  <c r="L79" i="1"/>
  <c r="L150" i="1"/>
  <c r="L179" i="1"/>
  <c r="L55" i="1"/>
  <c r="L128" i="1"/>
  <c r="L86" i="1"/>
  <c r="L304" i="1"/>
  <c r="L169" i="1"/>
  <c r="L296" i="1"/>
  <c r="L288" i="1"/>
  <c r="L302" i="1"/>
  <c r="L59" i="1"/>
  <c r="L183" i="1"/>
  <c r="L251" i="1"/>
  <c r="L245" i="1"/>
  <c r="L247" i="1"/>
  <c r="L199" i="1"/>
  <c r="L198" i="1"/>
  <c r="L323" i="1"/>
  <c r="L9" i="1"/>
  <c r="L5" i="1"/>
  <c r="L115" i="1"/>
  <c r="L267" i="1"/>
  <c r="L359" i="1"/>
  <c r="L345" i="1"/>
  <c r="L67" i="1"/>
  <c r="L349" i="1"/>
  <c r="L208" i="1"/>
  <c r="L32" i="1"/>
  <c r="L276" i="1"/>
  <c r="L155" i="1"/>
  <c r="L26" i="1"/>
  <c r="L177" i="1"/>
  <c r="L275" i="1"/>
  <c r="L279" i="1"/>
  <c r="L278" i="1"/>
  <c r="L320" i="1"/>
  <c r="L301" i="1"/>
  <c r="L131" i="1"/>
  <c r="L277" i="1"/>
  <c r="L92" i="1"/>
  <c r="L214" i="1"/>
  <c r="L252" i="1"/>
  <c r="L226" i="1"/>
  <c r="L232" i="1"/>
  <c r="L94" i="1"/>
  <c r="L117" i="1"/>
  <c r="L195" i="1"/>
  <c r="L7" i="1"/>
  <c r="L49" i="1"/>
  <c r="L161" i="1"/>
  <c r="L65" i="1"/>
  <c r="L205" i="1"/>
  <c r="L89" i="1"/>
  <c r="L13" i="1"/>
  <c r="L45" i="1"/>
  <c r="L262" i="1"/>
  <c r="L77" i="1"/>
  <c r="L58" i="1"/>
  <c r="L176" i="1"/>
  <c r="L56" i="1"/>
  <c r="L19" i="1"/>
  <c r="L307" i="1"/>
  <c r="L310" i="1"/>
  <c r="L172" i="1"/>
  <c r="L141" i="1"/>
  <c r="L219" i="1"/>
  <c r="L253" i="1"/>
  <c r="L330" i="1"/>
  <c r="L230" i="1"/>
  <c r="L93" i="1"/>
  <c r="L326" i="1"/>
  <c r="L194" i="1"/>
  <c r="L357" i="1"/>
  <c r="L43" i="1"/>
  <c r="L361" i="1"/>
  <c r="L107" i="1"/>
  <c r="L28" i="1"/>
  <c r="L102" i="1"/>
  <c r="L15" i="1"/>
  <c r="L18" i="1"/>
  <c r="L64" i="1"/>
  <c r="L153" i="1"/>
  <c r="L35" i="1"/>
  <c r="L41" i="1"/>
  <c r="L175" i="1"/>
  <c r="L154" i="1"/>
  <c r="L318" i="1"/>
  <c r="L293" i="1"/>
  <c r="L298" i="1"/>
  <c r="L303" i="1"/>
  <c r="L70" i="1"/>
  <c r="L140" i="1"/>
  <c r="L347" i="1"/>
  <c r="L257" i="1"/>
  <c r="L346" i="1"/>
  <c r="L348" i="1"/>
  <c r="L242" i="1"/>
  <c r="L218" i="1"/>
  <c r="L191" i="1"/>
  <c r="L189" i="1"/>
  <c r="L162" i="1"/>
  <c r="L203" i="1"/>
  <c r="L122" i="1"/>
  <c r="L350" i="1"/>
  <c r="L207" i="1"/>
  <c r="L126" i="1"/>
  <c r="L123" i="1"/>
  <c r="L261" i="1"/>
  <c r="L25" i="1"/>
  <c r="L22" i="1"/>
  <c r="L114" i="1"/>
  <c r="L53" i="1"/>
  <c r="L178" i="1"/>
  <c r="L148" i="1"/>
  <c r="L319" i="1"/>
  <c r="L299" i="1"/>
  <c r="L306" i="1"/>
  <c r="L313" i="1"/>
  <c r="L343" i="1"/>
  <c r="L136" i="1"/>
  <c r="L103" i="1"/>
  <c r="L256" i="1"/>
  <c r="L119" i="1"/>
  <c r="L246" i="1"/>
  <c r="L331" i="1"/>
  <c r="L217" i="1"/>
  <c r="L185" i="1"/>
  <c r="L61" i="1"/>
  <c r="L364" i="1"/>
  <c r="L29" i="1"/>
  <c r="L47" i="1"/>
  <c r="L269" i="1"/>
  <c r="L108" i="1"/>
  <c r="L44" i="1"/>
  <c r="L124" i="1"/>
  <c r="L24" i="1"/>
  <c r="L113" i="1"/>
  <c r="L151" i="1"/>
  <c r="L273" i="1"/>
  <c r="L127" i="1"/>
  <c r="L291" i="1"/>
  <c r="L174" i="1"/>
  <c r="L312" i="1"/>
  <c r="L322" i="1"/>
  <c r="L69" i="1"/>
  <c r="L139" i="1"/>
  <c r="L254" i="1"/>
  <c r="L227" i="1"/>
  <c r="L215" i="1"/>
  <c r="L222" i="1"/>
  <c r="L120" i="1"/>
  <c r="L229" i="1"/>
  <c r="L8" i="1"/>
  <c r="L268" i="1"/>
  <c r="L360" i="1"/>
  <c r="L263" i="1"/>
  <c r="L143" i="1"/>
  <c r="L121" i="1"/>
  <c r="L145" i="1"/>
  <c r="L206" i="1"/>
  <c r="L46" i="1"/>
  <c r="L101" i="1"/>
  <c r="L39" i="1"/>
  <c r="L152" i="1"/>
  <c r="L57" i="1"/>
  <c r="L21" i="1"/>
  <c r="L305" i="1"/>
  <c r="L10" i="1"/>
  <c r="L280" i="1"/>
  <c r="L289" i="1"/>
  <c r="L104" i="1"/>
  <c r="L137" i="1"/>
  <c r="L213" i="1"/>
  <c r="L327" i="1"/>
  <c r="L248" i="1"/>
  <c r="L118" i="1"/>
  <c r="L133" i="1"/>
  <c r="L220" i="1"/>
  <c r="L192" i="1"/>
  <c r="L188" i="1"/>
  <c r="L260" i="1"/>
  <c r="L34" i="1"/>
  <c r="L204" i="1"/>
  <c r="L125" i="1"/>
  <c r="L50" i="1"/>
  <c r="L157" i="1"/>
  <c r="L265" i="1"/>
  <c r="L66" i="1"/>
  <c r="L42" i="1"/>
  <c r="L36" i="1"/>
  <c r="L83" i="1"/>
  <c r="L112" i="1"/>
  <c r="L40" i="1"/>
  <c r="L315" i="1"/>
  <c r="L156" i="1"/>
  <c r="L314" i="1"/>
  <c r="L129" i="1"/>
  <c r="L210" i="1"/>
  <c r="L135" i="1"/>
  <c r="L255" i="1"/>
  <c r="L212" i="1"/>
  <c r="L338" i="1"/>
  <c r="L228" i="1"/>
  <c r="L329" i="1"/>
  <c r="L244" i="1"/>
  <c r="L6" i="1"/>
  <c r="L17" i="1"/>
  <c r="L258" i="1"/>
  <c r="L147" i="1"/>
  <c r="L158" i="1"/>
  <c r="L63" i="1"/>
  <c r="L74" i="1"/>
  <c r="L266" i="1"/>
  <c r="L12" i="1"/>
  <c r="L149" i="1"/>
  <c r="L100" i="1"/>
  <c r="L99" i="1"/>
  <c r="L81" i="1"/>
  <c r="L311" i="1"/>
  <c r="L317" i="1"/>
  <c r="L171" i="1"/>
  <c r="L295" i="1"/>
  <c r="L211" i="1"/>
  <c r="L138" i="1"/>
  <c r="L250" i="1"/>
  <c r="L332" i="1"/>
  <c r="L223" i="1"/>
  <c r="L337" i="1"/>
  <c r="L325" i="1"/>
  <c r="L336" i="1"/>
  <c r="L356" i="1"/>
  <c r="L264" i="1"/>
  <c r="L160" i="1"/>
  <c r="L14" i="1"/>
  <c r="L76" i="1"/>
  <c r="L363" i="1"/>
  <c r="L33" i="1"/>
  <c r="L71" i="1"/>
  <c r="L78" i="1"/>
  <c r="L180" i="1"/>
  <c r="L20" i="1"/>
  <c r="L37" i="1"/>
  <c r="L38" i="1"/>
  <c r="L88" i="1"/>
  <c r="L23" i="1"/>
  <c r="L85" i="1"/>
  <c r="L130" i="1"/>
  <c r="L308" i="1"/>
  <c r="L316" i="1"/>
  <c r="L321" i="1"/>
  <c r="L68" i="1"/>
  <c r="L333" i="1"/>
  <c r="L231" i="1"/>
  <c r="L225" i="1"/>
  <c r="L334" i="1"/>
  <c r="L335" i="1"/>
  <c r="L95" i="1"/>
  <c r="L339" i="1"/>
  <c r="L193" i="1"/>
  <c r="L190" i="1"/>
  <c r="L142" i="1"/>
  <c r="L62" i="1"/>
  <c r="L31" i="1"/>
  <c r="L146" i="1"/>
  <c r="L144" i="1"/>
  <c r="L159" i="1"/>
  <c r="L259" i="1"/>
  <c r="L80" i="1"/>
  <c r="L84" i="1"/>
  <c r="L51" i="1"/>
  <c r="L82" i="1"/>
  <c r="L52" i="1"/>
  <c r="L87" i="1"/>
  <c r="L54" i="1"/>
  <c r="L274" i="1"/>
  <c r="L270" i="1"/>
  <c r="L90" i="1"/>
  <c r="L98" i="1"/>
  <c r="L283" i="1"/>
  <c r="L355" i="1"/>
  <c r="L111" i="1"/>
  <c r="L284" i="1"/>
  <c r="L105" i="1"/>
  <c r="L91" i="1"/>
  <c r="L168" i="1"/>
  <c r="L286" i="1"/>
  <c r="L354" i="1"/>
  <c r="L4" i="1"/>
  <c r="L167" i="1"/>
  <c r="L287" i="1"/>
  <c r="L96" i="1"/>
  <c r="L109" i="1"/>
  <c r="L166" i="1"/>
  <c r="L201" i="1"/>
  <c r="L3" i="1"/>
  <c r="L353" i="1"/>
  <c r="L202" i="1"/>
  <c r="L285" i="1"/>
  <c r="L271" i="1"/>
  <c r="L110" i="1"/>
  <c r="L164" i="1"/>
  <c r="L163" i="1"/>
  <c r="L342" i="1"/>
  <c r="L165" i="1"/>
  <c r="L200" i="1"/>
  <c r="L340" i="1"/>
  <c r="L97" i="1"/>
  <c r="L352" i="1"/>
  <c r="AK7" i="1" l="1"/>
  <c r="AK4" i="1"/>
  <c r="AK6" i="1"/>
  <c r="AK5" i="1"/>
  <c r="A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<sst xmlns="http://schemas.openxmlformats.org/spreadsheetml/2006/main" count="4299" uniqueCount="1441">
  <si>
    <t>SKU</t>
  </si>
  <si>
    <t>Descrição do Item</t>
  </si>
  <si>
    <t>Linha do Produto</t>
  </si>
  <si>
    <t>Cliente</t>
  </si>
  <si>
    <t>Categoria do Produto</t>
  </si>
  <si>
    <t>Viscosidade</t>
  </si>
  <si>
    <t>Produção p/ Hora</t>
  </si>
  <si>
    <t>Observações</t>
  </si>
  <si>
    <t>-</t>
  </si>
  <si>
    <t>DESODORANTE ROLLON ALGODÃO</t>
  </si>
  <si>
    <t>CORPORAL</t>
  </si>
  <si>
    <t>DESODORANTE</t>
  </si>
  <si>
    <t>VISCOSO</t>
  </si>
  <si>
    <t>DESODORANTE ROLLON LAVANDA</t>
  </si>
  <si>
    <t>PRO STYLE</t>
  </si>
  <si>
    <t>CAPILAR</t>
  </si>
  <si>
    <t>FINALIZADOR</t>
  </si>
  <si>
    <t>ÓLEO CORPORAL AMENDÔAS</t>
  </si>
  <si>
    <t>LÍQUIDO</t>
  </si>
  <si>
    <t>PROGRESSIVA</t>
  </si>
  <si>
    <t>ESCOVA PROGRESSIVA</t>
  </si>
  <si>
    <t>GEL BRILHO AMARELO</t>
  </si>
  <si>
    <t>ml</t>
  </si>
  <si>
    <t>BE MAGIC</t>
  </si>
  <si>
    <t>GEL</t>
  </si>
  <si>
    <t>CREMOSO</t>
  </si>
  <si>
    <t>GEL BRILHO ROSA</t>
  </si>
  <si>
    <t>GEL BRILHO ROXO</t>
  </si>
  <si>
    <t>GEL BRILHO VERMELHO</t>
  </si>
  <si>
    <t>BMKDBR01</t>
  </si>
  <si>
    <t>BRUMA KIDS AMARELA</t>
  </si>
  <si>
    <t>KIDS</t>
  </si>
  <si>
    <t>BRUMA</t>
  </si>
  <si>
    <t>BMKDBR02</t>
  </si>
  <si>
    <t>BRUMA KIDS ROSA</t>
  </si>
  <si>
    <t>BMKDBR03</t>
  </si>
  <si>
    <t>BRUMA KIDS ROXA</t>
  </si>
  <si>
    <t>BMKDBR04</t>
  </si>
  <si>
    <t>BRUMA KIDS VERMELHA</t>
  </si>
  <si>
    <t>BMKDHD01</t>
  </si>
  <si>
    <t>CREME HIDRATANTE AMARELO</t>
  </si>
  <si>
    <t>CREME HIDRATANTE</t>
  </si>
  <si>
    <t>BMKDHD02</t>
  </si>
  <si>
    <t>CREME HIDRATANTE ROSA</t>
  </si>
  <si>
    <t>BMKDHD03</t>
  </si>
  <si>
    <t>CREME HIDRATANTE ROXO</t>
  </si>
  <si>
    <t>BMKDHD04</t>
  </si>
  <si>
    <t>CREME HIDRATANTE VERMELHO</t>
  </si>
  <si>
    <t>BMKDPF01</t>
  </si>
  <si>
    <t>COLÔNIA KIDS AMARELO</t>
  </si>
  <si>
    <t>PERFUMARIA</t>
  </si>
  <si>
    <t>COLÔNIA</t>
  </si>
  <si>
    <t>BMKDPF02</t>
  </si>
  <si>
    <t>COLÔNIA KIDS ROSA</t>
  </si>
  <si>
    <t>BMKDPF03</t>
  </si>
  <si>
    <t>COLÔNIA KIDS ROXO</t>
  </si>
  <si>
    <t>BMKDPF04</t>
  </si>
  <si>
    <t>COLÔNIA KIDS VERMELHO</t>
  </si>
  <si>
    <t>DPGLBS01</t>
  </si>
  <si>
    <t>BODY SPLASH GLOW PAIXÃO IRRESISTÍVEL</t>
  </si>
  <si>
    <t>GLOW</t>
  </si>
  <si>
    <t>DAPOP</t>
  </si>
  <si>
    <t>BODY SPLASH</t>
  </si>
  <si>
    <t>DPGLBS02</t>
  </si>
  <si>
    <t>BODY SPLASH GLOW TAÇA DE CHAMPAGNE</t>
  </si>
  <si>
    <t>DPGLBS03</t>
  </si>
  <si>
    <t>BODY SPLASH GLOW NOITE DE GLAMOUR</t>
  </si>
  <si>
    <t>DPGLES01</t>
  </si>
  <si>
    <t>ESFOLIANTE</t>
  </si>
  <si>
    <t>DPGLES02</t>
  </si>
  <si>
    <t>ESFOLIANTE GLOW TAÇA DE CHAMPAGNE</t>
  </si>
  <si>
    <t>DPGLES03</t>
  </si>
  <si>
    <t>ESFOLIANTE GLOW NOITE DE GLAMOUR</t>
  </si>
  <si>
    <t>DPGLHD01</t>
  </si>
  <si>
    <t>HIDRATANTE GLOW PAIXÃO IRRESISTÍVEL</t>
  </si>
  <si>
    <t>DPGLHD02</t>
  </si>
  <si>
    <t>HIDRATANTE GLOW TAÇA DE CHAMPAGNE</t>
  </si>
  <si>
    <t>DPGLHD03</t>
  </si>
  <si>
    <t>HIDRATANTE GLOW NOITE DE GLAMOUR</t>
  </si>
  <si>
    <t>DPMTBS01</t>
  </si>
  <si>
    <t>BODY SPLASH MATTE DOCE SEDUÇÃO</t>
  </si>
  <si>
    <t>MATTE</t>
  </si>
  <si>
    <t>DPMTBS02</t>
  </si>
  <si>
    <t>BODY SPLASH MATTE SORVETE DE BAUNILHA</t>
  </si>
  <si>
    <t>DPMTBS03</t>
  </si>
  <si>
    <t>BODY SPLASH MATTE OITAVA MARAVILHA</t>
  </si>
  <si>
    <t>DPMTES01</t>
  </si>
  <si>
    <t>ESFOLIANTE MATTE DOCE SEDUÇÃO</t>
  </si>
  <si>
    <t>g</t>
  </si>
  <si>
    <t>DPMTES02</t>
  </si>
  <si>
    <t>ESFOLIANTE MATTE SORVETE DE  BAUNILHA</t>
  </si>
  <si>
    <t>DPMTES03</t>
  </si>
  <si>
    <t>ESFOLIANTE MATTE OITAVA MARAVILHA</t>
  </si>
  <si>
    <t>DPMTHD01</t>
  </si>
  <si>
    <t>HIDRATANTE MATTE DOCE SEDUÇÃO</t>
  </si>
  <si>
    <t>DPMTHD02</t>
  </si>
  <si>
    <t>HIDRATANTE MATTE SORVETE DE BAUNILHA</t>
  </si>
  <si>
    <t>DPMTHD03</t>
  </si>
  <si>
    <t>HIDRATANTE MATTE OITAVA MARAVILHA</t>
  </si>
  <si>
    <t>DPSWHD01</t>
  </si>
  <si>
    <t>GEL CREME BEIJAVEL HIDRATANTE 2X1</t>
  </si>
  <si>
    <t>SWEET</t>
  </si>
  <si>
    <t>LNHGCN01</t>
  </si>
  <si>
    <t>CONDICIONADOR HUBBA GUM BANANA</t>
  </si>
  <si>
    <t>HUBBA GUM</t>
  </si>
  <si>
    <t>LUA &amp; NEVE</t>
  </si>
  <si>
    <t>CONDICIONADOR</t>
  </si>
  <si>
    <t>DENSO</t>
  </si>
  <si>
    <t>LNHGCN02</t>
  </si>
  <si>
    <t>CONDICIONADOR HUBBA GUM TUTTI-FRUTTI</t>
  </si>
  <si>
    <t>LNHGCN03</t>
  </si>
  <si>
    <t>CONDICIONADOR HUBBA GUM UVA</t>
  </si>
  <si>
    <t>LNHGFN01</t>
  </si>
  <si>
    <t>LNHGFN02</t>
  </si>
  <si>
    <t>LNHGFN03</t>
  </si>
  <si>
    <t>LNHGMS01</t>
  </si>
  <si>
    <t>MÁSCARA HUBBA GUM BANANA</t>
  </si>
  <si>
    <t>MÁSCARA</t>
  </si>
  <si>
    <t>LNHGMS02</t>
  </si>
  <si>
    <t>MÁSCARA HUBBA GUM TUTTI-FRUTTI</t>
  </si>
  <si>
    <t>LNHGMS03</t>
  </si>
  <si>
    <t>MÁSCARA HUBBA GUM UVA</t>
  </si>
  <si>
    <t>LNHGSH01</t>
  </si>
  <si>
    <t>SHAMPOO HUBBA GUM BANANA</t>
  </si>
  <si>
    <t>SHAMPOO</t>
  </si>
  <si>
    <t>LNHGSH02</t>
  </si>
  <si>
    <t>SHAMPOO HUBBA GUM TUTTI-FRUTTI</t>
  </si>
  <si>
    <t>SHAMPOO HUBBA GUM UVA</t>
  </si>
  <si>
    <t>LNINBS01</t>
  </si>
  <si>
    <t>BODY SPLASH AMBAR CRUSH</t>
  </si>
  <si>
    <t>INSPIRATION</t>
  </si>
  <si>
    <t>LNINBS02</t>
  </si>
  <si>
    <t>BODY SPLASH AQUA VIBE</t>
  </si>
  <si>
    <t>LNINBS03</t>
  </si>
  <si>
    <t>BODY SPLASH INTENSE RED</t>
  </si>
  <si>
    <t>LNINBS04</t>
  </si>
  <si>
    <t>BODY SPLASH MYSTIC SPILL</t>
  </si>
  <si>
    <t>LNINBS05</t>
  </si>
  <si>
    <t>BODY SPLASH PINK SEDUCTION</t>
  </si>
  <si>
    <t>LNINBS06</t>
  </si>
  <si>
    <t>BODY SPLASH PURE VANILLA</t>
  </si>
  <si>
    <t>LNINBS07</t>
  </si>
  <si>
    <t>BODY SPLASH VELVET ROSE</t>
  </si>
  <si>
    <t>MOPFFM01</t>
  </si>
  <si>
    <t>PERFUME MASCULINO 102 VIP BLACK</t>
  </si>
  <si>
    <t>FOR MEN</t>
  </si>
  <si>
    <t>MOUTIER</t>
  </si>
  <si>
    <t>PERFUME</t>
  </si>
  <si>
    <t>MOPFFM02</t>
  </si>
  <si>
    <t>PERFUME MASCULINO 103 BOSS BOTTLED</t>
  </si>
  <si>
    <t>MOPFFM03</t>
  </si>
  <si>
    <t>PERFUME MASCULINO 104 FERRARI BLACK</t>
  </si>
  <si>
    <t>MOPFFM04</t>
  </si>
  <si>
    <t>PERFUME MASCULINO 105 SAUVAGE</t>
  </si>
  <si>
    <t>MOPFFM05</t>
  </si>
  <si>
    <t>PERFUME MASCULINO 110 ONE MILLION</t>
  </si>
  <si>
    <t>MOPFFM06</t>
  </si>
  <si>
    <t>PERFUME MASCULINO 113 AZZARO WANTED</t>
  </si>
  <si>
    <t>MOPFFM07</t>
  </si>
  <si>
    <t>PERFUME MASCULINO 115 BLEU DE CHANEL</t>
  </si>
  <si>
    <t>MOPFFM08</t>
  </si>
  <si>
    <t>PERFUME MASCULINO 117 INVICTUS</t>
  </si>
  <si>
    <t>MOPFFM09</t>
  </si>
  <si>
    <t>PERFUME MASCULINO 118 CH BAD BOY</t>
  </si>
  <si>
    <t>MOPFFM10</t>
  </si>
  <si>
    <t>PERFUME MASCULINO 119 EROS VERSACE</t>
  </si>
  <si>
    <t>MOPFFM11</t>
  </si>
  <si>
    <t>PERFUME MASCULINO 122 ANIMALE</t>
  </si>
  <si>
    <t>MOPFFM12</t>
  </si>
  <si>
    <t>PERFUME MASCULINO 135 SCANDAL POUR HOMME</t>
  </si>
  <si>
    <t>MOPFFM13</t>
  </si>
  <si>
    <t>PERFUME MASCULINO 100 SILVER SCENT</t>
  </si>
  <si>
    <t>MOPFFW01</t>
  </si>
  <si>
    <t>PERFUME FEMININO 08 DIOR J'ADORE</t>
  </si>
  <si>
    <t>FOR WOMEN</t>
  </si>
  <si>
    <t>MOPFFW02</t>
  </si>
  <si>
    <t>PERFUME FEMININO 09 SCANDAL</t>
  </si>
  <si>
    <t>MOPFFW03</t>
  </si>
  <si>
    <t>PERFUME FEMININO 10 212 SEXY</t>
  </si>
  <si>
    <t>MOPFFW04</t>
  </si>
  <si>
    <t>PERFUME FEMININO 11 OLYMPEA</t>
  </si>
  <si>
    <t>MOPFFW05</t>
  </si>
  <si>
    <t>PERFUME FEMININO 12 LADY MILLION</t>
  </si>
  <si>
    <t>MOPFFW06</t>
  </si>
  <si>
    <t>PERFUME FEMININO 16 COCO MADEMOISELLE</t>
  </si>
  <si>
    <t>MOPFFW07</t>
  </si>
  <si>
    <t>PERFUME FEMININO 18 AMOR AMOR</t>
  </si>
  <si>
    <t>MOPFFW08</t>
  </si>
  <si>
    <t>PERFUME FEMININO 31 L'INTERDIT ROUGE</t>
  </si>
  <si>
    <t>MOPFFW09</t>
  </si>
  <si>
    <t>PERFUME FEMININO 02 LA VIE EST BELLE</t>
  </si>
  <si>
    <t>MOPFFW10</t>
  </si>
  <si>
    <t>PERFUME FEMININO 03 GOOD GIRL</t>
  </si>
  <si>
    <t>MRARBS01</t>
  </si>
  <si>
    <t>BODY SPLASH AURORA IMPERIAL</t>
  </si>
  <si>
    <t>ÁRABE</t>
  </si>
  <si>
    <t>MISS RÔSE</t>
  </si>
  <si>
    <t>MRARBS02</t>
  </si>
  <si>
    <t>BODY SPLASH DEUSA DO NILO</t>
  </si>
  <si>
    <t>MRARBS03</t>
  </si>
  <si>
    <t>BODY SPLASH ECLIPSE DOURADO</t>
  </si>
  <si>
    <t>MRARBS04</t>
  </si>
  <si>
    <t>MRARBS05</t>
  </si>
  <si>
    <t>Força do Leão</t>
  </si>
  <si>
    <t>MRARES01</t>
  </si>
  <si>
    <t>ESFOLIANTE AURORA IMPERIAL</t>
  </si>
  <si>
    <t>MRARES02</t>
  </si>
  <si>
    <t>ESFOLIANTE DEUSA DO NILO</t>
  </si>
  <si>
    <t>MRARHD01</t>
  </si>
  <si>
    <t>CREME HIDRATANTE CORPORAL AURORA IMPERIAL</t>
  </si>
  <si>
    <t>MRARHD02</t>
  </si>
  <si>
    <t>CREME HIDRATANTE CORPORAL DEUSA DO NILO</t>
  </si>
  <si>
    <t>SAGLBS01</t>
  </si>
  <si>
    <t>BODY SPLASH BAUNILHA COM COCO BRONZE GLOW</t>
  </si>
  <si>
    <t>SAFIRA</t>
  </si>
  <si>
    <t>SAGLBS02</t>
  </si>
  <si>
    <t>BODY SPLASH DAMASCO COM COCO BRONZE GLOW</t>
  </si>
  <si>
    <t>SAGLBS03</t>
  </si>
  <si>
    <t>SAMTBS01</t>
  </si>
  <si>
    <t>BODY SPLASH MATTE BAUNILHA TROPICAL</t>
  </si>
  <si>
    <t>SAMTBS02</t>
  </si>
  <si>
    <t>BODY SPLASH MATTE PÊSSEGO</t>
  </si>
  <si>
    <t>SAMTBS03</t>
  </si>
  <si>
    <t>BODY SPLASH MATTE PITAYA</t>
  </si>
  <si>
    <t>SASCDM01</t>
  </si>
  <si>
    <t>SABONETE DEMAQUILANTE PITAYA</t>
  </si>
  <si>
    <t>SKIN CARE</t>
  </si>
  <si>
    <t>MAQUIAGEM</t>
  </si>
  <si>
    <t>SABONETE</t>
  </si>
  <si>
    <t>SASCDM02</t>
  </si>
  <si>
    <t>SABONETE DEMAQUILANTE VITAMINA C</t>
  </si>
  <si>
    <t>SASCES01</t>
  </si>
  <si>
    <t>ESFOLIANTE FACIAL PITAYA</t>
  </si>
  <si>
    <t>FACIAL</t>
  </si>
  <si>
    <t>SASCES02</t>
  </si>
  <si>
    <t>ESFOLIANTE FACIAL VITAMINA C</t>
  </si>
  <si>
    <t>SASCGF01</t>
  </si>
  <si>
    <t>GEL FACIAL ANTI OLEOSIDADE PITAYA</t>
  </si>
  <si>
    <t>SASCGF02</t>
  </si>
  <si>
    <t>GEL FACIAL ANTI OLEOSIDADE VITAMINA C</t>
  </si>
  <si>
    <t>KUBPBA02</t>
  </si>
  <si>
    <t>BASE PREMIUM</t>
  </si>
  <si>
    <t>KURYOS</t>
  </si>
  <si>
    <t>BASE</t>
  </si>
  <si>
    <t>Produto próprio</t>
  </si>
  <si>
    <t>BASE PARA PERFUME</t>
  </si>
  <si>
    <t>GZLBBS01</t>
  </si>
  <si>
    <t>BODY SPLASH GOTA LOVE</t>
  </si>
  <si>
    <t>LINHA BODY SPLASH</t>
  </si>
  <si>
    <t>GOTA ZEN</t>
  </si>
  <si>
    <t>GZLBBS02</t>
  </si>
  <si>
    <t>BODY SPLASH ARABYS' AMBAR</t>
  </si>
  <si>
    <t>GZLBBS03</t>
  </si>
  <si>
    <t>BODY SPLASH GOTA BELLE</t>
  </si>
  <si>
    <t>GZLBBS04</t>
  </si>
  <si>
    <t>BODY SPLASH ARABYS' FEROZ</t>
  </si>
  <si>
    <t>GZLBBS05</t>
  </si>
  <si>
    <t>BODY SPLASH GLOW CHAMPAGNE</t>
  </si>
  <si>
    <t>GZLBBS06</t>
  </si>
  <si>
    <t>PEDECR01</t>
  </si>
  <si>
    <t>DESODORANTE CREME CALM</t>
  </si>
  <si>
    <t>CREME</t>
  </si>
  <si>
    <t>PURO EU</t>
  </si>
  <si>
    <t>PEDECR02</t>
  </si>
  <si>
    <t>DESODORANTE CREME FRESH</t>
  </si>
  <si>
    <t>PEDECR03</t>
  </si>
  <si>
    <t>DESODORANTE CREME RELAX</t>
  </si>
  <si>
    <t>PEDECR04</t>
  </si>
  <si>
    <t>DESODORANTE CREME SEM PERFUME</t>
  </si>
  <si>
    <t>PEDECR05</t>
  </si>
  <si>
    <t>DESODORANTE CREME SENSITIVE</t>
  </si>
  <si>
    <t>PEDERL01</t>
  </si>
  <si>
    <t>DESODORANTE ROLLON CALM</t>
  </si>
  <si>
    <t>ROLLON</t>
  </si>
  <si>
    <t>PEDERL02</t>
  </si>
  <si>
    <t>DESODORANTE ROLLON FRESH</t>
  </si>
  <si>
    <t>PEDERL03</t>
  </si>
  <si>
    <t>DESODORANTE ROLLON RELAX</t>
  </si>
  <si>
    <t>PEDERL04</t>
  </si>
  <si>
    <t>DESODORANTE ROLLON SEM PERFUME</t>
  </si>
  <si>
    <t>PEDERL05</t>
  </si>
  <si>
    <t>DESODORANTE ROLLON SENSITIVE</t>
  </si>
  <si>
    <t>ALCOOL ETILICO HIDRATADO REFINADO</t>
  </si>
  <si>
    <t>AGUA</t>
  </si>
  <si>
    <t>REFERÊNCIA</t>
  </si>
  <si>
    <t>ETANOL</t>
  </si>
  <si>
    <t>AGUA ENCANADA - SABESP</t>
  </si>
  <si>
    <t>U.M.</t>
  </si>
  <si>
    <t>METIL CLORO ISOTIAZOLINONAS</t>
  </si>
  <si>
    <t>CAIXA DE EMBARQUE</t>
  </si>
  <si>
    <t>CAIXA BODY SPLASH ARABE</t>
  </si>
  <si>
    <t>kg</t>
  </si>
  <si>
    <t>UN</t>
  </si>
  <si>
    <t>EMBALAGEM</t>
  </si>
  <si>
    <t>GRUPO</t>
  </si>
  <si>
    <t>Grupo</t>
  </si>
  <si>
    <t>PRODUTO DE VENDA</t>
  </si>
  <si>
    <t>FULL-SERVICE</t>
  </si>
  <si>
    <t>Sub-Grupo</t>
  </si>
  <si>
    <t>SUB-GRUPO</t>
  </si>
  <si>
    <t>CLIENTE</t>
  </si>
  <si>
    <t>OBSERVAÇÕES</t>
  </si>
  <si>
    <t>Corante Violet 43</t>
  </si>
  <si>
    <t>Areia Quartzo</t>
  </si>
  <si>
    <t>Base 12</t>
  </si>
  <si>
    <t>Base 15</t>
  </si>
  <si>
    <t>Basen16</t>
  </si>
  <si>
    <t>Base 18</t>
  </si>
  <si>
    <t>Glicerina</t>
  </si>
  <si>
    <t>Hidróxido de Alúminio</t>
  </si>
  <si>
    <t>Cocoamidopropil de Betaina</t>
  </si>
  <si>
    <t>Lauril</t>
  </si>
  <si>
    <t>Perfume Silver</t>
  </si>
  <si>
    <t>Body Splash Velvet Rose</t>
  </si>
  <si>
    <t>Perfume Brooksfield</t>
  </si>
  <si>
    <t>Perfume Majestic</t>
  </si>
  <si>
    <t>Perfume Sãndalo</t>
  </si>
  <si>
    <t>Perfume Motivation</t>
  </si>
  <si>
    <t>Perfume Focus</t>
  </si>
  <si>
    <t>Perfume Vision</t>
  </si>
  <si>
    <t>Finish Hair</t>
  </si>
  <si>
    <t>Perfume Bangkok</t>
  </si>
  <si>
    <t>Perfume Delhi</t>
  </si>
  <si>
    <t>Perfume Bright</t>
  </si>
  <si>
    <t>Body Splash Pessego</t>
  </si>
  <si>
    <t>Body Splash Eclipse</t>
  </si>
  <si>
    <t>Body Splash Rose Amores</t>
  </si>
  <si>
    <t>Body Splash Bella Vida</t>
  </si>
  <si>
    <t>Perfume Osaka</t>
  </si>
  <si>
    <t>Perfume Ambition</t>
  </si>
  <si>
    <t>Mica Gold</t>
  </si>
  <si>
    <t>Extrato Glicólico</t>
  </si>
  <si>
    <t>Cera de Abelha</t>
  </si>
  <si>
    <t>D- Panthenol</t>
  </si>
  <si>
    <t>Cera de Condelila</t>
  </si>
  <si>
    <t>Parafina</t>
  </si>
  <si>
    <t>Ceresina</t>
  </si>
  <si>
    <t>Perfume New York</t>
  </si>
  <si>
    <t>Atena</t>
  </si>
  <si>
    <t>Perfume 212 Man</t>
  </si>
  <si>
    <t>Perfume Ernesto</t>
  </si>
  <si>
    <t>Body Splash Manga</t>
  </si>
  <si>
    <t>Body Splash Baunilla Coco</t>
  </si>
  <si>
    <t>Perfume Bouquet</t>
  </si>
  <si>
    <t>Perfume Good Woman</t>
  </si>
  <si>
    <t>Perfume Miami</t>
  </si>
  <si>
    <t>Perfume Exclusive Black</t>
  </si>
  <si>
    <t>Perfume Hapness</t>
  </si>
  <si>
    <t>Perfume Pour Homme</t>
  </si>
  <si>
    <t>Perfume Blue skin</t>
  </si>
  <si>
    <t>Perfume Bright Glow</t>
  </si>
  <si>
    <t>Perfume Arcangel</t>
  </si>
  <si>
    <t>Perfume NYC Woman</t>
  </si>
  <si>
    <t>Perfume Althair</t>
  </si>
  <si>
    <t>Perfume Icone</t>
  </si>
  <si>
    <t>Perfume Rider Blue</t>
  </si>
  <si>
    <t>Perfume NYC Man</t>
  </si>
  <si>
    <t>Perfume Exclusive Fem</t>
  </si>
  <si>
    <t>Perfume Adoration</t>
  </si>
  <si>
    <t>Perfume Rider green</t>
  </si>
  <si>
    <t>Loção Frenesi</t>
  </si>
  <si>
    <t>Loção Fancy Girl</t>
  </si>
  <si>
    <t>Cloreto de Sódio</t>
  </si>
  <si>
    <t>Álcool Cetoestearilico</t>
  </si>
  <si>
    <t>Peg 150</t>
  </si>
  <si>
    <t>Hidroxietilcellulose</t>
  </si>
  <si>
    <t xml:space="preserve">Mentol Cristal </t>
  </si>
  <si>
    <t>Álcool Cetoetoxilado</t>
  </si>
  <si>
    <t>Dietilftalato</t>
  </si>
  <si>
    <t>Amida 90</t>
  </si>
  <si>
    <t>Carbômero 940</t>
  </si>
  <si>
    <t>EDTA</t>
  </si>
  <si>
    <t>Ácido cítrico</t>
  </si>
  <si>
    <t>BHT</t>
  </si>
  <si>
    <t>Esfoliante de Pitaya</t>
  </si>
  <si>
    <t>Silicone 245</t>
  </si>
  <si>
    <t>Quartenário 50%</t>
  </si>
  <si>
    <t>Ácido Láctico</t>
  </si>
  <si>
    <t>MATERIA PRIMA</t>
  </si>
  <si>
    <t>MAO DE OBRA</t>
  </si>
  <si>
    <t>MATERIAL ADMINISTRATIVO</t>
  </si>
  <si>
    <t>MAQUINA E EQUIPAMENTOS</t>
  </si>
  <si>
    <t>MATERIAL DE MANUTENÇÃO</t>
  </si>
  <si>
    <t>PRODUTO SEMI-ACABADO</t>
  </si>
  <si>
    <t>TERCEIRIZACÇÃO</t>
  </si>
  <si>
    <t>GERAL</t>
  </si>
  <si>
    <t>CORANTES</t>
  </si>
  <si>
    <t>FRAGRANCIAS</t>
  </si>
  <si>
    <t>ALCOOL</t>
  </si>
  <si>
    <t>ESSÊNCIA AMBER CRUSH</t>
  </si>
  <si>
    <t>ESSÊNCIA AQUA VIBE</t>
  </si>
  <si>
    <t>ESSÊNCIA BANANA</t>
  </si>
  <si>
    <t>ESSÊNCIA INTENSE RED</t>
  </si>
  <si>
    <t>ESSÊNCIA MENTA</t>
  </si>
  <si>
    <t>ESSÊNCIA MYSTIC SPELL</t>
  </si>
  <si>
    <t>ESSÊNCIA PEACH SEDUCION</t>
  </si>
  <si>
    <t>ESSÊNCIA UVA</t>
  </si>
  <si>
    <t>ESSÊNCIA VELVET ROSE</t>
  </si>
  <si>
    <t>PROJETO GOTAZEN: ESSÊNCIA AMBAROUGE</t>
  </si>
  <si>
    <t>PROJETO GOTAZEN: ESSÊNCIA BELLA VIDA</t>
  </si>
  <si>
    <t>PROJETO GOTAZEN: ESSÊNCIA DESERT</t>
  </si>
  <si>
    <t>PROJETO GOTAZEN: ESSÊNCIA GLOWING</t>
  </si>
  <si>
    <t>PROJETO GOTAZEN: ESSÊNCIA PINK MERMAID</t>
  </si>
  <si>
    <t>PROJETO GOTAZEN: ESSÊNCIA PINK SPARKLING</t>
  </si>
  <si>
    <t>GLOW MAKE UP</t>
  </si>
  <si>
    <t>ÁGUA MICELAR 3 EM 1</t>
  </si>
  <si>
    <t>ÁGUA MICELAR ÁCIDO HIAULURÔNICO</t>
  </si>
  <si>
    <t>ÁGUA MICELAR CARVÃO ATIVADO</t>
  </si>
  <si>
    <t>ÁGUA MICELAR COLÁGENO</t>
  </si>
  <si>
    <t>ÁGUA MICELAR ROSA MOSQUETA</t>
  </si>
  <si>
    <t>ÁGUA MICELAR BABA GLOW</t>
  </si>
  <si>
    <t>GLMKAM01</t>
  </si>
  <si>
    <t>GLMKAM02</t>
  </si>
  <si>
    <t>GLMKAM03</t>
  </si>
  <si>
    <t>GLMKAM04</t>
  </si>
  <si>
    <t>GLMKAM05</t>
  </si>
  <si>
    <t>GLMKAM06</t>
  </si>
  <si>
    <t>MAKE UP</t>
  </si>
  <si>
    <t>ÁGUA MICELAR</t>
  </si>
  <si>
    <t>LNHGSH03</t>
  </si>
  <si>
    <t>FINALIZADOR HUBBA GUM BANANA</t>
  </si>
  <si>
    <t>FINALIZADOR HUBBA GUM TUTTI-FRUTTI</t>
  </si>
  <si>
    <t>FINALIZADOR HUBBA GUM UVA</t>
  </si>
  <si>
    <t>BIOFLORA</t>
  </si>
  <si>
    <t>BFBBBS01</t>
  </si>
  <si>
    <t>BFBBBS02</t>
  </si>
  <si>
    <t>BFBBBS03</t>
  </si>
  <si>
    <t>BFBBBS04</t>
  </si>
  <si>
    <t>BFBBBS05</t>
  </si>
  <si>
    <t>BFBBBS06</t>
  </si>
  <si>
    <t>BODY SPLASH BIO BALM EUPHORIA PINK</t>
  </si>
  <si>
    <t>BODY SPLASH BIO BALM INFINITY ROUGE</t>
  </si>
  <si>
    <t>BODY SPLASH BIO BALM ROSÉ ABSOLUT</t>
  </si>
  <si>
    <t>BODY SPLASH BIO BALM SKINLIGHT</t>
  </si>
  <si>
    <t>BODY SPLASH BIO BALM SUNRISE MUSE</t>
  </si>
  <si>
    <t>BODY SPLASH BIO BALM V DREAM</t>
  </si>
  <si>
    <t>B BALM</t>
  </si>
  <si>
    <t>ALKALIN</t>
  </si>
  <si>
    <t>SOLUBILIZANTE, REGULADOR DE PH</t>
  </si>
  <si>
    <t>SAMRAR01</t>
  </si>
  <si>
    <t>ECXMR01</t>
  </si>
  <si>
    <t>MPGR002</t>
  </si>
  <si>
    <t>MPCR004</t>
  </si>
  <si>
    <t>ÁCIDO, REGULADOR DE PH</t>
  </si>
  <si>
    <t>ÁCIDO</t>
  </si>
  <si>
    <t>MPGR005</t>
  </si>
  <si>
    <t>MPGR004</t>
  </si>
  <si>
    <t>MPGR003</t>
  </si>
  <si>
    <t>MPGR001</t>
  </si>
  <si>
    <t>MPGR006</t>
  </si>
  <si>
    <t>ESFOLIANTE MECÂNICO</t>
  </si>
  <si>
    <t>MPGR007</t>
  </si>
  <si>
    <t>MPGR008</t>
  </si>
  <si>
    <t>TENSOATIVO, ESPESSANTE</t>
  </si>
  <si>
    <t>REGULADOR DE VISCOSIDADE</t>
  </si>
  <si>
    <t>MPES041</t>
  </si>
  <si>
    <t>BASE SKIN</t>
  </si>
  <si>
    <t>BASE HAIR</t>
  </si>
  <si>
    <t>CONSERVANTES</t>
  </si>
  <si>
    <t>MPCN002</t>
  </si>
  <si>
    <t>ANTIOXIDANTE</t>
  </si>
  <si>
    <t>MPGR009</t>
  </si>
  <si>
    <t>MPGR010</t>
  </si>
  <si>
    <t>MPGR011</t>
  </si>
  <si>
    <t>EMOLIENTE</t>
  </si>
  <si>
    <t>MPGR012</t>
  </si>
  <si>
    <t>MPGR013</t>
  </si>
  <si>
    <t>MPGR014</t>
  </si>
  <si>
    <t>SURFACTANTE</t>
  </si>
  <si>
    <t>HIDRATANTE</t>
  </si>
  <si>
    <t>MPGR015</t>
  </si>
  <si>
    <t>MPGR016</t>
  </si>
  <si>
    <t>SOLVENTE</t>
  </si>
  <si>
    <t>MPGR017</t>
  </si>
  <si>
    <t>ESTABILIZADOR</t>
  </si>
  <si>
    <t>MPGR018</t>
  </si>
  <si>
    <t>MPGR019</t>
  </si>
  <si>
    <t>SA01</t>
  </si>
  <si>
    <t>MPGR020</t>
  </si>
  <si>
    <t>MPGR021</t>
  </si>
  <si>
    <t>PROTETOR DE PELE</t>
  </si>
  <si>
    <t>MPGR022</t>
  </si>
  <si>
    <t>TENSOATIVO</t>
  </si>
  <si>
    <t>MPGR023</t>
  </si>
  <si>
    <t>MPGR024</t>
  </si>
  <si>
    <t>AROMATIZANTE</t>
  </si>
  <si>
    <t>ADITIVO VISUAL</t>
  </si>
  <si>
    <t>MPGR025</t>
  </si>
  <si>
    <t>MPGR026</t>
  </si>
  <si>
    <t>MPGR027</t>
  </si>
  <si>
    <t>ESPESSANTE</t>
  </si>
  <si>
    <t>MPGR028</t>
  </si>
  <si>
    <t>AGENTE CONDICIONANTE</t>
  </si>
  <si>
    <t>MPGR029</t>
  </si>
  <si>
    <t>FENOXIETANOL</t>
  </si>
  <si>
    <t>SKU GINGER</t>
  </si>
  <si>
    <t>BODY SPLASH ESCAN DALOSA</t>
  </si>
  <si>
    <t>PERFUME CAPILAR</t>
  </si>
  <si>
    <t>SÉRUM</t>
  </si>
  <si>
    <t>GEL CREME HIDRATANTE</t>
  </si>
  <si>
    <t>LÍQUIDO ESPESSO</t>
  </si>
  <si>
    <t>DPHNPC01</t>
  </si>
  <si>
    <t>DPHNBS01</t>
  </si>
  <si>
    <t>DPHNBS02</t>
  </si>
  <si>
    <t>DPHNSR01</t>
  </si>
  <si>
    <t>DPSWHD02</t>
  </si>
  <si>
    <t>BODY SPLASH DAPOP HONEY BLOOM</t>
  </si>
  <si>
    <t>BODY SPLASH DAPOP HONEY GLOW</t>
  </si>
  <si>
    <t>PERFUME CAPILAR HONEY</t>
  </si>
  <si>
    <t>SÉRUM FACIAL HONEY</t>
  </si>
  <si>
    <t>GELÉIA CORPORAL GEL / CREME</t>
  </si>
  <si>
    <t>HONEY</t>
  </si>
  <si>
    <t>MPGR030</t>
  </si>
  <si>
    <t>CARBOPOL</t>
  </si>
  <si>
    <t>GELATINA CAPILAR CHEIRINHO DE MELÂNCIA</t>
  </si>
  <si>
    <t>GELATINA CAPILAR CHEIRINHO DE PISTACHE</t>
  </si>
  <si>
    <t>GELATINA CAPILAR CHEIRINHO DE TUTTI-FRUTTI</t>
  </si>
  <si>
    <t>IBCHGC01</t>
  </si>
  <si>
    <t>IBCHGC02</t>
  </si>
  <si>
    <t>IBCHGC03</t>
  </si>
  <si>
    <t>CHEIRINHO</t>
  </si>
  <si>
    <t>ISA BEAUTY</t>
  </si>
  <si>
    <t>BODY SPLASH MANGA GOLD SHINE GLOW</t>
  </si>
  <si>
    <t>Prod. p/ Hora</t>
  </si>
  <si>
    <t>Sub. do Produto</t>
  </si>
  <si>
    <t>MPGGES01</t>
  </si>
  <si>
    <t>MPGGES02</t>
  </si>
  <si>
    <t>MPGGES03</t>
  </si>
  <si>
    <t>MPGGES04</t>
  </si>
  <si>
    <t>MPGGES05</t>
  </si>
  <si>
    <t>MPGGES06</t>
  </si>
  <si>
    <t>MPGGES07</t>
  </si>
  <si>
    <t>MPGGES08</t>
  </si>
  <si>
    <t>MPGGES09</t>
  </si>
  <si>
    <t>MPGGES10</t>
  </si>
  <si>
    <t>MPGGES11</t>
  </si>
  <si>
    <t>MPGGES12</t>
  </si>
  <si>
    <t>MPGGES13</t>
  </si>
  <si>
    <t>MPGGES14</t>
  </si>
  <si>
    <t>MPGGES15</t>
  </si>
  <si>
    <t>MPGGES16</t>
  </si>
  <si>
    <t>MPGGES17</t>
  </si>
  <si>
    <t>MPGGES18</t>
  </si>
  <si>
    <t>MPGGES19</t>
  </si>
  <si>
    <t>MPGGES20</t>
  </si>
  <si>
    <t>MPGGES21</t>
  </si>
  <si>
    <t>MPGGES22</t>
  </si>
  <si>
    <t>MPGGES23</t>
  </si>
  <si>
    <t>MPGGES24</t>
  </si>
  <si>
    <t>MPGGES25</t>
  </si>
  <si>
    <t>MPGGES26</t>
  </si>
  <si>
    <t>MPGGES27</t>
  </si>
  <si>
    <t>MPGGES28</t>
  </si>
  <si>
    <t>MPGGES29</t>
  </si>
  <si>
    <t>MPGGES30</t>
  </si>
  <si>
    <t>MPGGES31</t>
  </si>
  <si>
    <t>MPGGES32</t>
  </si>
  <si>
    <t>MPGGES33</t>
  </si>
  <si>
    <t>MPGGES34</t>
  </si>
  <si>
    <t>MPOKES01</t>
  </si>
  <si>
    <t>MPOKES02</t>
  </si>
  <si>
    <t>MPOKES03</t>
  </si>
  <si>
    <t>MPOKES04</t>
  </si>
  <si>
    <t>MPOKES05</t>
  </si>
  <si>
    <t>MPOKES06</t>
  </si>
  <si>
    <t>MPCR01</t>
  </si>
  <si>
    <t>MPCR02</t>
  </si>
  <si>
    <t>MPCR03</t>
  </si>
  <si>
    <t>CORANTE EM PO VERMELHO</t>
  </si>
  <si>
    <t>CORANTE VERMELHO BORDO - CORIN</t>
  </si>
  <si>
    <t>CORANTE EM PO AMARELO</t>
  </si>
  <si>
    <t>CORANTE AMARELO TARTRAZINA - CORIN</t>
  </si>
  <si>
    <t>CORANTE EM PO AZUL</t>
  </si>
  <si>
    <t>CORANTE AZUL DE METILENO - CORIN</t>
  </si>
  <si>
    <t>ESSENCIA TAMARA E DAMASCO PLUS</t>
  </si>
  <si>
    <t>GF43850</t>
  </si>
  <si>
    <t>ESSENCIA GLOWING</t>
  </si>
  <si>
    <t>GF43848</t>
  </si>
  <si>
    <t>ESSENCIA CLEOPATRA PLUS</t>
  </si>
  <si>
    <t>GF43849</t>
  </si>
  <si>
    <t>ESSENCIA ROYALTY</t>
  </si>
  <si>
    <t>GF43847</t>
  </si>
  <si>
    <t>ESSENCIA DESERT</t>
  </si>
  <si>
    <t>GF45004</t>
  </si>
  <si>
    <t>ESSENCIA LUMUS</t>
  </si>
  <si>
    <t>GF46329</t>
  </si>
  <si>
    <t>ESSENCIA PINK SPARKLING</t>
  </si>
  <si>
    <t>GF46330</t>
  </si>
  <si>
    <t>ESSENCIA ONLY ONE</t>
  </si>
  <si>
    <t>GF46334</t>
  </si>
  <si>
    <t>ESSENCIA THE NIGHT</t>
  </si>
  <si>
    <t>GF46333</t>
  </si>
  <si>
    <t>ESSENCIA DIVINE</t>
  </si>
  <si>
    <t>GF46331</t>
  </si>
  <si>
    <t>ESSENCIA SWEET VANILLA</t>
  </si>
  <si>
    <t>GF46332</t>
  </si>
  <si>
    <t>ESSENCIA BEAST MAN</t>
  </si>
  <si>
    <t>GF45664</t>
  </si>
  <si>
    <t>ESSENCIA BELLE VIE</t>
  </si>
  <si>
    <t>GF45444</t>
  </si>
  <si>
    <t>ESSENCIA BLACK HORSE</t>
  </si>
  <si>
    <t>GF45446</t>
  </si>
  <si>
    <t>ESSENCIA BOTTLED</t>
  </si>
  <si>
    <t>GF45445</t>
  </si>
  <si>
    <t>ESSENCIA EXCLUSIVE BLACK</t>
  </si>
  <si>
    <t>GF45450</t>
  </si>
  <si>
    <t>ESSENCIA EXCLUSIVE ROSE</t>
  </si>
  <si>
    <t>GF45671</t>
  </si>
  <si>
    <t>ESSENCIA EXCLUSIVE SEXY</t>
  </si>
  <si>
    <t>GF46166</t>
  </si>
  <si>
    <t>ESSENCIA BOUQUET</t>
  </si>
  <si>
    <t>ESSENCIA GOOD WOMAN</t>
  </si>
  <si>
    <t>GF45589</t>
  </si>
  <si>
    <t>ESSENCIA BUBALOO</t>
  </si>
  <si>
    <t>GF45656</t>
  </si>
  <si>
    <t>ESSENCIA PINK MERMAID</t>
  </si>
  <si>
    <t>GF46336 - GOTA ZEN</t>
  </si>
  <si>
    <t>ESSENCIA AMBAROUGE</t>
  </si>
  <si>
    <t>GF46337 - GOTA ZEN</t>
  </si>
  <si>
    <t>ESSENCIA BELLA VIDA BIO</t>
  </si>
  <si>
    <t>GF46338 - GOTA ZEN</t>
  </si>
  <si>
    <t>GF46330 - GOTA ZEN</t>
  </si>
  <si>
    <t>GF45004 - GOTA ZEN</t>
  </si>
  <si>
    <t>GF46335 - GOTA ZEN</t>
  </si>
  <si>
    <t>ESSENCIA MORNING</t>
  </si>
  <si>
    <t>GF46369</t>
  </si>
  <si>
    <t>ESSENCIA JANUARY SUN 68</t>
  </si>
  <si>
    <t>GF46372</t>
  </si>
  <si>
    <t>ESSENCIA BELLA VIDA</t>
  </si>
  <si>
    <t>GF46338</t>
  </si>
  <si>
    <t>ESSENCIA JANUARY SUN 62</t>
  </si>
  <si>
    <t>GF46370</t>
  </si>
  <si>
    <t>ESSENCIA VELVET ROSE</t>
  </si>
  <si>
    <t>GF46371</t>
  </si>
  <si>
    <t>ESSENCIA VANILLA E PEA</t>
  </si>
  <si>
    <t>GF46373</t>
  </si>
  <si>
    <t>ESSENCIA LUMUS COLORLESS</t>
  </si>
  <si>
    <t>GF46810</t>
  </si>
  <si>
    <t>ESSENCIA MACA COM GENGIBRE</t>
  </si>
  <si>
    <t>BQT745779</t>
  </si>
  <si>
    <t>ESSENCIA NIVEA HOT CRUSH</t>
  </si>
  <si>
    <t>BQT727594</t>
  </si>
  <si>
    <t>ESSENCIA BAKLAVA DE PISTACHE</t>
  </si>
  <si>
    <t>BQT744012</t>
  </si>
  <si>
    <t>ESSENCIA DOVY PLUS</t>
  </si>
  <si>
    <t>BQT745778</t>
  </si>
  <si>
    <t>ESSENCIA FLOR DE ALGODAO</t>
  </si>
  <si>
    <t>BQT741217</t>
  </si>
  <si>
    <t>ESSENCIA TUTTI FRUTTI</t>
  </si>
  <si>
    <t>BQT728524</t>
  </si>
  <si>
    <t>KUBPBA01</t>
  </si>
  <si>
    <t>Fixador p/ perfumes</t>
  </si>
  <si>
    <t>IBARBS01</t>
  </si>
  <si>
    <t>IBARBS02</t>
  </si>
  <si>
    <t>IBARBS03</t>
  </si>
  <si>
    <t>IBARBS04</t>
  </si>
  <si>
    <t>IBARBS05</t>
  </si>
  <si>
    <t>IBARBS06</t>
  </si>
  <si>
    <t>IBARHD01</t>
  </si>
  <si>
    <t>IBARHD02</t>
  </si>
  <si>
    <t>IBARHD03</t>
  </si>
  <si>
    <t>IBARHD04</t>
  </si>
  <si>
    <t>IBARHD05</t>
  </si>
  <si>
    <t>IBARHD06</t>
  </si>
  <si>
    <t>IBCHEC01</t>
  </si>
  <si>
    <t>IBCHEC02</t>
  </si>
  <si>
    <t>IBCHEC03</t>
  </si>
  <si>
    <t>BODY SPLASH SAIND</t>
  </si>
  <si>
    <t>BODY SPLASH ALLAN</t>
  </si>
  <si>
    <t>BODY SPLASH JADE</t>
  </si>
  <si>
    <t>BODY SPLASH ÁRABE</t>
  </si>
  <si>
    <t>BODY SPLASH ABDALLAH</t>
  </si>
  <si>
    <t>LOÇÃO HIDRATANTE SAIND</t>
  </si>
  <si>
    <t>LOÇÃO HIDRATANTE ALLAN</t>
  </si>
  <si>
    <t>LOÇÃO HIDRATANTE JADE</t>
  </si>
  <si>
    <t>LOÇÃO HIDRATANTE ÁRABE</t>
  </si>
  <si>
    <t>LOÇÃO HIDRATANTE ABDALLAH</t>
  </si>
  <si>
    <t>ESCOVA DE CHUVEIRO CHEIRINHO DE MELÂNCIA</t>
  </si>
  <si>
    <t>ESCOVA DE CHUVEIRO CHEIRINHO DE TUTTI-FRUTTI</t>
  </si>
  <si>
    <t>MRARHD04</t>
  </si>
  <si>
    <t>CREME HIDRATANTE CORPORAL NÉCTAR DAS TÂMARAS</t>
  </si>
  <si>
    <t>MRARHD03</t>
  </si>
  <si>
    <t>CREME HIDRATANTE CORPORAL ECLIPSE DOURADO</t>
  </si>
  <si>
    <t>ESCOVA DE CHUVEIRO CHEIRINHO DE MORANGO</t>
  </si>
  <si>
    <t>GEL ESFOLIANTE SAIND</t>
  </si>
  <si>
    <t>GEL ESFOLIANTE ALLAN</t>
  </si>
  <si>
    <t>GEL ESFOLIANTE JADE</t>
  </si>
  <si>
    <t>GEL ESFOLIANTE ÁRABE</t>
  </si>
  <si>
    <t>GEL ESFOLIANTE ABDALLAH</t>
  </si>
  <si>
    <t>IBARGE01</t>
  </si>
  <si>
    <t>IBARGE02</t>
  </si>
  <si>
    <t>IBARGE03</t>
  </si>
  <si>
    <t>IBARGE04</t>
  </si>
  <si>
    <t>IBARGE05</t>
  </si>
  <si>
    <t>IBARGE06</t>
  </si>
  <si>
    <t>MOPFFM14</t>
  </si>
  <si>
    <t>MOPFFM15</t>
  </si>
  <si>
    <t>MOPFFM16</t>
  </si>
  <si>
    <t>MOPFFM17</t>
  </si>
  <si>
    <t>MOPFFM18</t>
  </si>
  <si>
    <t>MOPFFM19</t>
  </si>
  <si>
    <t>PERFUME MASCULINO 101 AZZARRO</t>
  </si>
  <si>
    <t>PERFUME MASCULINO 106 POLO BLUE</t>
  </si>
  <si>
    <t>PERFUME MASCULINO 112 POLO</t>
  </si>
  <si>
    <t>PERFUME MASCULINO 114 212 FOR MEN</t>
  </si>
  <si>
    <t>PERFUME MASCULINO 120 ISSEY MIYAKE</t>
  </si>
  <si>
    <t>PERFUME MASCULINO 121 212 VIP MEN</t>
  </si>
  <si>
    <t>PERFUME MASCULINO 134 MARLY ALTHAIR</t>
  </si>
  <si>
    <t>MOPFFW11</t>
  </si>
  <si>
    <t>MOPFFW12</t>
  </si>
  <si>
    <t>MOPFFW13</t>
  </si>
  <si>
    <t>MOPFFW14</t>
  </si>
  <si>
    <t>MOPFFW15</t>
  </si>
  <si>
    <t>MOPFFW16</t>
  </si>
  <si>
    <t>MOPFFW17</t>
  </si>
  <si>
    <t>MOPFFW18</t>
  </si>
  <si>
    <t>MOPFFW19</t>
  </si>
  <si>
    <t>MOPFFW20</t>
  </si>
  <si>
    <t>PERFUME FEMININO 04 IDÔLE</t>
  </si>
  <si>
    <t>PERFUME FEMININO 05 ANGEL</t>
  </si>
  <si>
    <t>PERFUME FEMININO 13 212 VIP</t>
  </si>
  <si>
    <t>PERFUME FEMININO 14 CH 212</t>
  </si>
  <si>
    <t>PERFUME FEMININO 21 SO SCANDAL</t>
  </si>
  <si>
    <t>PERFUME FEMININO 25 MISS DIOR</t>
  </si>
  <si>
    <t>PERFUME FEMININO 27 MY WAY</t>
  </si>
  <si>
    <t>PERFUME FEMININO 28 212 VIP ROSÉ</t>
  </si>
  <si>
    <t>PERFUME FEMININO 30 FANTASY</t>
  </si>
  <si>
    <t>PERFUME FEMININO 32 LIGHT BLUE</t>
  </si>
  <si>
    <t>MOPFFM20</t>
  </si>
  <si>
    <t>LOÇÃO HIDRATANTE HABIB</t>
  </si>
  <si>
    <t>BODY SPLASH HABIB</t>
  </si>
  <si>
    <t>GEL ESFOLIANTE HABIB</t>
  </si>
  <si>
    <t>CRPMCR01</t>
  </si>
  <si>
    <t>POMADA CURADERM</t>
  </si>
  <si>
    <t>POMADA</t>
  </si>
  <si>
    <t>CURADERM</t>
  </si>
  <si>
    <t>MAAKE</t>
  </si>
  <si>
    <t>ÓLEO EXPORTAÇÃO</t>
  </si>
  <si>
    <t>MAOEOL01</t>
  </si>
  <si>
    <t>MAOEOL02</t>
  </si>
  <si>
    <t>ÓLEO CORPORAL ALGODÃO</t>
  </si>
  <si>
    <t>Produto próprio*</t>
  </si>
  <si>
    <t>RETRAB01</t>
  </si>
  <si>
    <t>RETRAB02</t>
  </si>
  <si>
    <t>RETRAB03</t>
  </si>
  <si>
    <t>RETRAB04</t>
  </si>
  <si>
    <t>LUCROSS</t>
  </si>
  <si>
    <t>RETRAB05</t>
  </si>
  <si>
    <t>Qtd. Lote Padrão</t>
  </si>
  <si>
    <t>FRASCO PET GRAVADO BABA GLOW 300 ml 24410 - SOROPACK</t>
  </si>
  <si>
    <t>FRASCO PET CRISTAL 120ML 24410 - SOROPACK</t>
  </si>
  <si>
    <t>BODY SPLASH E HIDRANTES</t>
  </si>
  <si>
    <t>ÁGUA MICELAR GLOW MAKE UP</t>
  </si>
  <si>
    <t>EMFR - GLMKAM02</t>
  </si>
  <si>
    <t>EMFR - GLMKAM06</t>
  </si>
  <si>
    <t>FRASCO PET GRAVADO ROSA MOSQUETA 300 ml 24410 - SOROPACK</t>
  </si>
  <si>
    <t>EMFR - GLMKAM05</t>
  </si>
  <si>
    <t>EMFR - GLMKAM04</t>
  </si>
  <si>
    <t>FRASCO PET GRAVADO COLAGENO 300 ml 24410 - SOROPACK</t>
  </si>
  <si>
    <t>FRASCO PET GRAVADO CARVAO ATIVADO 300 ml 24410 - SOROPACK</t>
  </si>
  <si>
    <t>EMFR - GLMKAM03</t>
  </si>
  <si>
    <t>EMFR - DPBS/HD</t>
  </si>
  <si>
    <t>FRASCO PET GRAVADO ACIDO HIALURONICO 300 ml 24410 - SOROPACK</t>
  </si>
  <si>
    <t>EMFR - GLMKAM01</t>
  </si>
  <si>
    <t>FRASCO PET GRAVADO 3 EM 1 300 ml 24410 - SOROPACK</t>
  </si>
  <si>
    <t>EMSL - DPGLBS</t>
  </si>
  <si>
    <t>SLEEVE PARA BODY SPLASH</t>
  </si>
  <si>
    <t>BODY SPLASH DAPOP</t>
  </si>
  <si>
    <t>EMET -  ET01</t>
  </si>
  <si>
    <t>ETIQUETA 90x55</t>
  </si>
  <si>
    <t>ETIQUETA PARA CAIXAS</t>
  </si>
  <si>
    <t>ROTULO BODY SPLASH BIO BALM V DREAM</t>
  </si>
  <si>
    <t>ROTULO BODY SPLASH B BALM BIOFLORA</t>
  </si>
  <si>
    <t>EMRT - BFBBBS05</t>
  </si>
  <si>
    <t>ROTULO BODY SPLASH BIO BALM SUNRISE MUSE</t>
  </si>
  <si>
    <t>EMRT - BFBBBS04</t>
  </si>
  <si>
    <t>ROTULO BODY SPLASH BIO BALM SKINLIGHT</t>
  </si>
  <si>
    <t>EMRT - BFBBBS03</t>
  </si>
  <si>
    <t>ROTULO BODY SPLASH BIO BALM ROSE ABSOLUT</t>
  </si>
  <si>
    <t>EMRT - BFBBBS02</t>
  </si>
  <si>
    <t>ROTULO BODY SPLASH BIO BALM INFINITY ROUGE</t>
  </si>
  <si>
    <t>EMRT - BFBBBS01</t>
  </si>
  <si>
    <t>ROTULO BODY SPLASH BIO BALM EUPHORIA PINK</t>
  </si>
  <si>
    <t>EMRT - MRARBS05</t>
  </si>
  <si>
    <t>ROTULO BODY SPLASH ASAD</t>
  </si>
  <si>
    <t>ROTULO BODY SPLASH ARABE MISS ROSE</t>
  </si>
  <si>
    <t>EMRT - MRARBS04</t>
  </si>
  <si>
    <t>ROTULO BODY SPLASH NECTAR DAS TAMARAS</t>
  </si>
  <si>
    <t>EMRT - MRARBS03</t>
  </si>
  <si>
    <t>ROTULO BODY SPLASH ECLIPSE DOURADO</t>
  </si>
  <si>
    <t>EMRT - MRARBS02</t>
  </si>
  <si>
    <t>ROTULO BODY SPLASH DEUSA DO NILO</t>
  </si>
  <si>
    <t>EMFR - FR</t>
  </si>
  <si>
    <t>FRASCO LONGO PET CRISTAL 120 ML 24410 - SOROPACK</t>
  </si>
  <si>
    <t>EMVL - VLBS01</t>
  </si>
  <si>
    <t>VALVULA SPRAY LUXO - LEADPACK</t>
  </si>
  <si>
    <t>EMTP - GLMKAM02</t>
  </si>
  <si>
    <t>TAMPA FLIP TOP 24 ROSCA AZUL</t>
  </si>
  <si>
    <t>AGUA MICELAR - GLOW MAKE UP</t>
  </si>
  <si>
    <t>EMTP - GLMKAM01</t>
  </si>
  <si>
    <t>TAMPA FLIP TOP 24 ROSCA AMARELO 11878</t>
  </si>
  <si>
    <t>TAMPA AGUA MICELAR GLOW MAKE UP</t>
  </si>
  <si>
    <t>EMSL - MRARBS</t>
  </si>
  <si>
    <t>BODY SPLASH MISS ROSE</t>
  </si>
  <si>
    <t>BODY SPLASH ARABE AURORA IMPERIAL MISS ROSE</t>
  </si>
  <si>
    <t>ROTULO BODY SPLASH AURORA IMPERIAL</t>
  </si>
  <si>
    <t>EMRT - MRARBS01</t>
  </si>
  <si>
    <t>EMCX - MRARBS</t>
  </si>
  <si>
    <t>EMVL - KUBS</t>
  </si>
  <si>
    <t>VALVULA SPRAY 24410 - LION</t>
  </si>
  <si>
    <t>EMFR - KUBPBA02</t>
  </si>
  <si>
    <t>FRASCO PET 1L GRAVADO - BASE PARA PERFUME</t>
  </si>
  <si>
    <t>Código</t>
  </si>
  <si>
    <t>Descrição</t>
  </si>
  <si>
    <t xml:space="preserve"> FRASCO</t>
  </si>
  <si>
    <t xml:space="preserve"> EMBALAGEM</t>
  </si>
  <si>
    <t xml:space="preserve"> ROTULO</t>
  </si>
  <si>
    <t xml:space="preserve"> TAMPA</t>
  </si>
  <si>
    <t xml:space="preserve"> SOBRETAMPA</t>
  </si>
  <si>
    <t xml:space="preserve"> CARTUCHO</t>
  </si>
  <si>
    <t xml:space="preserve"> CELOFANE</t>
  </si>
  <si>
    <t xml:space="preserve"> SLEEVE</t>
  </si>
  <si>
    <t xml:space="preserve"> VALVULA</t>
  </si>
  <si>
    <t xml:space="preserve"> CAIXA DE EMBARQUE</t>
  </si>
  <si>
    <t xml:space="preserve"> ETIQUETA</t>
  </si>
  <si>
    <t>Óleo Mineral</t>
  </si>
  <si>
    <t>MPGR031</t>
  </si>
  <si>
    <t>EMRT - BFBBBS06</t>
  </si>
  <si>
    <t>SPRAY CAPILAR DAPOP</t>
  </si>
  <si>
    <t>VALVULA SPRAY - LION PERFUME CAPILAR</t>
  </si>
  <si>
    <t>EMVL - DPHNPC01</t>
  </si>
  <si>
    <t>VALVULA SPRAY - LION BODY SPLASH</t>
  </si>
  <si>
    <t>BODY SPLASH HONEY DAPOP</t>
  </si>
  <si>
    <t>EMVL - DPHNBS01</t>
  </si>
  <si>
    <t>IBARGB01</t>
  </si>
  <si>
    <t>IBARGB02</t>
  </si>
  <si>
    <t>IBARGB03</t>
  </si>
  <si>
    <t>IBARGB04</t>
  </si>
  <si>
    <t>IBARGB05</t>
  </si>
  <si>
    <t>IBARGB06</t>
  </si>
  <si>
    <t>GELEIA DE BANHO SAIND</t>
  </si>
  <si>
    <t>GELEIA DE BANHO ALLAN</t>
  </si>
  <si>
    <t>GELEIA DE BANHO JADE</t>
  </si>
  <si>
    <t>GELEIA DE BANHO ÁRABE</t>
  </si>
  <si>
    <t>GELEIA DE BANHO HABIB</t>
  </si>
  <si>
    <t>GELEIA DE BANHO ABDALLAH</t>
  </si>
  <si>
    <t>MP 1</t>
  </si>
  <si>
    <t>MP 2</t>
  </si>
  <si>
    <t>MP 3</t>
  </si>
  <si>
    <t>MP 4</t>
  </si>
  <si>
    <t>MP 5</t>
  </si>
  <si>
    <t>MP 6</t>
  </si>
  <si>
    <t>MP 7</t>
  </si>
  <si>
    <t>MP 8</t>
  </si>
  <si>
    <t>MP 9</t>
  </si>
  <si>
    <t>MP 10</t>
  </si>
  <si>
    <t>MP 11</t>
  </si>
  <si>
    <t>MP 12</t>
  </si>
  <si>
    <t>MP 13</t>
  </si>
  <si>
    <t>MP 14</t>
  </si>
  <si>
    <t>MP 15</t>
  </si>
  <si>
    <t>ESSENCIA</t>
  </si>
  <si>
    <t>DIETILFTALATO</t>
  </si>
  <si>
    <t>CONSERVANTE</t>
  </si>
  <si>
    <t>MP-ALC-001</t>
  </si>
  <si>
    <t>MP-BASE-IPQ-001</t>
  </si>
  <si>
    <t>MP-BASE-IPQ-002</t>
  </si>
  <si>
    <t>MP-BASE-IPQ-003</t>
  </si>
  <si>
    <t>MP-BASE-IPQ-004</t>
  </si>
  <si>
    <t>MP-CONS-001</t>
  </si>
  <si>
    <t>Un. / Cx</t>
  </si>
  <si>
    <t>BODY MIST BAUNILHA SELVAGEM</t>
  </si>
  <si>
    <t>BODY MIST VERDE SUPREMO</t>
  </si>
  <si>
    <t>BODY MIST SONHO DE PISTACHE</t>
  </si>
  <si>
    <t>BODY MIST DOCE ROSA</t>
  </si>
  <si>
    <t>BODY MIST FRESCOR LICHIA</t>
  </si>
  <si>
    <t>BODY MIST TESOURO DO OASIS</t>
  </si>
  <si>
    <t>BODY MIST JARDINS DO ORIENTE</t>
  </si>
  <si>
    <t>BODY MIST FLOR DO DESERTO</t>
  </si>
  <si>
    <t>BODY MIST NECTAR DA PERA</t>
  </si>
  <si>
    <t>BODY MIST BOUQUET CARMIM</t>
  </si>
  <si>
    <t>BODY MIST PEROLA DO DESERTO</t>
  </si>
  <si>
    <t>BODY MIST ROSA IMPERIAL</t>
  </si>
  <si>
    <t>BODY MIST ENCANTO PERSA</t>
  </si>
  <si>
    <t>BODY MIST MEL DE ESPECIARIAS</t>
  </si>
  <si>
    <t>BODY MIST RARO ELIXIR</t>
  </si>
  <si>
    <t>BODY MIST SUBLIME CEREJA</t>
  </si>
  <si>
    <t>BODY CREAM BAUNILHA SELVAGEM</t>
  </si>
  <si>
    <t>BODY CREAM VERDE SUPREMO</t>
  </si>
  <si>
    <t>BODY CREAM SONHO DE PISTACHE</t>
  </si>
  <si>
    <t>BODY CREAM DOCE ROSA</t>
  </si>
  <si>
    <t>BODY CREAM FRESCOR LICHIA</t>
  </si>
  <si>
    <t>BODY CREAM TESOURO DO OASIS</t>
  </si>
  <si>
    <t>BODY CREAM JARDINS DO ORIENTE</t>
  </si>
  <si>
    <t>BODY CREAM FLOR DO DESERTO</t>
  </si>
  <si>
    <t>BODY CREAM NECTAR DA PERA</t>
  </si>
  <si>
    <t>BODY CREAM BOUQUET CARMIM</t>
  </si>
  <si>
    <t>BODY CREAM PEROLA DO DESERTO</t>
  </si>
  <si>
    <t>BODY CREAM ROSA IMPERIAL</t>
  </si>
  <si>
    <t>BODY CREAM ENCANTO PERSA</t>
  </si>
  <si>
    <t>BODY CREAM MEL DE ESPECIARIAS</t>
  </si>
  <si>
    <t>BODY CREAM RARO ELIXIR</t>
  </si>
  <si>
    <t>BODY CREAM SUBLIME CEREJA</t>
  </si>
  <si>
    <t>AMEERATI</t>
  </si>
  <si>
    <t>RETRAB06</t>
  </si>
  <si>
    <t>RE.BODY SPLASH DAPOP HONEY GLOW</t>
  </si>
  <si>
    <t>RE.BODY SPLASH B.BALM</t>
  </si>
  <si>
    <t>BRIA BEAUTY</t>
  </si>
  <si>
    <t>COD. CLIENTE</t>
  </si>
  <si>
    <t>BB0088</t>
  </si>
  <si>
    <t>BB0089</t>
  </si>
  <si>
    <t>BB0090</t>
  </si>
  <si>
    <t>BB0084</t>
  </si>
  <si>
    <t>BB0085</t>
  </si>
  <si>
    <t>BB0086</t>
  </si>
  <si>
    <t>BB0080</t>
  </si>
  <si>
    <t>BB0081</t>
  </si>
  <si>
    <t>BB0082</t>
  </si>
  <si>
    <t>SOL DE JANEIRO</t>
  </si>
  <si>
    <t>BBSJBS01</t>
  </si>
  <si>
    <t>BBSJBS02</t>
  </si>
  <si>
    <t>BBSJBS03</t>
  </si>
  <si>
    <t>PERFUME CAPILAR SOL TROPICAL 61</t>
  </si>
  <si>
    <t>PERFUME CAPILAR SOL TROPICAL 86</t>
  </si>
  <si>
    <t>PERFUME CAPILAR LUNAR</t>
  </si>
  <si>
    <t>BBSJBS01-2</t>
  </si>
  <si>
    <t>BBSJBS02-2</t>
  </si>
  <si>
    <t>BBSJBS03-2</t>
  </si>
  <si>
    <t>BBSJPF01</t>
  </si>
  <si>
    <t>BB0083</t>
  </si>
  <si>
    <t>BB0087</t>
  </si>
  <si>
    <t>BBSJBS04-2</t>
  </si>
  <si>
    <t>BBSJBS05-2</t>
  </si>
  <si>
    <t>ERP
 Form.</t>
  </si>
  <si>
    <t>ERP
 Unit.</t>
  </si>
  <si>
    <t>ERP
 Cx.</t>
  </si>
  <si>
    <t>Eng.
 Form.</t>
  </si>
  <si>
    <t>Eng.
 Unit.</t>
  </si>
  <si>
    <t>BODY SPLASH SOL TROPICAL 61 200ml</t>
  </si>
  <si>
    <t>BODY SPLASH SOL TROPICAL 61 120ml</t>
  </si>
  <si>
    <t>BODY SPLASH SOL TROPICAL 86 200ml</t>
  </si>
  <si>
    <t>BODY SPLASH SOL TROPICAL 86 120ml</t>
  </si>
  <si>
    <t>BODY SPLASH LUNAR 200ml</t>
  </si>
  <si>
    <t>BODY SPLASH LUNAR 120ml</t>
  </si>
  <si>
    <t>BODY SPLASH SOL TROPICAL 58 120ml</t>
  </si>
  <si>
    <t>BODY SPLASH ZAHRA 120ml</t>
  </si>
  <si>
    <t>BBSJPF02</t>
  </si>
  <si>
    <t>BBSJPF03</t>
  </si>
  <si>
    <t>MR125</t>
  </si>
  <si>
    <t>MR103/D</t>
  </si>
  <si>
    <t>MR103/C</t>
  </si>
  <si>
    <t>MR103/B</t>
  </si>
  <si>
    <t>Ativo / Inativo</t>
  </si>
  <si>
    <t>Inativo</t>
  </si>
  <si>
    <t>Ativo</t>
  </si>
  <si>
    <t>MR104/D</t>
  </si>
  <si>
    <t>MR104/B</t>
  </si>
  <si>
    <t>MR104/C</t>
  </si>
  <si>
    <t>NICHE</t>
  </si>
  <si>
    <t>AMNCBS01</t>
  </si>
  <si>
    <t>CLASSIC</t>
  </si>
  <si>
    <t>BODY CREAM CHARME FATAL</t>
  </si>
  <si>
    <t>BODY CREAM DOCE BRISA</t>
  </si>
  <si>
    <t>BODY CREAM FLOR DE CRISTAL</t>
  </si>
  <si>
    <t>BODY CREAM ESTRELA RADIANTE</t>
  </si>
  <si>
    <t>AMNCBS02</t>
  </si>
  <si>
    <t>AMNCBS03</t>
  </si>
  <si>
    <t>AMNCBS04</t>
  </si>
  <si>
    <t>AMNCBS05</t>
  </si>
  <si>
    <t>AMNCBS06</t>
  </si>
  <si>
    <t>AMABBS06</t>
  </si>
  <si>
    <t>AMABBS07</t>
  </si>
  <si>
    <t>AMABBS08</t>
  </si>
  <si>
    <t>AMNCHD02</t>
  </si>
  <si>
    <t>AMCLBS01</t>
  </si>
  <si>
    <t>AMCLBS02</t>
  </si>
  <si>
    <t>AMCLBS03</t>
  </si>
  <si>
    <t>AMCLBS04</t>
  </si>
  <si>
    <t>AMCLBS05</t>
  </si>
  <si>
    <t>AMCLBS06</t>
  </si>
  <si>
    <t>AMCLBS07</t>
  </si>
  <si>
    <t>AMABHD01</t>
  </si>
  <si>
    <t>BODY MIST BELISSIMA ESSENZA</t>
  </si>
  <si>
    <t>BODY MIST CHARME FATAL</t>
  </si>
  <si>
    <t>BODY MIST DOCE BRISA</t>
  </si>
  <si>
    <t>BODY MIST FLOR DE CRISTAL</t>
  </si>
  <si>
    <t>BODY MIST ESTRELA RADIANTE</t>
  </si>
  <si>
    <t>AMCLHD08</t>
  </si>
  <si>
    <t>AMCLHD07</t>
  </si>
  <si>
    <t>AMCLHD06</t>
  </si>
  <si>
    <t>AMCLHD05</t>
  </si>
  <si>
    <t>AMCLHD04</t>
  </si>
  <si>
    <t>AMCLHD03</t>
  </si>
  <si>
    <t>AMCLHD02</t>
  </si>
  <si>
    <t>AMCLHD01</t>
  </si>
  <si>
    <t>AMNCHD08</t>
  </si>
  <si>
    <t>AMABHD08</t>
  </si>
  <si>
    <t>AMNCHD01</t>
  </si>
  <si>
    <t>AMABHD02</t>
  </si>
  <si>
    <t>AMABHD03</t>
  </si>
  <si>
    <t>AMNCHD06</t>
  </si>
  <si>
    <t>AMNCHD07</t>
  </si>
  <si>
    <t>AMABHD04</t>
  </si>
  <si>
    <t>AMABHD05</t>
  </si>
  <si>
    <t>AMABHD07</t>
  </si>
  <si>
    <t>AMABHD06</t>
  </si>
  <si>
    <t>AMNCHD05</t>
  </si>
  <si>
    <t>AMNCHD04</t>
  </si>
  <si>
    <t>AMNCHD03</t>
  </si>
  <si>
    <t>AMNCBS08</t>
  </si>
  <si>
    <t>AMABBS04</t>
  </si>
  <si>
    <t>AMNCBS07</t>
  </si>
  <si>
    <t>AMABBS02</t>
  </si>
  <si>
    <t>AMABBS01</t>
  </si>
  <si>
    <t>AMABBS05</t>
  </si>
  <si>
    <t>AMABBS03</t>
  </si>
  <si>
    <t>PARFUM</t>
  </si>
  <si>
    <t>PERFUME DALINA</t>
  </si>
  <si>
    <t>PERFUME SELVER INTENSE</t>
  </si>
  <si>
    <t>PERFUME IRON</t>
  </si>
  <si>
    <t>PERFUME VALENTE</t>
  </si>
  <si>
    <t>RE.ESFOLIANTE ARABE ECLIPSE E AURORA</t>
  </si>
  <si>
    <t>RE.SHAMPOO PASSO 1</t>
  </si>
  <si>
    <t>RE.PROGRESSIVA PASSO 2</t>
  </si>
  <si>
    <t>RE.PERFUMES 15ML - TROCA DE CAIXINHA E INKJET</t>
  </si>
  <si>
    <t>ÁGUA MICELAR HONEY</t>
  </si>
  <si>
    <t>GLMKAM07</t>
  </si>
  <si>
    <t>AMCLBS08</t>
  </si>
  <si>
    <t>DP2363</t>
  </si>
  <si>
    <t>DP2364</t>
  </si>
  <si>
    <t>DP2365</t>
  </si>
  <si>
    <t>DP2366</t>
  </si>
  <si>
    <t>DP2367</t>
  </si>
  <si>
    <t>DP2368</t>
  </si>
  <si>
    <t>DP2369</t>
  </si>
  <si>
    <t>DP2370</t>
  </si>
  <si>
    <t>DP2372</t>
  </si>
  <si>
    <t>DP2373</t>
  </si>
  <si>
    <t>DP2374</t>
  </si>
  <si>
    <t>DP2375</t>
  </si>
  <si>
    <t>DP2376</t>
  </si>
  <si>
    <t>DP2377</t>
  </si>
  <si>
    <t>DP2378</t>
  </si>
  <si>
    <t>DP2380</t>
  </si>
  <si>
    <t>DP2408</t>
  </si>
  <si>
    <t>DP2379</t>
  </si>
  <si>
    <t>DP2371</t>
  </si>
  <si>
    <t>DYNASTY</t>
  </si>
  <si>
    <t>DYPFPF01</t>
  </si>
  <si>
    <t>DYPFPF02</t>
  </si>
  <si>
    <t>DYPFPF03</t>
  </si>
  <si>
    <t>DYPFPF04</t>
  </si>
  <si>
    <t>KUBPBA01 - 2</t>
  </si>
  <si>
    <t>BASE PARA PERFUME FINA BASE 500ml</t>
  </si>
  <si>
    <t>BASE PARA PERFUME FINA BASE PREMIUM 1l</t>
  </si>
  <si>
    <t>BASE PARA PERFUME FINA BASE 1l</t>
  </si>
  <si>
    <t>FILATO BENE</t>
  </si>
  <si>
    <t>NATO</t>
  </si>
  <si>
    <t>MS Anvisa</t>
  </si>
  <si>
    <t>BODY MIST MISTERIO INFINITO</t>
  </si>
  <si>
    <t>BODY MIST NEVOA ENCANTADA</t>
  </si>
  <si>
    <t>BODY CREAM NEVOA ENCANTADA</t>
  </si>
  <si>
    <t>BODY CREAM BELISSIMA ESSENZA</t>
  </si>
  <si>
    <t>BODY CREAM MISTERIO INFINITO</t>
  </si>
  <si>
    <t>BODY CREAM  INTENSA PAIXAO</t>
  </si>
  <si>
    <t>BODY MIST INTENSA PAIXAO</t>
  </si>
  <si>
    <t>MRARBS06</t>
  </si>
  <si>
    <t>MRARBS07</t>
  </si>
  <si>
    <t>MRARBS08</t>
  </si>
  <si>
    <t>MRARBS09</t>
  </si>
  <si>
    <t>MRARBS10</t>
  </si>
  <si>
    <t>MRARBS11</t>
  </si>
  <si>
    <t>MRARBS12</t>
  </si>
  <si>
    <t>MR157/A</t>
  </si>
  <si>
    <t>MR157/B</t>
  </si>
  <si>
    <t>MR157/C</t>
  </si>
  <si>
    <t>MR157/D</t>
  </si>
  <si>
    <t>MR157/E</t>
  </si>
  <si>
    <t>MR157/F</t>
  </si>
  <si>
    <t>MR157/G</t>
  </si>
  <si>
    <t>BODY SPLASH CEU INFINITO 200ml</t>
  </si>
  <si>
    <t>BODY SPLASH CEU CELESTE 200ml</t>
  </si>
  <si>
    <t>BODY SPLASH DESPERTAR DAS FLORES 200ml</t>
  </si>
  <si>
    <t>BODY SPLASH AMBAR REAL 200ml</t>
  </si>
  <si>
    <t>BODY SPLASH ROSA RAINHA 200ml</t>
  </si>
  <si>
    <t>BODY SPLASH FLOR D AURA 200ml</t>
  </si>
  <si>
    <t>MR104/A</t>
  </si>
  <si>
    <t>ARABE</t>
  </si>
  <si>
    <t>HBHD0001</t>
  </si>
  <si>
    <t>HBHD0002</t>
  </si>
  <si>
    <t>HBHD0003</t>
  </si>
  <si>
    <t>HBHD0004</t>
  </si>
  <si>
    <t>HBHD0005</t>
  </si>
  <si>
    <t>HBHD0006</t>
  </si>
  <si>
    <t>HBHD0007</t>
  </si>
  <si>
    <t>HBHD0008</t>
  </si>
  <si>
    <t>HIDRATANTE BISNAGA CELESTIA 200g</t>
  </si>
  <si>
    <t>HIDRATANTE BISNAGA IMPERIUM 200g</t>
  </si>
  <si>
    <t>HIDRATANTE BISNAGA ROSA SUBLIME 200g</t>
  </si>
  <si>
    <t>HIDRATANTE BISNAGA ROSE AURORA 200g</t>
  </si>
  <si>
    <t>HIDRATANTE BISNAGA LUX AMBER 200g</t>
  </si>
  <si>
    <t>HIDRATANTE BISNAGA ANGELUS 200g</t>
  </si>
  <si>
    <t>HIDRATANTE BISNAGA IMPERIUM BOURBON 200g</t>
  </si>
  <si>
    <t>HIDRATANTE BISNAGA DELICADA 200g</t>
  </si>
  <si>
    <t>HP007/A</t>
  </si>
  <si>
    <t>HP007/B</t>
  </si>
  <si>
    <t>HP007/C</t>
  </si>
  <si>
    <t>HP007/D</t>
  </si>
  <si>
    <t>HP007/E</t>
  </si>
  <si>
    <t>HP007/F</t>
  </si>
  <si>
    <t>HP007/G</t>
  </si>
  <si>
    <t>HP007/H</t>
  </si>
  <si>
    <t>KUBPBA02 - 2</t>
  </si>
  <si>
    <t>BASE PARA PERFUME FINA BASE PREMIUM 500ml</t>
  </si>
  <si>
    <t>HBPC0001</t>
  </si>
  <si>
    <t>HP004/A</t>
  </si>
  <si>
    <t>WKBS0001</t>
  </si>
  <si>
    <t>WKBS0002</t>
  </si>
  <si>
    <t>WKBS0003</t>
  </si>
  <si>
    <t>WKBS0004</t>
  </si>
  <si>
    <t>WKBS0005</t>
  </si>
  <si>
    <t>WKBS0006</t>
  </si>
  <si>
    <t>WIKE MAKE</t>
  </si>
  <si>
    <t>WM0060/A</t>
  </si>
  <si>
    <t>WM0060/B</t>
  </si>
  <si>
    <t>WM0060/C</t>
  </si>
  <si>
    <t>WM0059/A</t>
  </si>
  <si>
    <t>WM0059/B</t>
  </si>
  <si>
    <t>WM0059/C</t>
  </si>
  <si>
    <t>MR103/A</t>
  </si>
  <si>
    <t>Cod. Barras DUM-14</t>
  </si>
  <si>
    <t>Cod. Barras EAN-13</t>
  </si>
  <si>
    <t>BODY SPLASH FORÇA DO LEAO</t>
  </si>
  <si>
    <t>BODY SPLASH NÉCTAR DAS TAMARAS</t>
  </si>
  <si>
    <t>BODY SPLASH LEAO DO DESERTO BOURBON 200ml</t>
  </si>
  <si>
    <t>ESFOLIANTE GLOW PAIXÃO IRRESISTIVEL</t>
  </si>
  <si>
    <t>MRBR0001</t>
  </si>
  <si>
    <t>MRFX0001</t>
  </si>
  <si>
    <t xml:space="preserve"> 8002-700M</t>
  </si>
  <si>
    <t xml:space="preserve"> BRUMA MATTE FIX 120ml</t>
  </si>
  <si>
    <t>FIXADOR FIX MATTE 120ml</t>
  </si>
  <si>
    <t>FIXADOR</t>
  </si>
  <si>
    <t xml:space="preserve"> MR004</t>
  </si>
  <si>
    <t>WKBM0001</t>
  </si>
  <si>
    <t>BBPF0004</t>
  </si>
  <si>
    <t>PERFUME CAPILAR ZAHRA</t>
  </si>
  <si>
    <t>BB0130</t>
  </si>
  <si>
    <t>BRUMA MATTE #ENTREGOUTUDOO 120ml</t>
  </si>
  <si>
    <t xml:space="preserve"> WM0038</t>
  </si>
  <si>
    <t>BODY SPLASH LINDA VIDA 120ml</t>
  </si>
  <si>
    <t>BODY SPLASH JARDIM DO ORIENTE 120ml</t>
  </si>
  <si>
    <t>BODY SPLASH NOITE DE AMBAR 120ml</t>
  </si>
  <si>
    <t>BODY SPLASH CLAIRE 120ml</t>
  </si>
  <si>
    <t>BODY SPLASH IDOLA 120ml</t>
  </si>
  <si>
    <t>BODY SPLASH DESERTO DOURADO 120ml</t>
  </si>
  <si>
    <t>FBPF0001</t>
  </si>
  <si>
    <t>FBPF0002</t>
  </si>
  <si>
    <t>PERFUME OSTINATO 100ML</t>
  </si>
  <si>
    <t>ASPECTO</t>
  </si>
  <si>
    <t>COR</t>
  </si>
  <si>
    <t>ODOR</t>
  </si>
  <si>
    <t>DENSIDADE</t>
  </si>
  <si>
    <t>pH</t>
  </si>
  <si>
    <t>TEOR DE ALCOOL</t>
  </si>
  <si>
    <t>VISCOSIDADE</t>
  </si>
  <si>
    <t>FAIXA DE PESO</t>
  </si>
  <si>
    <t>Prod. Viscosidade</t>
  </si>
  <si>
    <t>IMEDIATT LISS PASSO 1</t>
  </si>
  <si>
    <t>IMEDIATT LISS PASSO 2</t>
  </si>
  <si>
    <t>CMBS0001</t>
  </si>
  <si>
    <t>CMOC0001</t>
  </si>
  <si>
    <t>CMGL0001</t>
  </si>
  <si>
    <t>BODY SPLASH CAMIE BEAUTY 120mL</t>
  </si>
  <si>
    <t>GLOSS LABIAL CAMIE BEAUTY 4mL</t>
  </si>
  <si>
    <t>OLEO CAPILAR CAMIE BEAUTY 60mL</t>
  </si>
  <si>
    <t>CAMIE BEAUTY</t>
  </si>
  <si>
    <t>OLEO CAPILAR</t>
  </si>
  <si>
    <t>LABIAL</t>
  </si>
  <si>
    <t>LP</t>
  </si>
  <si>
    <t>HABIBI PERFUMES</t>
  </si>
  <si>
    <t>PERFUME RAFINATTO 100ML</t>
  </si>
  <si>
    <t>PERFUME CAPILAR CELESTIA 57ml</t>
  </si>
  <si>
    <t>FBBS0001</t>
  </si>
  <si>
    <t>BODY SPLASH DOCE DE LEITE 120ML</t>
  </si>
  <si>
    <t>BODY SPLASH AMBER BLOOM 200ML</t>
  </si>
  <si>
    <t>BODY SPLASH OUD NIGHT 200ML</t>
  </si>
  <si>
    <t>BODY SPLASH ROSE MIRAGE 200ML</t>
  </si>
  <si>
    <t>BODY SPLASH ROUGE OUT 200ML</t>
  </si>
  <si>
    <t>HIDRATANTE DOCE DE LEITE 120ML</t>
  </si>
  <si>
    <t>OLEO CORPORAL DOCE DE LEITE 120ML</t>
  </si>
  <si>
    <t>MOUSSE FACIAL DOCE DE LEITE 150ML</t>
  </si>
  <si>
    <t>FBBS0002</t>
  </si>
  <si>
    <t>FBBS0003</t>
  </si>
  <si>
    <t>FBBS0004</t>
  </si>
  <si>
    <t>FBBS0005</t>
  </si>
  <si>
    <t>FBBS0006</t>
  </si>
  <si>
    <t>FBOC0001</t>
  </si>
  <si>
    <t>FBOC0002</t>
  </si>
  <si>
    <t>FBHD0001</t>
  </si>
  <si>
    <t>FBHD0002</t>
  </si>
  <si>
    <t>FBMF0001</t>
  </si>
  <si>
    <t>FBMF0002</t>
  </si>
  <si>
    <t>FEBELLA BEAUTY</t>
  </si>
  <si>
    <t>OLEO CORPORAL</t>
  </si>
  <si>
    <t>MOUSSE</t>
  </si>
  <si>
    <t>RE.BODY SPLASH LEAO DO DESERTO BOURBON 200ml</t>
  </si>
  <si>
    <t>RETRAB07</t>
  </si>
  <si>
    <t>PERFUME NUIT ROYALE INTENSE MAN 30ML</t>
  </si>
  <si>
    <t>PERFUME FAKHAR BLACK 30ML</t>
  </si>
  <si>
    <t>PERFUME ASAD AFEER 30ML</t>
  </si>
  <si>
    <t>PERFUME ASAD ELIXIR 30ML</t>
  </si>
  <si>
    <t>PERFUME BAD ANGEL 30ML</t>
  </si>
  <si>
    <t>PERFUME BLEU AFEER 30ML</t>
  </si>
  <si>
    <t>PERFUME SHARIS 30ML</t>
  </si>
  <si>
    <t>PERFUME ALTAR AL WESAL 30ML</t>
  </si>
  <si>
    <t>PERFUME YARA MOI 30ML</t>
  </si>
  <si>
    <t>PERFUME ANGEL 30ML</t>
  </si>
  <si>
    <t>PERFUME NIGHT BLUE 30ML</t>
  </si>
  <si>
    <t>PERFUME ZAFIYR 30ML</t>
  </si>
  <si>
    <t>PERFUME DELILAH 30ML</t>
  </si>
  <si>
    <t>PERFUME YARA 30ML</t>
  </si>
  <si>
    <t>PERFUME YARA ELIXIR 30ML</t>
  </si>
  <si>
    <t>PERFUME SABAH SUGAR 30ML</t>
  </si>
  <si>
    <t>PERFUME SABAH AL WARD 30ML</t>
  </si>
  <si>
    <t>PERFUME MISSDANCE 16 30ML</t>
  </si>
  <si>
    <t>PERFUME IZAAH 30ML</t>
  </si>
  <si>
    <t>PERFUME NUIT ROYALE WOMAN 30ML</t>
  </si>
  <si>
    <t>PERFUME AL NOBLE 30ML</t>
  </si>
  <si>
    <t>PERFUME ASAD BOURBON 30ML</t>
  </si>
  <si>
    <t>PERFUME ROYAL AMBER 30ML</t>
  </si>
  <si>
    <t>PERFUME MUSAMAM 30ML</t>
  </si>
  <si>
    <t>PERFUME ZANZIBAR 30ML</t>
  </si>
  <si>
    <t>PERFUME SIDORE 30ML</t>
  </si>
  <si>
    <t>PERFUME T-GOLD 30ML</t>
  </si>
  <si>
    <t>PERFUME ABELHINHA 30ML</t>
  </si>
  <si>
    <t>PERFUME TAWUS 30ML</t>
  </si>
  <si>
    <t>PERFUME LEA 30ML</t>
  </si>
  <si>
    <t>PERFUME DALAL 30ML</t>
  </si>
  <si>
    <t>PERFUME SUPREMACY 30ML</t>
  </si>
  <si>
    <t>PERFUME N 1 VIP MAN BLACK 30ML</t>
  </si>
  <si>
    <t>PERFUME FAKHAR ROSE 30ML</t>
  </si>
  <si>
    <t>PERFUME N 1 VIP ROSE 30ML</t>
  </si>
  <si>
    <t>AFEER OF ARABIAN</t>
  </si>
  <si>
    <t>LIQUIDO</t>
  </si>
  <si>
    <t>PERFUME SALVOH 15 ML</t>
  </si>
  <si>
    <t>PERFUME YARAH 15 ML</t>
  </si>
  <si>
    <t>PERFUME SABAAH 15 ML</t>
  </si>
  <si>
    <t>PERFUME FAAKAR ROSEÉ 15 ML</t>
  </si>
  <si>
    <t>PERFUME ATEERH 15 ML</t>
  </si>
  <si>
    <t>PERFUME CLUB NUITÈ 15 ML</t>
  </si>
  <si>
    <t>PERFUME L'ÉCLAIRE 15 ML</t>
  </si>
  <si>
    <t>PERFUME MUZZAMAN 15 ML</t>
  </si>
  <si>
    <t>PERFUME AZUUR FANTASIS 15 ML</t>
  </si>
  <si>
    <t>PERFUME ASAAD 15 ML</t>
  </si>
  <si>
    <t>VELLARIS ESSENCE</t>
  </si>
  <si>
    <t>PRF-VELL-0001</t>
  </si>
  <si>
    <t>PRF-VELL-0002</t>
  </si>
  <si>
    <t>PRF-VELL-0003</t>
  </si>
  <si>
    <t>PRF-VELL-0004</t>
  </si>
  <si>
    <t>PRF-VELL-0005</t>
  </si>
  <si>
    <t>PRF-VELL-0006</t>
  </si>
  <si>
    <t>PRF-VELL-0007</t>
  </si>
  <si>
    <t>PRF-VELL-0008</t>
  </si>
  <si>
    <t>PRF-VELL-0009</t>
  </si>
  <si>
    <t>PRF-VELL-0010</t>
  </si>
  <si>
    <t>PRF-MENE-0001</t>
  </si>
  <si>
    <t>PERFUME WHITE DRESS 100ML</t>
  </si>
  <si>
    <t>MENELA</t>
  </si>
  <si>
    <t>PRF-AFEE-0001</t>
  </si>
  <si>
    <t>PRF-AFEE-0002</t>
  </si>
  <si>
    <t>PRF-AFEE-0003</t>
  </si>
  <si>
    <t>PRF-AFEE-0004</t>
  </si>
  <si>
    <t>PRF-AFEE-0005</t>
  </si>
  <si>
    <t>PRF-AFEE-0006</t>
  </si>
  <si>
    <t>PRF-AFEE-0007</t>
  </si>
  <si>
    <t>PRF-AFEE-0008</t>
  </si>
  <si>
    <t>PRF-AFEE-0009</t>
  </si>
  <si>
    <t>PRF-AFEE-0010</t>
  </si>
  <si>
    <t>PRF-AFEE-0011</t>
  </si>
  <si>
    <t>PRF-AFEE-0012</t>
  </si>
  <si>
    <t>PRF-AFEE-0013</t>
  </si>
  <si>
    <t>PRF-AFEE-0014</t>
  </si>
  <si>
    <t>PRF-AFEE-0015</t>
  </si>
  <si>
    <t>PRF-AFEE-0016</t>
  </si>
  <si>
    <t>PRF-AFEE-0017</t>
  </si>
  <si>
    <t>PRF-AFEE-0018</t>
  </si>
  <si>
    <t>PRF-AFEE-0019</t>
  </si>
  <si>
    <t>PRF-AFEE-0020</t>
  </si>
  <si>
    <t>PRF-AFEE-0021</t>
  </si>
  <si>
    <t>PRF-AFEE-0022</t>
  </si>
  <si>
    <t>PRF-AFEE-0023</t>
  </si>
  <si>
    <t>PRF-AFEE-0024</t>
  </si>
  <si>
    <t>PRF-AFEE-0025</t>
  </si>
  <si>
    <t>PRF-AFEE-0026</t>
  </si>
  <si>
    <t>PRF-AFEE-0027</t>
  </si>
  <si>
    <t>PRF-AFEE-0028</t>
  </si>
  <si>
    <t>PRF-AFEE-0029</t>
  </si>
  <si>
    <t>PRF-AFEE-0030</t>
  </si>
  <si>
    <t>PRF-AFEE-0031</t>
  </si>
  <si>
    <t>PRF-AFEE-0032</t>
  </si>
  <si>
    <t>PRF-AFEE-0033</t>
  </si>
  <si>
    <t>PRF-AFEE-0034</t>
  </si>
  <si>
    <t>PRF-AFEE-0035</t>
  </si>
  <si>
    <t>BODY SPLASH SORVETE DE MORANGO 120ML</t>
  </si>
  <si>
    <t>HIDRATANTE SORVETE DE MORANGO 120ML</t>
  </si>
  <si>
    <t>OLEO CORPORAL SORVETE DE MORANGO 120ML</t>
  </si>
  <si>
    <t>MOUSSE FACIAL SORVETE DE MORANGO 150ML</t>
  </si>
  <si>
    <t>ROSA RAINHA</t>
  </si>
  <si>
    <t>PRF-ROSA-0001</t>
  </si>
  <si>
    <t>PRF-ROSA-0002</t>
  </si>
  <si>
    <t>PRF-ROSA-0003</t>
  </si>
  <si>
    <t>PRF-ROSA-0004</t>
  </si>
  <si>
    <t>PRF-ROSA-0005</t>
  </si>
  <si>
    <t>PERFUME FEMININO GOOD GIRL 50ML</t>
  </si>
  <si>
    <t>PERFUME MASCULINO ONE MILLION 50ML</t>
  </si>
  <si>
    <t>PERFUME MASCULINO 212 VIP BLACK 50ML</t>
  </si>
  <si>
    <t>PERFUME FEMININO FANTASY 50ML</t>
  </si>
  <si>
    <t>PERFUME FEMININO SCANDAL 50ML</t>
  </si>
  <si>
    <t>SERUM FACIAL 30ML</t>
  </si>
  <si>
    <t>FIRMADOR 200ML</t>
  </si>
  <si>
    <t>ESPUMA DE LIMPEZA FACIAL 100ML</t>
  </si>
  <si>
    <t>HIDRATANTE FACIAL 50G</t>
  </si>
  <si>
    <t>BODY SPLASH SOLAR GLOW MIST 150ML</t>
  </si>
  <si>
    <t>AGUA DE BELEZA 100ML</t>
  </si>
  <si>
    <t>SRM-SENR-0001</t>
  </si>
  <si>
    <t>SEUNOURA</t>
  </si>
  <si>
    <t>CAT3</t>
  </si>
  <si>
    <t>Forma</t>
  </si>
  <si>
    <t>Observação</t>
  </si>
  <si>
    <t>SER</t>
  </si>
  <si>
    <t>Sérum</t>
  </si>
  <si>
    <t>fluido concentrado</t>
  </si>
  <si>
    <t>AGU</t>
  </si>
  <si>
    <t>Água (facial/corporal)</t>
  </si>
  <si>
    <t>água termal, micelar, de limpeza</t>
  </si>
  <si>
    <t>BRU</t>
  </si>
  <si>
    <t>Bruma / Névoa</t>
  </si>
  <si>
    <t>sprays perfumados/tratantes</t>
  </si>
  <si>
    <t>TON</t>
  </si>
  <si>
    <t>Tônico</t>
  </si>
  <si>
    <t>aplicação com algodão</t>
  </si>
  <si>
    <t>ESP</t>
  </si>
  <si>
    <t>Espuma</t>
  </si>
  <si>
    <t>limpeza, higiene</t>
  </si>
  <si>
    <t>HID</t>
  </si>
  <si>
    <t>Hidratante</t>
  </si>
  <si>
    <t>textura (creme/gel/loção) em campo</t>
  </si>
  <si>
    <t>Gel</t>
  </si>
  <si>
    <t>quando processo difere do hidratante</t>
  </si>
  <si>
    <t>OLE</t>
  </si>
  <si>
    <t>Óleo</t>
  </si>
  <si>
    <t>corporal, capilar, facial</t>
  </si>
  <si>
    <t>MAN</t>
  </si>
  <si>
    <t>Manteiga / Bálsamo</t>
  </si>
  <si>
    <t>base anidra sólida-pastosa</t>
  </si>
  <si>
    <t>SAB</t>
  </si>
  <si>
    <t>Sabonete líquido</t>
  </si>
  <si>
    <t>SBB</t>
  </si>
  <si>
    <t>Sabonete em barra</t>
  </si>
  <si>
    <t>saponificação/extrusão</t>
  </si>
  <si>
    <t>BSP</t>
  </si>
  <si>
    <t>Body Splash</t>
  </si>
  <si>
    <t>PRF</t>
  </si>
  <si>
    <t>Perfume</t>
  </si>
  <si>
    <t>concentração (EDP/EDT/deo) em campo</t>
  </si>
  <si>
    <t>SHA</t>
  </si>
  <si>
    <t>Shampoo</t>
  </si>
  <si>
    <t>CON</t>
  </si>
  <si>
    <t>Condicionador</t>
  </si>
  <si>
    <t>MAS</t>
  </si>
  <si>
    <t>Máscara (capilar/facial)</t>
  </si>
  <si>
    <t>LEA</t>
  </si>
  <si>
    <t>Leave-in / Finalizador</t>
  </si>
  <si>
    <t>ESF</t>
  </si>
  <si>
    <t>Esfoliante</t>
  </si>
  <si>
    <t>esfoliação química/enzimática</t>
  </si>
  <si>
    <t>SCR</t>
  </si>
  <si>
    <t>Scrub</t>
  </si>
  <si>
    <t>esfoliação mecânica/abrasiva</t>
  </si>
  <si>
    <t>POM</t>
  </si>
  <si>
    <t>Pomada / Creme anidro</t>
  </si>
  <si>
    <t>PRO</t>
  </si>
  <si>
    <t>Protetor solar</t>
  </si>
  <si>
    <t>regulatoriamente à parte</t>
  </si>
  <si>
    <t>CAT [3]</t>
  </si>
  <si>
    <t>PalavrasChave</t>
  </si>
  <si>
    <t>Serum</t>
  </si>
  <si>
    <t>serum;firmador;concentrado</t>
  </si>
  <si>
    <t>Agua</t>
  </si>
  <si>
    <t>agua;termal;micelar</t>
  </si>
  <si>
    <t>Bruma</t>
  </si>
  <si>
    <t>bruma;nevoa;mist</t>
  </si>
  <si>
    <t>Tonico</t>
  </si>
  <si>
    <t>tonico;toner</t>
  </si>
  <si>
    <t>espuma;mousse</t>
  </si>
  <si>
    <t>hidratante;creme;locao;body lotion</t>
  </si>
  <si>
    <t>gel</t>
  </si>
  <si>
    <t>Oleo</t>
  </si>
  <si>
    <t>oleo;oil</t>
  </si>
  <si>
    <t>Manteiga</t>
  </si>
  <si>
    <t>manteiga;balsamo;butter</t>
  </si>
  <si>
    <t>Sabonete liquido</t>
  </si>
  <si>
    <t>sabonete liquido;sabonete;gel de banho</t>
  </si>
  <si>
    <t>barra</t>
  </si>
  <si>
    <t>body splash;splash;colonia corporal</t>
  </si>
  <si>
    <t>perfume;eau;parfum;deo colonia</t>
  </si>
  <si>
    <t>shampoo;shampu</t>
  </si>
  <si>
    <t>condicionador</t>
  </si>
  <si>
    <t>Mascara</t>
  </si>
  <si>
    <t>mascara;mask</t>
  </si>
  <si>
    <t>Leave-in</t>
  </si>
  <si>
    <t>leave-in;leavein;finalizador;creme pentear</t>
  </si>
  <si>
    <t>esfoliante;peeling;aha;bha</t>
  </si>
  <si>
    <t>scrub;esfoliante granulado;granulado</t>
  </si>
  <si>
    <t>Pomada</t>
  </si>
  <si>
    <t>pomada;creme anidro</t>
  </si>
  <si>
    <t>protetor solar;fps;solar</t>
  </si>
  <si>
    <t>CLI4</t>
  </si>
  <si>
    <t>AFEE</t>
  </si>
  <si>
    <t>LUA E NEVE</t>
  </si>
  <si>
    <t>MENE</t>
  </si>
  <si>
    <t>MISS ROSE</t>
  </si>
  <si>
    <t>ROSA</t>
  </si>
  <si>
    <t>SENR</t>
  </si>
  <si>
    <t>VELL</t>
  </si>
  <si>
    <t>GERADOR DE SKU</t>
  </si>
  <si>
    <t>ENTRADA (preencher)</t>
  </si>
  <si>
    <t>CALCULO (automatico)</t>
  </si>
  <si>
    <t>REGISTRO</t>
  </si>
  <si>
    <t>Nome do Produto</t>
  </si>
  <si>
    <t>Volume</t>
  </si>
  <si>
    <t>Unidade</t>
  </si>
  <si>
    <t>Forma Manual (CAT3)</t>
  </si>
  <si>
    <t>CAT3 Sugerido</t>
  </si>
  <si>
    <t>Qtd Formas Encontradas</t>
  </si>
  <si>
    <t>Confianca</t>
  </si>
  <si>
    <t>SEQ4</t>
  </si>
  <si>
    <t>SKU Final</t>
  </si>
  <si>
    <t>Volume/Apresentacao</t>
  </si>
  <si>
    <t>_NomeNorm</t>
  </si>
  <si>
    <t>_CAT3Auto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</si>
</sst>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 cx&quot;"/>
    <numFmt numFmtId="165" formatCode="#,##0&quot; un.&quot;"/>
    <numFmt numFmtId="166" formatCode="00000&quot;.&quot;000000&quot;/&quot;0000&quot;-&quot;00"/>
  </numFmts>
  <fonts count="10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01E5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vertical="center"/>
    </xf>
    <xf numFmtId="1" fontId="1" fillId="5" borderId="1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0" borderId="0" xfId="0" applyNumberFormat="1"/>
    <xf numFmtId="0" fontId="1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quotePrefix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0" fontId="0" fillId="7" borderId="0" xfId="0" applyFill="1"/>
    <xf numFmtId="0" fontId="0" fillId="8" borderId="0" xfId="0" applyFill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1" fontId="0" fillId="0" borderId="0" xfId="0" applyNumberFormat="1" applyAlignment="1">
      <alignment horizontal="center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11" borderId="0" xfId="0" applyFont="1" applyFill="1"/>
    <xf numFmtId="0" fontId="1" fillId="0" borderId="0" xfId="0" applyFont="1"/>
    <xf numFmtId="0" fontId="8" fillId="0" borderId="0" xfId="0" applyFont="1"/>
    <xf numFmtId="0" fontId="5" fillId="14" borderId="0" xfId="0" applyFont="1" applyFill="1" applyAlignment="1">
      <alignment horizontal="center"/>
    </xf>
    <xf numFmtId="0" fontId="7" fillId="11" borderId="0" xfId="0" applyFont="1" applyFill="1" applyAlignment="1">
      <alignment horizontal="center" wrapText="1"/>
    </xf>
    <xf numFmtId="0" fontId="9" fillId="5" borderId="0" xfId="0" applyFont="1" applyFill="1"/>
    <xf numFmtId="0" fontId="5" fillId="12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</cellXfs>
  <cellStyles count="2">
    <cellStyle name="Normal" xfId="0" builtinId="0"/>
    <cellStyle name="Normal 2" xfId="1" xr:uid="{FC07F6A2-6B70-400A-8F30-6D78BEC95FBB}"/>
  </cellStyles>
  <dxfs count="1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00FF"/>
      </font>
    </dxf>
    <dxf>
      <font>
        <b/>
        <color rgb="FFFFFFFF"/>
      </font>
      <fill>
        <patternFill patternType="solid">
          <fgColor indexed="64"/>
          <bgColor rgb="FF1F4E78"/>
        </patternFill>
      </fill>
    </dxf>
    <dxf>
      <font>
        <b/>
        <color rgb="FFFFFFFF"/>
      </font>
      <fill>
        <patternFill patternType="solid">
          <fgColor indexed="64"/>
          <bgColor rgb="FF1F4E78"/>
        </patternFill>
      </fill>
    </dxf>
  </dxfs>
  <tableStyles count="0" defaultTableStyle="TableStyleMedium2" defaultPivotStyle="PivotStyleLight16"/>
  <colors>
    <mruColors>
      <color rgb="FF0000FF"/>
      <color rgb="FF101E5C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22/11/relationships/FeaturePropertyBag" Target="featurePropertyBag/featurePropertyBag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4.%20Design%20de%20Produtos%20e%20PCP/1.%20PCP/Controle%20de%20Produ&#231;&#227;o.xlsm" TargetMode="External"/><Relationship Id="rId2" Type="http://schemas.openxmlformats.org/officeDocument/2006/relationships/externalLinkPath" Target="https://kuryos.sharepoint.com/sites/ServidorKuryos/Shared%20Documents/04.%20Design%20de%20Produtos%20e%20PCP/1.%20PCP/Controle%20de%20Produ&#231;&#227;o.xlsm" TargetMode="External"/><Relationship Id="rId1" Type="http://schemas.openxmlformats.org/officeDocument/2006/relationships/externalLinkPath" Target="/sites/ServidorKuryos/Shared%20Documents/04.%20Design%20de%20Produtos%20e%20PCP/1.%20PCP/Controle%20de%20Produ&#231;&#227;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y-tXxwIStUOuTRlCGEMWNtPrtsVQ9HBOtnFl2noHyRcEjoDIjaTsRKqihKs8SpeJ" itemId="017DPLXKMJH4NW5GR2BFGZY65RTMGIAPCX">
      <xxl21:absoluteUrl r:id="rId2"/>
      <xxl21:relativeUrl r:id="rId3"/>
    </xxl21:alternateUrls>
    <sheetNames>
      <sheetName val="Controle de Produção"/>
      <sheetName val="Sheet1"/>
      <sheetName val="Graficos"/>
      <sheetName val="Máquinas"/>
      <sheetName val="Controle Semanal"/>
      <sheetName val="Official Forecasts"/>
      <sheetName val="Segundo Cenário"/>
      <sheetName val="Previsão (2)"/>
      <sheetName val="Chart2"/>
      <sheetName val="Previsão Envase"/>
      <sheetName val="possibilidade de programação"/>
      <sheetName val="Passado"/>
      <sheetName val="Sheet2"/>
      <sheetName val="Sheet4"/>
      <sheetName val="Sheet3"/>
      <sheetName val="Análises"/>
    </sheetNames>
    <sheetDataSet>
      <sheetData sheetId="0">
        <row r="2">
          <cell r="E2" t="str">
            <v>Unidades p/ Hora</v>
          </cell>
          <cell r="N2" t="str">
            <v>Column1</v>
          </cell>
          <cell r="R2" t="str">
            <v>Sub-categoria do Produto</v>
          </cell>
          <cell r="S2" t="str">
            <v>Viscosidade</v>
          </cell>
        </row>
        <row r="3">
          <cell r="E3">
            <v>575.99999998780811</v>
          </cell>
          <cell r="N3">
            <v>250</v>
          </cell>
          <cell r="R3" t="str">
            <v>ESFOLIANTE</v>
          </cell>
          <cell r="S3" t="str">
            <v>VISCOSO</v>
          </cell>
        </row>
        <row r="4">
          <cell r="E4">
            <v>748.34645672309637</v>
          </cell>
          <cell r="N4">
            <v>250</v>
          </cell>
          <cell r="R4" t="str">
            <v>ESFOLIANTE</v>
          </cell>
          <cell r="S4" t="str">
            <v>VISCOSO</v>
          </cell>
        </row>
        <row r="5">
          <cell r="E5">
            <v>1134.0000000165019</v>
          </cell>
          <cell r="N5">
            <v>250</v>
          </cell>
          <cell r="R5" t="str">
            <v>ESFOLIANTE</v>
          </cell>
          <cell r="S5" t="str">
            <v>VISCOSO</v>
          </cell>
        </row>
        <row r="6">
          <cell r="E6">
            <v>841.06194681254067</v>
          </cell>
          <cell r="N6">
            <v>250</v>
          </cell>
          <cell r="R6" t="str">
            <v>ESFOLIANTE</v>
          </cell>
          <cell r="S6" t="str">
            <v>VISCOSO</v>
          </cell>
        </row>
        <row r="7">
          <cell r="E7">
            <v>1200.0000001047738</v>
          </cell>
          <cell r="N7">
            <v>250</v>
          </cell>
          <cell r="R7" t="str">
            <v>ESFOLIANTE</v>
          </cell>
          <cell r="S7" t="str">
            <v>VISCOSO</v>
          </cell>
        </row>
        <row r="8">
          <cell r="E8">
            <v>901.97802194571307</v>
          </cell>
          <cell r="N8">
            <v>250</v>
          </cell>
          <cell r="R8" t="str">
            <v>ESFOLIANTE</v>
          </cell>
          <cell r="S8" t="str">
            <v>VISCOSO</v>
          </cell>
        </row>
        <row r="9">
          <cell r="E9">
            <v>1345.5737704969392</v>
          </cell>
          <cell r="N9">
            <v>250</v>
          </cell>
          <cell r="R9" t="str">
            <v>ESFOLIANTE</v>
          </cell>
          <cell r="S9" t="str">
            <v>VISCOSO</v>
          </cell>
        </row>
        <row r="10">
          <cell r="E10">
            <v>631.38461536199918</v>
          </cell>
          <cell r="N10">
            <v>250</v>
          </cell>
          <cell r="R10" t="str">
            <v>ESFOLIANTE</v>
          </cell>
          <cell r="S10" t="str">
            <v>VISCOSO</v>
          </cell>
        </row>
        <row r="11">
          <cell r="E11">
            <v>180.00000000261934</v>
          </cell>
          <cell r="N11">
            <v>250</v>
          </cell>
          <cell r="R11" t="str">
            <v>ESFOLIANTE</v>
          </cell>
          <cell r="S11" t="str">
            <v>VISCOSO</v>
          </cell>
        </row>
        <row r="12">
          <cell r="E12">
            <v>757.11340204731721</v>
          </cell>
          <cell r="N12">
            <v>250</v>
          </cell>
          <cell r="R12" t="str">
            <v>ESFOLIANTE</v>
          </cell>
          <cell r="S12" t="str">
            <v>VISCOSO</v>
          </cell>
        </row>
        <row r="13">
          <cell r="E13">
            <v>259.20000000150873</v>
          </cell>
          <cell r="N13">
            <v>250</v>
          </cell>
          <cell r="R13" t="str">
            <v>ESFOLIANTE</v>
          </cell>
          <cell r="S13" t="str">
            <v>VISCOSO</v>
          </cell>
        </row>
        <row r="14">
          <cell r="E14">
            <v>44.999999994761311</v>
          </cell>
          <cell r="N14" t="str">
            <v>-</v>
          </cell>
          <cell r="R14" t="str">
            <v>DESODORANTE</v>
          </cell>
          <cell r="S14" t="str">
            <v>VISCOSO</v>
          </cell>
        </row>
        <row r="15">
          <cell r="E15">
            <v>1422.8162291161545</v>
          </cell>
          <cell r="N15" t="str">
            <v>-</v>
          </cell>
          <cell r="R15" t="str">
            <v>DESODORANTE</v>
          </cell>
          <cell r="S15" t="str">
            <v>VISCOSO</v>
          </cell>
        </row>
        <row r="16">
          <cell r="E16">
            <v>1497.4563590857247</v>
          </cell>
          <cell r="N16" t="str">
            <v>-</v>
          </cell>
          <cell r="R16" t="str">
            <v>DESODORANTE</v>
          </cell>
          <cell r="S16" t="str">
            <v>VISCOSO</v>
          </cell>
        </row>
        <row r="17">
          <cell r="E17">
            <v>920.90909083112149</v>
          </cell>
          <cell r="N17">
            <v>40</v>
          </cell>
          <cell r="R17" t="str">
            <v>COLÔNIA</v>
          </cell>
          <cell r="S17" t="str">
            <v>LÍQUIDO</v>
          </cell>
        </row>
        <row r="18">
          <cell r="E18">
            <v>751.11111112406536</v>
          </cell>
          <cell r="N18">
            <v>40</v>
          </cell>
          <cell r="R18" t="str">
            <v>COLÔNIA</v>
          </cell>
          <cell r="S18" t="str">
            <v>LÍQUIDO</v>
          </cell>
        </row>
        <row r="19">
          <cell r="E19">
            <v>1085.35714297447</v>
          </cell>
          <cell r="N19">
            <v>40</v>
          </cell>
          <cell r="R19" t="str">
            <v>COLÔNIA</v>
          </cell>
          <cell r="S19" t="str">
            <v>LÍQUIDO</v>
          </cell>
        </row>
        <row r="20">
          <cell r="E20">
            <v>847.49999995066901</v>
          </cell>
          <cell r="N20">
            <v>40</v>
          </cell>
          <cell r="R20" t="str">
            <v>COLÔNIA</v>
          </cell>
          <cell r="S20" t="str">
            <v>LÍQUIDO</v>
          </cell>
        </row>
        <row r="21">
          <cell r="E21">
            <v>675.33333333333337</v>
          </cell>
          <cell r="N21">
            <v>30</v>
          </cell>
          <cell r="R21" t="str">
            <v>CREME HIDRATANTE</v>
          </cell>
          <cell r="S21" t="str">
            <v>CREMOSO</v>
          </cell>
        </row>
        <row r="22">
          <cell r="E22">
            <v>543.21428572219054</v>
          </cell>
          <cell r="N22">
            <v>30</v>
          </cell>
          <cell r="R22" t="str">
            <v>CREME HIDRATANTE</v>
          </cell>
          <cell r="S22" t="str">
            <v>CREMOSO</v>
          </cell>
        </row>
        <row r="23">
          <cell r="E23">
            <v>668</v>
          </cell>
          <cell r="N23" t="str">
            <v>-</v>
          </cell>
          <cell r="R23" t="str">
            <v>DESODORANTE</v>
          </cell>
          <cell r="S23" t="str">
            <v>VISCOSO</v>
          </cell>
        </row>
        <row r="24">
          <cell r="E24">
            <v>1463.4146342377562</v>
          </cell>
          <cell r="N24" t="str">
            <v>-</v>
          </cell>
          <cell r="R24" t="str">
            <v>DESODORANTE</v>
          </cell>
          <cell r="S24" t="str">
            <v>VISCOSO</v>
          </cell>
        </row>
        <row r="25">
          <cell r="E25">
            <v>199.99999999068677</v>
          </cell>
          <cell r="N25" t="str">
            <v>-</v>
          </cell>
          <cell r="R25" t="str">
            <v>DESODORANTE</v>
          </cell>
          <cell r="S25" t="str">
            <v>VISCOSO</v>
          </cell>
        </row>
        <row r="26">
          <cell r="E26">
            <v>1000.0000000582077</v>
          </cell>
          <cell r="N26" t="str">
            <v>-</v>
          </cell>
          <cell r="R26" t="str">
            <v>DESODORANTE</v>
          </cell>
          <cell r="S26" t="str">
            <v>VISCOSO</v>
          </cell>
        </row>
        <row r="27">
          <cell r="E27">
            <v>1336</v>
          </cell>
          <cell r="N27">
            <v>30</v>
          </cell>
          <cell r="R27" t="str">
            <v>BRUMA</v>
          </cell>
          <cell r="S27" t="str">
            <v>LÍQUIDO</v>
          </cell>
        </row>
        <row r="28">
          <cell r="E28">
            <v>513.91304348866561</v>
          </cell>
          <cell r="N28">
            <v>30</v>
          </cell>
          <cell r="R28" t="str">
            <v>BRUMA</v>
          </cell>
          <cell r="S28" t="str">
            <v>LÍQUIDO</v>
          </cell>
        </row>
        <row r="29">
          <cell r="E29">
            <v>659.99999994877726</v>
          </cell>
          <cell r="N29">
            <v>30</v>
          </cell>
          <cell r="R29" t="str">
            <v>BRUMA</v>
          </cell>
          <cell r="S29" t="str">
            <v>LÍQUIDO</v>
          </cell>
        </row>
        <row r="30">
          <cell r="E30" t="str">
            <v/>
          </cell>
          <cell r="N30">
            <v>30</v>
          </cell>
          <cell r="R30" t="str">
            <v>BRUMA</v>
          </cell>
          <cell r="S30" t="str">
            <v>LÍQUIDO</v>
          </cell>
        </row>
        <row r="31">
          <cell r="E31">
            <v>628.14814813189787</v>
          </cell>
          <cell r="N31">
            <v>220</v>
          </cell>
          <cell r="R31" t="str">
            <v>BODY SPLASH</v>
          </cell>
          <cell r="S31" t="str">
            <v>LÍQUIDO</v>
          </cell>
        </row>
        <row r="32">
          <cell r="E32">
            <v>999.99999998544808</v>
          </cell>
          <cell r="N32">
            <v>100</v>
          </cell>
          <cell r="R32" t="str">
            <v>BODY SPLASH</v>
          </cell>
          <cell r="S32" t="str">
            <v>LÍQUIDO</v>
          </cell>
        </row>
        <row r="33">
          <cell r="E33">
            <v>615.38461537910462</v>
          </cell>
          <cell r="N33">
            <v>100</v>
          </cell>
          <cell r="R33" t="str">
            <v>BODY SPLASH</v>
          </cell>
          <cell r="S33" t="str">
            <v>LÍQUIDO</v>
          </cell>
        </row>
        <row r="34">
          <cell r="E34" t="str">
            <v/>
          </cell>
          <cell r="N34">
            <v>100</v>
          </cell>
          <cell r="R34" t="str">
            <v>BODY SPLASH</v>
          </cell>
          <cell r="S34" t="str">
            <v>LÍQUIDO</v>
          </cell>
        </row>
        <row r="35">
          <cell r="E35">
            <v>440.36697246671707</v>
          </cell>
          <cell r="N35">
            <v>100</v>
          </cell>
          <cell r="R35" t="str">
            <v>BODY SPLASH</v>
          </cell>
          <cell r="S35" t="str">
            <v>LÍQUIDO ESPESSO</v>
          </cell>
        </row>
        <row r="36">
          <cell r="E36" t="str">
            <v/>
          </cell>
          <cell r="N36">
            <v>100</v>
          </cell>
          <cell r="R36" t="str">
            <v>BODY SPLASH</v>
          </cell>
          <cell r="S36" t="str">
            <v>LÍQUIDO ESPESSO</v>
          </cell>
        </row>
        <row r="37">
          <cell r="E37" t="str">
            <v/>
          </cell>
          <cell r="N37">
            <v>100</v>
          </cell>
          <cell r="R37" t="str">
            <v>BODY SPLASH</v>
          </cell>
          <cell r="S37" t="str">
            <v>LÍQUIDO ESPESSO</v>
          </cell>
        </row>
        <row r="38">
          <cell r="E38">
            <v>726.85714288131919</v>
          </cell>
          <cell r="N38">
            <v>220</v>
          </cell>
          <cell r="R38" t="str">
            <v>BODY SPLASH</v>
          </cell>
          <cell r="S38" t="str">
            <v>LÍQUIDO</v>
          </cell>
        </row>
        <row r="39">
          <cell r="E39">
            <v>966.07594935712325</v>
          </cell>
          <cell r="N39">
            <v>220</v>
          </cell>
          <cell r="R39" t="str">
            <v>BODY SPLASH</v>
          </cell>
          <cell r="S39" t="str">
            <v>LÍQUIDO</v>
          </cell>
        </row>
        <row r="40">
          <cell r="E40" t="str">
            <v/>
          </cell>
          <cell r="N40">
            <v>220</v>
          </cell>
          <cell r="R40" t="str">
            <v>BODY SPLASH</v>
          </cell>
          <cell r="S40" t="str">
            <v>LÍQUIDO</v>
          </cell>
        </row>
        <row r="41">
          <cell r="E41">
            <v>847.9999999506399</v>
          </cell>
          <cell r="N41">
            <v>220</v>
          </cell>
          <cell r="R41" t="str">
            <v>BODY SPLASH</v>
          </cell>
          <cell r="S41" t="str">
            <v>LÍQUIDO</v>
          </cell>
        </row>
        <row r="42">
          <cell r="E42">
            <v>1251.1475409883822</v>
          </cell>
          <cell r="N42">
            <v>220</v>
          </cell>
          <cell r="R42" t="str">
            <v>BODY SPLASH</v>
          </cell>
          <cell r="S42" t="str">
            <v>LÍQUIDO</v>
          </cell>
        </row>
        <row r="43">
          <cell r="E43">
            <v>978.46153842648982</v>
          </cell>
          <cell r="N43">
            <v>220</v>
          </cell>
          <cell r="R43" t="str">
            <v>BODY SPLASH</v>
          </cell>
          <cell r="S43" t="str">
            <v>LÍQUIDO</v>
          </cell>
        </row>
        <row r="44">
          <cell r="E44">
            <v>1467.6923077875961</v>
          </cell>
          <cell r="N44">
            <v>220</v>
          </cell>
          <cell r="R44" t="str">
            <v>BODY SPLASH</v>
          </cell>
          <cell r="S44" t="str">
            <v>LÍQUIDO</v>
          </cell>
        </row>
        <row r="45">
          <cell r="E45">
            <v>847.99999996709323</v>
          </cell>
          <cell r="N45">
            <v>220</v>
          </cell>
          <cell r="R45" t="str">
            <v>BODY SPLASH</v>
          </cell>
          <cell r="S45" t="str">
            <v>LÍQUIDO</v>
          </cell>
        </row>
        <row r="46">
          <cell r="E46">
            <v>657.93103447747637</v>
          </cell>
          <cell r="N46">
            <v>220</v>
          </cell>
          <cell r="R46" t="str">
            <v>BODY SPLASH</v>
          </cell>
          <cell r="S46" t="str">
            <v>LÍQUIDO</v>
          </cell>
        </row>
        <row r="47">
          <cell r="E47">
            <v>1230.9677418753888</v>
          </cell>
          <cell r="N47">
            <v>220</v>
          </cell>
          <cell r="R47" t="str">
            <v>BODY SPLASH</v>
          </cell>
          <cell r="S47" t="str">
            <v>LÍQUIDO</v>
          </cell>
        </row>
        <row r="48">
          <cell r="E48">
            <v>1165.1908397485008</v>
          </cell>
          <cell r="N48">
            <v>220</v>
          </cell>
          <cell r="R48" t="str">
            <v>BODY SPLASH</v>
          </cell>
          <cell r="S48" t="str">
            <v>LÍQUIDO</v>
          </cell>
        </row>
        <row r="49">
          <cell r="E49">
            <v>1130.6666666666667</v>
          </cell>
          <cell r="N49">
            <v>220</v>
          </cell>
          <cell r="R49" t="str">
            <v>BODY SPLASH</v>
          </cell>
          <cell r="S49" t="str">
            <v>LÍQUIDO</v>
          </cell>
        </row>
        <row r="50">
          <cell r="E50">
            <v>892.63157893642995</v>
          </cell>
          <cell r="N50">
            <v>220</v>
          </cell>
          <cell r="R50" t="str">
            <v>BODY SPLASH</v>
          </cell>
          <cell r="S50" t="str">
            <v>LÍQUIDO</v>
          </cell>
        </row>
        <row r="51">
          <cell r="E51">
            <v>1251.1475409883822</v>
          </cell>
          <cell r="N51">
            <v>220</v>
          </cell>
          <cell r="R51" t="str">
            <v>BODY SPLASH</v>
          </cell>
          <cell r="S51" t="str">
            <v>LÍQUIDO</v>
          </cell>
        </row>
        <row r="52">
          <cell r="E52" t="str">
            <v/>
          </cell>
          <cell r="N52">
            <v>220</v>
          </cell>
          <cell r="R52" t="str">
            <v>BODY SPLASH</v>
          </cell>
          <cell r="S52" t="str">
            <v>LÍQUIDO</v>
          </cell>
        </row>
        <row r="53">
          <cell r="E53">
            <v>3839.9999995529652</v>
          </cell>
          <cell r="N53">
            <v>220</v>
          </cell>
          <cell r="R53" t="str">
            <v>BODY SPLASH</v>
          </cell>
          <cell r="S53" t="str">
            <v>LÍQUIDO</v>
          </cell>
        </row>
        <row r="54">
          <cell r="E54">
            <v>1293.5593220670792</v>
          </cell>
          <cell r="N54">
            <v>220</v>
          </cell>
          <cell r="R54" t="str">
            <v>BODY SPLASH</v>
          </cell>
          <cell r="S54" t="str">
            <v>LÍQUIDO</v>
          </cell>
        </row>
        <row r="55">
          <cell r="E55">
            <v>1024.4295301997415</v>
          </cell>
          <cell r="N55">
            <v>220</v>
          </cell>
          <cell r="R55" t="str">
            <v>BODY SPLASH</v>
          </cell>
          <cell r="S55" t="str">
            <v>LÍQUIDO</v>
          </cell>
        </row>
        <row r="56">
          <cell r="E56">
            <v>997.64705878253835</v>
          </cell>
          <cell r="N56">
            <v>220</v>
          </cell>
          <cell r="R56" t="str">
            <v>BODY SPLASH</v>
          </cell>
          <cell r="S56" t="str">
            <v>LÍQUIDO</v>
          </cell>
        </row>
        <row r="57">
          <cell r="E57">
            <v>1696</v>
          </cell>
          <cell r="N57">
            <v>220</v>
          </cell>
          <cell r="R57" t="str">
            <v>BODY SPLASH</v>
          </cell>
          <cell r="S57" t="str">
            <v>LÍQUIDO</v>
          </cell>
        </row>
        <row r="58">
          <cell r="E58">
            <v>1272.4999999629654</v>
          </cell>
          <cell r="N58">
            <v>220</v>
          </cell>
          <cell r="R58" t="str">
            <v>BODY SPLASH</v>
          </cell>
          <cell r="S58" t="str">
            <v>LÍQUIDO</v>
          </cell>
        </row>
        <row r="59">
          <cell r="E59">
            <v>1362.8571429194726</v>
          </cell>
          <cell r="N59">
            <v>220</v>
          </cell>
          <cell r="R59" t="str">
            <v>BODY SPLASH</v>
          </cell>
          <cell r="S59" t="str">
            <v>LÍQUIDO</v>
          </cell>
        </row>
        <row r="60">
          <cell r="E60">
            <v>1201.8897638280032</v>
          </cell>
          <cell r="N60">
            <v>220</v>
          </cell>
          <cell r="R60" t="str">
            <v>BODY SPLASH</v>
          </cell>
          <cell r="S60" t="str">
            <v>LÍQUIDO</v>
          </cell>
        </row>
        <row r="61">
          <cell r="E61">
            <v>942.54545446565328</v>
          </cell>
          <cell r="N61">
            <v>220</v>
          </cell>
          <cell r="R61" t="str">
            <v>BODY SPLASH</v>
          </cell>
          <cell r="S61" t="str">
            <v>LÍQUIDO</v>
          </cell>
        </row>
        <row r="62">
          <cell r="E62">
            <v>1261.4876033446233</v>
          </cell>
          <cell r="N62">
            <v>220</v>
          </cell>
          <cell r="R62" t="str">
            <v>BODY SPLASH</v>
          </cell>
          <cell r="S62" t="str">
            <v>LÍQUIDO</v>
          </cell>
        </row>
        <row r="63">
          <cell r="E63">
            <v>1090.2857142675821</v>
          </cell>
          <cell r="N63">
            <v>220</v>
          </cell>
          <cell r="R63" t="str">
            <v>BODY SPLASH</v>
          </cell>
          <cell r="S63" t="str">
            <v>LÍQUIDO</v>
          </cell>
        </row>
        <row r="64">
          <cell r="E64">
            <v>984.77419353359448</v>
          </cell>
          <cell r="N64">
            <v>220</v>
          </cell>
          <cell r="R64" t="str">
            <v>BODY SPLASH</v>
          </cell>
          <cell r="S64" t="str">
            <v>LÍQUIDO</v>
          </cell>
        </row>
        <row r="65">
          <cell r="E65">
            <v>919.51807225175503</v>
          </cell>
          <cell r="N65">
            <v>220</v>
          </cell>
          <cell r="R65" t="str">
            <v>BODY SPLASH</v>
          </cell>
          <cell r="S65" t="str">
            <v>LÍQUIDO</v>
          </cell>
        </row>
        <row r="66">
          <cell r="E66">
            <v>948.07453411487461</v>
          </cell>
          <cell r="N66">
            <v>220</v>
          </cell>
          <cell r="R66" t="str">
            <v>BODY SPLASH</v>
          </cell>
          <cell r="S66" t="str">
            <v>LÍQUIDO</v>
          </cell>
        </row>
        <row r="67">
          <cell r="E67">
            <v>892.63157899112252</v>
          </cell>
          <cell r="N67">
            <v>220</v>
          </cell>
          <cell r="R67" t="str">
            <v>BODY SPLASH</v>
          </cell>
          <cell r="S67" t="str">
            <v>LÍQUIDO</v>
          </cell>
        </row>
        <row r="68">
          <cell r="E68">
            <v>863.99999995976691</v>
          </cell>
          <cell r="N68">
            <v>220</v>
          </cell>
          <cell r="R68" t="str">
            <v>BODY SPLASH</v>
          </cell>
          <cell r="S68" t="str">
            <v>LÍQUIDO</v>
          </cell>
        </row>
        <row r="69">
          <cell r="E69">
            <v>1122.3529411495701</v>
          </cell>
          <cell r="N69">
            <v>220</v>
          </cell>
          <cell r="R69" t="str">
            <v>BODY SPLASH</v>
          </cell>
          <cell r="S69" t="str">
            <v>LÍQUIDO</v>
          </cell>
        </row>
        <row r="70">
          <cell r="E70">
            <v>224.99999999719356</v>
          </cell>
          <cell r="N70">
            <v>120</v>
          </cell>
          <cell r="R70" t="str">
            <v>GEL CREME HIDRATANTE</v>
          </cell>
          <cell r="S70" t="str">
            <v>CREMOSO</v>
          </cell>
        </row>
        <row r="71">
          <cell r="E71">
            <v>719.9999999916181</v>
          </cell>
          <cell r="N71" t="str">
            <v>-</v>
          </cell>
          <cell r="R71" t="str">
            <v>DESODORANTE</v>
          </cell>
          <cell r="S71" t="str">
            <v>VISCOSO</v>
          </cell>
        </row>
        <row r="72">
          <cell r="E72" t="str">
            <v/>
          </cell>
          <cell r="N72" t="str">
            <v>-</v>
          </cell>
          <cell r="R72" t="str">
            <v>DESODORANTE</v>
          </cell>
          <cell r="S72" t="str">
            <v>VISCOSO</v>
          </cell>
        </row>
        <row r="73">
          <cell r="E73">
            <v>201.84842883427365</v>
          </cell>
          <cell r="N73">
            <v>120</v>
          </cell>
          <cell r="R73" t="str">
            <v>GEL CREME HIDRATANTE</v>
          </cell>
          <cell r="S73" t="str">
            <v>CREMOSO</v>
          </cell>
        </row>
        <row r="74">
          <cell r="E74">
            <v>980</v>
          </cell>
          <cell r="N74">
            <v>120</v>
          </cell>
          <cell r="R74" t="str">
            <v>GEL CREME HIDRATANTE</v>
          </cell>
          <cell r="S74" t="str">
            <v>CREMOSO</v>
          </cell>
        </row>
        <row r="75">
          <cell r="E75">
            <v>448.81889763532678</v>
          </cell>
          <cell r="N75">
            <v>120</v>
          </cell>
          <cell r="R75" t="str">
            <v>GEL CREME HIDRATANTE</v>
          </cell>
          <cell r="S75" t="str">
            <v>CREMOSO</v>
          </cell>
        </row>
        <row r="76">
          <cell r="E76">
            <v>575.14285714285711</v>
          </cell>
          <cell r="N76">
            <v>1000</v>
          </cell>
          <cell r="R76" t="str">
            <v>BASE</v>
          </cell>
          <cell r="S76" t="str">
            <v>LÍQUIDO</v>
          </cell>
        </row>
        <row r="77">
          <cell r="E77">
            <v>298.57142856646311</v>
          </cell>
          <cell r="N77">
            <v>1000</v>
          </cell>
          <cell r="R77" t="str">
            <v>BASE</v>
          </cell>
          <cell r="S77" t="str">
            <v>LÍQUIDO</v>
          </cell>
        </row>
        <row r="78">
          <cell r="E78">
            <v>1155.8528427679619</v>
          </cell>
          <cell r="N78">
            <v>120</v>
          </cell>
          <cell r="R78" t="str">
            <v>GEL CREME HIDRATANTE</v>
          </cell>
          <cell r="S78" t="str">
            <v>CREMOSO</v>
          </cell>
        </row>
        <row r="79">
          <cell r="E79">
            <v>294.8275862045295</v>
          </cell>
          <cell r="N79">
            <v>120</v>
          </cell>
          <cell r="R79" t="str">
            <v>GEL CREME HIDRATANTE</v>
          </cell>
          <cell r="S79" t="str">
            <v>CREMOSO</v>
          </cell>
        </row>
        <row r="80">
          <cell r="E80">
            <v>373.5483870925658</v>
          </cell>
          <cell r="N80">
            <v>120</v>
          </cell>
          <cell r="R80" t="str">
            <v>GEL CREME HIDRATANTE</v>
          </cell>
          <cell r="S80" t="str">
            <v>CREMOSO</v>
          </cell>
        </row>
        <row r="81">
          <cell r="E81">
            <v>838.89655171740276</v>
          </cell>
          <cell r="N81">
            <v>100</v>
          </cell>
          <cell r="R81" t="str">
            <v>GEL</v>
          </cell>
          <cell r="S81" t="str">
            <v>CREMOSO</v>
          </cell>
        </row>
        <row r="82">
          <cell r="E82">
            <v>715.30434781341512</v>
          </cell>
          <cell r="N82">
            <v>100</v>
          </cell>
          <cell r="R82" t="str">
            <v>GEL</v>
          </cell>
          <cell r="S82" t="str">
            <v>CREMOSO</v>
          </cell>
        </row>
        <row r="83">
          <cell r="E83">
            <v>694.91329479581736</v>
          </cell>
          <cell r="N83">
            <v>100</v>
          </cell>
          <cell r="R83" t="str">
            <v>ESFOLIANTE</v>
          </cell>
          <cell r="S83" t="str">
            <v>VISCOSO</v>
          </cell>
        </row>
        <row r="84">
          <cell r="E84">
            <v>741.17647057590898</v>
          </cell>
          <cell r="N84">
            <v>100</v>
          </cell>
          <cell r="R84" t="str">
            <v>SABONETE</v>
          </cell>
          <cell r="S84" t="str">
            <v>VISCOSO</v>
          </cell>
        </row>
        <row r="85">
          <cell r="E85" t="str">
            <v/>
          </cell>
          <cell r="N85">
            <v>100</v>
          </cell>
          <cell r="R85" t="str">
            <v>SABONETE</v>
          </cell>
          <cell r="S85" t="str">
            <v>VISCOSO</v>
          </cell>
        </row>
        <row r="86">
          <cell r="E86">
            <v>323.99999962281436</v>
          </cell>
          <cell r="N86" t="str">
            <v>-</v>
          </cell>
          <cell r="R86" t="str">
            <v>DESODORANTE</v>
          </cell>
          <cell r="S86" t="str">
            <v>VISCOSO</v>
          </cell>
        </row>
        <row r="87">
          <cell r="E87">
            <v>683.9999992037192</v>
          </cell>
          <cell r="N87" t="str">
            <v>-</v>
          </cell>
          <cell r="R87" t="str">
            <v>DESODORANTE</v>
          </cell>
          <cell r="S87" t="str">
            <v>VISCOSO</v>
          </cell>
        </row>
        <row r="88">
          <cell r="E88">
            <v>791.20879122296185</v>
          </cell>
          <cell r="N88">
            <v>100</v>
          </cell>
          <cell r="R88" t="str">
            <v>ESFOLIANTE</v>
          </cell>
          <cell r="S88" t="str">
            <v>VISCOSO</v>
          </cell>
        </row>
        <row r="89">
          <cell r="E89">
            <v>759.40298510629475</v>
          </cell>
          <cell r="N89">
            <v>220</v>
          </cell>
          <cell r="R89" t="str">
            <v>BODY SPLASH</v>
          </cell>
          <cell r="S89" t="str">
            <v>LÍQUIDO</v>
          </cell>
        </row>
        <row r="90">
          <cell r="E90">
            <v>591.33079845971804</v>
          </cell>
          <cell r="N90">
            <v>220</v>
          </cell>
          <cell r="R90" t="str">
            <v>BODY SPLASH</v>
          </cell>
          <cell r="S90" t="str">
            <v>LÍQUIDO</v>
          </cell>
        </row>
        <row r="91">
          <cell r="E91">
            <v>864</v>
          </cell>
          <cell r="N91">
            <v>220</v>
          </cell>
          <cell r="R91" t="str">
            <v>BODY SPLASH</v>
          </cell>
          <cell r="S91" t="str">
            <v>LÍQUIDO</v>
          </cell>
        </row>
        <row r="92">
          <cell r="E92">
            <v>848</v>
          </cell>
          <cell r="N92">
            <v>220</v>
          </cell>
          <cell r="R92" t="str">
            <v>BODY SPLASH</v>
          </cell>
          <cell r="S92" t="str">
            <v>LÍQUIDO</v>
          </cell>
        </row>
        <row r="93">
          <cell r="E93">
            <v>914.01197605045286</v>
          </cell>
          <cell r="N93">
            <v>220</v>
          </cell>
          <cell r="R93" t="str">
            <v>BODY SPLASH</v>
          </cell>
          <cell r="S93" t="str">
            <v>LÍQUIDO</v>
          </cell>
        </row>
        <row r="94">
          <cell r="E94">
            <v>1067.4125874004219</v>
          </cell>
          <cell r="N94">
            <v>220</v>
          </cell>
          <cell r="R94" t="str">
            <v>BODY SPLASH</v>
          </cell>
          <cell r="S94" t="str">
            <v>LÍQUIDO</v>
          </cell>
        </row>
        <row r="95">
          <cell r="E95">
            <v>452.33333333333331</v>
          </cell>
          <cell r="N95">
            <v>220</v>
          </cell>
          <cell r="R95" t="str">
            <v>BODY SPLASH</v>
          </cell>
          <cell r="S95" t="str">
            <v>LÍQUIDO</v>
          </cell>
        </row>
        <row r="96">
          <cell r="E96">
            <v>667.82608694976125</v>
          </cell>
          <cell r="N96">
            <v>220</v>
          </cell>
          <cell r="R96" t="str">
            <v>BODY SPLASH</v>
          </cell>
          <cell r="S96" t="str">
            <v>LÍQUIDO</v>
          </cell>
        </row>
        <row r="97">
          <cell r="E97">
            <v>1696</v>
          </cell>
          <cell r="N97">
            <v>220</v>
          </cell>
          <cell r="R97" t="str">
            <v>BODY SPLASH</v>
          </cell>
          <cell r="S97" t="str">
            <v>LÍQUIDO</v>
          </cell>
        </row>
        <row r="98">
          <cell r="E98">
            <v>759.4029850667099</v>
          </cell>
          <cell r="N98">
            <v>220</v>
          </cell>
          <cell r="R98" t="str">
            <v>BODY SPLASH</v>
          </cell>
          <cell r="S98" t="str">
            <v>LÍQUIDO</v>
          </cell>
        </row>
        <row r="99">
          <cell r="E99">
            <v>825.0810810551211</v>
          </cell>
          <cell r="N99">
            <v>220</v>
          </cell>
          <cell r="R99" t="str">
            <v>BODY SPLASH</v>
          </cell>
          <cell r="S99" t="str">
            <v>LÍQUIDO</v>
          </cell>
        </row>
        <row r="100">
          <cell r="E100">
            <v>1284.6043165230931</v>
          </cell>
          <cell r="N100">
            <v>220</v>
          </cell>
          <cell r="R100" t="str">
            <v>BODY SPLASH</v>
          </cell>
          <cell r="S100" t="str">
            <v>LÍQUIDO</v>
          </cell>
        </row>
        <row r="101">
          <cell r="E101">
            <v>485.05263159083529</v>
          </cell>
          <cell r="N101">
            <v>220</v>
          </cell>
          <cell r="R101" t="str">
            <v>BODY SPLASH</v>
          </cell>
          <cell r="S101" t="str">
            <v>LÍQUIDO</v>
          </cell>
        </row>
        <row r="102">
          <cell r="E102">
            <v>753.02752290602234</v>
          </cell>
          <cell r="N102">
            <v>220</v>
          </cell>
          <cell r="R102" t="str">
            <v>BODY SPLASH</v>
          </cell>
          <cell r="S102" t="str">
            <v>LÍQUIDO</v>
          </cell>
        </row>
        <row r="103">
          <cell r="E103">
            <v>877.24137932090946</v>
          </cell>
          <cell r="N103">
            <v>220</v>
          </cell>
          <cell r="R103" t="str">
            <v>BODY SPLASH</v>
          </cell>
          <cell r="S103" t="str">
            <v>LÍQUIDO</v>
          </cell>
        </row>
        <row r="104">
          <cell r="E104">
            <v>1031.3513513481064</v>
          </cell>
          <cell r="N104">
            <v>220</v>
          </cell>
          <cell r="R104" t="str">
            <v>BODY SPLASH</v>
          </cell>
          <cell r="S104" t="str">
            <v>LÍQUIDO</v>
          </cell>
        </row>
        <row r="105">
          <cell r="E105">
            <v>778.77551016337657</v>
          </cell>
          <cell r="N105">
            <v>220</v>
          </cell>
          <cell r="R105" t="str">
            <v>BODY SPLASH</v>
          </cell>
          <cell r="S105" t="str">
            <v>LÍQUIDO</v>
          </cell>
        </row>
        <row r="106">
          <cell r="E106">
            <v>122.70096462916868</v>
          </cell>
          <cell r="N106">
            <v>220</v>
          </cell>
          <cell r="R106" t="str">
            <v>BODY SPLASH</v>
          </cell>
          <cell r="S106" t="str">
            <v>LÍQUIDO</v>
          </cell>
        </row>
        <row r="107">
          <cell r="E107">
            <v>800</v>
          </cell>
          <cell r="N107">
            <v>220</v>
          </cell>
          <cell r="R107" t="str">
            <v>BODY SPLASH</v>
          </cell>
          <cell r="S107" t="str">
            <v>LÍQUIDO</v>
          </cell>
        </row>
        <row r="108">
          <cell r="E108">
            <v>587.9999999657739</v>
          </cell>
          <cell r="N108">
            <v>300</v>
          </cell>
          <cell r="R108" t="str">
            <v>SHAMPOO</v>
          </cell>
          <cell r="S108" t="str">
            <v>VISCOSO</v>
          </cell>
        </row>
        <row r="109">
          <cell r="E109">
            <v>703.25581397443182</v>
          </cell>
          <cell r="N109">
            <v>300</v>
          </cell>
          <cell r="R109" t="str">
            <v>SHAMPOO</v>
          </cell>
          <cell r="S109" t="str">
            <v>VISCOSO</v>
          </cell>
        </row>
        <row r="110">
          <cell r="E110">
            <v>689.63414634048434</v>
          </cell>
          <cell r="N110">
            <v>300</v>
          </cell>
          <cell r="R110" t="str">
            <v>SHAMPOO</v>
          </cell>
          <cell r="S110" t="str">
            <v>VISCOSO</v>
          </cell>
        </row>
        <row r="111">
          <cell r="E111">
            <v>355.19999998345969</v>
          </cell>
          <cell r="N111">
            <v>300</v>
          </cell>
          <cell r="R111" t="str">
            <v>CONDICIONADOR</v>
          </cell>
          <cell r="S111" t="str">
            <v>DENSO</v>
          </cell>
        </row>
        <row r="112">
          <cell r="E112">
            <v>515.61290321806121</v>
          </cell>
          <cell r="N112">
            <v>300</v>
          </cell>
          <cell r="R112" t="str">
            <v>CONDICIONADOR</v>
          </cell>
          <cell r="S112" t="str">
            <v>DENSO</v>
          </cell>
        </row>
        <row r="113">
          <cell r="E113">
            <v>292.05633802721127</v>
          </cell>
          <cell r="N113">
            <v>300</v>
          </cell>
          <cell r="R113" t="str">
            <v>CONDICIONADOR</v>
          </cell>
          <cell r="S113" t="str">
            <v>DENSO</v>
          </cell>
        </row>
        <row r="114">
          <cell r="E114">
            <v>692.30769233869046</v>
          </cell>
          <cell r="N114">
            <v>300</v>
          </cell>
          <cell r="R114" t="str">
            <v>CONDICIONADOR</v>
          </cell>
          <cell r="S114" t="str">
            <v>DENSO</v>
          </cell>
        </row>
        <row r="115">
          <cell r="E115">
            <v>681.8181818145739</v>
          </cell>
          <cell r="N115">
            <v>300</v>
          </cell>
          <cell r="R115" t="str">
            <v>CONDICIONADOR</v>
          </cell>
          <cell r="S115" t="str">
            <v>DENSO</v>
          </cell>
        </row>
        <row r="116">
          <cell r="E116">
            <v>528.00000001024455</v>
          </cell>
          <cell r="N116">
            <v>300</v>
          </cell>
          <cell r="R116" t="str">
            <v>CONDICIONADOR</v>
          </cell>
          <cell r="S116" t="str">
            <v>DENSO</v>
          </cell>
        </row>
        <row r="117">
          <cell r="E117">
            <v>498.46153840350991</v>
          </cell>
          <cell r="N117">
            <v>300</v>
          </cell>
          <cell r="R117" t="str">
            <v>SHAMPOO</v>
          </cell>
          <cell r="S117" t="str">
            <v>VISCOSO</v>
          </cell>
        </row>
        <row r="118">
          <cell r="E118">
            <v>724.6451613284205</v>
          </cell>
          <cell r="N118">
            <v>300</v>
          </cell>
          <cell r="R118" t="str">
            <v>SHAMPOO</v>
          </cell>
          <cell r="S118" t="str">
            <v>VISCOSO</v>
          </cell>
        </row>
        <row r="119">
          <cell r="E119">
            <v>705.59999998357148</v>
          </cell>
          <cell r="N119">
            <v>300</v>
          </cell>
          <cell r="R119" t="str">
            <v>SHAMPOO</v>
          </cell>
          <cell r="S119" t="str">
            <v>VISCOSO</v>
          </cell>
        </row>
        <row r="120">
          <cell r="E120">
            <v>664.61538459157805</v>
          </cell>
          <cell r="N120">
            <v>300</v>
          </cell>
          <cell r="R120" t="str">
            <v>SHAMPOO</v>
          </cell>
          <cell r="S120" t="str">
            <v>VISCOSO</v>
          </cell>
        </row>
        <row r="121">
          <cell r="E121">
            <v>352.65306121862488</v>
          </cell>
          <cell r="N121">
            <v>300</v>
          </cell>
          <cell r="R121" t="str">
            <v>SHAMPOO</v>
          </cell>
          <cell r="S121" t="str">
            <v>VISCOSO</v>
          </cell>
        </row>
        <row r="122">
          <cell r="E122">
            <v>1217.4545455060838</v>
          </cell>
          <cell r="N122">
            <v>300</v>
          </cell>
          <cell r="R122" t="str">
            <v>SHAMPOO</v>
          </cell>
          <cell r="S122" t="str">
            <v>VISCOSO</v>
          </cell>
        </row>
        <row r="123">
          <cell r="E123">
            <v>925.71428566590043</v>
          </cell>
          <cell r="N123">
            <v>300</v>
          </cell>
          <cell r="R123" t="str">
            <v>CONDICIONADOR</v>
          </cell>
          <cell r="S123" t="str">
            <v>DENSO</v>
          </cell>
        </row>
        <row r="124">
          <cell r="E124">
            <v>527.44186044869468</v>
          </cell>
          <cell r="N124">
            <v>300</v>
          </cell>
          <cell r="R124" t="str">
            <v>CONDICIONADOR</v>
          </cell>
          <cell r="S124" t="str">
            <v>DENSO</v>
          </cell>
        </row>
        <row r="125">
          <cell r="E125">
            <v>549.81818180654409</v>
          </cell>
          <cell r="N125">
            <v>250</v>
          </cell>
          <cell r="R125" t="str">
            <v>FINALIZADOR</v>
          </cell>
          <cell r="S125" t="str">
            <v>CREMOSO</v>
          </cell>
        </row>
        <row r="126">
          <cell r="E126">
            <v>580.80000001352278</v>
          </cell>
          <cell r="N126">
            <v>300</v>
          </cell>
          <cell r="R126" t="str">
            <v>CONDICIONADOR</v>
          </cell>
          <cell r="S126" t="str">
            <v>DENSO</v>
          </cell>
        </row>
        <row r="127">
          <cell r="E127">
            <v>504.00000000977889</v>
          </cell>
          <cell r="N127">
            <v>250</v>
          </cell>
          <cell r="R127" t="str">
            <v>FINALIZADOR</v>
          </cell>
          <cell r="S127" t="str">
            <v>CREMOSO</v>
          </cell>
        </row>
        <row r="128">
          <cell r="E128">
            <v>403.20000000625851</v>
          </cell>
          <cell r="N128">
            <v>250</v>
          </cell>
          <cell r="R128" t="str">
            <v>FINALIZADOR</v>
          </cell>
          <cell r="S128" t="str">
            <v>CREMOSO</v>
          </cell>
        </row>
        <row r="129">
          <cell r="E129" t="str">
            <v/>
          </cell>
          <cell r="N129">
            <v>250</v>
          </cell>
          <cell r="R129" t="str">
            <v>FINALIZADOR</v>
          </cell>
          <cell r="S129" t="str">
            <v>CREMOSO</v>
          </cell>
        </row>
        <row r="130">
          <cell r="E130">
            <v>530.52631575046644</v>
          </cell>
          <cell r="N130">
            <v>250</v>
          </cell>
          <cell r="R130" t="str">
            <v>FINALIZADOR</v>
          </cell>
          <cell r="S130" t="str">
            <v>CREMOSO</v>
          </cell>
        </row>
        <row r="131">
          <cell r="E131" t="str">
            <v/>
          </cell>
          <cell r="N131">
            <v>250</v>
          </cell>
          <cell r="R131" t="str">
            <v>FINALIZADOR</v>
          </cell>
          <cell r="S131" t="str">
            <v>CREMOSO</v>
          </cell>
        </row>
        <row r="132">
          <cell r="E132" t="str">
            <v/>
          </cell>
          <cell r="N132">
            <v>250</v>
          </cell>
          <cell r="R132" t="str">
            <v>FINALIZADOR</v>
          </cell>
          <cell r="S132" t="str">
            <v>CREMOSO</v>
          </cell>
        </row>
        <row r="133">
          <cell r="E133">
            <v>1517.9999998232815</v>
          </cell>
          <cell r="N133">
            <v>30</v>
          </cell>
          <cell r="R133" t="str">
            <v>CREME HIDRATANTE</v>
          </cell>
          <cell r="S133" t="str">
            <v>CREMOSO</v>
          </cell>
        </row>
        <row r="134">
          <cell r="E134">
            <v>1224.0000001139938</v>
          </cell>
          <cell r="N134">
            <v>30</v>
          </cell>
          <cell r="R134" t="str">
            <v>CREME HIDRATANTE</v>
          </cell>
          <cell r="S134" t="str">
            <v>CREMOSO</v>
          </cell>
        </row>
        <row r="135">
          <cell r="E135">
            <v>907.19999998943877</v>
          </cell>
          <cell r="N135">
            <v>250</v>
          </cell>
          <cell r="R135" t="str">
            <v>FINALIZADOR</v>
          </cell>
          <cell r="S135" t="str">
            <v>CREMOSO</v>
          </cell>
        </row>
        <row r="136">
          <cell r="E136">
            <v>533.64705882718386</v>
          </cell>
          <cell r="N136">
            <v>250</v>
          </cell>
          <cell r="R136" t="str">
            <v>FINALIZADOR</v>
          </cell>
          <cell r="S136" t="str">
            <v>CREMOSO</v>
          </cell>
        </row>
        <row r="137">
          <cell r="E137">
            <v>863.99999998994167</v>
          </cell>
          <cell r="N137">
            <v>250</v>
          </cell>
          <cell r="R137" t="str">
            <v>MÁSCARA</v>
          </cell>
          <cell r="S137" t="str">
            <v>CREMOSO</v>
          </cell>
        </row>
        <row r="138">
          <cell r="E138">
            <v>824.72727270981625</v>
          </cell>
          <cell r="N138">
            <v>250</v>
          </cell>
          <cell r="R138" t="str">
            <v>MÁSCARA</v>
          </cell>
          <cell r="S138" t="str">
            <v>CREMOSO</v>
          </cell>
        </row>
        <row r="139">
          <cell r="E139">
            <v>593.37931035435565</v>
          </cell>
          <cell r="N139">
            <v>250</v>
          </cell>
          <cell r="R139" t="str">
            <v>MÁSCARA</v>
          </cell>
          <cell r="S139" t="str">
            <v>CREMOSO</v>
          </cell>
        </row>
        <row r="140">
          <cell r="E140">
            <v>925.71428569889042</v>
          </cell>
          <cell r="N140">
            <v>250</v>
          </cell>
          <cell r="R140" t="str">
            <v>MÁSCARA</v>
          </cell>
          <cell r="S140" t="str">
            <v>CREMOSO</v>
          </cell>
        </row>
        <row r="141">
          <cell r="E141">
            <v>762.35294117497904</v>
          </cell>
          <cell r="N141">
            <v>250</v>
          </cell>
          <cell r="R141" t="str">
            <v>MÁSCARA</v>
          </cell>
          <cell r="S141" t="str">
            <v>CREMOSO</v>
          </cell>
        </row>
        <row r="142">
          <cell r="E142">
            <v>1814.3999997887761</v>
          </cell>
          <cell r="N142">
            <v>250</v>
          </cell>
          <cell r="R142" t="str">
            <v>MÁSCARA</v>
          </cell>
          <cell r="S142" t="str">
            <v>CREMOSO</v>
          </cell>
        </row>
        <row r="143">
          <cell r="E143">
            <v>504</v>
          </cell>
          <cell r="N143">
            <v>250</v>
          </cell>
          <cell r="R143" t="str">
            <v>MÁSCARA</v>
          </cell>
          <cell r="S143" t="str">
            <v>CREMOSO</v>
          </cell>
        </row>
        <row r="144">
          <cell r="E144">
            <v>619.30069927851594</v>
          </cell>
          <cell r="N144">
            <v>250</v>
          </cell>
          <cell r="R144" t="str">
            <v>MÁSCARA</v>
          </cell>
          <cell r="S144" t="str">
            <v>CREMOSO</v>
          </cell>
        </row>
        <row r="145">
          <cell r="E145">
            <v>833.5922330059401</v>
          </cell>
          <cell r="N145">
            <v>250</v>
          </cell>
          <cell r="R145" t="str">
            <v>MÁSCARA</v>
          </cell>
          <cell r="S145" t="str">
            <v>CREMOSO</v>
          </cell>
        </row>
        <row r="146">
          <cell r="E146">
            <v>593.4545454545455</v>
          </cell>
          <cell r="N146">
            <v>200</v>
          </cell>
          <cell r="R146" t="str">
            <v>CREME HIDRATANTE</v>
          </cell>
          <cell r="S146" t="str">
            <v>CREMOSO</v>
          </cell>
        </row>
        <row r="147">
          <cell r="E147">
            <v>1007.9999999706633</v>
          </cell>
          <cell r="N147">
            <v>200</v>
          </cell>
          <cell r="R147" t="str">
            <v>CREME HIDRATANTE</v>
          </cell>
          <cell r="S147" t="str">
            <v>CREMOSO</v>
          </cell>
        </row>
        <row r="148">
          <cell r="E148">
            <v>274.90909090327204</v>
          </cell>
          <cell r="N148">
            <v>200</v>
          </cell>
          <cell r="R148" t="str">
            <v>CREME HIDRATANTE</v>
          </cell>
          <cell r="S148" t="str">
            <v>CREMOSO</v>
          </cell>
        </row>
        <row r="149">
          <cell r="E149">
            <v>695.17241378752215</v>
          </cell>
          <cell r="N149">
            <v>200</v>
          </cell>
          <cell r="R149" t="str">
            <v>CREME HIDRATANTE</v>
          </cell>
          <cell r="S149" t="str">
            <v>CREMOSO</v>
          </cell>
        </row>
        <row r="150">
          <cell r="E150">
            <v>515.99999999249121</v>
          </cell>
          <cell r="N150">
            <v>200</v>
          </cell>
          <cell r="R150" t="str">
            <v>CREME HIDRATANTE</v>
          </cell>
          <cell r="S150" t="str">
            <v>CREMOSO</v>
          </cell>
        </row>
        <row r="151">
          <cell r="E151">
            <v>633.29842930470375</v>
          </cell>
          <cell r="N151">
            <v>200</v>
          </cell>
          <cell r="R151" t="str">
            <v>CREME HIDRATANTE</v>
          </cell>
          <cell r="S151" t="str">
            <v>CREMOSO</v>
          </cell>
        </row>
        <row r="152">
          <cell r="E152" t="str">
            <v/>
          </cell>
          <cell r="N152">
            <v>1000</v>
          </cell>
          <cell r="R152" t="str">
            <v>BASE</v>
          </cell>
          <cell r="S152" t="str">
            <v>LÍQUIDO</v>
          </cell>
        </row>
        <row r="153">
          <cell r="E153">
            <v>368.78048780435449</v>
          </cell>
          <cell r="N153">
            <v>200</v>
          </cell>
          <cell r="R153" t="str">
            <v>CREME HIDRATANTE</v>
          </cell>
          <cell r="S153" t="str">
            <v>CREMOSO</v>
          </cell>
        </row>
        <row r="154">
          <cell r="E154">
            <v>221.58620689744123</v>
          </cell>
          <cell r="N154">
            <v>1000</v>
          </cell>
          <cell r="R154" t="str">
            <v>BASE</v>
          </cell>
          <cell r="S154" t="str">
            <v>LÍQUIDO</v>
          </cell>
        </row>
        <row r="155">
          <cell r="E155">
            <v>1612.7999999248982</v>
          </cell>
          <cell r="N155">
            <v>200</v>
          </cell>
          <cell r="R155" t="str">
            <v>CREME HIDRATANTE</v>
          </cell>
          <cell r="S155" t="str">
            <v>CREMOSO</v>
          </cell>
        </row>
        <row r="156">
          <cell r="E156">
            <v>418.54671278894301</v>
          </cell>
          <cell r="N156">
            <v>200</v>
          </cell>
          <cell r="R156" t="str">
            <v>CREME HIDRATANTE</v>
          </cell>
          <cell r="S156" t="str">
            <v>CREMOSO</v>
          </cell>
        </row>
        <row r="157">
          <cell r="E157">
            <v>1481.1428571921222</v>
          </cell>
          <cell r="N157">
            <v>200</v>
          </cell>
          <cell r="R157" t="str">
            <v>CREME HIDRATANTE</v>
          </cell>
          <cell r="S157" t="str">
            <v>CREMOSO</v>
          </cell>
        </row>
        <row r="158">
          <cell r="E158" t="str">
            <v/>
          </cell>
          <cell r="N158">
            <v>50</v>
          </cell>
          <cell r="R158" t="str">
            <v>PERFUME</v>
          </cell>
          <cell r="S158" t="str">
            <v>LÍQUIDO</v>
          </cell>
        </row>
        <row r="159">
          <cell r="E159">
            <v>251.99999999633292</v>
          </cell>
          <cell r="N159">
            <v>1000</v>
          </cell>
          <cell r="R159" t="str">
            <v>BASE</v>
          </cell>
          <cell r="S159" t="str">
            <v>LÍQUIDO</v>
          </cell>
        </row>
        <row r="160">
          <cell r="E160">
            <v>407.99999998812564</v>
          </cell>
          <cell r="N160">
            <v>200</v>
          </cell>
          <cell r="R160" t="str">
            <v>CREME HIDRATANTE</v>
          </cell>
          <cell r="S160" t="str">
            <v>CREMOSO</v>
          </cell>
        </row>
        <row r="161">
          <cell r="E161" t="str">
            <v/>
          </cell>
          <cell r="N161">
            <v>50</v>
          </cell>
          <cell r="R161" t="str">
            <v>PERFUME</v>
          </cell>
          <cell r="S161" t="str">
            <v>LÍQUIDO</v>
          </cell>
        </row>
        <row r="162">
          <cell r="E162">
            <v>1109.3333333333333</v>
          </cell>
          <cell r="N162">
            <v>220</v>
          </cell>
          <cell r="R162" t="str">
            <v>BODY SPLASH</v>
          </cell>
          <cell r="S162" t="str">
            <v>LÍQUIDO</v>
          </cell>
        </row>
        <row r="163">
          <cell r="E163">
            <v>480.00000001015991</v>
          </cell>
          <cell r="N163">
            <v>220</v>
          </cell>
          <cell r="R163" t="str">
            <v>BODY SPLASH</v>
          </cell>
          <cell r="S163" t="str">
            <v>LÍQUIDO</v>
          </cell>
        </row>
        <row r="164">
          <cell r="E164">
            <v>515.67567565579998</v>
          </cell>
          <cell r="N164">
            <v>220</v>
          </cell>
          <cell r="R164" t="str">
            <v>BODY SPLASH</v>
          </cell>
          <cell r="S164" t="str">
            <v>LÍQUIDO</v>
          </cell>
        </row>
        <row r="165">
          <cell r="E165" t="str">
            <v/>
          </cell>
          <cell r="N165">
            <v>50</v>
          </cell>
          <cell r="R165" t="str">
            <v>PERFUME</v>
          </cell>
          <cell r="S165" t="str">
            <v>LÍQUIDO</v>
          </cell>
        </row>
        <row r="166">
          <cell r="E166" t="str">
            <v/>
          </cell>
          <cell r="N166">
            <v>50</v>
          </cell>
          <cell r="R166" t="str">
            <v>PERFUME</v>
          </cell>
          <cell r="S166" t="str">
            <v>LÍQUIDO</v>
          </cell>
        </row>
        <row r="167">
          <cell r="E167" t="str">
            <v/>
          </cell>
          <cell r="N167">
            <v>50</v>
          </cell>
          <cell r="R167" t="str">
            <v>PERFUME</v>
          </cell>
          <cell r="S167" t="str">
            <v>LÍQUIDO</v>
          </cell>
        </row>
        <row r="168">
          <cell r="E168">
            <v>803.36842106247627</v>
          </cell>
          <cell r="N168">
            <v>220</v>
          </cell>
          <cell r="R168" t="str">
            <v>BODY SPLASH</v>
          </cell>
          <cell r="S168" t="str">
            <v>LÍQUIDO</v>
          </cell>
        </row>
        <row r="169">
          <cell r="E169">
            <v>635.99999998148996</v>
          </cell>
          <cell r="N169">
            <v>220</v>
          </cell>
          <cell r="R169" t="str">
            <v>BODY SPLASH</v>
          </cell>
          <cell r="S169" t="str">
            <v>LÍQUIDO</v>
          </cell>
        </row>
        <row r="170">
          <cell r="E170" t="str">
            <v/>
          </cell>
          <cell r="N170">
            <v>50</v>
          </cell>
          <cell r="R170" t="str">
            <v>PERFUME</v>
          </cell>
          <cell r="S170" t="str">
            <v>LÍQUIDO</v>
          </cell>
        </row>
        <row r="171">
          <cell r="E171" t="str">
            <v/>
          </cell>
          <cell r="N171">
            <v>50</v>
          </cell>
          <cell r="R171" t="str">
            <v>PERFUME</v>
          </cell>
          <cell r="S171" t="str">
            <v>LÍQUIDO</v>
          </cell>
        </row>
        <row r="172">
          <cell r="E172" t="str">
            <v/>
          </cell>
          <cell r="N172">
            <v>50</v>
          </cell>
          <cell r="R172" t="str">
            <v>PERFUME</v>
          </cell>
          <cell r="S172" t="str">
            <v>LÍQUIDO</v>
          </cell>
        </row>
        <row r="173">
          <cell r="E173" t="str">
            <v/>
          </cell>
          <cell r="N173">
            <v>50</v>
          </cell>
          <cell r="R173" t="str">
            <v>PERFUME</v>
          </cell>
          <cell r="S173" t="str">
            <v>LÍQUIDO</v>
          </cell>
        </row>
        <row r="174">
          <cell r="E174" t="str">
            <v/>
          </cell>
          <cell r="N174">
            <v>50</v>
          </cell>
          <cell r="R174" t="str">
            <v>PERFUME</v>
          </cell>
          <cell r="S174" t="str">
            <v>LÍQUIDO</v>
          </cell>
        </row>
        <row r="175">
          <cell r="E175">
            <v>921.59999997138982</v>
          </cell>
          <cell r="N175">
            <v>220</v>
          </cell>
          <cell r="R175" t="str">
            <v>BODY SPLASH</v>
          </cell>
          <cell r="S175" t="str">
            <v>LÍQUIDO</v>
          </cell>
        </row>
        <row r="176">
          <cell r="E176">
            <v>723.41232228765364</v>
          </cell>
          <cell r="N176">
            <v>220</v>
          </cell>
          <cell r="R176" t="str">
            <v>BODY SPLASH</v>
          </cell>
          <cell r="S176" t="str">
            <v>LÍQUIDO</v>
          </cell>
        </row>
        <row r="177">
          <cell r="E177">
            <v>877.24137925047887</v>
          </cell>
          <cell r="N177">
            <v>220</v>
          </cell>
          <cell r="R177" t="str">
            <v>BODY SPLASH</v>
          </cell>
          <cell r="S177" t="str">
            <v>LÍQUIDO</v>
          </cell>
        </row>
        <row r="178">
          <cell r="E178" t="str">
            <v/>
          </cell>
          <cell r="N178">
            <v>50</v>
          </cell>
          <cell r="R178" t="str">
            <v>PERFUME</v>
          </cell>
          <cell r="S178" t="str">
            <v>LÍQUIDO</v>
          </cell>
        </row>
        <row r="179">
          <cell r="E179" t="str">
            <v/>
          </cell>
          <cell r="N179">
            <v>50</v>
          </cell>
          <cell r="R179" t="str">
            <v>PERFUME</v>
          </cell>
          <cell r="S179" t="str">
            <v>LÍQUIDO</v>
          </cell>
        </row>
        <row r="180">
          <cell r="E180" t="str">
            <v/>
          </cell>
          <cell r="N180">
            <v>50</v>
          </cell>
          <cell r="R180" t="str">
            <v>PERFUME</v>
          </cell>
          <cell r="S180" t="str">
            <v>LÍQUIDO</v>
          </cell>
        </row>
        <row r="181">
          <cell r="E181" t="str">
            <v/>
          </cell>
          <cell r="N181">
            <v>50</v>
          </cell>
          <cell r="R181" t="str">
            <v>PERFUME</v>
          </cell>
          <cell r="S181" t="str">
            <v>LÍQUIDO</v>
          </cell>
        </row>
        <row r="182">
          <cell r="E182">
            <v>908.57142857520614</v>
          </cell>
          <cell r="N182">
            <v>220</v>
          </cell>
          <cell r="R182" t="str">
            <v>BODY SPLASH</v>
          </cell>
          <cell r="S182" t="str">
            <v>LÍQUIDO</v>
          </cell>
        </row>
        <row r="183">
          <cell r="E183">
            <v>227.56476683985866</v>
          </cell>
          <cell r="N183">
            <v>220</v>
          </cell>
          <cell r="R183" t="str">
            <v>BODY SPLASH</v>
          </cell>
          <cell r="S183" t="str">
            <v>LÍQUIDO</v>
          </cell>
        </row>
        <row r="184">
          <cell r="E184" t="str">
            <v/>
          </cell>
          <cell r="N184">
            <v>50</v>
          </cell>
          <cell r="R184" t="str">
            <v>PERFUME</v>
          </cell>
          <cell r="S184" t="str">
            <v>LÍQUIDO</v>
          </cell>
        </row>
        <row r="185">
          <cell r="E185" t="str">
            <v/>
          </cell>
          <cell r="N185">
            <v>50</v>
          </cell>
          <cell r="R185" t="str">
            <v>PERFUME</v>
          </cell>
          <cell r="S185" t="str">
            <v>LÍQUIDO</v>
          </cell>
        </row>
        <row r="186">
          <cell r="E186" t="str">
            <v/>
          </cell>
          <cell r="N186">
            <v>50</v>
          </cell>
          <cell r="R186" t="str">
            <v>PERFUME</v>
          </cell>
          <cell r="S186" t="str">
            <v>LÍQUIDO</v>
          </cell>
        </row>
        <row r="187">
          <cell r="E187">
            <v>936.44171774860718</v>
          </cell>
          <cell r="N187">
            <v>220</v>
          </cell>
          <cell r="R187" t="str">
            <v>BODY SPLASH</v>
          </cell>
          <cell r="S187" t="str">
            <v>LÍQUIDO</v>
          </cell>
        </row>
        <row r="188">
          <cell r="E188">
            <v>1031.1111111733526</v>
          </cell>
          <cell r="N188">
            <v>220</v>
          </cell>
          <cell r="R188" t="str">
            <v>BODY SPLASH</v>
          </cell>
          <cell r="S188" t="str">
            <v>LÍQUIDO</v>
          </cell>
        </row>
        <row r="189">
          <cell r="E189">
            <v>652.30769228432655</v>
          </cell>
          <cell r="N189">
            <v>220</v>
          </cell>
          <cell r="R189" t="str">
            <v>BODY SPLASH</v>
          </cell>
          <cell r="S189" t="str">
            <v>LÍQUIDO</v>
          </cell>
        </row>
        <row r="190">
          <cell r="E190" t="str">
            <v/>
          </cell>
          <cell r="N190">
            <v>50</v>
          </cell>
          <cell r="R190" t="str">
            <v>PERFUME</v>
          </cell>
          <cell r="S190" t="str">
            <v>LÍQUIDO</v>
          </cell>
        </row>
        <row r="191">
          <cell r="E191" t="str">
            <v/>
          </cell>
          <cell r="N191">
            <v>50</v>
          </cell>
          <cell r="R191" t="str">
            <v>PERFUME</v>
          </cell>
          <cell r="S191" t="str">
            <v>LÍQUIDO</v>
          </cell>
        </row>
        <row r="192">
          <cell r="E192">
            <v>1043.758389235649</v>
          </cell>
          <cell r="N192">
            <v>220</v>
          </cell>
          <cell r="R192" t="str">
            <v>BODY SPLASH</v>
          </cell>
          <cell r="S192" t="str">
            <v>LÍQUIDO</v>
          </cell>
        </row>
        <row r="193">
          <cell r="E193">
            <v>942.5454545454545</v>
          </cell>
          <cell r="N193">
            <v>220</v>
          </cell>
          <cell r="R193" t="str">
            <v>BODY SPLASH</v>
          </cell>
          <cell r="S193" t="str">
            <v>LÍQUIDO</v>
          </cell>
        </row>
        <row r="194">
          <cell r="E194">
            <v>609.23076920894653</v>
          </cell>
          <cell r="N194">
            <v>220</v>
          </cell>
          <cell r="R194" t="str">
            <v>BODY SPLASH</v>
          </cell>
          <cell r="S194" t="str">
            <v>LÍQUIDO</v>
          </cell>
        </row>
        <row r="195">
          <cell r="E195" t="str">
            <v/>
          </cell>
          <cell r="N195">
            <v>50</v>
          </cell>
          <cell r="R195" t="str">
            <v>PERFUME</v>
          </cell>
          <cell r="S195" t="str">
            <v>LÍQUIDO</v>
          </cell>
        </row>
        <row r="196">
          <cell r="E196" t="str">
            <v/>
          </cell>
          <cell r="N196">
            <v>50</v>
          </cell>
          <cell r="R196" t="str">
            <v>PERFUME</v>
          </cell>
          <cell r="S196" t="str">
            <v>LÍQUIDO</v>
          </cell>
        </row>
        <row r="197">
          <cell r="E197">
            <v>555.42857143318997</v>
          </cell>
          <cell r="N197">
            <v>220</v>
          </cell>
          <cell r="R197" t="str">
            <v>BODY SPLASH</v>
          </cell>
          <cell r="S197" t="str">
            <v>LÍQUIDO</v>
          </cell>
        </row>
        <row r="198">
          <cell r="E198">
            <v>676.17391302636588</v>
          </cell>
          <cell r="N198">
            <v>220</v>
          </cell>
          <cell r="R198" t="str">
            <v>BODY SPLASH</v>
          </cell>
          <cell r="S198" t="str">
            <v>LÍQUIDO</v>
          </cell>
        </row>
        <row r="199">
          <cell r="E199" t="str">
            <v/>
          </cell>
          <cell r="N199">
            <v>50</v>
          </cell>
          <cell r="R199" t="str">
            <v>PERFUME</v>
          </cell>
          <cell r="S199" t="str">
            <v>LÍQUIDO</v>
          </cell>
        </row>
        <row r="200">
          <cell r="E200" t="str">
            <v/>
          </cell>
          <cell r="N200">
            <v>50</v>
          </cell>
          <cell r="R200" t="str">
            <v>PERFUME</v>
          </cell>
          <cell r="S200" t="str">
            <v>LÍQUIDO</v>
          </cell>
        </row>
        <row r="201">
          <cell r="E201" t="str">
            <v/>
          </cell>
          <cell r="N201">
            <v>50</v>
          </cell>
          <cell r="R201" t="str">
            <v>PERFUME</v>
          </cell>
          <cell r="S201" t="str">
            <v>LÍQUIDO</v>
          </cell>
        </row>
        <row r="202">
          <cell r="E202">
            <v>289.07063196438048</v>
          </cell>
          <cell r="N202">
            <v>220</v>
          </cell>
          <cell r="R202" t="str">
            <v>BODY SPLASH</v>
          </cell>
          <cell r="S202" t="str">
            <v>LÍQUIDO</v>
          </cell>
        </row>
        <row r="203">
          <cell r="E203" t="str">
            <v/>
          </cell>
          <cell r="N203">
            <v>50</v>
          </cell>
          <cell r="R203" t="str">
            <v>PERFUME</v>
          </cell>
          <cell r="S203" t="str">
            <v>LÍQUIDO</v>
          </cell>
        </row>
        <row r="204">
          <cell r="E204" t="str">
            <v/>
          </cell>
          <cell r="N204">
            <v>50</v>
          </cell>
          <cell r="R204" t="str">
            <v>PERFUME</v>
          </cell>
          <cell r="S204" t="str">
            <v>LÍQUIDO</v>
          </cell>
        </row>
        <row r="205">
          <cell r="E205" t="str">
            <v/>
          </cell>
          <cell r="N205">
            <v>50</v>
          </cell>
          <cell r="R205" t="str">
            <v>PERFUME</v>
          </cell>
          <cell r="S205" t="str">
            <v>LÍQUIDO</v>
          </cell>
        </row>
        <row r="206">
          <cell r="E206" t="str">
            <v/>
          </cell>
          <cell r="N206">
            <v>50</v>
          </cell>
          <cell r="R206" t="str">
            <v>PERFUME</v>
          </cell>
          <cell r="S206" t="str">
            <v>LÍQUIDO</v>
          </cell>
        </row>
        <row r="207">
          <cell r="E207" t="str">
            <v/>
          </cell>
          <cell r="N207">
            <v>50</v>
          </cell>
          <cell r="R207" t="str">
            <v>PERFUME</v>
          </cell>
          <cell r="S207" t="str">
            <v>LÍQUIDO</v>
          </cell>
        </row>
        <row r="208">
          <cell r="E208" t="str">
            <v/>
          </cell>
          <cell r="N208">
            <v>50</v>
          </cell>
          <cell r="R208" t="str">
            <v>PERFUME</v>
          </cell>
          <cell r="S208" t="str">
            <v>LÍQUIDO</v>
          </cell>
        </row>
        <row r="209">
          <cell r="E209" t="str">
            <v/>
          </cell>
          <cell r="N209">
            <v>50</v>
          </cell>
          <cell r="R209" t="str">
            <v>PERFUME</v>
          </cell>
          <cell r="S209" t="str">
            <v>LÍQUIDO</v>
          </cell>
        </row>
        <row r="210">
          <cell r="E210">
            <v>941.34275615896274</v>
          </cell>
          <cell r="N210">
            <v>120</v>
          </cell>
          <cell r="R210" t="str">
            <v>BODY SPLASH</v>
          </cell>
          <cell r="S210" t="str">
            <v>LÍQUIDO</v>
          </cell>
        </row>
        <row r="211">
          <cell r="E211">
            <v>776.47058823377495</v>
          </cell>
          <cell r="N211">
            <v>120</v>
          </cell>
          <cell r="R211" t="str">
            <v>BODY SPLASH</v>
          </cell>
          <cell r="S211" t="str">
            <v>LÍQUIDO</v>
          </cell>
        </row>
        <row r="212">
          <cell r="E212" t="str">
            <v/>
          </cell>
          <cell r="N212">
            <v>50</v>
          </cell>
          <cell r="R212" t="str">
            <v>PERFUME</v>
          </cell>
          <cell r="S212" t="str">
            <v>LÍQUIDO</v>
          </cell>
        </row>
        <row r="213">
          <cell r="E213" t="str">
            <v/>
          </cell>
          <cell r="N213">
            <v>50</v>
          </cell>
          <cell r="R213" t="str">
            <v>PERFUME</v>
          </cell>
          <cell r="S213" t="str">
            <v>LÍQUIDO</v>
          </cell>
        </row>
        <row r="214">
          <cell r="E214" t="str">
            <v/>
          </cell>
          <cell r="N214">
            <v>50</v>
          </cell>
          <cell r="R214" t="str">
            <v>PERFUME</v>
          </cell>
          <cell r="S214" t="str">
            <v>LÍQUIDO</v>
          </cell>
        </row>
        <row r="215">
          <cell r="E215">
            <v>1131.4285714339476</v>
          </cell>
          <cell r="N215">
            <v>120</v>
          </cell>
          <cell r="R215" t="str">
            <v>BODY SPLASH</v>
          </cell>
          <cell r="S215" t="str">
            <v>LÍQUIDO</v>
          </cell>
        </row>
        <row r="216">
          <cell r="E216">
            <v>719.9999999955885</v>
          </cell>
          <cell r="N216">
            <v>120</v>
          </cell>
          <cell r="R216" t="str">
            <v>BODY SPLASH</v>
          </cell>
          <cell r="S216" t="str">
            <v>LÍQUIDO</v>
          </cell>
        </row>
        <row r="217">
          <cell r="E217">
            <v>989.99999997118721</v>
          </cell>
          <cell r="N217">
            <v>120</v>
          </cell>
          <cell r="R217" t="str">
            <v>BODY SPLASH</v>
          </cell>
          <cell r="S217" t="str">
            <v>LÍQUIDO</v>
          </cell>
        </row>
        <row r="218">
          <cell r="E218">
            <v>997.12230213990097</v>
          </cell>
          <cell r="N218">
            <v>120</v>
          </cell>
          <cell r="R218" t="str">
            <v>BODY SPLASH</v>
          </cell>
          <cell r="S218" t="str">
            <v>LÍQUIDO</v>
          </cell>
        </row>
        <row r="219">
          <cell r="E219">
            <v>1122.2672064534013</v>
          </cell>
          <cell r="N219">
            <v>120</v>
          </cell>
          <cell r="R219" t="str">
            <v>BODY SPLASH</v>
          </cell>
          <cell r="S219" t="str">
            <v>LÍQUIDO</v>
          </cell>
        </row>
        <row r="220">
          <cell r="E220">
            <v>1007.9999999786643</v>
          </cell>
          <cell r="N220">
            <v>120</v>
          </cell>
          <cell r="R220" t="str">
            <v>BODY SPLASH</v>
          </cell>
          <cell r="S220" t="str">
            <v>LÍQUIDO</v>
          </cell>
        </row>
        <row r="221">
          <cell r="E221">
            <v>1122.2672065010063</v>
          </cell>
          <cell r="N221">
            <v>120</v>
          </cell>
          <cell r="R221" t="str">
            <v>BODY SPLASH</v>
          </cell>
          <cell r="S221" t="str">
            <v>LÍQUIDO</v>
          </cell>
        </row>
        <row r="222">
          <cell r="E222">
            <v>1084.3373494219245</v>
          </cell>
          <cell r="N222">
            <v>120</v>
          </cell>
          <cell r="R222" t="str">
            <v>BODY SPLASH</v>
          </cell>
          <cell r="S222" t="str">
            <v>LÍQUIDO</v>
          </cell>
        </row>
        <row r="223">
          <cell r="E223">
            <v>960.0000000372529</v>
          </cell>
          <cell r="N223">
            <v>220</v>
          </cell>
          <cell r="R223" t="str">
            <v>BODY SPLASH</v>
          </cell>
          <cell r="S223" t="str">
            <v>LÍQUIDO</v>
          </cell>
        </row>
        <row r="224">
          <cell r="E224">
            <v>720.00000004190952</v>
          </cell>
          <cell r="N224">
            <v>220</v>
          </cell>
          <cell r="R224" t="str">
            <v>BODY SPLASH</v>
          </cell>
          <cell r="S224" t="str">
            <v>LÍQUIDO</v>
          </cell>
        </row>
        <row r="225">
          <cell r="E225">
            <v>1026.6666666666667</v>
          </cell>
          <cell r="N225">
            <v>120</v>
          </cell>
          <cell r="R225" t="str">
            <v>BODY SPLASH</v>
          </cell>
          <cell r="S225" t="str">
            <v>LÍQUIDO</v>
          </cell>
        </row>
        <row r="226">
          <cell r="E226">
            <v>1026.6666666666667</v>
          </cell>
          <cell r="N226">
            <v>120</v>
          </cell>
          <cell r="R226" t="str">
            <v>BODY SPLASH</v>
          </cell>
          <cell r="S226" t="str">
            <v>LÍQUIDO</v>
          </cell>
        </row>
        <row r="227">
          <cell r="E227">
            <v>157.11340205883869</v>
          </cell>
          <cell r="N227">
            <v>50</v>
          </cell>
          <cell r="R227" t="str">
            <v>PERFUME</v>
          </cell>
          <cell r="S227" t="str">
            <v>LÍQUIDO</v>
          </cell>
        </row>
        <row r="228">
          <cell r="E228">
            <v>1385.9999999838649</v>
          </cell>
          <cell r="N228">
            <v>120</v>
          </cell>
          <cell r="R228" t="str">
            <v>BODY SPLASH</v>
          </cell>
          <cell r="S228" t="str">
            <v>LÍQUIDO</v>
          </cell>
        </row>
        <row r="229">
          <cell r="E229">
            <v>1226.548672548681</v>
          </cell>
          <cell r="N229">
            <v>120</v>
          </cell>
          <cell r="R229" t="str">
            <v>BODY SPLASH</v>
          </cell>
          <cell r="S229" t="str">
            <v>LÍQUIDO</v>
          </cell>
        </row>
        <row r="230">
          <cell r="E230">
            <v>1091.3385826311478</v>
          </cell>
          <cell r="N230">
            <v>120</v>
          </cell>
          <cell r="R230" t="str">
            <v>BODY SPLASH</v>
          </cell>
          <cell r="S230" t="str">
            <v>LÍQUIDO</v>
          </cell>
        </row>
        <row r="231">
          <cell r="E231">
            <v>1091.3385826311478</v>
          </cell>
          <cell r="N231">
            <v>120</v>
          </cell>
          <cell r="R231" t="str">
            <v>BODY SPLASH</v>
          </cell>
          <cell r="S231" t="str">
            <v>LÍQUIDO</v>
          </cell>
        </row>
        <row r="232">
          <cell r="E232">
            <v>780</v>
          </cell>
          <cell r="N232">
            <v>120</v>
          </cell>
          <cell r="R232" t="str">
            <v>BODY SPLASH</v>
          </cell>
          <cell r="S232" t="str">
            <v>LÍQUIDO</v>
          </cell>
        </row>
        <row r="233">
          <cell r="E233">
            <v>49.999999998544808</v>
          </cell>
          <cell r="N233">
            <v>1000</v>
          </cell>
          <cell r="R233" t="str">
            <v>BASE</v>
          </cell>
          <cell r="S233" t="str">
            <v>LÍQUIDO</v>
          </cell>
        </row>
        <row r="234">
          <cell r="E234">
            <v>199.99999999417923</v>
          </cell>
          <cell r="N234">
            <v>500</v>
          </cell>
          <cell r="R234" t="str">
            <v>BASE</v>
          </cell>
          <cell r="S234" t="str">
            <v>LÍQUIDO</v>
          </cell>
        </row>
        <row r="235">
          <cell r="E235">
            <v>969.23076923155827</v>
          </cell>
          <cell r="N235">
            <v>120</v>
          </cell>
          <cell r="R235" t="str">
            <v>BODY SPLASH</v>
          </cell>
          <cell r="S235" t="str">
            <v>LÍQUIDO ESPESSO</v>
          </cell>
        </row>
        <row r="236">
          <cell r="E236">
            <v>969.23076923155827</v>
          </cell>
          <cell r="N236">
            <v>120</v>
          </cell>
          <cell r="R236" t="str">
            <v>BODY SPLASH</v>
          </cell>
          <cell r="S236" t="str">
            <v>LÍQUIDO ESPESSO</v>
          </cell>
        </row>
        <row r="237">
          <cell r="E237">
            <v>949.31506847574087</v>
          </cell>
          <cell r="N237">
            <v>120</v>
          </cell>
          <cell r="R237" t="str">
            <v>BODY SPLASH</v>
          </cell>
          <cell r="S237" t="str">
            <v>LÍQUIDO ESPESSO</v>
          </cell>
        </row>
        <row r="238">
          <cell r="E238">
            <v>1108.7999999638573</v>
          </cell>
          <cell r="N238">
            <v>120</v>
          </cell>
          <cell r="R238" t="str">
            <v>BODY SPLASH</v>
          </cell>
          <cell r="S238" t="str">
            <v>LÍQUIDO ESPESSO</v>
          </cell>
        </row>
        <row r="239">
          <cell r="E239">
            <v>1108.7999999638573</v>
          </cell>
          <cell r="N239">
            <v>120</v>
          </cell>
          <cell r="R239" t="str">
            <v>BODY SPLASH</v>
          </cell>
          <cell r="S239" t="str">
            <v>LÍQUIDO ESPESSO</v>
          </cell>
        </row>
        <row r="240">
          <cell r="E240">
            <v>990.00000000823218</v>
          </cell>
          <cell r="N240">
            <v>120</v>
          </cell>
          <cell r="R240" t="str">
            <v>BODY SPLASH</v>
          </cell>
          <cell r="S240" t="str">
            <v>LÍQUIDO ESPESSO</v>
          </cell>
        </row>
        <row r="241">
          <cell r="E241">
            <v>779.99999997729901</v>
          </cell>
          <cell r="N241">
            <v>120</v>
          </cell>
          <cell r="R241" t="str">
            <v>BODY SPLASH</v>
          </cell>
          <cell r="S241" t="str">
            <v>LÍQUIDO ESPESSO</v>
          </cell>
        </row>
        <row r="242">
          <cell r="E242">
            <v>1301.4084506871545</v>
          </cell>
          <cell r="N242">
            <v>120</v>
          </cell>
          <cell r="R242" t="str">
            <v>BODY SPLASH</v>
          </cell>
          <cell r="S242" t="str">
            <v>LÍQUIDO ESPESSO</v>
          </cell>
        </row>
        <row r="243">
          <cell r="E243">
            <v>350.88607594885002</v>
          </cell>
          <cell r="N243">
            <v>120</v>
          </cell>
          <cell r="R243" t="str">
            <v>BODY SPLASH</v>
          </cell>
          <cell r="S243" t="str">
            <v>LÍQUIDO ESPESSO</v>
          </cell>
        </row>
        <row r="244">
          <cell r="E244">
            <v>1066.1538461156565</v>
          </cell>
          <cell r="N244">
            <v>120</v>
          </cell>
          <cell r="R244" t="str">
            <v>BODY SPLASH</v>
          </cell>
          <cell r="S244" t="str">
            <v>LÍQUIDO ESPESSO</v>
          </cell>
        </row>
        <row r="245">
          <cell r="E245">
            <v>1066.1538461156565</v>
          </cell>
          <cell r="N245">
            <v>120</v>
          </cell>
          <cell r="R245" t="str">
            <v>BODY SPLASH</v>
          </cell>
          <cell r="S245" t="str">
            <v>LÍQUIDO ESPESSO</v>
          </cell>
        </row>
        <row r="246">
          <cell r="E246">
            <v>1848.0000000430271</v>
          </cell>
          <cell r="N246">
            <v>120</v>
          </cell>
          <cell r="R246" t="str">
            <v>BODY SPLASH</v>
          </cell>
          <cell r="S246" t="str">
            <v>LÍQUIDO ESPESSO</v>
          </cell>
        </row>
        <row r="247">
          <cell r="E247">
            <v>445.71428570687317</v>
          </cell>
          <cell r="N247">
            <v>120</v>
          </cell>
          <cell r="R247" t="str">
            <v>BODY SPLASH</v>
          </cell>
          <cell r="S247" t="str">
            <v>LÍQUIDO ESPESSO</v>
          </cell>
        </row>
        <row r="248">
          <cell r="E248">
            <v>707.09302323379904</v>
          </cell>
          <cell r="N248">
            <v>210</v>
          </cell>
          <cell r="R248" t="str">
            <v>BODY SPLASH</v>
          </cell>
          <cell r="S248" t="str">
            <v>LÍQUIDO</v>
          </cell>
        </row>
        <row r="249">
          <cell r="E249">
            <v>876.00000005098991</v>
          </cell>
          <cell r="N249">
            <v>210</v>
          </cell>
          <cell r="R249" t="str">
            <v>BODY SPLASH</v>
          </cell>
          <cell r="S249" t="str">
            <v>LÍQUIDO</v>
          </cell>
        </row>
        <row r="250">
          <cell r="E250">
            <v>662.3999999922886</v>
          </cell>
          <cell r="N250">
            <v>210</v>
          </cell>
          <cell r="R250" t="str">
            <v>BODY SPLASH</v>
          </cell>
          <cell r="S250" t="str">
            <v>LÍQUIDO</v>
          </cell>
        </row>
        <row r="251">
          <cell r="E251">
            <v>738.39999996561562</v>
          </cell>
          <cell r="N251">
            <v>210</v>
          </cell>
          <cell r="R251" t="str">
            <v>BODY SPLASH</v>
          </cell>
          <cell r="S251" t="str">
            <v>LÍQUIDO</v>
          </cell>
        </row>
        <row r="252">
          <cell r="E252">
            <v>972.96000000906145</v>
          </cell>
          <cell r="N252">
            <v>210</v>
          </cell>
          <cell r="R252" t="str">
            <v>BODY SPLASH</v>
          </cell>
          <cell r="S252" t="str">
            <v>LÍQUIDO</v>
          </cell>
        </row>
        <row r="253">
          <cell r="E253">
            <v>868.71428569983834</v>
          </cell>
          <cell r="N253">
            <v>210</v>
          </cell>
          <cell r="R253" t="str">
            <v>BODY SPLASH</v>
          </cell>
          <cell r="S253" t="str">
            <v>LÍQUIDO</v>
          </cell>
        </row>
        <row r="254">
          <cell r="E254">
            <v>1105.6363636129613</v>
          </cell>
          <cell r="N254">
            <v>210</v>
          </cell>
          <cell r="R254" t="str">
            <v>BODY SPLASH</v>
          </cell>
          <cell r="S254" t="str">
            <v>LÍQUIDO</v>
          </cell>
        </row>
        <row r="255">
          <cell r="E255">
            <v>1026.6666666666667</v>
          </cell>
          <cell r="N255">
            <v>120</v>
          </cell>
          <cell r="R255" t="str">
            <v>BODY SPLASH</v>
          </cell>
          <cell r="S255" t="str">
            <v>LÍQUIDO ESPESSO</v>
          </cell>
        </row>
        <row r="256">
          <cell r="E256">
            <v>1026.6666666666667</v>
          </cell>
          <cell r="N256">
            <v>120</v>
          </cell>
          <cell r="R256" t="str">
            <v>BODY SPLASH</v>
          </cell>
          <cell r="S256" t="str">
            <v>LÍQUIDO ESPESSO</v>
          </cell>
        </row>
        <row r="257">
          <cell r="E257">
            <v>726.85714288131919</v>
          </cell>
          <cell r="N257">
            <v>220</v>
          </cell>
          <cell r="R257" t="str">
            <v>BODY SPLASH</v>
          </cell>
          <cell r="S257" t="str">
            <v>LÍQUIDO</v>
          </cell>
        </row>
        <row r="258">
          <cell r="E258">
            <v>714.43298966414125</v>
          </cell>
          <cell r="N258">
            <v>120</v>
          </cell>
          <cell r="R258" t="str">
            <v>BODY SPLASH</v>
          </cell>
          <cell r="S258" t="str">
            <v>LÍQUIDO ESPESSO</v>
          </cell>
        </row>
        <row r="259">
          <cell r="E259">
            <v>507.1096345283521</v>
          </cell>
          <cell r="N259">
            <v>220</v>
          </cell>
          <cell r="R259" t="str">
            <v>BODY SPLASH</v>
          </cell>
          <cell r="S259" t="str">
            <v>LÍQUIDO</v>
          </cell>
        </row>
        <row r="260">
          <cell r="E260">
            <v>714.43298966414113</v>
          </cell>
          <cell r="N260">
            <v>120</v>
          </cell>
          <cell r="R260" t="str">
            <v>BODY SPLASH</v>
          </cell>
          <cell r="S260" t="str">
            <v>LÍQUIDO ESPESSO</v>
          </cell>
        </row>
        <row r="261">
          <cell r="E261">
            <v>507.10963452835068</v>
          </cell>
          <cell r="N261">
            <v>220</v>
          </cell>
          <cell r="R261" t="str">
            <v>BODY SPLASH</v>
          </cell>
          <cell r="S261" t="str">
            <v>LÍQUIDO</v>
          </cell>
        </row>
        <row r="262">
          <cell r="E262">
            <v>917.88079471401682</v>
          </cell>
          <cell r="N262">
            <v>120</v>
          </cell>
          <cell r="R262" t="str">
            <v>BODY SPLASH</v>
          </cell>
          <cell r="S262" t="str">
            <v>LÍQUIDO ESPESSO</v>
          </cell>
        </row>
        <row r="263">
          <cell r="E263">
            <v>625.57377049419108</v>
          </cell>
          <cell r="N263">
            <v>220</v>
          </cell>
          <cell r="R263" t="str">
            <v>BODY SPLASH</v>
          </cell>
          <cell r="S263" t="str">
            <v>LÍQUIDO</v>
          </cell>
        </row>
        <row r="264">
          <cell r="E264">
            <v>636.00000001851004</v>
          </cell>
          <cell r="N264">
            <v>220</v>
          </cell>
          <cell r="R264" t="str">
            <v>BODY SPLASH</v>
          </cell>
          <cell r="S264" t="str">
            <v>LÍQUIDO</v>
          </cell>
        </row>
        <row r="265">
          <cell r="E265">
            <v>461.99999999731079</v>
          </cell>
          <cell r="N265">
            <v>120</v>
          </cell>
          <cell r="R265" t="str">
            <v>BODY SPLASH</v>
          </cell>
          <cell r="S265" t="str">
            <v>LÍQUIDO ESPESSO</v>
          </cell>
        </row>
        <row r="266">
          <cell r="E266">
            <v>461.99999999731074</v>
          </cell>
          <cell r="N266">
            <v>120</v>
          </cell>
          <cell r="R266" t="str">
            <v>BODY SPLASH</v>
          </cell>
          <cell r="S266" t="str">
            <v>LÍQUIDO ESPESSO</v>
          </cell>
        </row>
        <row r="267">
          <cell r="E267">
            <v>984.77419360016131</v>
          </cell>
          <cell r="N267">
            <v>220</v>
          </cell>
          <cell r="R267" t="str">
            <v>BODY SPLASH</v>
          </cell>
          <cell r="S267" t="str">
            <v>LÍQUIDO</v>
          </cell>
        </row>
        <row r="268">
          <cell r="E268">
            <v>803.36842101817524</v>
          </cell>
          <cell r="N268">
            <v>220</v>
          </cell>
          <cell r="R268" t="str">
            <v>BODY SPLASH</v>
          </cell>
          <cell r="S268" t="str">
            <v>LÍQUIDO</v>
          </cell>
        </row>
        <row r="269">
          <cell r="E269">
            <v>885.33333333333337</v>
          </cell>
          <cell r="N269">
            <v>220</v>
          </cell>
          <cell r="R269" t="str">
            <v>BODY SPLASH</v>
          </cell>
          <cell r="S269" t="str">
            <v>LÍQUIDO</v>
          </cell>
        </row>
        <row r="270">
          <cell r="E270">
            <v>1511.99999982398</v>
          </cell>
          <cell r="N270">
            <v>120</v>
          </cell>
          <cell r="R270" t="str">
            <v>BODY SPLASH</v>
          </cell>
          <cell r="S270" t="str">
            <v>LÍQUIDO ESPESSO</v>
          </cell>
        </row>
        <row r="271">
          <cell r="E271">
            <v>299.29411764500929</v>
          </cell>
          <cell r="N271">
            <v>220</v>
          </cell>
          <cell r="R271" t="str">
            <v>BODY SPLASH</v>
          </cell>
          <cell r="S271" t="str">
            <v>LÍQUIDO</v>
          </cell>
        </row>
        <row r="272">
          <cell r="E272">
            <v>299.29411764500929</v>
          </cell>
          <cell r="N272">
            <v>220</v>
          </cell>
          <cell r="R272" t="str">
            <v>BODY SPLASH</v>
          </cell>
          <cell r="S272" t="str">
            <v>LÍQUIDO</v>
          </cell>
        </row>
        <row r="273">
          <cell r="E273">
            <v>875.52000000815394</v>
          </cell>
          <cell r="N273">
            <v>325</v>
          </cell>
          <cell r="R273" t="str">
            <v>ÁGUA MICELAR</v>
          </cell>
          <cell r="S273" t="str">
            <v>LÍQUIDO</v>
          </cell>
        </row>
        <row r="274">
          <cell r="E274">
            <v>1120</v>
          </cell>
          <cell r="N274">
            <v>325</v>
          </cell>
          <cell r="R274" t="str">
            <v>ÁGUA MICELAR</v>
          </cell>
          <cell r="S274" t="str">
            <v>LÍQUIDO</v>
          </cell>
        </row>
        <row r="275">
          <cell r="E275">
            <v>602.24999998247222</v>
          </cell>
          <cell r="N275">
            <v>325</v>
          </cell>
          <cell r="R275" t="str">
            <v>ÁGUA MICELAR</v>
          </cell>
          <cell r="S275" t="str">
            <v>LÍQUIDO</v>
          </cell>
        </row>
        <row r="276">
          <cell r="E276">
            <v>610.56000000568633</v>
          </cell>
          <cell r="N276">
            <v>220</v>
          </cell>
          <cell r="R276" t="str">
            <v>BODY SPLASH</v>
          </cell>
          <cell r="S276" t="str">
            <v>LÍQUIDO</v>
          </cell>
        </row>
        <row r="277">
          <cell r="E277">
            <v>592.94117648682993</v>
          </cell>
          <cell r="N277">
            <v>325</v>
          </cell>
          <cell r="R277" t="str">
            <v>ÁGUA MICELAR</v>
          </cell>
          <cell r="S277" t="str">
            <v>LÍQUIDO</v>
          </cell>
        </row>
        <row r="278">
          <cell r="E278">
            <v>610.5599999886274</v>
          </cell>
          <cell r="N278">
            <v>220</v>
          </cell>
          <cell r="R278" t="str">
            <v>BODY SPLASH</v>
          </cell>
          <cell r="S278" t="str">
            <v>LÍQUIDO</v>
          </cell>
        </row>
        <row r="279">
          <cell r="E279">
            <v>312.11822659847934</v>
          </cell>
          <cell r="N279">
            <v>325</v>
          </cell>
          <cell r="R279" t="str">
            <v>ÁGUA MICELAR</v>
          </cell>
          <cell r="S279" t="str">
            <v>LÍQUIDO</v>
          </cell>
        </row>
        <row r="280">
          <cell r="E280">
            <v>629.99999996791303</v>
          </cell>
          <cell r="N280">
            <v>325</v>
          </cell>
          <cell r="R280" t="str">
            <v>ÁGUA MICELAR</v>
          </cell>
          <cell r="S280" t="str">
            <v>LÍQUIDO</v>
          </cell>
        </row>
        <row r="281">
          <cell r="E281">
            <v>403.19999998685716</v>
          </cell>
          <cell r="N281">
            <v>325</v>
          </cell>
          <cell r="R281" t="str">
            <v>ÁGUA MICELAR</v>
          </cell>
          <cell r="S281" t="str">
            <v>LÍQUIDO</v>
          </cell>
        </row>
        <row r="282">
          <cell r="E282">
            <v>617.97570847988834</v>
          </cell>
          <cell r="N282">
            <v>220</v>
          </cell>
          <cell r="R282" t="str">
            <v>BODY SPLASH</v>
          </cell>
          <cell r="S282" t="str">
            <v>LÍQUIDO</v>
          </cell>
        </row>
        <row r="283">
          <cell r="E283">
            <v>403.19999998685716</v>
          </cell>
          <cell r="N283">
            <v>325</v>
          </cell>
          <cell r="R283" t="str">
            <v>ÁGUA MICELAR</v>
          </cell>
          <cell r="S283" t="str">
            <v>LÍQUIDO</v>
          </cell>
        </row>
        <row r="284">
          <cell r="E284">
            <v>629.99999996791303</v>
          </cell>
          <cell r="N284">
            <v>325</v>
          </cell>
          <cell r="R284" t="str">
            <v>ÁGUA MICELAR</v>
          </cell>
          <cell r="S284" t="str">
            <v>LÍQUIDO</v>
          </cell>
        </row>
        <row r="285">
          <cell r="E285">
            <v>617.97570847988834</v>
          </cell>
          <cell r="N285">
            <v>220</v>
          </cell>
          <cell r="R285" t="str">
            <v>BODY SPLASH</v>
          </cell>
          <cell r="S285" t="str">
            <v>LÍQUIDO</v>
          </cell>
        </row>
        <row r="286">
          <cell r="E286">
            <v>700.00000001018634</v>
          </cell>
          <cell r="N286">
            <v>325</v>
          </cell>
          <cell r="R286" t="str">
            <v>ÁGUA MICELAR</v>
          </cell>
          <cell r="S286" t="str">
            <v>LÍQUIDO</v>
          </cell>
        </row>
        <row r="287">
          <cell r="E287">
            <v>584.45783131382461</v>
          </cell>
          <cell r="N287">
            <v>325</v>
          </cell>
          <cell r="R287" t="str">
            <v>ÁGUA MICELAR</v>
          </cell>
          <cell r="S287" t="str">
            <v>LÍQUIDO</v>
          </cell>
        </row>
        <row r="288">
          <cell r="E288">
            <v>684.48430493130616</v>
          </cell>
          <cell r="N288">
            <v>220</v>
          </cell>
          <cell r="R288" t="str">
            <v>BODY SPLASH</v>
          </cell>
          <cell r="S288" t="str">
            <v>LÍQUIDO</v>
          </cell>
        </row>
        <row r="289">
          <cell r="E289">
            <v>695.17241378752215</v>
          </cell>
          <cell r="N289">
            <v>325</v>
          </cell>
          <cell r="R289" t="str">
            <v>ÁGUA MICELAR</v>
          </cell>
          <cell r="S289" t="str">
            <v>LÍQUIDO</v>
          </cell>
        </row>
        <row r="290">
          <cell r="E290">
            <v>635.99999998148996</v>
          </cell>
          <cell r="N290">
            <v>220</v>
          </cell>
          <cell r="R290" t="str">
            <v>BODY SPLASH</v>
          </cell>
          <cell r="S290" t="str">
            <v>LÍQUIDO</v>
          </cell>
        </row>
        <row r="291">
          <cell r="E291">
            <v>560</v>
          </cell>
          <cell r="N291">
            <v>325</v>
          </cell>
          <cell r="R291" t="str">
            <v>ÁGUA MICELAR</v>
          </cell>
          <cell r="S291" t="str">
            <v>LÍQUIDO</v>
          </cell>
        </row>
        <row r="292">
          <cell r="E292">
            <v>635.99999998148996</v>
          </cell>
          <cell r="N292">
            <v>220</v>
          </cell>
          <cell r="R292" t="str">
            <v>BODY SPLASH</v>
          </cell>
          <cell r="S292" t="str">
            <v>LÍQUIDO</v>
          </cell>
        </row>
        <row r="293">
          <cell r="E293">
            <v>560</v>
          </cell>
          <cell r="N293">
            <v>325</v>
          </cell>
          <cell r="R293" t="str">
            <v>ÁGUA MICELAR</v>
          </cell>
          <cell r="S293" t="str">
            <v>LÍQUIDO</v>
          </cell>
        </row>
        <row r="294">
          <cell r="E294">
            <v>1032.7999999519066</v>
          </cell>
          <cell r="N294">
            <v>325</v>
          </cell>
          <cell r="R294" t="str">
            <v>ÁGUA MICELAR</v>
          </cell>
          <cell r="S294" t="str">
            <v>LÍQUIDO</v>
          </cell>
        </row>
        <row r="295">
          <cell r="E295">
            <v>636.00000001851004</v>
          </cell>
          <cell r="N295">
            <v>220</v>
          </cell>
          <cell r="R295" t="str">
            <v>BODY SPLASH</v>
          </cell>
          <cell r="S295" t="str">
            <v>LÍQUIDO</v>
          </cell>
        </row>
        <row r="296">
          <cell r="E296">
            <v>671.99999998435374</v>
          </cell>
          <cell r="N296">
            <v>325</v>
          </cell>
          <cell r="R296" t="str">
            <v>ÁGUA MICELAR</v>
          </cell>
          <cell r="S296" t="str">
            <v>LÍQUIDO</v>
          </cell>
        </row>
        <row r="297">
          <cell r="E297">
            <v>892.03539821722256</v>
          </cell>
          <cell r="N297">
            <v>325</v>
          </cell>
          <cell r="R297" t="str">
            <v>ÁGUA MICELAR</v>
          </cell>
          <cell r="S297" t="str">
            <v>LÍQUIDO</v>
          </cell>
        </row>
        <row r="298">
          <cell r="E298">
            <v>1059.9999999382999</v>
          </cell>
          <cell r="N298">
            <v>220</v>
          </cell>
          <cell r="R298" t="str">
            <v>BODY SPLASH</v>
          </cell>
          <cell r="S298" t="str">
            <v>LÍQUIDO</v>
          </cell>
        </row>
        <row r="299">
          <cell r="E299">
            <v>647.38853503856762</v>
          </cell>
          <cell r="N299">
            <v>325</v>
          </cell>
          <cell r="R299" t="str">
            <v>ÁGUA MICELAR</v>
          </cell>
          <cell r="S299" t="str">
            <v>LÍQUIDO</v>
          </cell>
        </row>
        <row r="300">
          <cell r="E300">
            <v>647.38853503856762</v>
          </cell>
          <cell r="N300">
            <v>325</v>
          </cell>
          <cell r="R300" t="str">
            <v>ÁGUA MICELAR</v>
          </cell>
          <cell r="S300" t="str">
            <v>LÍQUIDO</v>
          </cell>
        </row>
        <row r="301">
          <cell r="E301">
            <v>353.68421052198164</v>
          </cell>
          <cell r="N301">
            <v>325</v>
          </cell>
          <cell r="R301" t="str">
            <v>ÁGUA MICELAR</v>
          </cell>
          <cell r="S301" t="str">
            <v>LÍQUIDO</v>
          </cell>
        </row>
        <row r="302">
          <cell r="E302">
            <v>672.42290748002074</v>
          </cell>
          <cell r="N302">
            <v>220</v>
          </cell>
          <cell r="R302" t="str">
            <v>BODY SPLASH</v>
          </cell>
          <cell r="S302" t="str">
            <v>LÍQUIDO</v>
          </cell>
        </row>
        <row r="303">
          <cell r="E303">
            <v>353.68421052198164</v>
          </cell>
          <cell r="N303">
            <v>325</v>
          </cell>
          <cell r="R303" t="str">
            <v>ÁGUA MICELAR</v>
          </cell>
          <cell r="S303" t="str">
            <v>LÍQUIDO</v>
          </cell>
        </row>
        <row r="304">
          <cell r="E304">
            <v>641.34453778563761</v>
          </cell>
          <cell r="N304">
            <v>220</v>
          </cell>
          <cell r="R304" t="str">
            <v>BODY SPLASH</v>
          </cell>
          <cell r="S304" t="str">
            <v>LÍQUIDO</v>
          </cell>
        </row>
        <row r="305">
          <cell r="E305">
            <v>746.66666666666663</v>
          </cell>
          <cell r="N305">
            <v>325</v>
          </cell>
          <cell r="R305" t="str">
            <v>ÁGUA MICELAR</v>
          </cell>
          <cell r="S305" t="str">
            <v>LÍQUIDO</v>
          </cell>
        </row>
        <row r="306">
          <cell r="E306">
            <v>825.08108110184912</v>
          </cell>
          <cell r="N306">
            <v>220</v>
          </cell>
          <cell r="R306" t="str">
            <v>BODY SPLASH</v>
          </cell>
          <cell r="S306" t="str">
            <v>LÍQUIDO</v>
          </cell>
        </row>
        <row r="307">
          <cell r="E307">
            <v>740.57142857142856</v>
          </cell>
          <cell r="N307">
            <v>220</v>
          </cell>
          <cell r="R307" t="str">
            <v>BODY SPLASH</v>
          </cell>
          <cell r="S307" t="str">
            <v>LÍQUIDO</v>
          </cell>
        </row>
        <row r="308">
          <cell r="E308">
            <v>610.5599999886274</v>
          </cell>
          <cell r="N308">
            <v>220</v>
          </cell>
          <cell r="R308" t="str">
            <v>BODY SPLASH</v>
          </cell>
          <cell r="S308" t="str">
            <v>LÍQUIDO</v>
          </cell>
        </row>
        <row r="309">
          <cell r="E309">
            <v>305.28000000497548</v>
          </cell>
          <cell r="N309">
            <v>220</v>
          </cell>
          <cell r="R309" t="str">
            <v>BODY SPLASH</v>
          </cell>
          <cell r="S309" t="str">
            <v>LÍQUIDO</v>
          </cell>
        </row>
        <row r="310">
          <cell r="E310">
            <v>595.55555556069123</v>
          </cell>
          <cell r="N310">
            <v>120</v>
          </cell>
          <cell r="R310" t="str">
            <v>CREME HIDRATANTE</v>
          </cell>
          <cell r="S310" t="str">
            <v>CREMOSO</v>
          </cell>
        </row>
        <row r="311">
          <cell r="E311">
            <v>602.99999998245039</v>
          </cell>
          <cell r="N311">
            <v>120</v>
          </cell>
          <cell r="R311" t="str">
            <v>CREME HIDRATANTE</v>
          </cell>
          <cell r="S311" t="str">
            <v>CREMOSO</v>
          </cell>
        </row>
        <row r="312">
          <cell r="E312">
            <v>693.81818177045341</v>
          </cell>
          <cell r="N312">
            <v>220</v>
          </cell>
          <cell r="R312" t="str">
            <v>BODY SPLASH</v>
          </cell>
          <cell r="S312" t="str">
            <v>LÍQUIDO</v>
          </cell>
        </row>
        <row r="313">
          <cell r="E313">
            <v>897.88235296577113</v>
          </cell>
          <cell r="N313">
            <v>220</v>
          </cell>
          <cell r="R313" t="str">
            <v>BODY SPLASH</v>
          </cell>
          <cell r="S313" t="str">
            <v>LÍQUIDO</v>
          </cell>
        </row>
        <row r="314">
          <cell r="E314">
            <v>560.93023254750915</v>
          </cell>
          <cell r="N314">
            <v>120</v>
          </cell>
          <cell r="R314" t="str">
            <v>CREME HIDRATANTE</v>
          </cell>
          <cell r="S314" t="str">
            <v>CREMOSO</v>
          </cell>
        </row>
        <row r="315">
          <cell r="E315">
            <v>635.99999998148996</v>
          </cell>
          <cell r="N315">
            <v>220</v>
          </cell>
          <cell r="R315" t="str">
            <v>BODY SPLASH</v>
          </cell>
          <cell r="S315" t="str">
            <v>LÍQUIDO</v>
          </cell>
        </row>
        <row r="316">
          <cell r="E316">
            <v>635.99999998148996</v>
          </cell>
          <cell r="N316">
            <v>220</v>
          </cell>
          <cell r="R316" t="str">
            <v>BODY SPLASH</v>
          </cell>
          <cell r="S316" t="str">
            <v>LÍQUIDO</v>
          </cell>
        </row>
        <row r="317">
          <cell r="E317">
            <v>767.03517588298666</v>
          </cell>
          <cell r="N317">
            <v>220</v>
          </cell>
          <cell r="R317" t="str">
            <v>BODY SPLASH</v>
          </cell>
          <cell r="S317" t="str">
            <v>LÍQUIDO</v>
          </cell>
        </row>
        <row r="318">
          <cell r="E318">
            <v>817.62711866020072</v>
          </cell>
          <cell r="N318">
            <v>120</v>
          </cell>
          <cell r="R318" t="str">
            <v>CREME HIDRATANTE</v>
          </cell>
          <cell r="S318" t="str">
            <v>CREMOSO</v>
          </cell>
        </row>
        <row r="319">
          <cell r="E319">
            <v>843.31491712815659</v>
          </cell>
          <cell r="N319">
            <v>220</v>
          </cell>
          <cell r="R319" t="str">
            <v>BODY SPLASH</v>
          </cell>
          <cell r="S319" t="str">
            <v>LÍQUIDO</v>
          </cell>
        </row>
        <row r="320">
          <cell r="E320">
            <v>749.06832295265986</v>
          </cell>
          <cell r="N320">
            <v>120</v>
          </cell>
          <cell r="R320" t="str">
            <v>CREME HIDRATANTE</v>
          </cell>
          <cell r="S320" t="str">
            <v>CREMOSO</v>
          </cell>
        </row>
        <row r="321">
          <cell r="E321">
            <v>272.99999999205465</v>
          </cell>
          <cell r="N321">
            <v>1000</v>
          </cell>
          <cell r="R321" t="str">
            <v>BASE</v>
          </cell>
          <cell r="S321" t="str">
            <v>LÍQUIDO</v>
          </cell>
        </row>
        <row r="322">
          <cell r="E322">
            <v>223.48993289603371</v>
          </cell>
          <cell r="N322">
            <v>1000</v>
          </cell>
          <cell r="R322" t="str">
            <v>BASE</v>
          </cell>
          <cell r="S322" t="str">
            <v>LÍQUIDO</v>
          </cell>
        </row>
        <row r="323">
          <cell r="E323">
            <v>831.72413789430755</v>
          </cell>
          <cell r="N323">
            <v>120</v>
          </cell>
          <cell r="R323" t="str">
            <v>CREME HIDRATANTE</v>
          </cell>
          <cell r="S323" t="str">
            <v>CREMOSO</v>
          </cell>
        </row>
        <row r="324">
          <cell r="E324">
            <v>256.15384614467069</v>
          </cell>
          <cell r="N324">
            <v>500</v>
          </cell>
          <cell r="R324" t="str">
            <v>BASE</v>
          </cell>
          <cell r="S324" t="str">
            <v>LÍQUIDO</v>
          </cell>
        </row>
        <row r="325">
          <cell r="E325">
            <v>248.50746267318161</v>
          </cell>
          <cell r="N325">
            <v>500</v>
          </cell>
          <cell r="R325" t="str">
            <v>BASE</v>
          </cell>
          <cell r="S325" t="str">
            <v>LÍQUIDO</v>
          </cell>
        </row>
        <row r="326">
          <cell r="E326">
            <v>831.72413789430755</v>
          </cell>
          <cell r="N326">
            <v>120</v>
          </cell>
          <cell r="R326" t="str">
            <v>CREME HIDRATANTE</v>
          </cell>
          <cell r="S326" t="str">
            <v>CREMOSO</v>
          </cell>
        </row>
        <row r="327">
          <cell r="E327">
            <v>248.50746267318161</v>
          </cell>
          <cell r="N327">
            <v>500</v>
          </cell>
          <cell r="R327" t="str">
            <v>BASE</v>
          </cell>
          <cell r="S327" t="str">
            <v>LÍQUIDO</v>
          </cell>
        </row>
        <row r="328">
          <cell r="E328">
            <v>252.27272729141626</v>
          </cell>
          <cell r="N328">
            <v>500</v>
          </cell>
          <cell r="R328" t="str">
            <v>BASE</v>
          </cell>
          <cell r="S328" t="str">
            <v>LÍQUIDO</v>
          </cell>
        </row>
        <row r="329">
          <cell r="E329">
            <v>713.6094674374333</v>
          </cell>
          <cell r="N329">
            <v>120</v>
          </cell>
          <cell r="R329" t="str">
            <v>CREME HIDRATANTE</v>
          </cell>
          <cell r="S329" t="str">
            <v>CREMOSO</v>
          </cell>
        </row>
        <row r="330">
          <cell r="E330">
            <v>332.99999999612339</v>
          </cell>
          <cell r="N330">
            <v>500</v>
          </cell>
          <cell r="R330" t="str">
            <v>BASE</v>
          </cell>
          <cell r="S330" t="str">
            <v>LÍQUIDO</v>
          </cell>
        </row>
        <row r="331">
          <cell r="E331">
            <v>198.7951807106231</v>
          </cell>
          <cell r="N331">
            <v>500</v>
          </cell>
          <cell r="R331" t="str">
            <v>BASE</v>
          </cell>
          <cell r="S331" t="str">
            <v>LÍQUIDO</v>
          </cell>
        </row>
        <row r="332">
          <cell r="E332">
            <v>753.74999999451575</v>
          </cell>
          <cell r="N332">
            <v>120</v>
          </cell>
          <cell r="R332" t="str">
            <v>CREME HIDRATANTE</v>
          </cell>
          <cell r="S332" t="str">
            <v>CREMOSO</v>
          </cell>
        </row>
        <row r="333">
          <cell r="E333">
            <v>693.81818181451035</v>
          </cell>
          <cell r="N333">
            <v>220</v>
          </cell>
          <cell r="R333" t="str">
            <v>BODY SPLASH</v>
          </cell>
          <cell r="S333" t="str">
            <v>LÍQUIDO</v>
          </cell>
        </row>
        <row r="334">
          <cell r="E334">
            <v>524.34782607368652</v>
          </cell>
          <cell r="N334">
            <v>120</v>
          </cell>
          <cell r="R334" t="str">
            <v>CREME HIDRATANTE</v>
          </cell>
          <cell r="S334" t="str">
            <v>CREMOSO</v>
          </cell>
        </row>
        <row r="335">
          <cell r="E335">
            <v>578.18181815581238</v>
          </cell>
          <cell r="N335">
            <v>220</v>
          </cell>
          <cell r="R335" t="str">
            <v>BODY SPLASH</v>
          </cell>
          <cell r="S335" t="str">
            <v>LÍQUIDO</v>
          </cell>
        </row>
        <row r="336">
          <cell r="E336">
            <v>524.34782607368652</v>
          </cell>
          <cell r="N336">
            <v>120</v>
          </cell>
          <cell r="R336" t="str">
            <v>CREME HIDRATANTE</v>
          </cell>
          <cell r="S336" t="str">
            <v>CREMOSO</v>
          </cell>
        </row>
        <row r="337">
          <cell r="E337">
            <v>578.18181815581238</v>
          </cell>
          <cell r="N337">
            <v>220</v>
          </cell>
          <cell r="R337" t="str">
            <v>BODY SPLASH</v>
          </cell>
          <cell r="S337" t="str">
            <v>LÍQUIDO</v>
          </cell>
        </row>
        <row r="338">
          <cell r="E338">
            <v>506.37362638463895</v>
          </cell>
          <cell r="N338">
            <v>220</v>
          </cell>
          <cell r="R338" t="str">
            <v>BODY SPLASH</v>
          </cell>
          <cell r="S338" t="str">
            <v>LÍQUIDO</v>
          </cell>
        </row>
        <row r="339">
          <cell r="E339">
            <v>1048.695652211069</v>
          </cell>
          <cell r="N339">
            <v>120</v>
          </cell>
          <cell r="R339" t="str">
            <v>CREME HIDRATANTE</v>
          </cell>
          <cell r="S339" t="str">
            <v>CREMOSO</v>
          </cell>
        </row>
        <row r="340">
          <cell r="E340">
            <v>897.8823529473251</v>
          </cell>
          <cell r="N340">
            <v>220</v>
          </cell>
          <cell r="R340" t="str">
            <v>BODY SPLASH</v>
          </cell>
          <cell r="S340" t="str">
            <v>LÍQUIDO</v>
          </cell>
        </row>
        <row r="341">
          <cell r="E341">
            <v>430.7142857071226</v>
          </cell>
          <cell r="N341">
            <v>120</v>
          </cell>
          <cell r="R341" t="str">
            <v>CREME HIDRATANTE</v>
          </cell>
          <cell r="S341" t="str">
            <v>CREMOSO</v>
          </cell>
        </row>
        <row r="342">
          <cell r="E342">
            <v>820.79999994744549</v>
          </cell>
          <cell r="N342">
            <v>220</v>
          </cell>
          <cell r="R342" t="str">
            <v>BODY SPLASH</v>
          </cell>
          <cell r="S342" t="str">
            <v>LÍQUIDO</v>
          </cell>
        </row>
        <row r="343">
          <cell r="E343">
            <v>820.79999994744549</v>
          </cell>
          <cell r="N343">
            <v>220</v>
          </cell>
          <cell r="R343" t="str">
            <v>BODY SPLASH</v>
          </cell>
          <cell r="S343" t="str">
            <v>LÍQUIDO</v>
          </cell>
        </row>
        <row r="344">
          <cell r="E344">
            <v>803.36842106247627</v>
          </cell>
          <cell r="N344">
            <v>200</v>
          </cell>
          <cell r="R344" t="str">
            <v>BODY SPLASH</v>
          </cell>
          <cell r="S344" t="str">
            <v>LÍQUIDO</v>
          </cell>
        </row>
        <row r="345">
          <cell r="E345">
            <v>803.36842104770926</v>
          </cell>
          <cell r="N345">
            <v>200</v>
          </cell>
          <cell r="R345" t="str">
            <v>BODY SPLASH</v>
          </cell>
          <cell r="S345" t="str">
            <v>LÍQUIDO</v>
          </cell>
        </row>
        <row r="346">
          <cell r="E346">
            <v>565.33333331139556</v>
          </cell>
          <cell r="N346">
            <v>200</v>
          </cell>
          <cell r="R346" t="str">
            <v>BODY SPLASH</v>
          </cell>
          <cell r="S346" t="str">
            <v>LÍQUIDO</v>
          </cell>
        </row>
        <row r="347">
          <cell r="E347">
            <v>565.33333331139556</v>
          </cell>
          <cell r="N347">
            <v>200</v>
          </cell>
          <cell r="R347" t="str">
            <v>BODY SPLASH</v>
          </cell>
          <cell r="S347" t="str">
            <v>LÍQUIDO</v>
          </cell>
        </row>
        <row r="348">
          <cell r="E348">
            <v>799.16230366102468</v>
          </cell>
          <cell r="N348">
            <v>200</v>
          </cell>
          <cell r="R348" t="str">
            <v>BODY SPLASH</v>
          </cell>
          <cell r="S348" t="str">
            <v>LÍQUIDO</v>
          </cell>
        </row>
        <row r="349">
          <cell r="E349">
            <v>778.77551016337657</v>
          </cell>
          <cell r="N349">
            <v>200</v>
          </cell>
          <cell r="R349" t="str">
            <v>BODY SPLASH</v>
          </cell>
          <cell r="S349" t="str">
            <v>LÍQUIDO</v>
          </cell>
        </row>
        <row r="350">
          <cell r="E350">
            <v>778.77551016337657</v>
          </cell>
          <cell r="N350">
            <v>200</v>
          </cell>
          <cell r="R350" t="str">
            <v>BODY SPLASH</v>
          </cell>
          <cell r="S350" t="str">
            <v>LÍQUIDO</v>
          </cell>
        </row>
        <row r="351">
          <cell r="E351">
            <v>930.73170731575181</v>
          </cell>
          <cell r="N351">
            <v>200</v>
          </cell>
          <cell r="R351" t="str">
            <v>BODY SPLASH</v>
          </cell>
          <cell r="S351" t="str">
            <v>LÍQUIDO</v>
          </cell>
        </row>
        <row r="352">
          <cell r="E352">
            <v>1174.1538461433315</v>
          </cell>
          <cell r="N352">
            <v>200</v>
          </cell>
          <cell r="R352" t="str">
            <v>BODY SPLASH</v>
          </cell>
          <cell r="S352" t="str">
            <v>LÍQUIDO</v>
          </cell>
        </row>
        <row r="353">
          <cell r="E353">
            <v>954.00000001388253</v>
          </cell>
          <cell r="N353">
            <v>200</v>
          </cell>
          <cell r="R353" t="str">
            <v>BODY SPLASH</v>
          </cell>
          <cell r="S353" t="str">
            <v>LÍQUIDO</v>
          </cell>
        </row>
        <row r="354">
          <cell r="E354">
            <v>430.7142857071226</v>
          </cell>
          <cell r="N354">
            <v>120</v>
          </cell>
          <cell r="R354" t="str">
            <v>CREME HIDRATANTE</v>
          </cell>
          <cell r="S354" t="str">
            <v>CREMOSO</v>
          </cell>
        </row>
        <row r="355">
          <cell r="E355">
            <v>954.00000001388253</v>
          </cell>
          <cell r="N355">
            <v>200</v>
          </cell>
          <cell r="R355" t="str">
            <v>BODY SPLASH</v>
          </cell>
          <cell r="S355" t="str">
            <v>LÍQUIDO</v>
          </cell>
        </row>
        <row r="356">
          <cell r="E356">
            <v>1038.367346884502</v>
          </cell>
          <cell r="N356">
            <v>200</v>
          </cell>
          <cell r="R356" t="str">
            <v>BODY SPLASH</v>
          </cell>
          <cell r="S356" t="str">
            <v>LÍQUIDO</v>
          </cell>
        </row>
        <row r="357">
          <cell r="E357">
            <v>872.22857142276905</v>
          </cell>
          <cell r="N357">
            <v>200</v>
          </cell>
          <cell r="R357" t="str">
            <v>BODY SPLASH</v>
          </cell>
          <cell r="S357" t="str">
            <v>LÍQUIDO</v>
          </cell>
        </row>
        <row r="358">
          <cell r="E358">
            <v>700.1834862445146</v>
          </cell>
          <cell r="N358">
            <v>200</v>
          </cell>
          <cell r="R358" t="str">
            <v>BODY SPLASH</v>
          </cell>
          <cell r="S358" t="str">
            <v>LÍQUIDO</v>
          </cell>
        </row>
        <row r="359">
          <cell r="E359">
            <v>742.15384615118774</v>
          </cell>
          <cell r="N359">
            <v>120</v>
          </cell>
          <cell r="R359" t="str">
            <v>CREME HIDRATANTE</v>
          </cell>
          <cell r="S359" t="str">
            <v>CREMOSO</v>
          </cell>
        </row>
        <row r="360">
          <cell r="E360">
            <v>742.15384615118774</v>
          </cell>
          <cell r="N360">
            <v>120</v>
          </cell>
          <cell r="R360" t="str">
            <v>CREME HIDRATANTE</v>
          </cell>
          <cell r="S360" t="str">
            <v>CREMOSO</v>
          </cell>
        </row>
        <row r="361">
          <cell r="E361">
            <v>700.1834862445146</v>
          </cell>
          <cell r="N361">
            <v>200</v>
          </cell>
          <cell r="R361" t="str">
            <v>BODY SPLASH</v>
          </cell>
          <cell r="S361" t="str">
            <v>LÍQUIDO</v>
          </cell>
        </row>
        <row r="362">
          <cell r="E362">
            <v>1090.2857142403836</v>
          </cell>
          <cell r="N362">
            <v>200</v>
          </cell>
          <cell r="R362" t="str">
            <v>BODY SPLASH</v>
          </cell>
          <cell r="S362" t="str">
            <v>LÍQUIDO</v>
          </cell>
        </row>
        <row r="363">
          <cell r="E363">
            <v>1467.6923076890218</v>
          </cell>
          <cell r="N363">
            <v>200</v>
          </cell>
          <cell r="R363" t="str">
            <v>BODY SPLASH</v>
          </cell>
          <cell r="S363" t="str">
            <v>LÍQUIDO</v>
          </cell>
        </row>
        <row r="364">
          <cell r="E364">
            <v>574.28571426661267</v>
          </cell>
          <cell r="N364">
            <v>120</v>
          </cell>
          <cell r="R364" t="str">
            <v>CREME HIDRATANTE</v>
          </cell>
          <cell r="S364" t="str">
            <v>CREMOSO</v>
          </cell>
        </row>
        <row r="365">
          <cell r="E365">
            <v>897.8823529473251</v>
          </cell>
          <cell r="N365">
            <v>200</v>
          </cell>
          <cell r="R365" t="str">
            <v>BODY SPLASH</v>
          </cell>
          <cell r="S365" t="str">
            <v>LÍQUIDO</v>
          </cell>
        </row>
        <row r="366">
          <cell r="E366">
            <v>2725.7142854989647</v>
          </cell>
          <cell r="N366">
            <v>200</v>
          </cell>
          <cell r="R366" t="str">
            <v>BODY SPLASH</v>
          </cell>
          <cell r="S366" t="str">
            <v>LÍQUIDO</v>
          </cell>
        </row>
        <row r="367">
          <cell r="E367">
            <v>574.28571426661267</v>
          </cell>
          <cell r="N367">
            <v>120</v>
          </cell>
          <cell r="R367" t="str">
            <v>CREME HIDRATANTE</v>
          </cell>
          <cell r="S367" t="str">
            <v>CREMOSO</v>
          </cell>
        </row>
        <row r="368">
          <cell r="E368">
            <v>2725.7142854989647</v>
          </cell>
          <cell r="N368">
            <v>200</v>
          </cell>
          <cell r="R368" t="str">
            <v>BODY SPLASH</v>
          </cell>
          <cell r="S368" t="str">
            <v>LÍQUIDO</v>
          </cell>
        </row>
        <row r="369">
          <cell r="E369">
            <v>1017.5999999526143</v>
          </cell>
          <cell r="N369">
            <v>200</v>
          </cell>
          <cell r="R369" t="str">
            <v>BODY SPLASH</v>
          </cell>
          <cell r="S369" t="str">
            <v>LÍQUIDO</v>
          </cell>
        </row>
        <row r="370">
          <cell r="E370">
            <v>659.01639343256136</v>
          </cell>
          <cell r="N370">
            <v>120</v>
          </cell>
          <cell r="R370" t="str">
            <v>CREME HIDRATANTE</v>
          </cell>
          <cell r="S370" t="str">
            <v>CREMOSO</v>
          </cell>
        </row>
        <row r="371">
          <cell r="E371">
            <v>1010.8609271538766</v>
          </cell>
          <cell r="N371">
            <v>200</v>
          </cell>
          <cell r="R371" t="str">
            <v>BODY SPLASH</v>
          </cell>
          <cell r="S371" t="str">
            <v>LÍQUIDO</v>
          </cell>
        </row>
        <row r="372">
          <cell r="E372">
            <v>867.18232042637192</v>
          </cell>
          <cell r="N372">
            <v>200</v>
          </cell>
          <cell r="R372" t="str">
            <v>BODY SPLASH</v>
          </cell>
          <cell r="S372" t="str">
            <v>LÍQUIDO</v>
          </cell>
        </row>
        <row r="373">
          <cell r="E373">
            <v>1481.9417475661157</v>
          </cell>
          <cell r="N373">
            <v>220</v>
          </cell>
          <cell r="R373" t="str">
            <v>BODY SPLASH</v>
          </cell>
          <cell r="S373" t="str">
            <v>LÍQUIDO</v>
          </cell>
        </row>
        <row r="374">
          <cell r="E374">
            <v>925.0909090125856</v>
          </cell>
          <cell r="N374">
            <v>220</v>
          </cell>
          <cell r="R374" t="str">
            <v>BODY SPLASH</v>
          </cell>
          <cell r="S374" t="str">
            <v>LÍQUIDO</v>
          </cell>
        </row>
        <row r="375">
          <cell r="E375">
            <v>634.73684208970667</v>
          </cell>
          <cell r="N375">
            <v>120</v>
          </cell>
          <cell r="R375" t="str">
            <v>CREME HIDRATANTE</v>
          </cell>
          <cell r="S375" t="str">
            <v>CREMOSO</v>
          </cell>
        </row>
        <row r="376">
          <cell r="E376">
            <v>634.73684208970622</v>
          </cell>
          <cell r="N376">
            <v>120</v>
          </cell>
          <cell r="R376" t="str">
            <v>CREME HIDRATANTE</v>
          </cell>
          <cell r="S376" t="str">
            <v>CREMOSO</v>
          </cell>
        </row>
        <row r="377">
          <cell r="E377">
            <v>1221.1200000113727</v>
          </cell>
          <cell r="N377">
            <v>220</v>
          </cell>
          <cell r="R377" t="str">
            <v>BODY SPLASH</v>
          </cell>
          <cell r="S377" t="str">
            <v>LÍQUIDO</v>
          </cell>
        </row>
        <row r="378">
          <cell r="E378">
            <v>1052.6896551893171</v>
          </cell>
          <cell r="N378">
            <v>220</v>
          </cell>
          <cell r="R378" t="str">
            <v>BODY SPLASH</v>
          </cell>
          <cell r="S378" t="str">
            <v>LÍQUIDO</v>
          </cell>
        </row>
        <row r="379">
          <cell r="E379">
            <v>409.22252009523288</v>
          </cell>
          <cell r="N379">
            <v>220</v>
          </cell>
          <cell r="R379" t="str">
            <v>BODY SPLASH</v>
          </cell>
          <cell r="S379" t="str">
            <v>LÍQUIDO</v>
          </cell>
        </row>
        <row r="380">
          <cell r="E380">
            <v>737.56097559928492</v>
          </cell>
          <cell r="N380">
            <v>120</v>
          </cell>
          <cell r="R380" t="str">
            <v>CREME HIDRATANTE</v>
          </cell>
          <cell r="S380" t="str">
            <v>CREMOSO</v>
          </cell>
        </row>
        <row r="381">
          <cell r="E381">
            <v>954.00000003470632</v>
          </cell>
          <cell r="N381">
            <v>220</v>
          </cell>
          <cell r="R381" t="str">
            <v>BODY SPLASH</v>
          </cell>
          <cell r="S381" t="str">
            <v>LÍQUIDO</v>
          </cell>
        </row>
        <row r="382">
          <cell r="E382">
            <v>458.18181818181819</v>
          </cell>
          <cell r="N382">
            <v>120</v>
          </cell>
          <cell r="R382" t="str">
            <v>CREME HIDRATANTE</v>
          </cell>
          <cell r="S382" t="str">
            <v>CREMOSO</v>
          </cell>
        </row>
        <row r="383">
          <cell r="E383">
            <v>909.47368419938141</v>
          </cell>
          <cell r="N383">
            <v>220</v>
          </cell>
          <cell r="R383" t="str">
            <v>BODY SPLASH</v>
          </cell>
          <cell r="S383" t="str">
            <v>LÍQUIDO</v>
          </cell>
        </row>
        <row r="384">
          <cell r="E384">
            <v>21.739130434535035</v>
          </cell>
          <cell r="N384">
            <v>500</v>
          </cell>
          <cell r="R384" t="str">
            <v>GEL</v>
          </cell>
          <cell r="S384" t="str">
            <v>CREMOSO</v>
          </cell>
        </row>
        <row r="385">
          <cell r="E385">
            <v>901.00558660858633</v>
          </cell>
          <cell r="N385">
            <v>220</v>
          </cell>
          <cell r="R385" t="str">
            <v>BODY SPLASH</v>
          </cell>
          <cell r="S385" t="str">
            <v>LÍQUIDO</v>
          </cell>
        </row>
        <row r="386">
          <cell r="E386">
            <v>1240.9756098336172</v>
          </cell>
          <cell r="N386">
            <v>220</v>
          </cell>
          <cell r="R386" t="str">
            <v>BODY SPLASH</v>
          </cell>
          <cell r="S386" t="str">
            <v>LÍQUIDO</v>
          </cell>
        </row>
        <row r="387">
          <cell r="E387">
            <v>1174.1538461117877</v>
          </cell>
          <cell r="N387">
            <v>220</v>
          </cell>
          <cell r="R387" t="str">
            <v>BODY SPLASH</v>
          </cell>
          <cell r="S387" t="str">
            <v>LÍQUIDO</v>
          </cell>
        </row>
        <row r="388">
          <cell r="E388">
            <v>651.72413791599115</v>
          </cell>
          <cell r="N388">
            <v>120</v>
          </cell>
          <cell r="R388" t="str">
            <v>CREME HIDRATANTE</v>
          </cell>
          <cell r="S388" t="str">
            <v>CREMOSO</v>
          </cell>
        </row>
        <row r="389">
          <cell r="E389">
            <v>1017.5999999526143</v>
          </cell>
          <cell r="N389">
            <v>220</v>
          </cell>
          <cell r="R389" t="str">
            <v>BODY SPLASH</v>
          </cell>
          <cell r="S389" t="str">
            <v>LÍQUIDO</v>
          </cell>
        </row>
        <row r="390">
          <cell r="E390">
            <v>375.96059113322053</v>
          </cell>
          <cell r="N390">
            <v>220</v>
          </cell>
          <cell r="R390" t="str">
            <v>BODY SPLASH</v>
          </cell>
          <cell r="S390" t="str">
            <v>LÍQUIDO</v>
          </cell>
        </row>
        <row r="391">
          <cell r="E391">
            <v>622.22222221953939</v>
          </cell>
          <cell r="N391">
            <v>120</v>
          </cell>
          <cell r="R391" t="str">
            <v>CREME HIDRATANTE</v>
          </cell>
          <cell r="S391" t="str">
            <v>CREMOSO</v>
          </cell>
        </row>
        <row r="392">
          <cell r="E392">
            <v>1817.1428568859831</v>
          </cell>
          <cell r="N392">
            <v>220</v>
          </cell>
          <cell r="R392" t="str">
            <v>BODY SPLASH</v>
          </cell>
          <cell r="S392" t="str">
            <v>LÍQUIDO</v>
          </cell>
        </row>
        <row r="393">
          <cell r="E393">
            <v>733.09090911030523</v>
          </cell>
          <cell r="N393">
            <v>220</v>
          </cell>
          <cell r="R393" t="str">
            <v>BODY SPLASH</v>
          </cell>
          <cell r="S393" t="str">
            <v>LÍQUIDO</v>
          </cell>
        </row>
        <row r="394">
          <cell r="E394">
            <v>709.85915493772495</v>
          </cell>
          <cell r="N394">
            <v>325</v>
          </cell>
          <cell r="R394" t="str">
            <v>ÁGUA MICELAR</v>
          </cell>
          <cell r="S394" t="str">
            <v>LÍQUIDO</v>
          </cell>
        </row>
        <row r="395">
          <cell r="E395">
            <v>863.58620686881807</v>
          </cell>
          <cell r="N395">
            <v>120</v>
          </cell>
          <cell r="R395" t="str">
            <v>CREME HIDRATANTE</v>
          </cell>
          <cell r="S395" t="str">
            <v>CREMOSO</v>
          </cell>
        </row>
        <row r="396">
          <cell r="E396">
            <v>787.4999999469992</v>
          </cell>
          <cell r="N396">
            <v>325</v>
          </cell>
          <cell r="R396" t="str">
            <v>ÁGUA MICELAR</v>
          </cell>
          <cell r="S396" t="str">
            <v>LÍQUIDO</v>
          </cell>
        </row>
        <row r="397">
          <cell r="E397">
            <v>833.05785119318284</v>
          </cell>
          <cell r="N397">
            <v>325</v>
          </cell>
          <cell r="R397" t="str">
            <v>ÁGUA MICELAR</v>
          </cell>
          <cell r="S397" t="str">
            <v>LÍQUIDO</v>
          </cell>
        </row>
        <row r="398">
          <cell r="E398">
            <v>877.0909090834831</v>
          </cell>
          <cell r="N398">
            <v>120</v>
          </cell>
          <cell r="R398" t="str">
            <v>CREME HIDRATANTE</v>
          </cell>
          <cell r="S398" t="str">
            <v>CREMOSO</v>
          </cell>
        </row>
        <row r="399">
          <cell r="E399">
            <v>671.99999996870758</v>
          </cell>
          <cell r="N399">
            <v>325</v>
          </cell>
          <cell r="R399" t="str">
            <v>ÁGUA MICELAR</v>
          </cell>
          <cell r="S399" t="str">
            <v>LÍQUIDO</v>
          </cell>
        </row>
        <row r="400">
          <cell r="E400">
            <v>560.00000001086539</v>
          </cell>
          <cell r="N400">
            <v>325</v>
          </cell>
          <cell r="R400" t="str">
            <v>ÁGUA MICELAR</v>
          </cell>
          <cell r="S400" t="str">
            <v>LÍQUIDO</v>
          </cell>
        </row>
        <row r="401">
          <cell r="E401">
            <v>560</v>
          </cell>
          <cell r="N401">
            <v>325</v>
          </cell>
          <cell r="R401" t="str">
            <v>ÁGUA MICELAR</v>
          </cell>
          <cell r="S401" t="str">
            <v>LÍQUIDO</v>
          </cell>
        </row>
        <row r="402">
          <cell r="E402">
            <v>374.99999998090061</v>
          </cell>
          <cell r="N402">
            <v>500</v>
          </cell>
          <cell r="R402" t="str">
            <v>GEL</v>
          </cell>
          <cell r="S402" t="str">
            <v>CREMOSO</v>
          </cell>
        </row>
        <row r="403">
          <cell r="E403">
            <v>840.00000004889444</v>
          </cell>
          <cell r="N403">
            <v>325</v>
          </cell>
          <cell r="R403" t="str">
            <v>ÁGUA MICELAR</v>
          </cell>
          <cell r="S403" t="str">
            <v>LÍQUIDO</v>
          </cell>
        </row>
        <row r="404">
          <cell r="E404">
            <v>432.00000000628643</v>
          </cell>
          <cell r="N404">
            <v>325</v>
          </cell>
          <cell r="R404" t="str">
            <v>ÁGUA MICELAR</v>
          </cell>
          <cell r="S404" t="str">
            <v>LÍQUIDO</v>
          </cell>
        </row>
        <row r="405">
          <cell r="E405">
            <v>840.00000004889444</v>
          </cell>
          <cell r="N405">
            <v>325</v>
          </cell>
          <cell r="R405" t="str">
            <v>ÁGUA MICELAR</v>
          </cell>
          <cell r="S405" t="str">
            <v>LÍQUIDO</v>
          </cell>
        </row>
        <row r="406">
          <cell r="E406">
            <v>999.99999988358468</v>
          </cell>
          <cell r="N406">
            <v>500</v>
          </cell>
          <cell r="R406" t="str">
            <v>GEL</v>
          </cell>
          <cell r="S406" t="str">
            <v>CREMOSO</v>
          </cell>
        </row>
        <row r="407">
          <cell r="E407">
            <v>1120</v>
          </cell>
          <cell r="N407">
            <v>325</v>
          </cell>
          <cell r="R407" t="str">
            <v>ÁGUA MICELAR</v>
          </cell>
          <cell r="S407" t="str">
            <v>LÍQUIDO</v>
          </cell>
        </row>
        <row r="408">
          <cell r="E408">
            <v>545.45454549495412</v>
          </cell>
          <cell r="N408">
            <v>500</v>
          </cell>
          <cell r="R408" t="str">
            <v>GEL</v>
          </cell>
          <cell r="S408" t="str">
            <v>CREMOSO</v>
          </cell>
        </row>
        <row r="409">
          <cell r="E409">
            <v>839.99999997555278</v>
          </cell>
          <cell r="N409">
            <v>325</v>
          </cell>
          <cell r="R409" t="str">
            <v>ÁGUA MICELAR</v>
          </cell>
          <cell r="S409" t="str">
            <v>LÍQUIDO</v>
          </cell>
        </row>
        <row r="410">
          <cell r="E410">
            <v>134.52914798072842</v>
          </cell>
          <cell r="N410">
            <v>500</v>
          </cell>
          <cell r="R410" t="str">
            <v>GEL</v>
          </cell>
          <cell r="S410" t="str">
            <v>CREMOSO</v>
          </cell>
        </row>
        <row r="411">
          <cell r="E411">
            <v>499.99999998544808</v>
          </cell>
          <cell r="N411">
            <v>500</v>
          </cell>
          <cell r="R411" t="str">
            <v>GEL</v>
          </cell>
          <cell r="S411" t="str">
            <v>CREMOSO</v>
          </cell>
        </row>
        <row r="412">
          <cell r="E412">
            <v>839.99999997555278</v>
          </cell>
          <cell r="N412">
            <v>325</v>
          </cell>
          <cell r="R412" t="str">
            <v>ÁGUA MICELAR</v>
          </cell>
          <cell r="S412" t="str">
            <v>LÍQUIDO</v>
          </cell>
        </row>
        <row r="413">
          <cell r="E413">
            <v>592.94117647464873</v>
          </cell>
          <cell r="N413">
            <v>325</v>
          </cell>
          <cell r="R413" t="str">
            <v>ÁGUA MICELAR</v>
          </cell>
          <cell r="S413" t="str">
            <v>LÍQUIDO</v>
          </cell>
        </row>
        <row r="414">
          <cell r="E414">
            <v>333.33333333333331</v>
          </cell>
          <cell r="N414">
            <v>500</v>
          </cell>
          <cell r="R414" t="str">
            <v>GEL</v>
          </cell>
          <cell r="S414" t="str">
            <v>CREMOSO</v>
          </cell>
        </row>
        <row r="415">
          <cell r="E415">
            <v>1260.0000000183354</v>
          </cell>
          <cell r="N415">
            <v>325</v>
          </cell>
          <cell r="R415" t="str">
            <v>ÁGUA MICELAR</v>
          </cell>
          <cell r="S415" t="str">
            <v>LÍQUIDO</v>
          </cell>
        </row>
        <row r="416">
          <cell r="E416">
            <v>307.69230769781848</v>
          </cell>
          <cell r="N416">
            <v>500</v>
          </cell>
          <cell r="R416" t="str">
            <v>GEL</v>
          </cell>
          <cell r="S416" t="str">
            <v>CREMOSO</v>
          </cell>
        </row>
        <row r="417">
          <cell r="E417">
            <v>1132.5842695710708</v>
          </cell>
          <cell r="N417">
            <v>325</v>
          </cell>
          <cell r="R417" t="str">
            <v>ÁGUA MICELAR</v>
          </cell>
          <cell r="S417" t="str">
            <v>LÍQUIDO</v>
          </cell>
        </row>
        <row r="418">
          <cell r="E418">
            <v>1049.9999999006832</v>
          </cell>
          <cell r="N418">
            <v>325</v>
          </cell>
          <cell r="R418" t="str">
            <v>ÁGUA MICELAR</v>
          </cell>
          <cell r="S418" t="str">
            <v>LÍQUIDO</v>
          </cell>
        </row>
        <row r="419">
          <cell r="E419">
            <v>499.99999998544808</v>
          </cell>
          <cell r="N419">
            <v>500</v>
          </cell>
          <cell r="R419" t="str">
            <v>GEL</v>
          </cell>
          <cell r="S419" t="str">
            <v>CREMOSO</v>
          </cell>
        </row>
        <row r="420">
          <cell r="E420">
            <v>1072.3404256222225</v>
          </cell>
          <cell r="N420">
            <v>325</v>
          </cell>
          <cell r="R420" t="str">
            <v>ÁGUA MICELAR</v>
          </cell>
          <cell r="S420" t="str">
            <v>LÍQUIDO</v>
          </cell>
        </row>
        <row r="421">
          <cell r="E421">
            <v>541.09090907945608</v>
          </cell>
          <cell r="N421">
            <v>325</v>
          </cell>
          <cell r="R421" t="str">
            <v>ÁGUA MICELAR</v>
          </cell>
          <cell r="S421" t="str">
            <v>LÍQUIDO</v>
          </cell>
        </row>
        <row r="422">
          <cell r="E422">
            <v>307.69230769781848</v>
          </cell>
          <cell r="N422">
            <v>500</v>
          </cell>
          <cell r="R422" t="str">
            <v>GEL</v>
          </cell>
          <cell r="S422" t="str">
            <v>CREMOSO</v>
          </cell>
        </row>
        <row r="423">
          <cell r="E423">
            <v>307.69230769781848</v>
          </cell>
          <cell r="N423">
            <v>500</v>
          </cell>
          <cell r="R423" t="str">
            <v>GEL</v>
          </cell>
          <cell r="S423" t="str">
            <v>CREMOSO</v>
          </cell>
        </row>
        <row r="424">
          <cell r="E424">
            <v>400.44444444444446</v>
          </cell>
          <cell r="N424">
            <v>500</v>
          </cell>
          <cell r="R424" t="str">
            <v>GEL</v>
          </cell>
          <cell r="S424" t="str">
            <v>CREMOSO</v>
          </cell>
        </row>
        <row r="425">
          <cell r="E425">
            <v>231.66023165481707</v>
          </cell>
          <cell r="N425">
            <v>500</v>
          </cell>
          <cell r="R425" t="str">
            <v>GEL</v>
          </cell>
          <cell r="S425" t="str">
            <v>CREMOSO</v>
          </cell>
        </row>
        <row r="426">
          <cell r="E426">
            <v>916.36363637333443</v>
          </cell>
          <cell r="N426">
            <v>325</v>
          </cell>
          <cell r="R426" t="str">
            <v>ÁGUA MICELAR</v>
          </cell>
          <cell r="S426" t="str">
            <v>LÍQUIDO</v>
          </cell>
        </row>
        <row r="427">
          <cell r="E427">
            <v>1120</v>
          </cell>
          <cell r="N427">
            <v>325</v>
          </cell>
          <cell r="R427" t="str">
            <v>ÁGUA MICELAR</v>
          </cell>
          <cell r="S427" t="str">
            <v>LÍQUIDO</v>
          </cell>
        </row>
        <row r="428">
          <cell r="E428">
            <v>517.63636367471145</v>
          </cell>
          <cell r="N428">
            <v>500</v>
          </cell>
          <cell r="R428" t="str">
            <v>GEL</v>
          </cell>
          <cell r="S428" t="str">
            <v>CREMOSO</v>
          </cell>
        </row>
        <row r="429">
          <cell r="E429">
            <v>588.23529413375991</v>
          </cell>
          <cell r="N429">
            <v>500</v>
          </cell>
          <cell r="R429" t="str">
            <v>GEL</v>
          </cell>
          <cell r="S429" t="str">
            <v>CREMOSO</v>
          </cell>
        </row>
        <row r="430">
          <cell r="E430">
            <v>666.66666666666663</v>
          </cell>
          <cell r="N430">
            <v>500</v>
          </cell>
          <cell r="R430" t="str">
            <v>GEL</v>
          </cell>
          <cell r="S430" t="str">
            <v>CREMOSO</v>
          </cell>
        </row>
        <row r="431">
          <cell r="E431">
            <v>1120</v>
          </cell>
          <cell r="N431">
            <v>325</v>
          </cell>
          <cell r="R431" t="str">
            <v>ÁGUA MICELAR</v>
          </cell>
          <cell r="S431" t="str">
            <v>LÍQUIDO</v>
          </cell>
        </row>
        <row r="432">
          <cell r="E432">
            <v>599.99999999301508</v>
          </cell>
          <cell r="N432">
            <v>500</v>
          </cell>
          <cell r="R432" t="str">
            <v>GEL</v>
          </cell>
          <cell r="S432" t="str">
            <v>CREMOSO</v>
          </cell>
        </row>
        <row r="433">
          <cell r="E433">
            <v>642.03821656717457</v>
          </cell>
          <cell r="N433">
            <v>325</v>
          </cell>
          <cell r="R433" t="str">
            <v>ÁGUA MICELAR</v>
          </cell>
          <cell r="S433" t="str">
            <v>LÍQUIDO</v>
          </cell>
        </row>
        <row r="434">
          <cell r="E434">
            <v>250.00000000363798</v>
          </cell>
          <cell r="N434">
            <v>500</v>
          </cell>
          <cell r="R434" t="str">
            <v>GEL</v>
          </cell>
          <cell r="S434" t="str">
            <v>CREMOSO</v>
          </cell>
        </row>
        <row r="435">
          <cell r="E435">
            <v>1050.0000000152795</v>
          </cell>
          <cell r="N435">
            <v>325</v>
          </cell>
          <cell r="R435" t="str">
            <v>ÁGUA MICELAR</v>
          </cell>
          <cell r="S435" t="str">
            <v>LÍQUIDO</v>
          </cell>
        </row>
        <row r="436">
          <cell r="E436">
            <v>2144.680851244445</v>
          </cell>
          <cell r="N436">
            <v>325</v>
          </cell>
          <cell r="R436" t="str">
            <v>ÁGUA MICELAR</v>
          </cell>
          <cell r="S436" t="str">
            <v>LÍQUIDO</v>
          </cell>
        </row>
        <row r="437">
          <cell r="E437">
            <v>1199.9999998603016</v>
          </cell>
          <cell r="N437">
            <v>500</v>
          </cell>
          <cell r="R437" t="str">
            <v>GEL</v>
          </cell>
          <cell r="S437" t="str">
            <v>CREMOSO</v>
          </cell>
        </row>
        <row r="438">
          <cell r="E438">
            <v>2520.0000003667083</v>
          </cell>
          <cell r="N438">
            <v>325</v>
          </cell>
          <cell r="R438" t="str">
            <v>ÁGUA MICELAR</v>
          </cell>
          <cell r="S438" t="str">
            <v>LÍQUIDO</v>
          </cell>
        </row>
        <row r="439">
          <cell r="E439">
            <v>666.66666666666663</v>
          </cell>
          <cell r="N439">
            <v>500</v>
          </cell>
          <cell r="R439" t="str">
            <v>GEL</v>
          </cell>
          <cell r="S439" t="str">
            <v>CREMOSO</v>
          </cell>
        </row>
        <row r="440">
          <cell r="E440">
            <v>545.45454549495412</v>
          </cell>
          <cell r="N440">
            <v>500</v>
          </cell>
          <cell r="R440" t="str">
            <v>GEL</v>
          </cell>
          <cell r="S440" t="str">
            <v>CREMOSO</v>
          </cell>
        </row>
        <row r="441">
          <cell r="E441">
            <v>839.99999997555278</v>
          </cell>
          <cell r="N441">
            <v>325</v>
          </cell>
          <cell r="R441" t="str">
            <v>ÁGUA MICELAR</v>
          </cell>
          <cell r="S441" t="str">
            <v>LÍQUIDO</v>
          </cell>
        </row>
        <row r="442">
          <cell r="E442">
            <v>749.99999991268851</v>
          </cell>
          <cell r="N442">
            <v>500</v>
          </cell>
          <cell r="R442" t="str">
            <v>GEL</v>
          </cell>
          <cell r="S442" t="str">
            <v>CREMOSO</v>
          </cell>
        </row>
        <row r="443">
          <cell r="E443">
            <v>1120.0000000434618</v>
          </cell>
          <cell r="N443">
            <v>325</v>
          </cell>
          <cell r="R443" t="str">
            <v>ÁGUA MICELAR</v>
          </cell>
          <cell r="S443" t="str">
            <v>LÍQUIDO</v>
          </cell>
        </row>
        <row r="444">
          <cell r="E444">
            <v>999.99999988358468</v>
          </cell>
          <cell r="N444">
            <v>500</v>
          </cell>
          <cell r="R444" t="str">
            <v>GEL</v>
          </cell>
          <cell r="S444" t="str">
            <v>CREMOSO</v>
          </cell>
        </row>
        <row r="445">
          <cell r="E445">
            <v>666.66666666666663</v>
          </cell>
          <cell r="N445">
            <v>500</v>
          </cell>
          <cell r="R445" t="str">
            <v>GEL</v>
          </cell>
          <cell r="S445" t="str">
            <v>CREMOSO</v>
          </cell>
        </row>
        <row r="446">
          <cell r="E446">
            <v>142.85714285833077</v>
          </cell>
          <cell r="N446">
            <v>500</v>
          </cell>
          <cell r="R446" t="str">
            <v>GEL</v>
          </cell>
          <cell r="S446" t="str">
            <v>CREMOSO</v>
          </cell>
        </row>
        <row r="447">
          <cell r="E447">
            <v>499.99999998544808</v>
          </cell>
          <cell r="N447">
            <v>500</v>
          </cell>
          <cell r="R447" t="str">
            <v>GEL</v>
          </cell>
          <cell r="S447" t="str">
            <v>CREMOSO</v>
          </cell>
        </row>
        <row r="448">
          <cell r="E448">
            <v>571.42857144757807</v>
          </cell>
          <cell r="N448">
            <v>500</v>
          </cell>
          <cell r="R448" t="str">
            <v>GEL</v>
          </cell>
          <cell r="S448" t="str">
            <v>CREMOSO</v>
          </cell>
        </row>
        <row r="449">
          <cell r="E449">
            <v>500.00000002910383</v>
          </cell>
          <cell r="N449">
            <v>500</v>
          </cell>
          <cell r="R449" t="str">
            <v>GEL</v>
          </cell>
          <cell r="S449" t="str">
            <v>CREMOSO</v>
          </cell>
        </row>
        <row r="450">
          <cell r="E450">
            <v>307.69230768679688</v>
          </cell>
          <cell r="N450">
            <v>500</v>
          </cell>
          <cell r="R450" t="str">
            <v>GEL</v>
          </cell>
          <cell r="S450" t="str">
            <v>CREMOSO</v>
          </cell>
        </row>
        <row r="451">
          <cell r="E451">
            <v>340.90909091405177</v>
          </cell>
          <cell r="N451">
            <v>500</v>
          </cell>
          <cell r="R451" t="str">
            <v>GEL</v>
          </cell>
          <cell r="S451" t="str">
            <v>CREMOSO</v>
          </cell>
        </row>
        <row r="452">
          <cell r="E452">
            <v>1099.9999998719431</v>
          </cell>
          <cell r="N452">
            <v>500</v>
          </cell>
          <cell r="R452" t="str">
            <v>GEL</v>
          </cell>
          <cell r="S452" t="str">
            <v>CREMOSO</v>
          </cell>
        </row>
        <row r="453">
          <cell r="E453">
            <v>271.04347825812579</v>
          </cell>
          <cell r="N453">
            <v>50</v>
          </cell>
          <cell r="R453" t="str">
            <v>PERFUME</v>
          </cell>
          <cell r="S453" t="str">
            <v>LÍQUIDO</v>
          </cell>
        </row>
        <row r="454">
          <cell r="E454">
            <v>175.42857142273641</v>
          </cell>
          <cell r="N454">
            <v>50</v>
          </cell>
          <cell r="R454" t="str">
            <v>PERFUME</v>
          </cell>
          <cell r="S454" t="str">
            <v>LÍQUIDO</v>
          </cell>
        </row>
        <row r="455">
          <cell r="E455">
            <v>141.54929578323527</v>
          </cell>
          <cell r="N455">
            <v>50</v>
          </cell>
          <cell r="R455" t="str">
            <v>PERFUME</v>
          </cell>
          <cell r="S455" t="str">
            <v>LÍQUIDO</v>
          </cell>
        </row>
        <row r="456">
          <cell r="E456">
            <v>788.23529408526019</v>
          </cell>
          <cell r="N456">
            <v>120</v>
          </cell>
          <cell r="R456" t="str">
            <v>CREME HIDRATANTE</v>
          </cell>
          <cell r="S456" t="str">
            <v>CREMOSO</v>
          </cell>
        </row>
        <row r="457">
          <cell r="E457">
            <v>99.56756756443481</v>
          </cell>
          <cell r="N457">
            <v>50</v>
          </cell>
          <cell r="R457" t="str">
            <v>PERFUME</v>
          </cell>
          <cell r="S457" t="str">
            <v>LÍQUIDO</v>
          </cell>
        </row>
        <row r="458">
          <cell r="E458">
            <v>160.17391304672117</v>
          </cell>
          <cell r="N458">
            <v>50</v>
          </cell>
          <cell r="R458" t="str">
            <v>PERFUME</v>
          </cell>
          <cell r="S458" t="str">
            <v>LÍQUIDO</v>
          </cell>
        </row>
        <row r="459">
          <cell r="E459">
            <v>711.50442477582908</v>
          </cell>
          <cell r="N459">
            <v>120</v>
          </cell>
          <cell r="R459" t="str">
            <v>CREME HIDRATANTE</v>
          </cell>
          <cell r="S459" t="str">
            <v>CREMOSO</v>
          </cell>
        </row>
        <row r="460">
          <cell r="E460">
            <v>136.44444444797426</v>
          </cell>
          <cell r="N460">
            <v>50</v>
          </cell>
          <cell r="R460" t="str">
            <v>PERFUME</v>
          </cell>
          <cell r="S460" t="str">
            <v>LÍQUIDO</v>
          </cell>
        </row>
        <row r="461">
          <cell r="E461">
            <v>109.09090909552722</v>
          </cell>
          <cell r="N461">
            <v>50</v>
          </cell>
          <cell r="R461" t="str">
            <v>PERFUME</v>
          </cell>
          <cell r="S461" t="str">
            <v>LÍQUIDO</v>
          </cell>
        </row>
        <row r="462">
          <cell r="E462">
            <v>920.61068704089928</v>
          </cell>
          <cell r="N462">
            <v>120</v>
          </cell>
          <cell r="R462" t="str">
            <v>CREME HIDRATANTE</v>
          </cell>
          <cell r="S462" t="str">
            <v>CREMOSO</v>
          </cell>
        </row>
        <row r="463">
          <cell r="E463">
            <v>170.18181817821605</v>
          </cell>
          <cell r="N463">
            <v>1000</v>
          </cell>
          <cell r="R463" t="str">
            <v>BASE</v>
          </cell>
          <cell r="S463" t="str">
            <v>LÍQUIDO</v>
          </cell>
        </row>
        <row r="464">
          <cell r="E464">
            <v>312.00000004540198</v>
          </cell>
          <cell r="N464">
            <v>1000</v>
          </cell>
          <cell r="R464" t="str">
            <v>BASE</v>
          </cell>
          <cell r="S464" t="str">
            <v>LÍQUIDO</v>
          </cell>
        </row>
        <row r="465">
          <cell r="E465">
            <v>595.55555554528416</v>
          </cell>
          <cell r="N465">
            <v>120</v>
          </cell>
          <cell r="R465" t="str">
            <v>CREME HIDRATANTE</v>
          </cell>
          <cell r="S465" t="str">
            <v>CREMOSO</v>
          </cell>
        </row>
        <row r="466">
          <cell r="E466">
            <v>809.39597314361174</v>
          </cell>
          <cell r="N466">
            <v>120</v>
          </cell>
          <cell r="R466" t="str">
            <v>CREME HIDRATANTE</v>
          </cell>
          <cell r="S466" t="str">
            <v>CREMOSO</v>
          </cell>
        </row>
        <row r="467">
          <cell r="E467">
            <v>893.33333333333337</v>
          </cell>
          <cell r="N467">
            <v>120</v>
          </cell>
          <cell r="R467" t="str">
            <v>CREME HIDRATANTE</v>
          </cell>
          <cell r="S467" t="str">
            <v>CREMOSO</v>
          </cell>
        </row>
        <row r="468">
          <cell r="E468">
            <v>957.14285714020411</v>
          </cell>
          <cell r="N468">
            <v>120</v>
          </cell>
          <cell r="R468" t="str">
            <v>CREME HIDRATANTE</v>
          </cell>
          <cell r="S468" t="str">
            <v>CREMOSO</v>
          </cell>
        </row>
        <row r="469">
          <cell r="E469">
            <v>1359.1836733983457</v>
          </cell>
          <cell r="N469">
            <v>120</v>
          </cell>
          <cell r="R469" t="str">
            <v>CREME HIDRATANTE</v>
          </cell>
          <cell r="S469" t="str">
            <v>CREMOSO</v>
          </cell>
        </row>
        <row r="470">
          <cell r="E470">
            <v>1289.30232560932</v>
          </cell>
          <cell r="N470">
            <v>120</v>
          </cell>
          <cell r="R470" t="str">
            <v>BODY SPLASH</v>
          </cell>
          <cell r="S470" t="str">
            <v>LÍQUIDO</v>
          </cell>
        </row>
        <row r="471">
          <cell r="E471">
            <v>668.57142856586916</v>
          </cell>
          <cell r="N471">
            <v>120</v>
          </cell>
          <cell r="R471" t="str">
            <v>BODY SPLASH</v>
          </cell>
          <cell r="S471" t="str">
            <v>LÍQUIDO</v>
          </cell>
        </row>
        <row r="472">
          <cell r="E472">
            <v>846.10169491191527</v>
          </cell>
          <cell r="N472">
            <v>180</v>
          </cell>
          <cell r="R472" t="str">
            <v>CREME HIDRATANTE</v>
          </cell>
          <cell r="S472" t="str">
            <v>CREMOSO</v>
          </cell>
        </row>
        <row r="473">
          <cell r="E473">
            <v>876.75000001275839</v>
          </cell>
          <cell r="N473">
            <v>180</v>
          </cell>
          <cell r="R473" t="str">
            <v>CREME HIDRATANTE</v>
          </cell>
          <cell r="S473" t="str">
            <v>CREMOSO</v>
          </cell>
        </row>
        <row r="474">
          <cell r="E474">
            <v>765.47368418473047</v>
          </cell>
          <cell r="N474">
            <v>120</v>
          </cell>
          <cell r="R474" t="str">
            <v>BODY SPLASH</v>
          </cell>
          <cell r="S474" t="str">
            <v>LÍQUIDO</v>
          </cell>
        </row>
        <row r="475">
          <cell r="E475">
            <v>930.18633539834593</v>
          </cell>
          <cell r="N475">
            <v>180</v>
          </cell>
          <cell r="R475" t="str">
            <v>CREME HIDRATANTE</v>
          </cell>
          <cell r="S475" t="str">
            <v>CREMOSO</v>
          </cell>
        </row>
        <row r="476">
          <cell r="E476">
            <v>726.93467333196304</v>
          </cell>
          <cell r="N476">
            <v>180</v>
          </cell>
          <cell r="R476" t="str">
            <v>CREME HIDRATANTE</v>
          </cell>
          <cell r="S476" t="str">
            <v>CREMOSO</v>
          </cell>
        </row>
        <row r="477">
          <cell r="E477">
            <v>713.14285716657741</v>
          </cell>
          <cell r="N477">
            <v>180</v>
          </cell>
          <cell r="R477" t="str">
            <v>CREME HIDRATANTE</v>
          </cell>
          <cell r="S477" t="str">
            <v>CREMOSO</v>
          </cell>
        </row>
        <row r="478">
          <cell r="E478">
            <v>768.00000002235174</v>
          </cell>
          <cell r="N478">
            <v>120</v>
          </cell>
          <cell r="R478" t="str">
            <v>BODY SPLASH</v>
          </cell>
          <cell r="S478" t="str">
            <v>LÍQUIDO</v>
          </cell>
        </row>
        <row r="479">
          <cell r="E479">
            <v>663.65217389624797</v>
          </cell>
          <cell r="N479">
            <v>180</v>
          </cell>
          <cell r="R479" t="str">
            <v>CREME HIDRATANTE</v>
          </cell>
          <cell r="S479" t="str">
            <v>CREMOSO</v>
          </cell>
        </row>
        <row r="480">
          <cell r="E480">
            <v>627.19999999026459</v>
          </cell>
          <cell r="N480">
            <v>120</v>
          </cell>
          <cell r="R480" t="str">
            <v>BODY SPLASH</v>
          </cell>
          <cell r="S480" t="str">
            <v>LÍQUIDO</v>
          </cell>
        </row>
        <row r="481">
          <cell r="E481">
            <v>748.79999999128279</v>
          </cell>
          <cell r="N481">
            <v>180</v>
          </cell>
          <cell r="R481" t="str">
            <v>CREME HIDRATANTE</v>
          </cell>
          <cell r="S481" t="str">
            <v>CREMOSO</v>
          </cell>
        </row>
        <row r="482">
          <cell r="E482">
            <v>763.63636362558805</v>
          </cell>
          <cell r="N482">
            <v>180</v>
          </cell>
          <cell r="R482" t="str">
            <v>CREME HIDRATANTE</v>
          </cell>
          <cell r="S482" t="str">
            <v>CREMOSO</v>
          </cell>
        </row>
        <row r="483">
          <cell r="E483">
            <v>674.18181818360199</v>
          </cell>
          <cell r="N483">
            <v>120</v>
          </cell>
          <cell r="R483" t="str">
            <v>BODY SPLASH</v>
          </cell>
          <cell r="S483" t="str">
            <v>LÍQUIDO</v>
          </cell>
        </row>
        <row r="484">
          <cell r="E484">
            <v>713.14285716657741</v>
          </cell>
          <cell r="N484">
            <v>180</v>
          </cell>
          <cell r="R484" t="str">
            <v>CREME HIDRATANTE</v>
          </cell>
          <cell r="S484" t="str">
            <v>CREMOSO</v>
          </cell>
        </row>
        <row r="485">
          <cell r="E485">
            <v>218.18181817835458</v>
          </cell>
          <cell r="N485">
            <v>180</v>
          </cell>
          <cell r="R485" t="str">
            <v>CREME HIDRATANTE</v>
          </cell>
          <cell r="S485" t="str">
            <v>CREMOSO</v>
          </cell>
        </row>
        <row r="486">
          <cell r="E486">
            <v>600.9917355209999</v>
          </cell>
          <cell r="N486">
            <v>120</v>
          </cell>
          <cell r="R486" t="str">
            <v>BODY SPLASH</v>
          </cell>
          <cell r="S486" t="str">
            <v>LÍQUIDO</v>
          </cell>
        </row>
        <row r="487">
          <cell r="E487">
            <v>573.79310342063513</v>
          </cell>
          <cell r="N487">
            <v>180</v>
          </cell>
          <cell r="R487" t="str">
            <v>CREME HIDRATANTE</v>
          </cell>
          <cell r="S487" t="str">
            <v>CREMOSO</v>
          </cell>
        </row>
        <row r="488">
          <cell r="E488">
            <v>713.20754718312719</v>
          </cell>
          <cell r="N488">
            <v>180</v>
          </cell>
          <cell r="R488" t="str">
            <v>CREME HIDRATANTE</v>
          </cell>
          <cell r="S488" t="str">
            <v>CREMOSO</v>
          </cell>
        </row>
        <row r="489">
          <cell r="E489">
            <v>721.82278479948968</v>
          </cell>
          <cell r="N489">
            <v>120</v>
          </cell>
          <cell r="R489" t="str">
            <v>BODY SPLASH</v>
          </cell>
          <cell r="S489" t="str">
            <v>LÍQUIDO</v>
          </cell>
        </row>
        <row r="490">
          <cell r="E490">
            <v>897.88235289198713</v>
          </cell>
          <cell r="N490">
            <v>220</v>
          </cell>
          <cell r="R490" t="str">
            <v>BODY SPLASH</v>
          </cell>
          <cell r="S490" t="str">
            <v>LÍQUIDO</v>
          </cell>
        </row>
        <row r="491">
          <cell r="E491">
            <v>849.01734103246395</v>
          </cell>
          <cell r="N491">
            <v>120</v>
          </cell>
          <cell r="R491" t="str">
            <v>BODY SPLASH</v>
          </cell>
          <cell r="S491" t="str">
            <v>LÍQUIDO</v>
          </cell>
        </row>
        <row r="492">
          <cell r="E492">
            <v>605.21739130741116</v>
          </cell>
          <cell r="N492">
            <v>220</v>
          </cell>
          <cell r="R492" t="str">
            <v>BODY SPLASH</v>
          </cell>
          <cell r="S492" t="str">
            <v>LÍQUIDO</v>
          </cell>
        </row>
        <row r="493">
          <cell r="E493">
            <v>706.66666667123707</v>
          </cell>
          <cell r="N493">
            <v>220</v>
          </cell>
          <cell r="R493" t="str">
            <v>BODY SPLASH</v>
          </cell>
          <cell r="S493" t="str">
            <v>LÍQUIDO</v>
          </cell>
        </row>
        <row r="494">
          <cell r="E494">
            <v>820.64516125025921</v>
          </cell>
          <cell r="N494">
            <v>220</v>
          </cell>
          <cell r="R494" t="str">
            <v>BODY SPLASH</v>
          </cell>
          <cell r="S494" t="str">
            <v>LÍQUIDO</v>
          </cell>
        </row>
        <row r="495">
          <cell r="E495">
            <v>966.07594935712325</v>
          </cell>
          <cell r="N495">
            <v>220</v>
          </cell>
          <cell r="R495" t="str">
            <v>BODY SPLASH</v>
          </cell>
          <cell r="S495" t="str">
            <v>LÍQUIDO</v>
          </cell>
        </row>
        <row r="496">
          <cell r="E496">
            <v>502.10526315366462</v>
          </cell>
          <cell r="N496">
            <v>220</v>
          </cell>
          <cell r="R496" t="str">
            <v>BODY SPLASH</v>
          </cell>
          <cell r="S496" t="str">
            <v>LÍQUIDO</v>
          </cell>
        </row>
        <row r="497">
          <cell r="E497">
            <v>1165.1908396242447</v>
          </cell>
          <cell r="N497">
            <v>220</v>
          </cell>
          <cell r="R497" t="str">
            <v>BODY SPLASH</v>
          </cell>
          <cell r="S497" t="str">
            <v>LÍQUIDO</v>
          </cell>
        </row>
        <row r="498">
          <cell r="E498">
            <v>746.26865672160466</v>
          </cell>
          <cell r="N498">
            <v>100</v>
          </cell>
          <cell r="R498" t="str">
            <v>ESCOVA PROGRESSIVA</v>
          </cell>
          <cell r="S498" t="str">
            <v>LÍQUIDO ESPESSO</v>
          </cell>
        </row>
        <row r="499">
          <cell r="E499">
            <v>786.80412371039597</v>
          </cell>
          <cell r="N499">
            <v>220</v>
          </cell>
          <cell r="R499" t="str">
            <v>BODY SPLASH</v>
          </cell>
          <cell r="S499" t="str">
            <v>LÍQUIDO</v>
          </cell>
        </row>
        <row r="500">
          <cell r="E500">
            <v>786.80412369623161</v>
          </cell>
          <cell r="N500">
            <v>220</v>
          </cell>
          <cell r="R500" t="str">
            <v>BODY SPLASH</v>
          </cell>
          <cell r="S500" t="str">
            <v>LÍQUIDO</v>
          </cell>
        </row>
        <row r="501">
          <cell r="E501">
            <v>462.54545455524499</v>
          </cell>
          <cell r="N501">
            <v>220</v>
          </cell>
          <cell r="R501" t="str">
            <v>BODY SPLASH</v>
          </cell>
          <cell r="S501" t="str">
            <v>LÍQUIDO</v>
          </cell>
        </row>
        <row r="502">
          <cell r="E502">
            <v>537.6344085893636</v>
          </cell>
          <cell r="N502">
            <v>100</v>
          </cell>
          <cell r="R502" t="str">
            <v>ESCOVA PROGRESSIVA</v>
          </cell>
          <cell r="S502" t="str">
            <v>LÍQUIDO ESPESSO</v>
          </cell>
        </row>
        <row r="503">
          <cell r="E503">
            <v>1038.3673469585112</v>
          </cell>
          <cell r="N503">
            <v>220</v>
          </cell>
          <cell r="R503" t="str">
            <v>BODY SPLASH</v>
          </cell>
          <cell r="S503" t="str">
            <v>LÍQUIDO</v>
          </cell>
        </row>
        <row r="504">
          <cell r="E504">
            <v>897.66233766776634</v>
          </cell>
          <cell r="N504">
            <v>220</v>
          </cell>
          <cell r="R504" t="str">
            <v>BODY SPLASH</v>
          </cell>
          <cell r="S504" t="str">
            <v>LÍQUIDO</v>
          </cell>
        </row>
        <row r="505">
          <cell r="E505">
            <v>675.75418991688593</v>
          </cell>
          <cell r="N505">
            <v>220</v>
          </cell>
          <cell r="R505" t="str">
            <v>BODY SPLASH</v>
          </cell>
          <cell r="S505" t="str">
            <v>LÍQUIDO</v>
          </cell>
        </row>
        <row r="506">
          <cell r="E506">
            <v>960.00000002629622</v>
          </cell>
          <cell r="N506">
            <v>220</v>
          </cell>
          <cell r="R506" t="str">
            <v>BODY SPLASH</v>
          </cell>
          <cell r="S506" t="str">
            <v>LÍQUIDO</v>
          </cell>
        </row>
        <row r="507">
          <cell r="E507">
            <v>739.66666668101811</v>
          </cell>
          <cell r="N507">
            <v>30</v>
          </cell>
          <cell r="R507" t="str">
            <v>POMADA</v>
          </cell>
          <cell r="S507" t="str">
            <v>DENSO</v>
          </cell>
        </row>
        <row r="508">
          <cell r="E508">
            <v>1107.69230765263</v>
          </cell>
          <cell r="N508">
            <v>325</v>
          </cell>
          <cell r="R508" t="str">
            <v>ÁGUA MICELAR</v>
          </cell>
          <cell r="S508" t="str">
            <v>LÍQUIDO</v>
          </cell>
        </row>
        <row r="509">
          <cell r="E509">
            <v>676.5100670971799</v>
          </cell>
          <cell r="N509">
            <v>325</v>
          </cell>
          <cell r="R509" t="str">
            <v>ÁGUA MICELAR</v>
          </cell>
          <cell r="S509" t="str">
            <v>LÍQUIDO</v>
          </cell>
        </row>
        <row r="510">
          <cell r="E510">
            <v>1136.3636363125242</v>
          </cell>
          <cell r="N510">
            <v>100</v>
          </cell>
          <cell r="R510" t="str">
            <v>ESCOVA PROGRESSIVA</v>
          </cell>
          <cell r="S510" t="str">
            <v>LÍQUIDO ESPESSO</v>
          </cell>
        </row>
        <row r="511">
          <cell r="E511">
            <v>626.0869565181174</v>
          </cell>
          <cell r="N511">
            <v>325</v>
          </cell>
          <cell r="R511" t="str">
            <v>ÁGUA MICELAR</v>
          </cell>
          <cell r="S511" t="str">
            <v>LÍQUIDO</v>
          </cell>
        </row>
        <row r="512">
          <cell r="E512">
            <v>663.15789473887378</v>
          </cell>
          <cell r="N512">
            <v>325</v>
          </cell>
          <cell r="R512" t="str">
            <v>ÁGUA MICELAR</v>
          </cell>
          <cell r="S512" t="str">
            <v>LÍQUIDO</v>
          </cell>
        </row>
        <row r="513">
          <cell r="E513">
            <v>1973.6842105323624</v>
          </cell>
          <cell r="N513">
            <v>100</v>
          </cell>
          <cell r="R513" t="str">
            <v>ESCOVA PROGRESSIVA</v>
          </cell>
          <cell r="S513" t="str">
            <v>LÍQUIDO ESPESSO</v>
          </cell>
        </row>
        <row r="514">
          <cell r="E514">
            <v>714.89361702835959</v>
          </cell>
          <cell r="N514">
            <v>325</v>
          </cell>
          <cell r="R514" t="str">
            <v>ÁGUA MICELAR</v>
          </cell>
          <cell r="S514" t="str">
            <v>LÍQUIDO</v>
          </cell>
        </row>
        <row r="515">
          <cell r="E515">
            <v>781.39534876528239</v>
          </cell>
          <cell r="N515">
            <v>325</v>
          </cell>
          <cell r="R515" t="str">
            <v>ÁGUA MICELAR</v>
          </cell>
          <cell r="S515" t="str">
            <v>LÍQUIDO</v>
          </cell>
        </row>
        <row r="516">
          <cell r="E516">
            <v>833.05785126531725</v>
          </cell>
          <cell r="N516">
            <v>325</v>
          </cell>
          <cell r="R516" t="str">
            <v>ÁGUA MICELAR</v>
          </cell>
          <cell r="S516" t="str">
            <v>LÍQUIDO</v>
          </cell>
        </row>
        <row r="517">
          <cell r="E517">
            <v>812.90322578966163</v>
          </cell>
          <cell r="N517">
            <v>325</v>
          </cell>
          <cell r="R517" t="str">
            <v>ÁGUA MICELAR</v>
          </cell>
          <cell r="S517" t="str">
            <v>LÍQUIDO</v>
          </cell>
        </row>
        <row r="518">
          <cell r="E518">
            <v>736.85618727318251</v>
          </cell>
          <cell r="N518">
            <v>150</v>
          </cell>
          <cell r="R518" t="str">
            <v>OLEO CORPORAL</v>
          </cell>
          <cell r="S518" t="str">
            <v>LÍQUIDO ESPESSO</v>
          </cell>
        </row>
        <row r="519">
          <cell r="E519">
            <v>783.36000000729564</v>
          </cell>
          <cell r="N519">
            <v>325</v>
          </cell>
          <cell r="R519" t="str">
            <v>ÁGUA MICELAR</v>
          </cell>
          <cell r="S519" t="str">
            <v>LÍQUIDO</v>
          </cell>
        </row>
        <row r="520">
          <cell r="E520">
            <v>658.82352938469512</v>
          </cell>
          <cell r="N520">
            <v>325</v>
          </cell>
          <cell r="R520" t="str">
            <v>ÁGUA MICELAR</v>
          </cell>
          <cell r="S520" t="str">
            <v>LÍQUIDO</v>
          </cell>
        </row>
        <row r="521">
          <cell r="E521">
            <v>533.58669832873443</v>
          </cell>
          <cell r="N521">
            <v>150</v>
          </cell>
          <cell r="R521" t="str">
            <v>OLEO CORPORAL</v>
          </cell>
          <cell r="S521" t="str">
            <v>LÍQUIDO ESPESSO</v>
          </cell>
        </row>
        <row r="522">
          <cell r="E522">
            <v>793.70078743358704</v>
          </cell>
          <cell r="N522">
            <v>325</v>
          </cell>
          <cell r="R522" t="str">
            <v>ÁGUA MICELAR</v>
          </cell>
          <cell r="S522" t="str">
            <v>LÍQUIDO</v>
          </cell>
        </row>
        <row r="523">
          <cell r="E523">
            <v>719.99999998802582</v>
          </cell>
          <cell r="N523">
            <v>325</v>
          </cell>
          <cell r="R523" t="str">
            <v>ÁGUA MICELAR</v>
          </cell>
          <cell r="S523" t="str">
            <v>LÍQUIDO</v>
          </cell>
        </row>
        <row r="524">
          <cell r="E524">
            <v>861.53846150760114</v>
          </cell>
          <cell r="N524">
            <v>325</v>
          </cell>
          <cell r="R524" t="str">
            <v>ÁGUA MICELAR</v>
          </cell>
          <cell r="S524" t="str">
            <v>LÍQUIDO</v>
          </cell>
        </row>
        <row r="525">
          <cell r="E525">
            <v>763.63636363232274</v>
          </cell>
          <cell r="N525">
            <v>325</v>
          </cell>
          <cell r="R525" t="str">
            <v>ÁGUA MICELAR</v>
          </cell>
          <cell r="S525" t="str">
            <v>LÍQUIDO</v>
          </cell>
        </row>
        <row r="526">
          <cell r="E526">
            <v>803.47826086956525</v>
          </cell>
          <cell r="N526">
            <v>120</v>
          </cell>
          <cell r="R526" t="str">
            <v>BODY SPLASH</v>
          </cell>
          <cell r="S526" t="str">
            <v>LÍQUIDO ESPESSO</v>
          </cell>
        </row>
        <row r="527">
          <cell r="E527">
            <v>924.77064220973637</v>
          </cell>
          <cell r="N527">
            <v>325</v>
          </cell>
          <cell r="R527" t="str">
            <v>ÁGUA MICELAR</v>
          </cell>
          <cell r="S527" t="str">
            <v>LÍQUIDO</v>
          </cell>
        </row>
        <row r="528">
          <cell r="E528">
            <v>935.99999989103526</v>
          </cell>
          <cell r="N528">
            <v>325</v>
          </cell>
          <cell r="R528" t="str">
            <v>ÁGUA MICELAR</v>
          </cell>
          <cell r="S528" t="str">
            <v>LÍQUIDO</v>
          </cell>
        </row>
        <row r="529">
          <cell r="E529">
            <v>960.0000000638621</v>
          </cell>
          <cell r="N529">
            <v>325</v>
          </cell>
          <cell r="R529" t="str">
            <v>ÁGUA MICELAR</v>
          </cell>
          <cell r="S529" t="str">
            <v>LÍQUIDO</v>
          </cell>
        </row>
        <row r="530">
          <cell r="E530">
            <v>861.53846150760114</v>
          </cell>
          <cell r="N530">
            <v>325</v>
          </cell>
          <cell r="R530" t="str">
            <v>ÁGUA MICELAR</v>
          </cell>
          <cell r="S530" t="str">
            <v>LÍQUIDO</v>
          </cell>
        </row>
        <row r="531">
          <cell r="E531">
            <v>773.55371898742567</v>
          </cell>
          <cell r="N531">
            <v>120</v>
          </cell>
          <cell r="R531" t="str">
            <v>BODY SPLASH</v>
          </cell>
          <cell r="S531" t="str">
            <v>LÍQUIDO ESPESSO</v>
          </cell>
        </row>
        <row r="532">
          <cell r="E532">
            <v>839.99999997555278</v>
          </cell>
          <cell r="N532">
            <v>325</v>
          </cell>
          <cell r="R532" t="str">
            <v>ÁGUA MICELAR</v>
          </cell>
          <cell r="S532" t="str">
            <v>LÍQUIDO</v>
          </cell>
        </row>
        <row r="533">
          <cell r="E533">
            <v>924.77064220973637</v>
          </cell>
          <cell r="N533">
            <v>325</v>
          </cell>
          <cell r="R533" t="str">
            <v>ÁGUA MICELAR</v>
          </cell>
          <cell r="S533" t="str">
            <v>LÍQUIDO</v>
          </cell>
        </row>
        <row r="534">
          <cell r="E534">
            <v>1095.652173835404</v>
          </cell>
          <cell r="N534">
            <v>325</v>
          </cell>
          <cell r="R534" t="str">
            <v>ÁGUA MICELAR</v>
          </cell>
          <cell r="S534" t="str">
            <v>LÍQUIDO</v>
          </cell>
        </row>
        <row r="535">
          <cell r="E535">
            <v>763.63636365252705</v>
          </cell>
          <cell r="N535">
            <v>325</v>
          </cell>
          <cell r="R535" t="str">
            <v>ÁGUA MICELAR</v>
          </cell>
          <cell r="S535" t="str">
            <v>LÍQUIDO</v>
          </cell>
        </row>
        <row r="536">
          <cell r="E536">
            <v>601.30151843240776</v>
          </cell>
          <cell r="N536">
            <v>120</v>
          </cell>
          <cell r="R536" t="str">
            <v>BODY SPLASH</v>
          </cell>
          <cell r="S536" t="str">
            <v>LÍQUIDO ESPESSO</v>
          </cell>
        </row>
        <row r="537">
          <cell r="E537">
            <v>793.70078743358704</v>
          </cell>
          <cell r="N537">
            <v>325</v>
          </cell>
          <cell r="R537" t="str">
            <v>ÁGUA MICELAR</v>
          </cell>
          <cell r="S537" t="str">
            <v>LÍQUIDO</v>
          </cell>
        </row>
        <row r="538">
          <cell r="E538">
            <v>735.76642332265214</v>
          </cell>
          <cell r="N538">
            <v>325</v>
          </cell>
          <cell r="R538" t="str">
            <v>ÁGUA MICELAR</v>
          </cell>
          <cell r="S538" t="str">
            <v>LÍQUIDO</v>
          </cell>
        </row>
        <row r="539">
          <cell r="E539">
            <v>704</v>
          </cell>
          <cell r="N539">
            <v>325</v>
          </cell>
          <cell r="R539" t="str">
            <v>ÁGUA MICELAR</v>
          </cell>
          <cell r="S539" t="str">
            <v>LÍQUIDO</v>
          </cell>
        </row>
        <row r="540">
          <cell r="E540">
            <v>959.99999996806889</v>
          </cell>
          <cell r="N540">
            <v>325</v>
          </cell>
          <cell r="R540" t="str">
            <v>ÁGUA MICELAR</v>
          </cell>
          <cell r="S540" t="str">
            <v>LÍQUIDO</v>
          </cell>
        </row>
        <row r="541">
          <cell r="E541">
            <v>664.61538459157805</v>
          </cell>
          <cell r="N541">
            <v>325</v>
          </cell>
          <cell r="R541" t="str">
            <v>ÁGUA MICELAR</v>
          </cell>
          <cell r="S541" t="str">
            <v>LÍQUIDO</v>
          </cell>
        </row>
        <row r="542">
          <cell r="E542">
            <v>795.78947372321772</v>
          </cell>
          <cell r="N542">
            <v>325</v>
          </cell>
          <cell r="R542" t="str">
            <v>ÁGUA MICELAR</v>
          </cell>
          <cell r="S542" t="str">
            <v>LÍQUIDO</v>
          </cell>
        </row>
        <row r="543">
          <cell r="E543">
            <v>1150.2074688307744</v>
          </cell>
          <cell r="N543">
            <v>120</v>
          </cell>
          <cell r="R543" t="str">
            <v>BODY SPLASH</v>
          </cell>
          <cell r="S543" t="str">
            <v>LÍQUIDO ESPESSO</v>
          </cell>
        </row>
        <row r="544">
          <cell r="E544">
            <v>829.56521737975743</v>
          </cell>
          <cell r="N544">
            <v>220</v>
          </cell>
          <cell r="R544" t="str">
            <v>BODY SPLASH</v>
          </cell>
          <cell r="S544" t="str">
            <v>LÍQUIDO</v>
          </cell>
        </row>
        <row r="545">
          <cell r="E545">
            <v>727.55905513411631</v>
          </cell>
          <cell r="N545">
            <v>120</v>
          </cell>
          <cell r="R545" t="str">
            <v>BODY SPLASH</v>
          </cell>
          <cell r="S545" t="str">
            <v>LÍQUIDO ESPESSO</v>
          </cell>
        </row>
        <row r="546">
          <cell r="E546">
            <v>716.61971831220922</v>
          </cell>
          <cell r="N546">
            <v>220</v>
          </cell>
          <cell r="R546" t="str">
            <v>BODY SPLASH</v>
          </cell>
          <cell r="S546" t="str">
            <v>LÍQUIDO</v>
          </cell>
        </row>
        <row r="547">
          <cell r="E547">
            <v>941.64305946710476</v>
          </cell>
          <cell r="N547">
            <v>120</v>
          </cell>
          <cell r="R547" t="str">
            <v>BODY SPLASH</v>
          </cell>
          <cell r="S547" t="str">
            <v>LÍQUIDO ESPESSO</v>
          </cell>
        </row>
        <row r="548">
          <cell r="E548">
            <v>866.66666663303556</v>
          </cell>
          <cell r="N548">
            <v>100</v>
          </cell>
          <cell r="R548" t="str">
            <v>ESCOVA PROGRESSIVA</v>
          </cell>
          <cell r="S548" t="str">
            <v>LÍQUIDO ESPESSO</v>
          </cell>
        </row>
        <row r="549">
          <cell r="E549">
            <v>806.00000002680883</v>
          </cell>
          <cell r="N549">
            <v>100</v>
          </cell>
          <cell r="R549" t="str">
            <v>ESCOVA PROGRESSIVA</v>
          </cell>
          <cell r="S549" t="str">
            <v>LÍQUIDO ESPESSO</v>
          </cell>
        </row>
        <row r="550">
          <cell r="E550">
            <v>1932.151898671538</v>
          </cell>
          <cell r="N550">
            <v>220</v>
          </cell>
          <cell r="R550" t="str">
            <v>BODY SPLASH</v>
          </cell>
          <cell r="S550" t="str">
            <v>LÍQUIDO</v>
          </cell>
        </row>
        <row r="551">
          <cell r="E551">
            <v>954.00000001388253</v>
          </cell>
          <cell r="N551">
            <v>220</v>
          </cell>
          <cell r="R551" t="str">
            <v>BODY SPLASH</v>
          </cell>
          <cell r="S551" t="str">
            <v>LÍQUIDO</v>
          </cell>
        </row>
        <row r="552">
          <cell r="E552">
            <v>150.28037382752458</v>
          </cell>
          <cell r="N552">
            <v>500</v>
          </cell>
          <cell r="R552" t="str">
            <v>BASE</v>
          </cell>
          <cell r="S552" t="str">
            <v>LÍQUIDO</v>
          </cell>
        </row>
        <row r="553">
          <cell r="E553">
            <v>458.76106189774947</v>
          </cell>
          <cell r="N553">
            <v>220</v>
          </cell>
          <cell r="R553" t="str">
            <v>BODY SPLASH</v>
          </cell>
          <cell r="S553" t="str">
            <v>LÍQUIDO</v>
          </cell>
        </row>
        <row r="554">
          <cell r="E554">
            <v>676.09756097177035</v>
          </cell>
          <cell r="N554">
            <v>120</v>
          </cell>
          <cell r="R554" t="str">
            <v>BODY SPLASH</v>
          </cell>
          <cell r="S554" t="str">
            <v>LÍQUIDO</v>
          </cell>
        </row>
        <row r="555">
          <cell r="E555">
            <v>165.03937007631961</v>
          </cell>
          <cell r="N555">
            <v>1000</v>
          </cell>
          <cell r="R555" t="str">
            <v>BASE</v>
          </cell>
          <cell r="S555" t="str">
            <v>LÍQUIDO</v>
          </cell>
        </row>
        <row r="556">
          <cell r="E556">
            <v>287.25388600862999</v>
          </cell>
          <cell r="N556">
            <v>120</v>
          </cell>
          <cell r="R556" t="str">
            <v>BODY SPLASH</v>
          </cell>
          <cell r="S556" t="str">
            <v>LÍQUIDO</v>
          </cell>
        </row>
        <row r="557">
          <cell r="E557">
            <v>493.7142856937586</v>
          </cell>
          <cell r="N557">
            <v>190</v>
          </cell>
          <cell r="R557" t="str">
            <v>SABONETE</v>
          </cell>
          <cell r="S557" t="str">
            <v>VISCOSO</v>
          </cell>
        </row>
        <row r="558">
          <cell r="E558">
            <v>518.1308411102209</v>
          </cell>
          <cell r="N558">
            <v>120</v>
          </cell>
          <cell r="R558" t="str">
            <v>BODY SPLASH</v>
          </cell>
          <cell r="S558" t="str">
            <v>LÍQUIDO</v>
          </cell>
        </row>
        <row r="559">
          <cell r="E559">
            <v>696.33802819413268</v>
          </cell>
          <cell r="N559">
            <v>190</v>
          </cell>
          <cell r="R559" t="str">
            <v>SABONETE</v>
          </cell>
          <cell r="S559" t="str">
            <v>VISCOSO</v>
          </cell>
        </row>
        <row r="560">
          <cell r="E560">
            <v>639.99999997707516</v>
          </cell>
          <cell r="N560">
            <v>190</v>
          </cell>
          <cell r="R560" t="str">
            <v>SABONETE</v>
          </cell>
          <cell r="S560" t="str">
            <v>VISCOSO</v>
          </cell>
        </row>
        <row r="561">
          <cell r="E561">
            <v>451.42857142356638</v>
          </cell>
          <cell r="N561">
            <v>120</v>
          </cell>
          <cell r="R561" t="str">
            <v>BODY SPLASH</v>
          </cell>
          <cell r="S561" t="str">
            <v>LÍQUIDO</v>
          </cell>
        </row>
        <row r="562">
          <cell r="E562">
            <v>569.0322580607766</v>
          </cell>
          <cell r="N562">
            <v>190</v>
          </cell>
          <cell r="R562" t="str">
            <v>SABONETE</v>
          </cell>
          <cell r="S562" t="str">
            <v>VISCOSO</v>
          </cell>
        </row>
        <row r="563">
          <cell r="E563">
            <v>953.64238406331731</v>
          </cell>
          <cell r="N563">
            <v>190</v>
          </cell>
          <cell r="R563" t="str">
            <v>SABONETE</v>
          </cell>
          <cell r="S563" t="str">
            <v>VISCOSO</v>
          </cell>
        </row>
        <row r="564">
          <cell r="E564">
            <v>969.05660380764164</v>
          </cell>
          <cell r="N564">
            <v>190</v>
          </cell>
          <cell r="R564" t="str">
            <v>SABONETE</v>
          </cell>
          <cell r="S564" t="str">
            <v>VISCOSO</v>
          </cell>
        </row>
        <row r="565">
          <cell r="E565">
            <v>993.10344826788878</v>
          </cell>
          <cell r="N565">
            <v>190</v>
          </cell>
          <cell r="R565" t="str">
            <v>SABONETE</v>
          </cell>
          <cell r="S565" t="str">
            <v>VISCOSO</v>
          </cell>
        </row>
        <row r="566">
          <cell r="E566">
            <v>890.18181818181813</v>
          </cell>
          <cell r="N566">
            <v>190</v>
          </cell>
          <cell r="R566" t="str">
            <v>SABONETE</v>
          </cell>
          <cell r="S566" t="str">
            <v>VISCOSO</v>
          </cell>
        </row>
        <row r="567">
          <cell r="E567">
            <v>606.31578946130094</v>
          </cell>
          <cell r="N567">
            <v>60</v>
          </cell>
          <cell r="R567" t="str">
            <v>PERFUME CAPILAR</v>
          </cell>
          <cell r="S567" t="str">
            <v>LÍQUIDO ESPESSO</v>
          </cell>
        </row>
        <row r="568">
          <cell r="E568">
            <v>1031.5789473557797</v>
          </cell>
          <cell r="N568">
            <v>100</v>
          </cell>
          <cell r="R568" t="str">
            <v>ESCOVA PROGRESSIVA</v>
          </cell>
          <cell r="S568" t="str">
            <v>LÍQUIDO ESPESSO</v>
          </cell>
        </row>
        <row r="569">
          <cell r="E569">
            <v>633.84615382344941</v>
          </cell>
          <cell r="N569">
            <v>190</v>
          </cell>
          <cell r="R569" t="str">
            <v>SABONETE</v>
          </cell>
          <cell r="S569" t="str">
            <v>VISCOSO</v>
          </cell>
        </row>
        <row r="570">
          <cell r="E570">
            <v>737.56097561813306</v>
          </cell>
          <cell r="N570">
            <v>190</v>
          </cell>
          <cell r="R570" t="str">
            <v>SABONETE</v>
          </cell>
          <cell r="S570" t="str">
            <v>VISCOSO</v>
          </cell>
        </row>
        <row r="571">
          <cell r="E571">
            <v>328.10126581940034</v>
          </cell>
          <cell r="N571">
            <v>60</v>
          </cell>
          <cell r="R571" t="str">
            <v>PERFUME CAPILAR</v>
          </cell>
          <cell r="S571" t="str">
            <v>LÍQUIDO ESPESSO</v>
          </cell>
        </row>
        <row r="572">
          <cell r="E572">
            <v>852.73743013321314</v>
          </cell>
          <cell r="N572">
            <v>220</v>
          </cell>
          <cell r="R572" t="str">
            <v>BODY SPLASH</v>
          </cell>
          <cell r="S572" t="str">
            <v>LÍQUIDO</v>
          </cell>
        </row>
        <row r="573">
          <cell r="E573">
            <v>1059.9999999382999</v>
          </cell>
          <cell r="N573">
            <v>220</v>
          </cell>
          <cell r="R573" t="str">
            <v>BODY SPLASH</v>
          </cell>
          <cell r="S573" t="str">
            <v>LÍQUIDO</v>
          </cell>
        </row>
        <row r="574">
          <cell r="E574">
            <v>1122.352941178392</v>
          </cell>
          <cell r="N574">
            <v>220</v>
          </cell>
          <cell r="R574" t="str">
            <v>BODY SPLASH</v>
          </cell>
          <cell r="S574" t="str">
            <v>LÍQUIDO</v>
          </cell>
        </row>
        <row r="575">
          <cell r="E575">
            <v>657.93103447747637</v>
          </cell>
          <cell r="N575">
            <v>220</v>
          </cell>
          <cell r="R575" t="str">
            <v>BODY SPLASH</v>
          </cell>
          <cell r="S575" t="str">
            <v>LÍQUIDO</v>
          </cell>
        </row>
        <row r="576">
          <cell r="E576">
            <v>723.41232225173201</v>
          </cell>
          <cell r="N576">
            <v>220</v>
          </cell>
          <cell r="R576" t="str">
            <v>BODY SPLASH</v>
          </cell>
          <cell r="S576" t="str">
            <v>LÍQUIDO</v>
          </cell>
        </row>
        <row r="577">
          <cell r="E577">
            <v>703.41013827677273</v>
          </cell>
          <cell r="N577">
            <v>220</v>
          </cell>
          <cell r="R577" t="str">
            <v>BODY SPLASH</v>
          </cell>
          <cell r="S577" t="str">
            <v>LÍQUIDO</v>
          </cell>
        </row>
        <row r="578">
          <cell r="E578">
            <v>187.5184275138148</v>
          </cell>
          <cell r="N578">
            <v>220</v>
          </cell>
          <cell r="R578" t="str">
            <v>BODY SPLASH</v>
          </cell>
          <cell r="S578" t="str">
            <v>LÍQUIDO</v>
          </cell>
        </row>
        <row r="579">
          <cell r="E579">
            <v>25.000000000363798</v>
          </cell>
          <cell r="N579">
            <v>1000</v>
          </cell>
          <cell r="R579" t="str">
            <v>PROGRESSIVA</v>
          </cell>
          <cell r="S579" t="str">
            <v>DENSO</v>
          </cell>
        </row>
        <row r="580">
          <cell r="E580">
            <v>366.92307692225546</v>
          </cell>
          <cell r="N580">
            <v>220</v>
          </cell>
          <cell r="R580" t="str">
            <v>BODY SPLASH</v>
          </cell>
          <cell r="S580" t="str">
            <v>LÍQUIDO</v>
          </cell>
        </row>
        <row r="581">
          <cell r="E581">
            <v>567.79846658466977</v>
          </cell>
          <cell r="N581">
            <v>60</v>
          </cell>
          <cell r="R581" t="str">
            <v>PERFUME CAPILAR</v>
          </cell>
          <cell r="S581" t="str">
            <v>LÍQUIDO ESPESSO</v>
          </cell>
        </row>
        <row r="582">
          <cell r="E582">
            <v>726.85714288131919</v>
          </cell>
          <cell r="N582">
            <v>220</v>
          </cell>
          <cell r="R582" t="str">
            <v>BODY SPLASH</v>
          </cell>
          <cell r="S582" t="str">
            <v>LÍQUIDO</v>
          </cell>
        </row>
        <row r="583">
          <cell r="E583">
            <v>503.76237623878507</v>
          </cell>
          <cell r="N583">
            <v>220</v>
          </cell>
          <cell r="R583" t="str">
            <v>BODY SPLASH</v>
          </cell>
          <cell r="S583" t="str">
            <v>LÍQUIDO</v>
          </cell>
        </row>
        <row r="584">
          <cell r="E584">
            <v>602.79069766789075</v>
          </cell>
          <cell r="N584">
            <v>60</v>
          </cell>
          <cell r="R584" t="str">
            <v>PERFUME CAPILAR</v>
          </cell>
          <cell r="S584" t="str">
            <v>LÍQUIDO ESPESSO</v>
          </cell>
        </row>
        <row r="585">
          <cell r="E585">
            <v>848.00000001645333</v>
          </cell>
          <cell r="N585">
            <v>220</v>
          </cell>
          <cell r="R585" t="str">
            <v>BODY SPLASH</v>
          </cell>
          <cell r="S585" t="str">
            <v>LÍQUIDO</v>
          </cell>
        </row>
        <row r="586">
          <cell r="E586">
            <v>248.47058823189107</v>
          </cell>
          <cell r="N586">
            <v>220</v>
          </cell>
          <cell r="R586" t="str">
            <v>BODY SPLASH</v>
          </cell>
          <cell r="S586" t="str">
            <v>LÍQUIDO</v>
          </cell>
        </row>
        <row r="587">
          <cell r="E587">
            <v>558.87499998780095</v>
          </cell>
          <cell r="N587">
            <v>60</v>
          </cell>
          <cell r="R587" t="str">
            <v>PERFUME CAPILAR</v>
          </cell>
          <cell r="S587" t="str">
            <v>LÍQUIDO ESPESSO</v>
          </cell>
        </row>
        <row r="588">
          <cell r="E588">
            <v>862.37288135252902</v>
          </cell>
          <cell r="N588">
            <v>220</v>
          </cell>
          <cell r="R588" t="str">
            <v>BODY SPLASH</v>
          </cell>
          <cell r="S588" t="str">
            <v>LÍQUIDO</v>
          </cell>
        </row>
        <row r="589">
          <cell r="E589">
            <v>763.20000000444236</v>
          </cell>
          <cell r="N589">
            <v>220</v>
          </cell>
          <cell r="R589" t="str">
            <v>BODY SPLASH</v>
          </cell>
          <cell r="S589" t="str">
            <v>LÍQUIDO</v>
          </cell>
        </row>
        <row r="590">
          <cell r="E590">
            <v>1174.1538462064191</v>
          </cell>
          <cell r="N590">
            <v>220</v>
          </cell>
          <cell r="R590" t="str">
            <v>BODY SPLASH</v>
          </cell>
          <cell r="S590" t="str">
            <v>LÍQUIDO</v>
          </cell>
        </row>
        <row r="591">
          <cell r="E591">
            <v>763.20000000444236</v>
          </cell>
          <cell r="N591">
            <v>220</v>
          </cell>
          <cell r="R591" t="str">
            <v>BODY SPLASH</v>
          </cell>
          <cell r="S591" t="str">
            <v>LÍQUIDO</v>
          </cell>
        </row>
        <row r="592">
          <cell r="E592">
            <v>1327.3043477320323</v>
          </cell>
          <cell r="N592">
            <v>220</v>
          </cell>
          <cell r="R592" t="str">
            <v>BODY SPLASH</v>
          </cell>
          <cell r="S592" t="str">
            <v>LÍQUIDO</v>
          </cell>
        </row>
        <row r="593">
          <cell r="E593">
            <v>803.36842104770926</v>
          </cell>
          <cell r="N593">
            <v>220</v>
          </cell>
          <cell r="R593" t="str">
            <v>BODY SPLASH</v>
          </cell>
          <cell r="S593" t="str">
            <v>LÍQUIDO</v>
          </cell>
        </row>
        <row r="594">
          <cell r="E594">
            <v>547.19999999362972</v>
          </cell>
          <cell r="N594">
            <v>120</v>
          </cell>
          <cell r="R594" t="str">
            <v>BODY SPLASH</v>
          </cell>
          <cell r="S594" t="str">
            <v>LÍQUIDO ESPESSO</v>
          </cell>
        </row>
        <row r="595">
          <cell r="E595">
            <v>954.00000001388253</v>
          </cell>
          <cell r="N595">
            <v>220</v>
          </cell>
          <cell r="R595" t="str">
            <v>BODY SPLASH</v>
          </cell>
          <cell r="S595" t="str">
            <v>LÍQUIDO</v>
          </cell>
        </row>
        <row r="596">
          <cell r="E596">
            <v>953.99999997223495</v>
          </cell>
          <cell r="N596">
            <v>220</v>
          </cell>
          <cell r="R596" t="str">
            <v>BODY SPLASH</v>
          </cell>
          <cell r="S596" t="str">
            <v>LÍQUIDO</v>
          </cell>
        </row>
        <row r="597">
          <cell r="E597">
            <v>663.65217389624797</v>
          </cell>
          <cell r="N597">
            <v>220</v>
          </cell>
          <cell r="R597" t="str">
            <v>BODY SPLASH</v>
          </cell>
          <cell r="S597" t="str">
            <v>LÍQUIDO</v>
          </cell>
        </row>
        <row r="598">
          <cell r="E598">
            <v>954.00000001388253</v>
          </cell>
          <cell r="N598">
            <v>220</v>
          </cell>
          <cell r="R598" t="str">
            <v>BODY SPLASH</v>
          </cell>
          <cell r="S598" t="str">
            <v>LÍQUIDO</v>
          </cell>
        </row>
        <row r="599">
          <cell r="E599">
            <v>1017.5999999763071</v>
          </cell>
          <cell r="N599">
            <v>220</v>
          </cell>
          <cell r="R599" t="str">
            <v>BODY SPLASH</v>
          </cell>
          <cell r="S599" t="str">
            <v>LÍQUIDO</v>
          </cell>
        </row>
        <row r="600">
          <cell r="E600">
            <v>672.60273968955835</v>
          </cell>
          <cell r="N600">
            <v>220</v>
          </cell>
          <cell r="R600" t="str">
            <v>BODY SPLASH</v>
          </cell>
          <cell r="S600" t="str">
            <v>LÍQUIDO</v>
          </cell>
        </row>
        <row r="601">
          <cell r="E601">
            <v>1010.8609271538766</v>
          </cell>
          <cell r="N601">
            <v>220</v>
          </cell>
          <cell r="R601" t="str">
            <v>BODY SPLASH</v>
          </cell>
          <cell r="S601" t="str">
            <v>LÍQUIDO</v>
          </cell>
        </row>
        <row r="602">
          <cell r="E602">
            <v>954.00000003470632</v>
          </cell>
          <cell r="N602">
            <v>220</v>
          </cell>
          <cell r="R602" t="str">
            <v>BODY SPLASH</v>
          </cell>
          <cell r="S602" t="str">
            <v>LÍQUIDO</v>
          </cell>
        </row>
        <row r="603">
          <cell r="E603">
            <v>412.54054052756055</v>
          </cell>
          <cell r="N603">
            <v>220</v>
          </cell>
          <cell r="R603" t="str">
            <v>BODY SPLASH</v>
          </cell>
          <cell r="S603" t="str">
            <v>LÍQUIDO</v>
          </cell>
        </row>
        <row r="604">
          <cell r="E604">
            <v>914.01197605045286</v>
          </cell>
          <cell r="N604">
            <v>220</v>
          </cell>
          <cell r="R604" t="str">
            <v>BODY SPLASH</v>
          </cell>
          <cell r="S604" t="str">
            <v>LÍQUIDO</v>
          </cell>
        </row>
        <row r="605">
          <cell r="E605">
            <v>508.8</v>
          </cell>
          <cell r="N605">
            <v>220</v>
          </cell>
          <cell r="R605" t="str">
            <v>BODY SPLASH</v>
          </cell>
          <cell r="S605" t="str">
            <v>LÍQUIDO</v>
          </cell>
        </row>
        <row r="606">
          <cell r="E606">
            <v>1052.689655163962</v>
          </cell>
          <cell r="N606">
            <v>220</v>
          </cell>
          <cell r="R606" t="str">
            <v>BODY SPLASH</v>
          </cell>
          <cell r="S606" t="str">
            <v>LÍQUIDO</v>
          </cell>
        </row>
        <row r="607">
          <cell r="E607">
            <v>984.77419355578343</v>
          </cell>
          <cell r="N607">
            <v>220</v>
          </cell>
          <cell r="R607" t="str">
            <v>BODY SPLASH</v>
          </cell>
          <cell r="S607" t="str">
            <v>LÍQUIDO</v>
          </cell>
        </row>
        <row r="608">
          <cell r="E608">
            <v>763.19999999111519</v>
          </cell>
          <cell r="N608">
            <v>220</v>
          </cell>
          <cell r="R608" t="str">
            <v>BODY SPLASH</v>
          </cell>
          <cell r="S608" t="str">
            <v>LÍQUIDO</v>
          </cell>
        </row>
        <row r="609">
          <cell r="E609">
            <v>919.51807225175503</v>
          </cell>
          <cell r="N609">
            <v>220</v>
          </cell>
          <cell r="R609" t="str">
            <v>BODY SPLASH</v>
          </cell>
          <cell r="S609" t="str">
            <v>LÍQUIDO</v>
          </cell>
        </row>
        <row r="610">
          <cell r="E610">
            <v>930.7317073355722</v>
          </cell>
          <cell r="N610">
            <v>220</v>
          </cell>
          <cell r="R610" t="str">
            <v>BODY SPLASH</v>
          </cell>
          <cell r="S610" t="str">
            <v>LÍQUIDO</v>
          </cell>
        </row>
        <row r="611">
          <cell r="E611">
            <v>830.11764706450811</v>
          </cell>
          <cell r="N611">
            <v>220</v>
          </cell>
          <cell r="R611" t="str">
            <v>BODY SPLASH</v>
          </cell>
          <cell r="S611" t="str">
            <v>LÍQUIDO</v>
          </cell>
        </row>
        <row r="612">
          <cell r="E612">
            <v>740.97087378305787</v>
          </cell>
          <cell r="N612">
            <v>220</v>
          </cell>
          <cell r="R612" t="str">
            <v>BODY SPLASH</v>
          </cell>
          <cell r="S612" t="str">
            <v>LÍQUIDO</v>
          </cell>
        </row>
        <row r="613">
          <cell r="E613">
            <v>528.16608997348271</v>
          </cell>
          <cell r="N613">
            <v>220</v>
          </cell>
          <cell r="R613" t="str">
            <v>BODY SPLASH</v>
          </cell>
          <cell r="S613" t="str">
            <v>LÍQUIDO</v>
          </cell>
        </row>
        <row r="614">
          <cell r="E614">
            <v>887.44186043748641</v>
          </cell>
          <cell r="N614">
            <v>220</v>
          </cell>
          <cell r="R614" t="str">
            <v>BODY SPLASH</v>
          </cell>
          <cell r="S614" t="str">
            <v>LÍQUIDO</v>
          </cell>
        </row>
        <row r="615">
          <cell r="E615">
            <v>807.61904759815445</v>
          </cell>
          <cell r="N615">
            <v>220</v>
          </cell>
          <cell r="R615" t="str">
            <v>BODY SPLASH</v>
          </cell>
          <cell r="S615" t="str">
            <v>LÍQUIDO</v>
          </cell>
        </row>
        <row r="616">
          <cell r="E616">
            <v>897.8823529473251</v>
          </cell>
          <cell r="N616">
            <v>220</v>
          </cell>
          <cell r="R616" t="str">
            <v>BODY SPLASH</v>
          </cell>
          <cell r="S616" t="str">
            <v>LÍQUIDO</v>
          </cell>
        </row>
        <row r="617">
          <cell r="E617">
            <v>953.99999995141116</v>
          </cell>
          <cell r="N617">
            <v>220</v>
          </cell>
          <cell r="R617" t="str">
            <v>BODY SPLASH</v>
          </cell>
          <cell r="S617" t="str">
            <v>LÍQUIDO</v>
          </cell>
        </row>
        <row r="618">
          <cell r="E618">
            <v>714.24000000665183</v>
          </cell>
          <cell r="N618">
            <v>220</v>
          </cell>
          <cell r="R618" t="str">
            <v>BODY SPLASH</v>
          </cell>
          <cell r="S618" t="str">
            <v>LÍQUIDO</v>
          </cell>
        </row>
        <row r="619">
          <cell r="E619">
            <v>276.79999999677761</v>
          </cell>
          <cell r="N619">
            <v>57</v>
          </cell>
          <cell r="R619" t="str">
            <v>PERFUME</v>
          </cell>
          <cell r="S619" t="str">
            <v>LÍQUIDO</v>
          </cell>
        </row>
        <row r="620">
          <cell r="E620">
            <v>264.52941175836565</v>
          </cell>
          <cell r="N620">
            <v>57</v>
          </cell>
          <cell r="R620" t="str">
            <v>PERFUME</v>
          </cell>
          <cell r="S620" t="str">
            <v>LÍQUIDO</v>
          </cell>
        </row>
        <row r="621">
          <cell r="E621">
            <v>309.72413793227781</v>
          </cell>
          <cell r="N621">
            <v>57</v>
          </cell>
          <cell r="R621" t="str">
            <v>PERFUME</v>
          </cell>
          <cell r="S621" t="str">
            <v>LÍQUIDO</v>
          </cell>
        </row>
        <row r="622">
          <cell r="E622">
            <v>95.478260865699085</v>
          </cell>
          <cell r="N622">
            <v>50</v>
          </cell>
          <cell r="R622" t="str">
            <v>PERFUME</v>
          </cell>
          <cell r="S622" t="str">
            <v>LÍQUIDO</v>
          </cell>
        </row>
        <row r="623">
          <cell r="E623">
            <v>1866.6666667391028</v>
          </cell>
          <cell r="N623">
            <v>150</v>
          </cell>
          <cell r="R623" t="str">
            <v>ESFOLIANTE</v>
          </cell>
          <cell r="S623" t="str">
            <v>VISCOSO</v>
          </cell>
        </row>
        <row r="624">
          <cell r="E624">
            <v>604.65671642001166</v>
          </cell>
          <cell r="N624">
            <v>150</v>
          </cell>
          <cell r="R624" t="str">
            <v>ESFOLIANTE</v>
          </cell>
          <cell r="S624" t="str">
            <v>VISCOSO</v>
          </cell>
        </row>
        <row r="625">
          <cell r="E625">
            <v>227.74694783314854</v>
          </cell>
          <cell r="N625">
            <v>150</v>
          </cell>
          <cell r="R625" t="str">
            <v>ESFOLIANTE</v>
          </cell>
          <cell r="S625" t="str">
            <v>VISCOSO</v>
          </cell>
        </row>
        <row r="626">
          <cell r="E626">
            <v>95.494736840115891</v>
          </cell>
          <cell r="N626">
            <v>250</v>
          </cell>
          <cell r="R626" t="str">
            <v>BODY SPLASH</v>
          </cell>
          <cell r="S626" t="str">
            <v>LÍQUIDO</v>
          </cell>
        </row>
        <row r="627">
          <cell r="E627">
            <v>190.66666666851637</v>
          </cell>
          <cell r="N627">
            <v>500</v>
          </cell>
          <cell r="R627" t="str">
            <v>BASE</v>
          </cell>
          <cell r="S627" t="str">
            <v>LÍQUIDO</v>
          </cell>
        </row>
        <row r="628">
          <cell r="E628">
            <v>1115.2941177234338</v>
          </cell>
          <cell r="N628">
            <v>250</v>
          </cell>
          <cell r="R628" t="str">
            <v>BODY SPLASH</v>
          </cell>
          <cell r="S628" t="str">
            <v>LÍQUIDO</v>
          </cell>
        </row>
        <row r="629">
          <cell r="E629">
            <v>349.96015934664308</v>
          </cell>
          <cell r="N629">
            <v>250</v>
          </cell>
          <cell r="R629" t="str">
            <v>BODY SPLASH</v>
          </cell>
          <cell r="S629" t="str">
            <v>LÍQUIDO</v>
          </cell>
        </row>
        <row r="630">
          <cell r="E630">
            <v>118.76288658924355</v>
          </cell>
          <cell r="N630">
            <v>1000</v>
          </cell>
          <cell r="R630" t="str">
            <v>BASE</v>
          </cell>
          <cell r="S630" t="str">
            <v>LÍQUIDO</v>
          </cell>
        </row>
        <row r="631">
          <cell r="E631">
            <v>650.32258065004567</v>
          </cell>
          <cell r="N631">
            <v>250</v>
          </cell>
          <cell r="R631" t="str">
            <v>BODY SPLASH</v>
          </cell>
          <cell r="S631" t="str">
            <v>LÍQUIDO</v>
          </cell>
        </row>
        <row r="632">
          <cell r="E632">
            <v>330.6122448806787</v>
          </cell>
          <cell r="N632">
            <v>1000</v>
          </cell>
          <cell r="R632" t="str">
            <v>BASE</v>
          </cell>
          <cell r="S632" t="str">
            <v>LÍQUIDO</v>
          </cell>
        </row>
        <row r="633">
          <cell r="E633">
            <v>122.72727272573772</v>
          </cell>
          <cell r="N633">
            <v>1000</v>
          </cell>
          <cell r="R633" t="str">
            <v>BASE</v>
          </cell>
          <cell r="S633" t="str">
            <v>LÍQUIDO</v>
          </cell>
        </row>
        <row r="634">
          <cell r="E634">
            <v>1254.1935483682571</v>
          </cell>
          <cell r="N634">
            <v>250</v>
          </cell>
          <cell r="R634" t="str">
            <v>BODY SPLASH</v>
          </cell>
          <cell r="S634" t="str">
            <v>LÍQUIDO</v>
          </cell>
        </row>
        <row r="635">
          <cell r="E635">
            <v>298.53828305958081</v>
          </cell>
          <cell r="N635">
            <v>150</v>
          </cell>
          <cell r="R635" t="str">
            <v>ESFOLIANTE</v>
          </cell>
          <cell r="S635" t="str">
            <v>VISCOSO</v>
          </cell>
        </row>
        <row r="636">
          <cell r="E636">
            <v>673.93939393780897</v>
          </cell>
          <cell r="N636">
            <v>250</v>
          </cell>
          <cell r="R636" t="str">
            <v>BODY SPLASH</v>
          </cell>
          <cell r="S636" t="str">
            <v>LÍQUIDO</v>
          </cell>
        </row>
        <row r="637">
          <cell r="E637">
            <v>775.38461535684098</v>
          </cell>
          <cell r="N637">
            <v>325</v>
          </cell>
          <cell r="R637" t="str">
            <v>ÁGUA MICELAR</v>
          </cell>
          <cell r="S637" t="str">
            <v>LÍQUIDO</v>
          </cell>
        </row>
        <row r="638">
          <cell r="E638">
            <v>1035.505617954502</v>
          </cell>
          <cell r="N638">
            <v>325</v>
          </cell>
          <cell r="R638" t="str">
            <v>ÁGUA MICELAR</v>
          </cell>
          <cell r="S638" t="str">
            <v>LÍQUIDO</v>
          </cell>
        </row>
        <row r="639">
          <cell r="E639">
            <v>959.99999997904524</v>
          </cell>
          <cell r="N639">
            <v>325</v>
          </cell>
          <cell r="R639" t="str">
            <v>ÁGUA MICELAR</v>
          </cell>
          <cell r="S639" t="str">
            <v>LÍQUIDO</v>
          </cell>
        </row>
        <row r="640">
          <cell r="E640">
            <v>645.51724138190161</v>
          </cell>
          <cell r="N640">
            <v>150</v>
          </cell>
          <cell r="R640" t="str">
            <v>ESFOLIANTE</v>
          </cell>
          <cell r="S640" t="str">
            <v>VISCOSO</v>
          </cell>
        </row>
        <row r="641">
          <cell r="E641">
            <v>1316.5714286152197</v>
          </cell>
          <cell r="N641">
            <v>325</v>
          </cell>
          <cell r="R641" t="str">
            <v>ÁGUA MICELAR</v>
          </cell>
          <cell r="S641" t="str">
            <v>LÍQUIDO</v>
          </cell>
        </row>
        <row r="642">
          <cell r="E642">
            <v>645.29032257095207</v>
          </cell>
          <cell r="N642">
            <v>150</v>
          </cell>
          <cell r="R642" t="str">
            <v>ESFOLIANTE</v>
          </cell>
          <cell r="S642" t="str">
            <v>VISCOSO</v>
          </cell>
        </row>
        <row r="643">
          <cell r="E643">
            <v>614.4</v>
          </cell>
          <cell r="N643">
            <v>325</v>
          </cell>
          <cell r="R643" t="str">
            <v>ÁGUA MICELAR</v>
          </cell>
          <cell r="S643" t="str">
            <v>LÍQUIDO</v>
          </cell>
        </row>
        <row r="644">
          <cell r="E644">
            <v>926.23115578322927</v>
          </cell>
          <cell r="N644">
            <v>325</v>
          </cell>
          <cell r="R644" t="str">
            <v>ÁGUA MICELAR</v>
          </cell>
          <cell r="S644" t="str">
            <v>LÍQUIDO</v>
          </cell>
        </row>
        <row r="645">
          <cell r="E645">
            <v>827.99999998756232</v>
          </cell>
          <cell r="N645">
            <v>325</v>
          </cell>
          <cell r="R645" t="str">
            <v>ÁGUA MICELAR</v>
          </cell>
          <cell r="S645" t="str">
            <v>LÍQUIDO</v>
          </cell>
        </row>
        <row r="646">
          <cell r="E646">
            <v>912.44239629084689</v>
          </cell>
          <cell r="N646">
            <v>150</v>
          </cell>
          <cell r="R646" t="str">
            <v>ESFOLIANTE</v>
          </cell>
          <cell r="S646" t="str">
            <v>VISCOSO</v>
          </cell>
        </row>
        <row r="647">
          <cell r="E647">
            <v>680.6896551669488</v>
          </cell>
          <cell r="N647">
            <v>150</v>
          </cell>
          <cell r="R647" t="str">
            <v>ESFOLIANTE</v>
          </cell>
          <cell r="S647" t="str">
            <v>VISCOSO</v>
          </cell>
        </row>
        <row r="648">
          <cell r="E648">
            <v>865.01766784309962</v>
          </cell>
          <cell r="N648">
            <v>120</v>
          </cell>
          <cell r="R648" t="str">
            <v>BODY SPLASH</v>
          </cell>
          <cell r="S648" t="str">
            <v>LÍQUIDO</v>
          </cell>
        </row>
        <row r="649">
          <cell r="E649">
            <v>1255.3846153396473</v>
          </cell>
          <cell r="N649">
            <v>120</v>
          </cell>
          <cell r="R649" t="str">
            <v>BODY SPLASH</v>
          </cell>
          <cell r="S649" t="str">
            <v>LÍQUIDO</v>
          </cell>
        </row>
        <row r="650">
          <cell r="E650">
            <v>189.11999999911933</v>
          </cell>
          <cell r="N650">
            <v>200</v>
          </cell>
          <cell r="R650" t="str">
            <v>CREME HIDRATANTE</v>
          </cell>
          <cell r="S650" t="str">
            <v>CREMOSO</v>
          </cell>
        </row>
        <row r="651">
          <cell r="E651">
            <v>1599.999999970782</v>
          </cell>
          <cell r="N651">
            <v>120</v>
          </cell>
          <cell r="R651" t="str">
            <v>BODY SPLASH</v>
          </cell>
          <cell r="S651" t="str">
            <v>LÍQUIDO</v>
          </cell>
        </row>
        <row r="652">
          <cell r="E652">
            <v>748.23529409971343</v>
          </cell>
          <cell r="N652">
            <v>200</v>
          </cell>
          <cell r="R652" t="str">
            <v>CREME HIDRATANTE</v>
          </cell>
          <cell r="S652" t="str">
            <v>CREMOSO</v>
          </cell>
        </row>
        <row r="653">
          <cell r="E653">
            <v>762.61682243322548</v>
          </cell>
          <cell r="N653">
            <v>120</v>
          </cell>
          <cell r="R653" t="str">
            <v>BODY SPLASH</v>
          </cell>
          <cell r="S653" t="str">
            <v>LÍQUIDO</v>
          </cell>
        </row>
        <row r="654">
          <cell r="E654">
            <v>696.98630136541703</v>
          </cell>
          <cell r="N654">
            <v>200</v>
          </cell>
          <cell r="R654" t="str">
            <v>CREME HIDRATANTE</v>
          </cell>
          <cell r="S654" t="str">
            <v>CREMOSO</v>
          </cell>
        </row>
        <row r="655">
          <cell r="E655">
            <v>958.22222222222217</v>
          </cell>
          <cell r="N655">
            <v>120</v>
          </cell>
          <cell r="R655" t="str">
            <v>BODY SPLASH</v>
          </cell>
          <cell r="S655" t="str">
            <v>LÍQUIDO</v>
          </cell>
        </row>
        <row r="656">
          <cell r="E656">
            <v>1323.2432432016092</v>
          </cell>
          <cell r="N656">
            <v>120</v>
          </cell>
          <cell r="R656" t="str">
            <v>BODY SPLASH</v>
          </cell>
          <cell r="S656" t="str">
            <v>LÍQUIDO</v>
          </cell>
        </row>
        <row r="657">
          <cell r="E657">
            <v>65.181347150494972</v>
          </cell>
          <cell r="N657">
            <v>200</v>
          </cell>
          <cell r="R657" t="str">
            <v>CREME HIDRATANTE</v>
          </cell>
          <cell r="S657" t="str">
            <v>CREMOSO</v>
          </cell>
        </row>
        <row r="658">
          <cell r="E658">
            <v>1176.9230769599646</v>
          </cell>
          <cell r="N658">
            <v>120</v>
          </cell>
          <cell r="R658" t="str">
            <v>BODY SPLASH</v>
          </cell>
          <cell r="S658" t="str">
            <v>LÍQUIDO</v>
          </cell>
        </row>
        <row r="659">
          <cell r="E659">
            <v>848</v>
          </cell>
          <cell r="N659">
            <v>200</v>
          </cell>
          <cell r="R659" t="str">
            <v>CREME HIDRATANTE</v>
          </cell>
          <cell r="S659" t="str">
            <v>CREMOSO</v>
          </cell>
        </row>
        <row r="660">
          <cell r="E660">
            <v>1037.2881355737766</v>
          </cell>
          <cell r="N660">
            <v>120</v>
          </cell>
          <cell r="R660" t="str">
            <v>BODY SPLASH</v>
          </cell>
          <cell r="S660" t="str">
            <v>LÍQUIDO</v>
          </cell>
        </row>
        <row r="661">
          <cell r="E661">
            <v>892.63157893642995</v>
          </cell>
          <cell r="N661">
            <v>200</v>
          </cell>
          <cell r="R661" t="str">
            <v>CREME HIDRATANTE</v>
          </cell>
          <cell r="S661" t="str">
            <v>CREMOSO</v>
          </cell>
        </row>
        <row r="662">
          <cell r="E662">
            <v>707.30375428756963</v>
          </cell>
          <cell r="N662">
            <v>120</v>
          </cell>
          <cell r="R662" t="str">
            <v>BODY SPLASH</v>
          </cell>
          <cell r="S662" t="str">
            <v>LÍQUIDO</v>
          </cell>
        </row>
        <row r="663">
          <cell r="E663">
            <v>1117.8082191352996</v>
          </cell>
          <cell r="N663">
            <v>120</v>
          </cell>
          <cell r="R663" t="str">
            <v>BODY SPLASH</v>
          </cell>
          <cell r="S663" t="str">
            <v>LÍQUIDO</v>
          </cell>
        </row>
        <row r="664">
          <cell r="E664">
            <v>489.32038834730236</v>
          </cell>
          <cell r="N664">
            <v>240</v>
          </cell>
          <cell r="R664" t="str">
            <v>CREME HIDRATANTE</v>
          </cell>
          <cell r="S664" t="str">
            <v>CREMOSO</v>
          </cell>
        </row>
        <row r="665">
          <cell r="E665">
            <v>720.00000002394825</v>
          </cell>
          <cell r="N665">
            <v>240</v>
          </cell>
          <cell r="R665" t="str">
            <v>CREME HIDRATANTE</v>
          </cell>
          <cell r="S665" t="str">
            <v>CREMOSO</v>
          </cell>
        </row>
        <row r="666">
          <cell r="E666">
            <v>719.99999991618097</v>
          </cell>
          <cell r="N666">
            <v>240</v>
          </cell>
          <cell r="R666" t="str">
            <v>CREME HIDRATANTE</v>
          </cell>
          <cell r="S666" t="str">
            <v>CREMOSO</v>
          </cell>
        </row>
        <row r="667">
          <cell r="E667">
            <v>858.94736843157841</v>
          </cell>
          <cell r="N667">
            <v>120</v>
          </cell>
          <cell r="R667" t="str">
            <v>BODY SPLASH</v>
          </cell>
          <cell r="S667" t="str">
            <v>LÍQUIDO</v>
          </cell>
        </row>
        <row r="668">
          <cell r="E668">
            <v>681.08108107893815</v>
          </cell>
          <cell r="N668">
            <v>240</v>
          </cell>
          <cell r="R668" t="str">
            <v>CREME HIDRATANTE</v>
          </cell>
          <cell r="S668" t="str">
            <v>CREMOSO</v>
          </cell>
        </row>
        <row r="669">
          <cell r="E669">
            <v>419.99999998777639</v>
          </cell>
          <cell r="N669">
            <v>240</v>
          </cell>
          <cell r="R669" t="str">
            <v>CREME HIDRATANTE</v>
          </cell>
          <cell r="S669" t="str">
            <v>CREMOSO</v>
          </cell>
        </row>
        <row r="670">
          <cell r="E670">
            <v>663.1578947693481</v>
          </cell>
          <cell r="N670">
            <v>240</v>
          </cell>
          <cell r="R670" t="str">
            <v>CREME HIDRATANTE</v>
          </cell>
          <cell r="S670" t="str">
            <v>CREMOSO</v>
          </cell>
        </row>
        <row r="671">
          <cell r="E671">
            <v>847.05882353214145</v>
          </cell>
          <cell r="N671">
            <v>120</v>
          </cell>
          <cell r="R671" t="str">
            <v>BODY SPLASH</v>
          </cell>
          <cell r="S671" t="str">
            <v>LÍQUIDO</v>
          </cell>
        </row>
        <row r="672">
          <cell r="E672">
            <v>276.46408839281122</v>
          </cell>
          <cell r="N672">
            <v>240</v>
          </cell>
          <cell r="R672" t="str">
            <v>CREME HIDRATANTE</v>
          </cell>
          <cell r="S672" t="str">
            <v>CREMOSO</v>
          </cell>
        </row>
        <row r="673">
          <cell r="E673">
            <v>442.58823532442591</v>
          </cell>
          <cell r="N673">
            <v>240</v>
          </cell>
          <cell r="R673" t="str">
            <v>CREME HIDRATANTE</v>
          </cell>
          <cell r="S673" t="str">
            <v>CREMOSO</v>
          </cell>
        </row>
        <row r="674">
          <cell r="E674">
            <v>1083.2684824922351</v>
          </cell>
          <cell r="N674">
            <v>120</v>
          </cell>
          <cell r="R674" t="str">
            <v>BODY SPLASH</v>
          </cell>
          <cell r="S674" t="str">
            <v>LÍQUIDO</v>
          </cell>
        </row>
        <row r="675">
          <cell r="E675">
            <v>610.5599999886274</v>
          </cell>
          <cell r="N675">
            <v>200</v>
          </cell>
          <cell r="R675" t="str">
            <v>CREME HIDRATANTE</v>
          </cell>
          <cell r="S675" t="str">
            <v>CREMOSO</v>
          </cell>
        </row>
        <row r="676">
          <cell r="E676">
            <v>3165.0000000460568</v>
          </cell>
          <cell r="N676">
            <v>120</v>
          </cell>
          <cell r="R676" t="str">
            <v>BODY SPLASH</v>
          </cell>
          <cell r="S676" t="str">
            <v>LÍQUIDO</v>
          </cell>
        </row>
        <row r="677">
          <cell r="E677">
            <v>979.19999996808167</v>
          </cell>
          <cell r="N677">
            <v>120</v>
          </cell>
          <cell r="R677" t="str">
            <v>BODY SPLASH</v>
          </cell>
          <cell r="S677" t="str">
            <v>LÍQUIDO</v>
          </cell>
        </row>
        <row r="678">
          <cell r="E678">
            <v>508.79999999407681</v>
          </cell>
          <cell r="N678">
            <v>200</v>
          </cell>
          <cell r="R678" t="str">
            <v>CREME HIDRATANTE</v>
          </cell>
          <cell r="S678" t="str">
            <v>CREMOSO</v>
          </cell>
        </row>
        <row r="679">
          <cell r="E679">
            <v>792.23300973201879</v>
          </cell>
          <cell r="N679">
            <v>120</v>
          </cell>
          <cell r="R679" t="str">
            <v>BODY SPLASH</v>
          </cell>
          <cell r="S679" t="str">
            <v>LÍQUIDO</v>
          </cell>
        </row>
        <row r="680">
          <cell r="E680">
            <v>1059.7402597466685</v>
          </cell>
          <cell r="N680">
            <v>120</v>
          </cell>
          <cell r="R680" t="str">
            <v>BODY SPLASH</v>
          </cell>
          <cell r="S680" t="str">
            <v>LÍQUIDO</v>
          </cell>
        </row>
        <row r="681">
          <cell r="E681">
            <v>1485.7142858131199</v>
          </cell>
          <cell r="N681">
            <v>200</v>
          </cell>
          <cell r="R681" t="str">
            <v>CREME HIDRATANTE</v>
          </cell>
          <cell r="S681" t="str">
            <v>CREMOSO</v>
          </cell>
        </row>
        <row r="682">
          <cell r="E682">
            <v>206.4080944345086</v>
          </cell>
          <cell r="N682">
            <v>120</v>
          </cell>
          <cell r="R682" t="str">
            <v>BODY SPLASH</v>
          </cell>
          <cell r="S682" t="str">
            <v>LÍQUIDO</v>
          </cell>
        </row>
        <row r="683">
          <cell r="E683">
            <v>838.00000004877802</v>
          </cell>
          <cell r="N683">
            <v>250</v>
          </cell>
          <cell r="R683" t="str">
            <v>BODY SPLASH</v>
          </cell>
          <cell r="S683" t="str">
            <v>LÍQUIDO</v>
          </cell>
        </row>
        <row r="684">
          <cell r="E684">
            <v>799.00000004650792</v>
          </cell>
          <cell r="N684">
            <v>250</v>
          </cell>
          <cell r="R684" t="str">
            <v>BODY SPLASH</v>
          </cell>
          <cell r="S684" t="str">
            <v>LÍQUIDO</v>
          </cell>
        </row>
        <row r="685">
          <cell r="E685">
            <v>842.99999990186188</v>
          </cell>
          <cell r="N685">
            <v>250</v>
          </cell>
          <cell r="R685" t="str">
            <v>BODY SPLASH</v>
          </cell>
          <cell r="S685" t="str">
            <v>LÍQUIDO</v>
          </cell>
        </row>
        <row r="686">
          <cell r="E686">
            <v>820.00000004773028</v>
          </cell>
          <cell r="N686">
            <v>250</v>
          </cell>
          <cell r="R686" t="str">
            <v>BODY SPLASH</v>
          </cell>
          <cell r="S686" t="str">
            <v>LÍQUIDO</v>
          </cell>
        </row>
        <row r="687">
          <cell r="E687">
            <v>1147.6691729283125</v>
          </cell>
          <cell r="N687">
            <v>200</v>
          </cell>
          <cell r="R687" t="str">
            <v>CREME HIDRATANTE</v>
          </cell>
          <cell r="S687" t="str">
            <v>CREMOSO</v>
          </cell>
        </row>
        <row r="688">
          <cell r="E688">
            <v>429.97183098027546</v>
          </cell>
          <cell r="N688">
            <v>200</v>
          </cell>
          <cell r="R688" t="str">
            <v>CREME HIDRATANTE</v>
          </cell>
          <cell r="S688" t="str">
            <v>CREMOSO</v>
          </cell>
        </row>
        <row r="689">
          <cell r="E689">
            <v>844.13793102770546</v>
          </cell>
          <cell r="N689">
            <v>120</v>
          </cell>
          <cell r="R689" t="str">
            <v>BODY SPLASH</v>
          </cell>
          <cell r="S689" t="str">
            <v>LÍQUIDO</v>
          </cell>
        </row>
        <row r="690">
          <cell r="E690">
            <v>779.01639344559635</v>
          </cell>
          <cell r="N690">
            <v>200</v>
          </cell>
          <cell r="R690" t="str">
            <v>CREME HIDRATANTE</v>
          </cell>
          <cell r="S690" t="str">
            <v>CREMOSO</v>
          </cell>
        </row>
        <row r="691">
          <cell r="E691">
            <v>927.27272728008745</v>
          </cell>
          <cell r="N691">
            <v>120</v>
          </cell>
          <cell r="R691" t="str">
            <v>BODY SPLASH</v>
          </cell>
          <cell r="S691" t="str">
            <v>LÍQUIDO</v>
          </cell>
        </row>
        <row r="692">
          <cell r="E692">
            <v>517.54756870093331</v>
          </cell>
          <cell r="N692">
            <v>120</v>
          </cell>
          <cell r="R692" t="str">
            <v>BODY SPLASH</v>
          </cell>
          <cell r="S692" t="str">
            <v>LÍQUIDO</v>
          </cell>
        </row>
        <row r="693">
          <cell r="E693">
            <v>597.07317072323065</v>
          </cell>
          <cell r="N693">
            <v>120</v>
          </cell>
          <cell r="R693" t="str">
            <v>BODY SPLASH</v>
          </cell>
          <cell r="S693" t="str">
            <v>LÍQUIDO</v>
          </cell>
        </row>
        <row r="694">
          <cell r="E694">
            <v>30.824372759509362</v>
          </cell>
          <cell r="N694">
            <v>250</v>
          </cell>
          <cell r="R694" t="str">
            <v>BODY SPLASH</v>
          </cell>
          <cell r="S694" t="str">
            <v>LÍQUIDO</v>
          </cell>
        </row>
        <row r="695">
          <cell r="E695">
            <v>1092.8571428730461</v>
          </cell>
          <cell r="N695">
            <v>120</v>
          </cell>
          <cell r="R695" t="str">
            <v>BODY SPLASH</v>
          </cell>
          <cell r="S695" t="str">
            <v>LÍQUIDO</v>
          </cell>
        </row>
        <row r="696">
          <cell r="E696">
            <v>828.57142860932299</v>
          </cell>
          <cell r="N696">
            <v>120</v>
          </cell>
          <cell r="R696" t="str">
            <v>BODY SPLASH</v>
          </cell>
          <cell r="S696" t="str">
            <v>LÍQUIDO</v>
          </cell>
        </row>
        <row r="697">
          <cell r="E697">
            <v>925.09090913007083</v>
          </cell>
          <cell r="N697">
            <v>220</v>
          </cell>
          <cell r="R697" t="str">
            <v>BODY SPLASH</v>
          </cell>
          <cell r="S697" t="str">
            <v>LÍQUIDO</v>
          </cell>
        </row>
        <row r="698">
          <cell r="E698">
            <v>953.99999997223495</v>
          </cell>
          <cell r="N698">
            <v>220</v>
          </cell>
          <cell r="R698" t="str">
            <v>BODY SPLASH</v>
          </cell>
          <cell r="S698" t="str">
            <v>LÍQUIDO</v>
          </cell>
        </row>
        <row r="699">
          <cell r="E699">
            <v>1004.2105262957925</v>
          </cell>
          <cell r="N699">
            <v>220</v>
          </cell>
          <cell r="R699" t="str">
            <v>BODY SPLASH</v>
          </cell>
          <cell r="S699" t="str">
            <v>LÍQUIDO</v>
          </cell>
        </row>
        <row r="700">
          <cell r="E700">
            <v>954.00000001388253</v>
          </cell>
          <cell r="N700">
            <v>220</v>
          </cell>
          <cell r="R700" t="str">
            <v>BODY SPLASH</v>
          </cell>
          <cell r="S700" t="str">
            <v>LÍQUIDO</v>
          </cell>
        </row>
        <row r="701">
          <cell r="E701">
            <v>1090.285714321979</v>
          </cell>
          <cell r="N701">
            <v>220</v>
          </cell>
          <cell r="R701" t="str">
            <v>BODY SPLASH</v>
          </cell>
          <cell r="S701" t="str">
            <v>LÍQUIDO</v>
          </cell>
        </row>
        <row r="702">
          <cell r="E702">
            <v>736</v>
          </cell>
          <cell r="N702">
            <v>220</v>
          </cell>
          <cell r="R702" t="str">
            <v>BODY SPLASH</v>
          </cell>
          <cell r="S702" t="str">
            <v>LÍQUIDO</v>
          </cell>
        </row>
        <row r="703">
          <cell r="E703">
            <v>764.30769231111447</v>
          </cell>
          <cell r="N703">
            <v>220</v>
          </cell>
          <cell r="R703" t="str">
            <v>BODY SPLASH</v>
          </cell>
          <cell r="S703" t="str">
            <v>LÍQUIDO</v>
          </cell>
        </row>
        <row r="704">
          <cell r="E704">
            <v>567.43494424479411</v>
          </cell>
          <cell r="N704">
            <v>220</v>
          </cell>
          <cell r="R704" t="str">
            <v>BODY SPLASH</v>
          </cell>
          <cell r="S704" t="str">
            <v>LÍQUIDO</v>
          </cell>
        </row>
        <row r="705">
          <cell r="E705">
            <v>678.4</v>
          </cell>
          <cell r="N705">
            <v>220</v>
          </cell>
          <cell r="R705" t="str">
            <v>BODY SPLASH</v>
          </cell>
          <cell r="S705" t="str">
            <v>LÍQUIDO</v>
          </cell>
        </row>
        <row r="706">
          <cell r="E706">
            <v>770.90909088461478</v>
          </cell>
          <cell r="N706">
            <v>220</v>
          </cell>
          <cell r="R706" t="str">
            <v>BODY SPLASH</v>
          </cell>
          <cell r="S706" t="str">
            <v>LÍQUIDO</v>
          </cell>
        </row>
        <row r="707">
          <cell r="E707">
            <v>89.142857140970307</v>
          </cell>
          <cell r="N707">
            <v>1000</v>
          </cell>
          <cell r="R707" t="str">
            <v>BASE</v>
          </cell>
          <cell r="S707" t="str">
            <v>LÍQUIDO</v>
          </cell>
        </row>
        <row r="708">
          <cell r="E708">
            <v>451.5789473490529</v>
          </cell>
          <cell r="N708">
            <v>250</v>
          </cell>
          <cell r="R708" t="str">
            <v>BODY SPLASH</v>
          </cell>
          <cell r="S708" t="str">
            <v>LÍQUIDO</v>
          </cell>
        </row>
        <row r="709">
          <cell r="E709">
            <v>341.99999998407441</v>
          </cell>
          <cell r="N709">
            <v>250</v>
          </cell>
          <cell r="R709" t="str">
            <v>BODY SPLASH</v>
          </cell>
          <cell r="S709" t="str">
            <v>LÍQUIDO</v>
          </cell>
        </row>
        <row r="710">
          <cell r="E710">
            <v>429.00000002497109</v>
          </cell>
          <cell r="N710">
            <v>250</v>
          </cell>
          <cell r="R710" t="str">
            <v>BODY SPLASH</v>
          </cell>
          <cell r="S710" t="str">
            <v>LÍQUIDO</v>
          </cell>
        </row>
        <row r="711">
          <cell r="E711">
            <v>442.24137930679422</v>
          </cell>
          <cell r="N711">
            <v>250</v>
          </cell>
          <cell r="R711" t="str">
            <v>BODY SPLASH</v>
          </cell>
          <cell r="S711" t="str">
            <v>LÍQUIDO</v>
          </cell>
        </row>
        <row r="712">
          <cell r="E712">
            <v>501.55339805598493</v>
          </cell>
          <cell r="N712">
            <v>250</v>
          </cell>
          <cell r="R712" t="str">
            <v>BODY SPLASH</v>
          </cell>
          <cell r="S712" t="str">
            <v>LÍQUIDO</v>
          </cell>
        </row>
        <row r="713">
          <cell r="E713">
            <v>132</v>
          </cell>
          <cell r="N713">
            <v>1000</v>
          </cell>
          <cell r="R713" t="str">
            <v>BASE</v>
          </cell>
          <cell r="S713" t="str">
            <v>LÍQUIDO</v>
          </cell>
        </row>
        <row r="714">
          <cell r="E714">
            <v>392.03007518659734</v>
          </cell>
          <cell r="N714">
            <v>250</v>
          </cell>
          <cell r="R714" t="str">
            <v>BODY SPLASH</v>
          </cell>
          <cell r="S714" t="str">
            <v>LÍQUIDO</v>
          </cell>
        </row>
        <row r="715">
          <cell r="E715">
            <v>476.756756732756</v>
          </cell>
          <cell r="N715">
            <v>250</v>
          </cell>
          <cell r="R715" t="str">
            <v>BODY SPLASH</v>
          </cell>
          <cell r="S715" t="str">
            <v>LÍQUIDO</v>
          </cell>
        </row>
        <row r="716">
          <cell r="E716">
            <v>635.74468090460323</v>
          </cell>
          <cell r="N716">
            <v>240</v>
          </cell>
          <cell r="R716" t="str">
            <v>CREME HIDRATANTE</v>
          </cell>
          <cell r="S716" t="str">
            <v>CREMOSO</v>
          </cell>
        </row>
        <row r="717">
          <cell r="E717">
            <v>845.14285691797124</v>
          </cell>
          <cell r="N717">
            <v>240</v>
          </cell>
          <cell r="R717" t="str">
            <v>CREME HIDRATANTE</v>
          </cell>
          <cell r="S717" t="str">
            <v>CREMOSO</v>
          </cell>
        </row>
        <row r="718">
          <cell r="E718">
            <v>871.03448275162748</v>
          </cell>
          <cell r="N718">
            <v>240</v>
          </cell>
          <cell r="R718" t="str">
            <v>CREME HIDRATANTE</v>
          </cell>
          <cell r="S718" t="str">
            <v>CREMOSO</v>
          </cell>
        </row>
        <row r="719">
          <cell r="E719">
            <v>620.48780481109998</v>
          </cell>
          <cell r="N719">
            <v>240</v>
          </cell>
          <cell r="R719" t="str">
            <v>CREME HIDRATANTE</v>
          </cell>
          <cell r="S719" t="str">
            <v>CREMOSO</v>
          </cell>
        </row>
        <row r="720">
          <cell r="E720">
            <v>682.10526319132953</v>
          </cell>
          <cell r="N720">
            <v>240</v>
          </cell>
          <cell r="R720" t="str">
            <v>CREME HIDRATANTE</v>
          </cell>
          <cell r="S720" t="str">
            <v>CREMOSO</v>
          </cell>
        </row>
        <row r="721">
          <cell r="E721">
            <v>694.50000010106305</v>
          </cell>
          <cell r="N721">
            <v>240</v>
          </cell>
          <cell r="R721" t="str">
            <v>CREME HIDRATANTE</v>
          </cell>
          <cell r="S721" t="str">
            <v>CREMOSO</v>
          </cell>
        </row>
        <row r="722">
          <cell r="E722">
            <v>721.71428573829098</v>
          </cell>
          <cell r="N722">
            <v>240</v>
          </cell>
          <cell r="R722" t="str">
            <v>CREME HIDRATANTE</v>
          </cell>
          <cell r="S722" t="str">
            <v>CREMOSO</v>
          </cell>
        </row>
        <row r="723">
          <cell r="E723">
            <v>1388.0000003231689</v>
          </cell>
          <cell r="N723">
            <v>240</v>
          </cell>
          <cell r="R723" t="str">
            <v>CREME HIDRATANTE</v>
          </cell>
          <cell r="S723" t="str">
            <v>CREMOSO</v>
          </cell>
        </row>
        <row r="724">
          <cell r="E724">
            <v>661.22448978492173</v>
          </cell>
          <cell r="N724">
            <v>60</v>
          </cell>
          <cell r="R724" t="str">
            <v>PERFUME CAPILAR</v>
          </cell>
          <cell r="S724" t="str">
            <v>LÍQUIDO ESPESSO</v>
          </cell>
        </row>
        <row r="725">
          <cell r="E725">
            <v>1054.8837208931056</v>
          </cell>
          <cell r="N725">
            <v>60</v>
          </cell>
          <cell r="R725" t="str">
            <v>PERFUME CAPILAR</v>
          </cell>
          <cell r="S725" t="str">
            <v>LÍQUIDO ESPESSO</v>
          </cell>
        </row>
        <row r="726">
          <cell r="E726">
            <v>1166.0668380560435</v>
          </cell>
          <cell r="N726">
            <v>60</v>
          </cell>
          <cell r="R726" t="str">
            <v>PERFUME CAPILAR</v>
          </cell>
          <cell r="S726" t="str">
            <v>LÍQUIDO ESPESSO</v>
          </cell>
        </row>
        <row r="727">
          <cell r="E727">
            <v>404.57142856181667</v>
          </cell>
          <cell r="N727">
            <v>100</v>
          </cell>
          <cell r="R727" t="str">
            <v>GEL</v>
          </cell>
          <cell r="S727" t="str">
            <v>CREMOSO</v>
          </cell>
        </row>
        <row r="728">
          <cell r="E728">
            <v>1057.3426573133909</v>
          </cell>
          <cell r="N728">
            <v>60</v>
          </cell>
          <cell r="R728" t="str">
            <v>PERFUME CAPILAR</v>
          </cell>
          <cell r="S728" t="str">
            <v>LÍQUIDO ESPESSO</v>
          </cell>
        </row>
        <row r="729">
          <cell r="E729">
            <v>331.41776936801284</v>
          </cell>
          <cell r="N729">
            <v>100</v>
          </cell>
          <cell r="R729" t="str">
            <v>GEL</v>
          </cell>
          <cell r="S729" t="str">
            <v>CREMOSO</v>
          </cell>
        </row>
        <row r="730">
          <cell r="E730">
            <v>661.33333332991162</v>
          </cell>
          <cell r="N730">
            <v>60</v>
          </cell>
          <cell r="R730" t="str">
            <v>PERFUME CAPILAR</v>
          </cell>
          <cell r="S730" t="str">
            <v>LÍQUIDO ESPESSO</v>
          </cell>
        </row>
        <row r="731">
          <cell r="E731">
            <v>1095.6521739185891</v>
          </cell>
          <cell r="N731">
            <v>60</v>
          </cell>
          <cell r="R731" t="str">
            <v>PERFUME CAPILAR</v>
          </cell>
          <cell r="S731" t="str">
            <v>LÍQUIDO ESPESSO</v>
          </cell>
        </row>
        <row r="732">
          <cell r="E732">
            <v>622</v>
          </cell>
          <cell r="N732">
            <v>100</v>
          </cell>
          <cell r="R732" t="str">
            <v>SABONETE</v>
          </cell>
          <cell r="S732" t="str">
            <v>VISCOSO</v>
          </cell>
        </row>
        <row r="733">
          <cell r="E733">
            <v>713.2710280521278</v>
          </cell>
          <cell r="N733">
            <v>215</v>
          </cell>
          <cell r="R733" t="str">
            <v>BODY SPLASH</v>
          </cell>
          <cell r="S733" t="str">
            <v>LÍQUIDO</v>
          </cell>
        </row>
        <row r="734">
          <cell r="E734">
            <v>456.73758864946547</v>
          </cell>
          <cell r="N734">
            <v>100</v>
          </cell>
          <cell r="R734" t="str">
            <v>SABONETE</v>
          </cell>
          <cell r="S734" t="str">
            <v>VISCOSO</v>
          </cell>
        </row>
        <row r="735">
          <cell r="E735">
            <v>526.5671641781895</v>
          </cell>
          <cell r="N735">
            <v>215</v>
          </cell>
          <cell r="R735" t="str">
            <v>BODY SPLASH</v>
          </cell>
          <cell r="S735" t="str">
            <v>LÍQUIDO</v>
          </cell>
        </row>
        <row r="736">
          <cell r="E736">
            <v>533.333333340232</v>
          </cell>
          <cell r="N736">
            <v>215</v>
          </cell>
          <cell r="R736" t="str">
            <v>BODY SPLASH</v>
          </cell>
          <cell r="S736" t="str">
            <v>LÍQUIDO</v>
          </cell>
        </row>
        <row r="737">
          <cell r="E737">
            <v>633.02970296883768</v>
          </cell>
          <cell r="N737">
            <v>100</v>
          </cell>
          <cell r="R737" t="str">
            <v>ESFOLIANTE</v>
          </cell>
          <cell r="S737" t="str">
            <v>VISCOSO</v>
          </cell>
        </row>
        <row r="738">
          <cell r="E738">
            <v>626.61087865132095</v>
          </cell>
          <cell r="N738">
            <v>215</v>
          </cell>
          <cell r="R738" t="str">
            <v>BODY SPLASH</v>
          </cell>
          <cell r="S738" t="str">
            <v>LÍQUIDO</v>
          </cell>
        </row>
        <row r="739">
          <cell r="E739">
            <v>629.63562753451902</v>
          </cell>
          <cell r="N739">
            <v>215</v>
          </cell>
          <cell r="R739" t="str">
            <v>BODY SPLASH</v>
          </cell>
          <cell r="S739" t="str">
            <v>LÍQUIDO</v>
          </cell>
        </row>
        <row r="740">
          <cell r="E740">
            <v>464.66666666065618</v>
          </cell>
          <cell r="N740">
            <v>100</v>
          </cell>
          <cell r="R740" t="str">
            <v>ESFOLIANTE</v>
          </cell>
          <cell r="S740" t="str">
            <v>VISCOSO</v>
          </cell>
        </row>
        <row r="741">
          <cell r="E741">
            <v>1047.0676691417714</v>
          </cell>
          <cell r="N741">
            <v>215</v>
          </cell>
          <cell r="R741" t="str">
            <v>BODY SPLASH</v>
          </cell>
          <cell r="S741" t="str">
            <v>LÍQUIDO</v>
          </cell>
        </row>
        <row r="742">
          <cell r="E742">
            <v>862.37288135252902</v>
          </cell>
          <cell r="N742">
            <v>215</v>
          </cell>
          <cell r="R742" t="str">
            <v>BODY SPLASH</v>
          </cell>
          <cell r="S742" t="str">
            <v>LÍQUIDO</v>
          </cell>
        </row>
        <row r="743">
          <cell r="E743">
            <v>676.76855895471738</v>
          </cell>
          <cell r="N743">
            <v>215</v>
          </cell>
          <cell r="R743" t="str">
            <v>BODY SPLASH</v>
          </cell>
          <cell r="S743" t="str">
            <v>LÍQUIDO</v>
          </cell>
        </row>
        <row r="744">
          <cell r="E744">
            <v>213.76518218361528</v>
          </cell>
          <cell r="N744">
            <v>215</v>
          </cell>
          <cell r="R744" t="str">
            <v>BODY SPLASH</v>
          </cell>
          <cell r="S744" t="str">
            <v>LÍQUIDO</v>
          </cell>
        </row>
        <row r="745">
          <cell r="E745">
            <v>612.65624998384101</v>
          </cell>
          <cell r="N745">
            <v>215</v>
          </cell>
          <cell r="R745" t="str">
            <v>BODY SPLASH</v>
          </cell>
          <cell r="S745" t="str">
            <v>LÍQUIDO</v>
          </cell>
        </row>
        <row r="746">
          <cell r="E746">
            <v>749.85365850677749</v>
          </cell>
          <cell r="N746">
            <v>215</v>
          </cell>
          <cell r="R746" t="str">
            <v>BODY SPLASH</v>
          </cell>
          <cell r="S746" t="str">
            <v>LÍQUIDO</v>
          </cell>
        </row>
        <row r="747">
          <cell r="E747">
            <v>822.85714286626603</v>
          </cell>
          <cell r="N747">
            <v>215</v>
          </cell>
          <cell r="R747" t="str">
            <v>BODY SPLASH</v>
          </cell>
          <cell r="S747" t="str">
            <v>LÍQUIDO</v>
          </cell>
        </row>
        <row r="748">
          <cell r="E748">
            <v>782.76923078325024</v>
          </cell>
          <cell r="N748">
            <v>215</v>
          </cell>
          <cell r="R748" t="str">
            <v>BODY SPLASH</v>
          </cell>
          <cell r="S748" t="str">
            <v>LÍQUIDO</v>
          </cell>
        </row>
        <row r="749">
          <cell r="E749">
            <v>797.53846152417759</v>
          </cell>
          <cell r="N749">
            <v>215</v>
          </cell>
          <cell r="R749" t="str">
            <v>BODY SPLASH</v>
          </cell>
          <cell r="S749" t="str">
            <v>LÍQUIDO</v>
          </cell>
        </row>
        <row r="750">
          <cell r="E750">
            <v>700.49999995514804</v>
          </cell>
          <cell r="N750">
            <v>215</v>
          </cell>
          <cell r="R750" t="str">
            <v>BODY SPLASH</v>
          </cell>
          <cell r="S750" t="str">
            <v>LÍQUIDO</v>
          </cell>
        </row>
        <row r="751">
          <cell r="E751">
            <v>736.82539679271963</v>
          </cell>
          <cell r="N751">
            <v>215</v>
          </cell>
          <cell r="R751" t="str">
            <v>BODY SPLASH</v>
          </cell>
          <cell r="S751" t="str">
            <v>LÍQUIDO</v>
          </cell>
        </row>
        <row r="752">
          <cell r="E752">
            <v>699.23076922920382</v>
          </cell>
          <cell r="N752">
            <v>215</v>
          </cell>
          <cell r="R752" t="str">
            <v>BODY SPLASH</v>
          </cell>
          <cell r="S752" t="str">
            <v>LÍQUIDO</v>
          </cell>
        </row>
        <row r="753">
          <cell r="E753">
            <v>872.22857140536212</v>
          </cell>
          <cell r="N753">
            <v>215</v>
          </cell>
          <cell r="R753" t="str">
            <v>BODY SPLASH</v>
          </cell>
          <cell r="S753" t="str">
            <v>LÍQUIDO</v>
          </cell>
        </row>
        <row r="754">
          <cell r="E754">
            <v>825.08108107069711</v>
          </cell>
          <cell r="N754">
            <v>215</v>
          </cell>
          <cell r="R754" t="str">
            <v>BODY SPLASH</v>
          </cell>
          <cell r="S754" t="str">
            <v>LÍQUIDO</v>
          </cell>
        </row>
        <row r="755">
          <cell r="E755">
            <v>1022.0000000237953</v>
          </cell>
          <cell r="N755">
            <v>215</v>
          </cell>
          <cell r="R755" t="str">
            <v>BODY SPLASH</v>
          </cell>
          <cell r="S755" t="str">
            <v>LÍQUIDO</v>
          </cell>
        </row>
        <row r="756">
          <cell r="E756">
            <v>580.46511628064127</v>
          </cell>
          <cell r="N756">
            <v>215</v>
          </cell>
          <cell r="R756" t="str">
            <v>BODY SPLASH</v>
          </cell>
          <cell r="S756" t="str">
            <v>LÍQUIDO</v>
          </cell>
        </row>
        <row r="757">
          <cell r="E757">
            <v>663.06976743467987</v>
          </cell>
          <cell r="N757">
            <v>215</v>
          </cell>
          <cell r="R757" t="str">
            <v>BODY SPLASH</v>
          </cell>
          <cell r="S757" t="str">
            <v>LÍQUIDO</v>
          </cell>
        </row>
        <row r="758">
          <cell r="E758">
            <v>979.19999995440241</v>
          </cell>
          <cell r="N758">
            <v>215</v>
          </cell>
          <cell r="R758" t="str">
            <v>BODY SPLASH</v>
          </cell>
          <cell r="S758" t="str">
            <v>LÍQUIDO</v>
          </cell>
        </row>
        <row r="759">
          <cell r="E759">
            <v>897.88235296577113</v>
          </cell>
          <cell r="N759">
            <v>215</v>
          </cell>
          <cell r="R759" t="str">
            <v>BODY SPLASH</v>
          </cell>
          <cell r="S759" t="str">
            <v>LÍQUIDO</v>
          </cell>
        </row>
        <row r="760">
          <cell r="E760">
            <v>897.77777775455218</v>
          </cell>
          <cell r="N760">
            <v>215</v>
          </cell>
          <cell r="R760" t="str">
            <v>BODY SPLASH</v>
          </cell>
          <cell r="S760" t="str">
            <v>LÍQUIDO</v>
          </cell>
        </row>
        <row r="761">
          <cell r="E761">
            <v>682.65446224874609</v>
          </cell>
          <cell r="N761">
            <v>215</v>
          </cell>
          <cell r="R761" t="str">
            <v>BODY SPLASH</v>
          </cell>
          <cell r="S761" t="str">
            <v>LÍQUIDO</v>
          </cell>
        </row>
        <row r="762">
          <cell r="E762">
            <v>848</v>
          </cell>
          <cell r="N762">
            <v>215</v>
          </cell>
          <cell r="R762" t="str">
            <v>BODY SPLASH</v>
          </cell>
          <cell r="S762" t="str">
            <v>LÍQUIDO</v>
          </cell>
        </row>
        <row r="763">
          <cell r="E763">
            <v>826.59025786531845</v>
          </cell>
          <cell r="N763">
            <v>215</v>
          </cell>
          <cell r="R763" t="str">
            <v>BODY SPLASH</v>
          </cell>
          <cell r="S763" t="str">
            <v>LÍQUIDO</v>
          </cell>
        </row>
        <row r="764">
          <cell r="E764">
            <v>780.7999999927282</v>
          </cell>
          <cell r="N764">
            <v>215</v>
          </cell>
          <cell r="R764" t="str">
            <v>BODY SPLASH</v>
          </cell>
          <cell r="S764" t="str">
            <v>LÍQUIDO</v>
          </cell>
        </row>
        <row r="765">
          <cell r="E765">
            <v>1147.6691728981759</v>
          </cell>
          <cell r="N765">
            <v>220</v>
          </cell>
          <cell r="R765" t="str">
            <v>BODY SPLASH</v>
          </cell>
          <cell r="S765" t="str">
            <v>LÍQUIDO</v>
          </cell>
        </row>
        <row r="766">
          <cell r="E766">
            <v>1069.090909085252</v>
          </cell>
          <cell r="N766">
            <v>220</v>
          </cell>
          <cell r="R766" t="str">
            <v>BODY SPLASH</v>
          </cell>
          <cell r="S766" t="str">
            <v>LÍQUIDO</v>
          </cell>
        </row>
        <row r="767">
          <cell r="E767">
            <v>1546.9714285611376</v>
          </cell>
          <cell r="N767">
            <v>220</v>
          </cell>
          <cell r="R767" t="str">
            <v>BODY SPLASH</v>
          </cell>
          <cell r="S767" t="str">
            <v>LÍQUIDO</v>
          </cell>
        </row>
        <row r="768">
          <cell r="E768">
            <v>1110.3614458080508</v>
          </cell>
          <cell r="N768">
            <v>220</v>
          </cell>
          <cell r="R768" t="str">
            <v>BODY SPLASH</v>
          </cell>
          <cell r="S768" t="str">
            <v>LÍQUIDO</v>
          </cell>
        </row>
        <row r="769">
          <cell r="E769">
            <v>266.15172413451211</v>
          </cell>
          <cell r="N769">
            <v>220</v>
          </cell>
          <cell r="R769" t="str">
            <v>BODY SPLASH</v>
          </cell>
          <cell r="S769" t="str">
            <v>LÍQUIDO</v>
          </cell>
        </row>
        <row r="770">
          <cell r="E770">
            <v>763.20000000444236</v>
          </cell>
          <cell r="N770">
            <v>215</v>
          </cell>
          <cell r="R770" t="str">
            <v>BODY SPLASH</v>
          </cell>
          <cell r="S770" t="str">
            <v>LÍQUIDO</v>
          </cell>
        </row>
        <row r="771">
          <cell r="E771">
            <v>719.99999996599797</v>
          </cell>
          <cell r="N771">
            <v>215</v>
          </cell>
          <cell r="R771" t="str">
            <v>BODY SPLASH</v>
          </cell>
          <cell r="S771" t="str">
            <v>LÍQUIDO</v>
          </cell>
        </row>
        <row r="772">
          <cell r="E772">
            <v>329.53516090437711</v>
          </cell>
          <cell r="N772">
            <v>200</v>
          </cell>
          <cell r="R772" t="str">
            <v>BODY SPLASH</v>
          </cell>
          <cell r="S772" t="str">
            <v>LÍQUIDO</v>
          </cell>
        </row>
        <row r="773">
          <cell r="E773">
            <v>818.68020304762047</v>
          </cell>
          <cell r="N773">
            <v>215</v>
          </cell>
          <cell r="R773" t="str">
            <v>BODY SPLASH</v>
          </cell>
          <cell r="S773" t="str">
            <v>LÍQUIDO</v>
          </cell>
        </row>
        <row r="774">
          <cell r="E774">
            <v>694.28571426334292</v>
          </cell>
          <cell r="N774">
            <v>215</v>
          </cell>
          <cell r="R774" t="str">
            <v>BODY SPLASH</v>
          </cell>
          <cell r="S774" t="str">
            <v>LÍQUIDO</v>
          </cell>
        </row>
        <row r="775">
          <cell r="E775">
            <v>896.42384106098484</v>
          </cell>
          <cell r="N775">
            <v>215</v>
          </cell>
          <cell r="R775" t="str">
            <v>BODY SPLASH</v>
          </cell>
          <cell r="S775" t="str">
            <v>LÍQUIDO</v>
          </cell>
        </row>
        <row r="776">
          <cell r="E776">
            <v>959.99999980442226</v>
          </cell>
          <cell r="N776">
            <v>200</v>
          </cell>
          <cell r="R776" t="str">
            <v>BODY SPLASH</v>
          </cell>
          <cell r="S776" t="str">
            <v>LÍQUIDO</v>
          </cell>
        </row>
        <row r="777">
          <cell r="E777">
            <v>593.99999999308488</v>
          </cell>
          <cell r="N777">
            <v>215</v>
          </cell>
          <cell r="R777" t="str">
            <v>BODY SPLASH</v>
          </cell>
          <cell r="S777" t="str">
            <v>LÍQUIDO</v>
          </cell>
        </row>
        <row r="778">
          <cell r="E778">
            <v>698.18181812270609</v>
          </cell>
          <cell r="N778">
            <v>200</v>
          </cell>
          <cell r="R778" t="str">
            <v>BODY SPLASH</v>
          </cell>
          <cell r="S778" t="str">
            <v>LÍQUIDO</v>
          </cell>
        </row>
        <row r="779">
          <cell r="E779">
            <v>270.0288739156548</v>
          </cell>
          <cell r="N779">
            <v>200</v>
          </cell>
          <cell r="R779" t="str">
            <v>BODY SPLASH</v>
          </cell>
          <cell r="S779" t="str">
            <v>LÍQUIDO</v>
          </cell>
        </row>
        <row r="780">
          <cell r="E780">
            <v>523.42105261943789</v>
          </cell>
          <cell r="N780">
            <v>200</v>
          </cell>
          <cell r="R780" t="str">
            <v>BODY SPLASH</v>
          </cell>
          <cell r="S780" t="str">
            <v>LÍQUIDO</v>
          </cell>
        </row>
        <row r="781">
          <cell r="E781">
            <v>891.13207544429474</v>
          </cell>
          <cell r="N781">
            <v>200</v>
          </cell>
          <cell r="R781" t="str">
            <v>BODY SPLASH</v>
          </cell>
          <cell r="S781" t="str">
            <v>LÍQUIDO</v>
          </cell>
        </row>
        <row r="782">
          <cell r="E782">
            <v>489.05660372631922</v>
          </cell>
          <cell r="N782">
            <v>200</v>
          </cell>
          <cell r="R782" t="str">
            <v>BODY SPLASH</v>
          </cell>
          <cell r="S782" t="str">
            <v>LÍQUIDO</v>
          </cell>
        </row>
        <row r="783">
          <cell r="E783">
            <v>658.86792451889505</v>
          </cell>
          <cell r="N783">
            <v>200</v>
          </cell>
          <cell r="R783" t="str">
            <v>BODY SPLASH</v>
          </cell>
          <cell r="S783" t="str">
            <v>LÍQUIDO</v>
          </cell>
        </row>
        <row r="784">
          <cell r="E784">
            <v>827.68328446369446</v>
          </cell>
          <cell r="N784">
            <v>200</v>
          </cell>
          <cell r="R784" t="str">
            <v>BODY SPLASH</v>
          </cell>
          <cell r="S784" t="str">
            <v>LÍQUIDO</v>
          </cell>
        </row>
        <row r="785">
          <cell r="E785">
            <v>746.66666667632478</v>
          </cell>
          <cell r="N785">
            <v>220</v>
          </cell>
          <cell r="R785" t="str">
            <v>BODY SPLASH</v>
          </cell>
          <cell r="S785" t="str">
            <v>LÍQUIDO</v>
          </cell>
        </row>
        <row r="786">
          <cell r="E786">
            <v>943.55769232142291</v>
          </cell>
          <cell r="N786">
            <v>220</v>
          </cell>
          <cell r="R786" t="str">
            <v>BODY SPLASH</v>
          </cell>
          <cell r="S786" t="str">
            <v>LÍQUIDO</v>
          </cell>
        </row>
        <row r="787">
          <cell r="E787">
            <v>346.97142856219591</v>
          </cell>
          <cell r="N787">
            <v>500</v>
          </cell>
          <cell r="R787" t="str">
            <v>BASE</v>
          </cell>
          <cell r="S787" t="str">
            <v>LÍQUIDO</v>
          </cell>
        </row>
        <row r="788">
          <cell r="E788">
            <v>305.19230769162442</v>
          </cell>
          <cell r="N788">
            <v>1000</v>
          </cell>
          <cell r="R788" t="str">
            <v>BASE</v>
          </cell>
          <cell r="S788" t="str">
            <v>LÍQUIDO</v>
          </cell>
        </row>
        <row r="789">
          <cell r="E789">
            <v>677.49999986197508</v>
          </cell>
          <cell r="N789">
            <v>220</v>
          </cell>
          <cell r="R789" t="str">
            <v>BODY SPLASH</v>
          </cell>
          <cell r="S789" t="str">
            <v>LÍQUIDO</v>
          </cell>
        </row>
        <row r="790">
          <cell r="E790">
            <v>754.28571428571433</v>
          </cell>
          <cell r="N790">
            <v>220</v>
          </cell>
          <cell r="R790" t="str">
            <v>BODY SPLASH</v>
          </cell>
          <cell r="S790" t="str">
            <v>LÍQUIDO</v>
          </cell>
        </row>
        <row r="791">
          <cell r="E791">
            <v>337.69230768021151</v>
          </cell>
          <cell r="N791">
            <v>1000</v>
          </cell>
          <cell r="R791" t="str">
            <v>BASE</v>
          </cell>
          <cell r="S791" t="str">
            <v>LÍQUIDO</v>
          </cell>
        </row>
        <row r="792">
          <cell r="E792">
            <v>797.09497203489809</v>
          </cell>
          <cell r="N792">
            <v>220</v>
          </cell>
          <cell r="R792" t="str">
            <v>BODY SPLASH</v>
          </cell>
          <cell r="S792" t="str">
            <v>LÍQUIDO</v>
          </cell>
        </row>
        <row r="793">
          <cell r="E793">
            <v>734.01582132448527</v>
          </cell>
          <cell r="N793">
            <v>220</v>
          </cell>
          <cell r="R793" t="str">
            <v>BODY SPLASH</v>
          </cell>
          <cell r="S793" t="str">
            <v>LÍQUIDO</v>
          </cell>
        </row>
        <row r="794">
          <cell r="E794">
            <v>343.36633661862396</v>
          </cell>
          <cell r="N794">
            <v>1000</v>
          </cell>
          <cell r="R794" t="str">
            <v>BASE</v>
          </cell>
          <cell r="S794" t="str">
            <v>LÍQUIDO</v>
          </cell>
        </row>
        <row r="795">
          <cell r="E795">
            <v>86.074766354110054</v>
          </cell>
          <cell r="N795">
            <v>1000</v>
          </cell>
          <cell r="R795" t="str">
            <v>BASE</v>
          </cell>
          <cell r="S795" t="str">
            <v>LÍQUIDO</v>
          </cell>
        </row>
        <row r="796">
          <cell r="E796">
            <v>1015.5555555555555</v>
          </cell>
          <cell r="N796">
            <v>220</v>
          </cell>
          <cell r="R796" t="str">
            <v>BODY SPLASH</v>
          </cell>
          <cell r="S796" t="str">
            <v>LÍQUIDO</v>
          </cell>
        </row>
        <row r="797">
          <cell r="E797">
            <v>503.3513513355141</v>
          </cell>
          <cell r="N797">
            <v>325</v>
          </cell>
          <cell r="R797" t="str">
            <v>ÁGUA MICELAR</v>
          </cell>
          <cell r="S797" t="str">
            <v>LÍQUIDO</v>
          </cell>
        </row>
        <row r="798">
          <cell r="E798">
            <v>583.35078533746969</v>
          </cell>
          <cell r="N798">
            <v>325</v>
          </cell>
          <cell r="R798" t="str">
            <v>ÁGUA MICELAR</v>
          </cell>
          <cell r="S798" t="str">
            <v>LÍQUIDO</v>
          </cell>
        </row>
        <row r="799">
          <cell r="E799">
            <v>701.79310344264138</v>
          </cell>
          <cell r="N799">
            <v>325</v>
          </cell>
          <cell r="R799" t="str">
            <v>ÁGUA MICELAR</v>
          </cell>
          <cell r="S799" t="str">
            <v>LÍQUIDO</v>
          </cell>
        </row>
        <row r="800">
          <cell r="E800">
            <v>814.15384612468313</v>
          </cell>
          <cell r="N800">
            <v>325</v>
          </cell>
          <cell r="R800" t="str">
            <v>ÁGUA MICELAR</v>
          </cell>
          <cell r="S800" t="str">
            <v>LÍQUIDO</v>
          </cell>
        </row>
        <row r="801">
          <cell r="E801">
            <v>592</v>
          </cell>
          <cell r="N801">
            <v>325</v>
          </cell>
          <cell r="R801" t="str">
            <v>ÁGUA MICELAR</v>
          </cell>
          <cell r="S801" t="str">
            <v>LÍQUIDO</v>
          </cell>
        </row>
        <row r="802">
          <cell r="E802">
            <v>608.19875772087732</v>
          </cell>
          <cell r="N802">
            <v>325</v>
          </cell>
          <cell r="R802" t="str">
            <v>ÁGUA MICELAR</v>
          </cell>
          <cell r="S802" t="str">
            <v>LÍQUIDO</v>
          </cell>
        </row>
        <row r="803">
          <cell r="E803">
            <v>1447.1641789133751</v>
          </cell>
          <cell r="N803">
            <v>325</v>
          </cell>
          <cell r="R803" t="str">
            <v>ÁGUA MICELAR</v>
          </cell>
          <cell r="S803" t="str">
            <v>LÍQUIDO</v>
          </cell>
        </row>
        <row r="804">
          <cell r="E804">
            <v>688.37837837621248</v>
          </cell>
          <cell r="N804">
            <v>325</v>
          </cell>
          <cell r="R804" t="str">
            <v>ÁGUA MICELAR</v>
          </cell>
          <cell r="S804" t="str">
            <v>LÍQUIDO</v>
          </cell>
        </row>
        <row r="805">
          <cell r="E805">
            <v>988.99328858905858</v>
          </cell>
          <cell r="N805">
            <v>220</v>
          </cell>
          <cell r="R805" t="str">
            <v>BODY SPLASH</v>
          </cell>
          <cell r="S805" t="str">
            <v>LÍQUIDO</v>
          </cell>
        </row>
        <row r="806">
          <cell r="E806">
            <v>795.73770492107008</v>
          </cell>
          <cell r="N806">
            <v>325</v>
          </cell>
          <cell r="R806" t="str">
            <v>ÁGUA MICELAR</v>
          </cell>
          <cell r="S806" t="str">
            <v>LÍQUIDO</v>
          </cell>
        </row>
        <row r="807">
          <cell r="E807">
            <v>575.99999995123255</v>
          </cell>
          <cell r="N807">
            <v>325</v>
          </cell>
          <cell r="R807" t="str">
            <v>ÁGUA MICELAR</v>
          </cell>
          <cell r="S807" t="str">
            <v>LÍQUIDO</v>
          </cell>
        </row>
        <row r="808">
          <cell r="E808">
            <v>887.44186043748641</v>
          </cell>
          <cell r="N808">
            <v>220</v>
          </cell>
          <cell r="R808" t="str">
            <v>BODY SPLASH</v>
          </cell>
          <cell r="S808" t="str">
            <v>LÍQUIDO</v>
          </cell>
        </row>
        <row r="809">
          <cell r="E809">
            <v>989.09090900716706</v>
          </cell>
          <cell r="N809">
            <v>325</v>
          </cell>
          <cell r="R809" t="str">
            <v>ÁGUA MICELAR</v>
          </cell>
          <cell r="S809" t="str">
            <v>LÍQUIDO</v>
          </cell>
        </row>
        <row r="810">
          <cell r="E810">
            <v>779.5200000072598</v>
          </cell>
          <cell r="N810">
            <v>325</v>
          </cell>
          <cell r="R810" t="str">
            <v>ÁGUA MICELAR</v>
          </cell>
          <cell r="S810" t="str">
            <v>LÍQUIDO</v>
          </cell>
        </row>
        <row r="811">
          <cell r="E811">
            <v>978.05309733102615</v>
          </cell>
          <cell r="N811">
            <v>325</v>
          </cell>
          <cell r="R811" t="str">
            <v>ÁGUA MICELAR</v>
          </cell>
          <cell r="S811" t="str">
            <v>LÍQUIDO</v>
          </cell>
        </row>
        <row r="812">
          <cell r="E812">
            <v>544.17721519628867</v>
          </cell>
          <cell r="N812">
            <v>325</v>
          </cell>
          <cell r="R812" t="str">
            <v>ÁGUA MICELAR</v>
          </cell>
          <cell r="S812" t="str">
            <v>LÍQUIDO</v>
          </cell>
        </row>
        <row r="813">
          <cell r="E813">
            <v>784.64788731365127</v>
          </cell>
          <cell r="N813">
            <v>325</v>
          </cell>
          <cell r="R813" t="str">
            <v>ÁGUA MICELAR</v>
          </cell>
          <cell r="S813" t="str">
            <v>LÍQUIDO</v>
          </cell>
        </row>
        <row r="814">
          <cell r="E814">
            <v>858.94736846315561</v>
          </cell>
          <cell r="N814">
            <v>325</v>
          </cell>
          <cell r="R814" t="str">
            <v>ÁGUA MICELAR</v>
          </cell>
          <cell r="S814" t="str">
            <v>LÍQUIDO</v>
          </cell>
        </row>
        <row r="815">
          <cell r="E815">
            <v>687.27272728727439</v>
          </cell>
          <cell r="N815">
            <v>325</v>
          </cell>
          <cell r="R815" t="str">
            <v>ÁGUA MICELAR</v>
          </cell>
          <cell r="S815" t="str">
            <v>LÍQUIDO</v>
          </cell>
        </row>
        <row r="816">
          <cell r="E816">
            <v>869.15887850845547</v>
          </cell>
          <cell r="N816">
            <v>325</v>
          </cell>
          <cell r="R816" t="str">
            <v>ÁGUA MICELAR</v>
          </cell>
          <cell r="S816" t="str">
            <v>LÍQUIDO</v>
          </cell>
        </row>
        <row r="817">
          <cell r="E817">
            <v>675.31034483842984</v>
          </cell>
          <cell r="N817">
            <v>325</v>
          </cell>
          <cell r="R817" t="str">
            <v>ÁGUA MICELAR</v>
          </cell>
          <cell r="S817" t="str">
            <v>LÍQUIDO</v>
          </cell>
        </row>
        <row r="818">
          <cell r="E818">
            <v>979.41176473271025</v>
          </cell>
          <cell r="N818">
            <v>325</v>
          </cell>
          <cell r="R818" t="str">
            <v>ÁGUA MICELAR</v>
          </cell>
          <cell r="S818" t="str">
            <v>LÍQUIDO</v>
          </cell>
        </row>
        <row r="819">
          <cell r="E819">
            <v>681.08108107893815</v>
          </cell>
          <cell r="N819">
            <v>325</v>
          </cell>
          <cell r="R819" t="str">
            <v>ÁGUA MICELAR</v>
          </cell>
          <cell r="S819" t="str">
            <v>LÍQUIDO</v>
          </cell>
        </row>
        <row r="820">
          <cell r="E820">
            <v>681.08108107893815</v>
          </cell>
          <cell r="N820">
            <v>325</v>
          </cell>
          <cell r="R820" t="str">
            <v>ÁGUA MICELAR</v>
          </cell>
          <cell r="S820" t="str">
            <v>LÍQUIDO</v>
          </cell>
        </row>
        <row r="821">
          <cell r="E821">
            <v>639.99999999215731</v>
          </cell>
          <cell r="N821">
            <v>325</v>
          </cell>
          <cell r="R821" t="str">
            <v>ÁGUA MICELAR</v>
          </cell>
          <cell r="S821" t="str">
            <v>LÍQUIDO</v>
          </cell>
        </row>
        <row r="822">
          <cell r="E822">
            <v>795.22388061635922</v>
          </cell>
          <cell r="N822">
            <v>325</v>
          </cell>
          <cell r="R822" t="str">
            <v>ÁGUA MICELAR</v>
          </cell>
          <cell r="S822" t="str">
            <v>LÍQUIDO</v>
          </cell>
        </row>
        <row r="823">
          <cell r="E823">
            <v>724.89795921467362</v>
          </cell>
          <cell r="N823">
            <v>325</v>
          </cell>
          <cell r="R823" t="str">
            <v>ÁGUA MICELAR</v>
          </cell>
          <cell r="S823" t="str">
            <v>LÍQUIDO</v>
          </cell>
        </row>
        <row r="824">
          <cell r="E824">
            <v>646.15384614516665</v>
          </cell>
          <cell r="N824">
            <v>325</v>
          </cell>
          <cell r="R824" t="str">
            <v>ÁGUA MICELAR</v>
          </cell>
          <cell r="S824" t="str">
            <v>LÍQUIDO</v>
          </cell>
        </row>
        <row r="825">
          <cell r="E825">
            <v>734.89655171823767</v>
          </cell>
          <cell r="N825">
            <v>325</v>
          </cell>
          <cell r="R825" t="str">
            <v>ÁGUA MICELAR</v>
          </cell>
          <cell r="S825" t="str">
            <v>LÍQUIDO</v>
          </cell>
        </row>
        <row r="826">
          <cell r="E826">
            <v>493.71428570607486</v>
          </cell>
          <cell r="N826">
            <v>325</v>
          </cell>
          <cell r="R826" t="str">
            <v>ÁGUA MICELAR</v>
          </cell>
          <cell r="S826" t="str">
            <v>LÍQUIDO</v>
          </cell>
        </row>
        <row r="827">
          <cell r="E827">
            <v>795.78947361351004</v>
          </cell>
          <cell r="N827">
            <v>325</v>
          </cell>
          <cell r="R827" t="str">
            <v>ÁGUA MICELAR</v>
          </cell>
          <cell r="S827" t="str">
            <v>LÍQUIDO</v>
          </cell>
        </row>
        <row r="828">
          <cell r="E828">
            <v>1214.4578313525556</v>
          </cell>
          <cell r="N828">
            <v>325</v>
          </cell>
          <cell r="R828" t="str">
            <v>ÁGUA MICELAR</v>
          </cell>
          <cell r="S828" t="str">
            <v>LÍQUIDO</v>
          </cell>
        </row>
        <row r="829">
          <cell r="E829">
            <v>839.99999997555278</v>
          </cell>
          <cell r="N829">
            <v>325</v>
          </cell>
          <cell r="R829" t="str">
            <v>ÁGUA MICELAR</v>
          </cell>
          <cell r="S829" t="str">
            <v>LÍQUIDO</v>
          </cell>
        </row>
        <row r="830">
          <cell r="E830">
            <v>822.85714284345806</v>
          </cell>
          <cell r="N830">
            <v>325</v>
          </cell>
          <cell r="R830" t="str">
            <v>ÁGUA MICELAR</v>
          </cell>
          <cell r="S830" t="str">
            <v>LÍQUIDO</v>
          </cell>
        </row>
        <row r="831">
          <cell r="E831">
            <v>769.46564882897746</v>
          </cell>
          <cell r="N831">
            <v>325</v>
          </cell>
          <cell r="R831" t="str">
            <v>ÁGUA MICELAR</v>
          </cell>
          <cell r="S831" t="str">
            <v>LÍQUIDO</v>
          </cell>
        </row>
        <row r="832">
          <cell r="E832">
            <v>915.14018689000056</v>
          </cell>
          <cell r="N832">
            <v>325</v>
          </cell>
          <cell r="R832" t="str">
            <v>ÁGUA MICELAR</v>
          </cell>
          <cell r="S832" t="str">
            <v>LÍQUIDO</v>
          </cell>
        </row>
        <row r="833">
          <cell r="E833">
            <v>660.00000000960426</v>
          </cell>
          <cell r="N833">
            <v>325</v>
          </cell>
          <cell r="R833" t="str">
            <v>ÁGUA MICELAR</v>
          </cell>
          <cell r="S833" t="str">
            <v>LÍQUIDO</v>
          </cell>
        </row>
        <row r="834">
          <cell r="E834">
            <v>1320.8823531130381</v>
          </cell>
          <cell r="N834">
            <v>325</v>
          </cell>
          <cell r="R834" t="str">
            <v>ÁGUA MICELAR</v>
          </cell>
          <cell r="S834" t="str">
            <v>LÍQUIDO</v>
          </cell>
        </row>
        <row r="835">
          <cell r="E835">
            <v>960.00000003193111</v>
          </cell>
          <cell r="N835">
            <v>325</v>
          </cell>
          <cell r="R835" t="str">
            <v>ÁGUA MICELAR</v>
          </cell>
          <cell r="S835" t="str">
            <v>LÍQUIDO</v>
          </cell>
        </row>
        <row r="836">
          <cell r="E836">
            <v>787.68000000733582</v>
          </cell>
          <cell r="N836">
            <v>325</v>
          </cell>
          <cell r="R836" t="str">
            <v>ÁGUA MICELAR</v>
          </cell>
          <cell r="S836" t="str">
            <v>LÍQUIDO</v>
          </cell>
        </row>
        <row r="837">
          <cell r="E837">
            <v>959.99999995167195</v>
          </cell>
          <cell r="N837">
            <v>325</v>
          </cell>
          <cell r="R837" t="str">
            <v>ÁGUA MICELAR</v>
          </cell>
          <cell r="S837" t="str">
            <v>LÍQUIDO</v>
          </cell>
        </row>
        <row r="838">
          <cell r="E838">
            <v>491.88118813128489</v>
          </cell>
          <cell r="N838">
            <v>325</v>
          </cell>
          <cell r="R838" t="str">
            <v>ÁGUA MICELAR</v>
          </cell>
          <cell r="S838" t="str">
            <v>LÍQUIDO</v>
          </cell>
        </row>
        <row r="839">
          <cell r="E839">
            <v>803.72093024561377</v>
          </cell>
          <cell r="N839">
            <v>325</v>
          </cell>
          <cell r="R839" t="str">
            <v>ÁGUA MICELAR</v>
          </cell>
          <cell r="S839" t="str">
            <v>LÍQUIDO</v>
          </cell>
        </row>
        <row r="840">
          <cell r="E840">
            <v>709.85915486788963</v>
          </cell>
          <cell r="N840">
            <v>325</v>
          </cell>
          <cell r="R840" t="str">
            <v>ÁGUA MICELAR</v>
          </cell>
          <cell r="S840" t="str">
            <v>LÍQUIDO</v>
          </cell>
        </row>
        <row r="841">
          <cell r="E841">
            <v>638.18181815311368</v>
          </cell>
          <cell r="N841">
            <v>325</v>
          </cell>
          <cell r="R841" t="str">
            <v>ÁGUA MICELAR</v>
          </cell>
          <cell r="S841" t="str">
            <v>LÍQUIDO</v>
          </cell>
        </row>
        <row r="842">
          <cell r="E842">
            <v>1420.7999999338388</v>
          </cell>
          <cell r="N842">
            <v>325</v>
          </cell>
          <cell r="R842" t="str">
            <v>ÁGUA MICELAR</v>
          </cell>
          <cell r="S842" t="str">
            <v>LÍQUIDO</v>
          </cell>
        </row>
        <row r="843">
          <cell r="E843">
            <v>496.66666678230587</v>
          </cell>
          <cell r="N843">
            <v>325</v>
          </cell>
          <cell r="R843" t="str">
            <v>ÁGUA MICELAR</v>
          </cell>
          <cell r="S843" t="str">
            <v>LÍQUIDO</v>
          </cell>
        </row>
        <row r="844">
          <cell r="E844">
            <v>440.00000010244548</v>
          </cell>
          <cell r="N844">
            <v>325</v>
          </cell>
          <cell r="R844" t="str">
            <v>ÁGUA MICELAR</v>
          </cell>
          <cell r="S844" t="str">
            <v>LÍQUIDO</v>
          </cell>
        </row>
        <row r="845">
          <cell r="E845">
            <v>128.18181819131422</v>
          </cell>
          <cell r="N845" t="str">
            <v>-</v>
          </cell>
          <cell r="R845" t="str">
            <v>-</v>
          </cell>
          <cell r="S845" t="str">
            <v>-</v>
          </cell>
        </row>
        <row r="846">
          <cell r="E846">
            <v>97.24137930956411</v>
          </cell>
          <cell r="N846" t="str">
            <v>-</v>
          </cell>
          <cell r="R846" t="str">
            <v>-</v>
          </cell>
          <cell r="S846" t="str">
            <v>-</v>
          </cell>
        </row>
        <row r="847">
          <cell r="E847">
            <v>195</v>
          </cell>
          <cell r="N847">
            <v>100</v>
          </cell>
          <cell r="R847" t="str">
            <v>PERFUME</v>
          </cell>
          <cell r="S847" t="str">
            <v>LÍQUIDO</v>
          </cell>
        </row>
        <row r="848">
          <cell r="E848">
            <v>102.71186440819831</v>
          </cell>
          <cell r="N848">
            <v>100</v>
          </cell>
          <cell r="R848" t="str">
            <v>PERFUME</v>
          </cell>
          <cell r="S848" t="str">
            <v>LÍQUIDO</v>
          </cell>
        </row>
        <row r="849">
          <cell r="E849">
            <v>565.89473681783409</v>
          </cell>
          <cell r="N849">
            <v>120</v>
          </cell>
          <cell r="R849" t="str">
            <v>FIXADOR</v>
          </cell>
          <cell r="S849" t="str">
            <v>LÍQUIDO</v>
          </cell>
        </row>
        <row r="850">
          <cell r="E850">
            <v>825.65597665845007</v>
          </cell>
          <cell r="N850">
            <v>120</v>
          </cell>
          <cell r="R850" t="str">
            <v>FIXADOR</v>
          </cell>
          <cell r="S850" t="str">
            <v>LÍQUIDO</v>
          </cell>
        </row>
        <row r="851">
          <cell r="E851">
            <v>693.86138613221578</v>
          </cell>
          <cell r="N851">
            <v>120</v>
          </cell>
          <cell r="R851" t="str">
            <v>FIXADOR</v>
          </cell>
          <cell r="S851" t="str">
            <v>LÍQUIDO</v>
          </cell>
        </row>
        <row r="852">
          <cell r="E852">
            <v>408.27586206363895</v>
          </cell>
          <cell r="N852">
            <v>120</v>
          </cell>
          <cell r="R852" t="str">
            <v>FIXADOR</v>
          </cell>
          <cell r="S852" t="str">
            <v>LÍQUIDO</v>
          </cell>
        </row>
        <row r="853">
          <cell r="E853">
            <v>777.27272726861429</v>
          </cell>
          <cell r="N853">
            <v>120</v>
          </cell>
          <cell r="R853" t="str">
            <v>FIXADOR</v>
          </cell>
          <cell r="S853" t="str">
            <v>LÍQUIDO</v>
          </cell>
        </row>
        <row r="854">
          <cell r="E854">
            <v>22.602739725883215</v>
          </cell>
          <cell r="N854">
            <v>200</v>
          </cell>
          <cell r="R854" t="str">
            <v>CREME HIDRATANTE</v>
          </cell>
          <cell r="S854" t="str">
            <v>CREMOSO</v>
          </cell>
        </row>
        <row r="855">
          <cell r="E855">
            <v>235.50000003426976</v>
          </cell>
          <cell r="N855">
            <v>200</v>
          </cell>
          <cell r="R855" t="str">
            <v>CREME HIDRATANTE</v>
          </cell>
          <cell r="S855" t="str">
            <v>CREMOSO</v>
          </cell>
        </row>
        <row r="856">
          <cell r="E856">
            <v>104.25000000151704</v>
          </cell>
          <cell r="N856">
            <v>200</v>
          </cell>
          <cell r="R856" t="str">
            <v>CREME HIDRATANTE</v>
          </cell>
          <cell r="S856" t="str">
            <v>CREMOSO</v>
          </cell>
        </row>
        <row r="857">
          <cell r="E857">
            <v>173.33333333333334</v>
          </cell>
          <cell r="N857">
            <v>200</v>
          </cell>
          <cell r="R857" t="str">
            <v>CREME HIDRATANTE</v>
          </cell>
          <cell r="S857" t="str">
            <v>CREMOSO</v>
          </cell>
        </row>
        <row r="858">
          <cell r="E858">
            <v>754.99999999725333</v>
          </cell>
          <cell r="N858">
            <v>120</v>
          </cell>
          <cell r="R858" t="str">
            <v>FIXADOR</v>
          </cell>
          <cell r="S858" t="str">
            <v>LÍQUIDO</v>
          </cell>
        </row>
        <row r="859">
          <cell r="E859">
            <v>947.99999988963827</v>
          </cell>
          <cell r="N859">
            <v>200</v>
          </cell>
          <cell r="R859" t="str">
            <v>CREME HIDRATANTE</v>
          </cell>
          <cell r="S859" t="str">
            <v>CREMOSO</v>
          </cell>
        </row>
        <row r="860">
          <cell r="E860">
            <v>246.85714286535369</v>
          </cell>
          <cell r="N860">
            <v>200</v>
          </cell>
          <cell r="R860" t="str">
            <v>CREME HIDRATANTE</v>
          </cell>
          <cell r="S860" t="str">
            <v>CREMOSO</v>
          </cell>
        </row>
        <row r="861">
          <cell r="E861">
            <v>392.72727275636692</v>
          </cell>
          <cell r="N861">
            <v>200</v>
          </cell>
          <cell r="R861" t="str">
            <v>CREME HIDRATANTE</v>
          </cell>
          <cell r="S861" t="str">
            <v>CREMOSO</v>
          </cell>
        </row>
        <row r="862">
          <cell r="E862">
            <v>158.94736842884376</v>
          </cell>
          <cell r="N862">
            <v>200</v>
          </cell>
          <cell r="R862" t="str">
            <v>CREME HIDRATANTE</v>
          </cell>
          <cell r="S862" t="str">
            <v>CREMOSO</v>
          </cell>
        </row>
        <row r="863">
          <cell r="E863">
            <v>460.9271523212567</v>
          </cell>
          <cell r="N863">
            <v>120</v>
          </cell>
          <cell r="R863" t="str">
            <v>FIXADOR</v>
          </cell>
          <cell r="S863" t="str">
            <v>LÍQUIDO</v>
          </cell>
        </row>
        <row r="864">
          <cell r="E864">
            <v>865.18518516280278</v>
          </cell>
          <cell r="N864">
            <v>120</v>
          </cell>
          <cell r="R864" t="str">
            <v>FIXADOR</v>
          </cell>
          <cell r="S864" t="str">
            <v>LÍQUIDO</v>
          </cell>
        </row>
        <row r="865">
          <cell r="E865">
            <v>693.57798164619078</v>
          </cell>
          <cell r="N865">
            <v>120</v>
          </cell>
          <cell r="R865" t="str">
            <v>FIXADOR</v>
          </cell>
          <cell r="S865" t="str">
            <v>LÍQUIDO</v>
          </cell>
        </row>
        <row r="866">
          <cell r="E866">
            <v>954.57627118267362</v>
          </cell>
          <cell r="N866">
            <v>120</v>
          </cell>
          <cell r="R866" t="str">
            <v>FIXADOR</v>
          </cell>
          <cell r="S866" t="str">
            <v>LÍQUIDO</v>
          </cell>
        </row>
        <row r="867">
          <cell r="E867">
            <v>1123.4042553302793</v>
          </cell>
          <cell r="N867">
            <v>120</v>
          </cell>
          <cell r="R867" t="str">
            <v>BODY SPLASH</v>
          </cell>
          <cell r="S867" t="str">
            <v>LÍQUIDO</v>
          </cell>
        </row>
        <row r="868">
          <cell r="E868">
            <v>777.02349869121042</v>
          </cell>
          <cell r="N868">
            <v>120</v>
          </cell>
          <cell r="R868" t="str">
            <v>BODY SPLASH</v>
          </cell>
          <cell r="S868" t="str">
            <v>LÍQUIDO</v>
          </cell>
        </row>
        <row r="869">
          <cell r="E869">
            <v>999.99999998544808</v>
          </cell>
          <cell r="N869">
            <v>120</v>
          </cell>
          <cell r="R869" t="str">
            <v>BODY SPLASH</v>
          </cell>
          <cell r="S869" t="str">
            <v>LÍQUIDO</v>
          </cell>
        </row>
        <row r="870">
          <cell r="E870">
            <v>671.99999998044223</v>
          </cell>
          <cell r="N870">
            <v>120</v>
          </cell>
          <cell r="R870" t="str">
            <v>BODY SPLASH</v>
          </cell>
          <cell r="S870" t="str">
            <v>LÍQUIDO</v>
          </cell>
        </row>
        <row r="871">
          <cell r="E871">
            <v>790.58823531577332</v>
          </cell>
          <cell r="N871">
            <v>210</v>
          </cell>
          <cell r="R871" t="str">
            <v>BODY SPLASH</v>
          </cell>
          <cell r="S871" t="str">
            <v>LÍQUIDO</v>
          </cell>
        </row>
        <row r="872">
          <cell r="E872">
            <v>804.96894410345328</v>
          </cell>
          <cell r="N872">
            <v>120</v>
          </cell>
          <cell r="R872" t="str">
            <v>BODY SPLASH</v>
          </cell>
          <cell r="S872" t="str">
            <v>LÍQUIDO</v>
          </cell>
        </row>
        <row r="873">
          <cell r="E873">
            <v>1461.8181818336525</v>
          </cell>
          <cell r="N873">
            <v>210</v>
          </cell>
          <cell r="R873" t="str">
            <v>BODY SPLASH</v>
          </cell>
          <cell r="S873" t="str">
            <v>LÍQUIDO</v>
          </cell>
        </row>
        <row r="874">
          <cell r="E874">
            <v>728.88888886060431</v>
          </cell>
          <cell r="N874">
            <v>120</v>
          </cell>
          <cell r="R874" t="str">
            <v>BODY SPLASH</v>
          </cell>
          <cell r="S874" t="str">
            <v>LÍQUIDO</v>
          </cell>
        </row>
        <row r="875">
          <cell r="E875">
            <v>902.98342539810278</v>
          </cell>
          <cell r="N875">
            <v>210</v>
          </cell>
          <cell r="R875" t="str">
            <v>BODY SPLASH</v>
          </cell>
          <cell r="S875" t="str">
            <v>LÍQUIDO</v>
          </cell>
        </row>
        <row r="876">
          <cell r="E876">
            <v>688.10126581061684</v>
          </cell>
          <cell r="N876">
            <v>210</v>
          </cell>
          <cell r="R876" t="str">
            <v>BODY SPLASH</v>
          </cell>
          <cell r="S876" t="str">
            <v>LÍQUIDO</v>
          </cell>
        </row>
        <row r="877">
          <cell r="E877">
            <v>620.24999998194835</v>
          </cell>
          <cell r="N877">
            <v>120</v>
          </cell>
          <cell r="R877" t="str">
            <v>BODY SPLASH</v>
          </cell>
          <cell r="S877" t="str">
            <v>LÍQUIDO</v>
          </cell>
        </row>
        <row r="878">
          <cell r="E878">
            <v>787.30158728849392</v>
          </cell>
          <cell r="N878">
            <v>120</v>
          </cell>
          <cell r="R878" t="str">
            <v>BODY SPLASH</v>
          </cell>
          <cell r="S878" t="str">
            <v>LÍQUIDO</v>
          </cell>
        </row>
        <row r="879">
          <cell r="E879">
            <v>592.07048456904863</v>
          </cell>
          <cell r="N879">
            <v>120</v>
          </cell>
          <cell r="R879" t="str">
            <v>BODY SPLASH</v>
          </cell>
          <cell r="S879" t="str">
            <v>LÍQUIDO</v>
          </cell>
        </row>
        <row r="880">
          <cell r="E880">
            <v>581.16591927674676</v>
          </cell>
          <cell r="N880">
            <v>120</v>
          </cell>
          <cell r="R880" t="str">
            <v>BODY SPLASH</v>
          </cell>
          <cell r="S880" t="str">
            <v>LÍQUIDO</v>
          </cell>
        </row>
        <row r="881">
          <cell r="E881">
            <v>556.6844919834615</v>
          </cell>
          <cell r="N881">
            <v>200</v>
          </cell>
          <cell r="R881" t="str">
            <v>CREME HIDRATANTE</v>
          </cell>
          <cell r="S881" t="str">
            <v>CREMOSO</v>
          </cell>
        </row>
        <row r="882">
          <cell r="E882">
            <v>595.99999999396664</v>
          </cell>
          <cell r="N882">
            <v>120</v>
          </cell>
          <cell r="R882" t="str">
            <v>BODY SPLASH</v>
          </cell>
          <cell r="S882" t="str">
            <v>LÍQUIDO</v>
          </cell>
        </row>
        <row r="883">
          <cell r="E883">
            <v>392.99999998169949</v>
          </cell>
          <cell r="N883">
            <v>200</v>
          </cell>
          <cell r="R883" t="str">
            <v>CREME HIDRATANTE</v>
          </cell>
          <cell r="S883" t="str">
            <v>CREMOSO</v>
          </cell>
        </row>
        <row r="884">
          <cell r="E884">
            <v>483.99999999295687</v>
          </cell>
          <cell r="N884">
            <v>200</v>
          </cell>
          <cell r="R884" t="str">
            <v>CREME HIDRATANTE</v>
          </cell>
          <cell r="S884" t="str">
            <v>CREMOSO</v>
          </cell>
        </row>
        <row r="885">
          <cell r="E885">
            <v>1472.7272726610315</v>
          </cell>
          <cell r="N885">
            <v>120</v>
          </cell>
          <cell r="R885" t="str">
            <v>BODY SPLASH</v>
          </cell>
          <cell r="S885" t="str">
            <v>LÍQUIDO</v>
          </cell>
        </row>
        <row r="886">
          <cell r="E886">
            <v>479.23076923506073</v>
          </cell>
          <cell r="N886">
            <v>200</v>
          </cell>
          <cell r="R886" t="str">
            <v>CREME HIDRATANTE</v>
          </cell>
          <cell r="S886" t="str">
            <v>CREMOSO</v>
          </cell>
        </row>
        <row r="887">
          <cell r="E887">
            <v>690.70496081997328</v>
          </cell>
          <cell r="N887">
            <v>120</v>
          </cell>
          <cell r="R887" t="str">
            <v>BODY SPLASH</v>
          </cell>
          <cell r="S887" t="str">
            <v>LÍQUIDO</v>
          </cell>
        </row>
        <row r="888">
          <cell r="E888">
            <v>628.08510637753375</v>
          </cell>
          <cell r="N888">
            <v>200</v>
          </cell>
          <cell r="R888" t="str">
            <v>CREME HIDRATANTE</v>
          </cell>
          <cell r="S888" t="str">
            <v>CREMOSO</v>
          </cell>
        </row>
        <row r="889">
          <cell r="E889">
            <v>722.00557101612469</v>
          </cell>
          <cell r="N889">
            <v>120</v>
          </cell>
          <cell r="R889" t="str">
            <v>BODY SPLASH</v>
          </cell>
          <cell r="S889" t="str">
            <v>LÍQUIDO</v>
          </cell>
        </row>
        <row r="890">
          <cell r="E890">
            <v>597.04918031305613</v>
          </cell>
          <cell r="N890">
            <v>210</v>
          </cell>
          <cell r="R890" t="str">
            <v>BODY SPLASH</v>
          </cell>
          <cell r="S890" t="str">
            <v>LÍQUIDO</v>
          </cell>
        </row>
        <row r="891">
          <cell r="E891">
            <v>607.34966591923705</v>
          </cell>
          <cell r="N891">
            <v>120</v>
          </cell>
          <cell r="R891" t="str">
            <v>BODY SPLASH</v>
          </cell>
          <cell r="S891" t="str">
            <v>LÍQUIDO</v>
          </cell>
        </row>
        <row r="892">
          <cell r="E892">
            <v>732.000000010652</v>
          </cell>
          <cell r="N892">
            <v>200</v>
          </cell>
          <cell r="R892" t="str">
            <v>CREME HIDRATANTE</v>
          </cell>
          <cell r="S892" t="str">
            <v>CREMOSO</v>
          </cell>
        </row>
        <row r="893">
          <cell r="E893">
            <v>443.28358208300534</v>
          </cell>
          <cell r="N893">
            <v>200</v>
          </cell>
          <cell r="R893" t="str">
            <v>CREME HIDRATANTE</v>
          </cell>
          <cell r="S893" t="str">
            <v>CREMOSO</v>
          </cell>
        </row>
        <row r="894">
          <cell r="E894">
            <v>728.93982807487987</v>
          </cell>
          <cell r="N894">
            <v>120</v>
          </cell>
          <cell r="R894" t="str">
            <v>BODY SPLASH</v>
          </cell>
          <cell r="S894" t="str">
            <v>LÍQUIDO</v>
          </cell>
        </row>
        <row r="895">
          <cell r="E895">
            <v>547.49999999468855</v>
          </cell>
          <cell r="N895">
            <v>200</v>
          </cell>
          <cell r="R895" t="str">
            <v>CREME HIDRATANTE</v>
          </cell>
          <cell r="S895" t="str">
            <v>CREMOSO</v>
          </cell>
        </row>
        <row r="896">
          <cell r="E896">
            <v>698.18181819237395</v>
          </cell>
          <cell r="N896">
            <v>120</v>
          </cell>
          <cell r="R896" t="str">
            <v>BODY SPLASH</v>
          </cell>
          <cell r="S896" t="str">
            <v>LÍQUIDO</v>
          </cell>
        </row>
        <row r="897">
          <cell r="E897">
            <v>773.33333328831941</v>
          </cell>
          <cell r="N897">
            <v>210</v>
          </cell>
          <cell r="R897" t="str">
            <v>BODY SPLASH</v>
          </cell>
          <cell r="S897" t="str">
            <v>LÍQUIDO</v>
          </cell>
        </row>
        <row r="898">
          <cell r="E898">
            <v>115.98675496465188</v>
          </cell>
          <cell r="N898">
            <v>4</v>
          </cell>
          <cell r="R898" t="str">
            <v>LABIAL</v>
          </cell>
          <cell r="S898" t="str">
            <v>VISCOSO</v>
          </cell>
        </row>
        <row r="899">
          <cell r="E899">
            <v>387.44394618753176</v>
          </cell>
          <cell r="N899">
            <v>210</v>
          </cell>
          <cell r="R899" t="str">
            <v>BODY SPLASH</v>
          </cell>
          <cell r="S899" t="str">
            <v>LÍQUIDO</v>
          </cell>
        </row>
        <row r="900">
          <cell r="E900">
            <v>880.57553955212029</v>
          </cell>
          <cell r="N900">
            <v>120</v>
          </cell>
          <cell r="R900" t="str">
            <v>BODY SPLASH</v>
          </cell>
          <cell r="S900" t="str">
            <v>LÍQUIDO</v>
          </cell>
        </row>
        <row r="901">
          <cell r="E901">
            <v>192.00000004470348</v>
          </cell>
          <cell r="N901">
            <v>210</v>
          </cell>
          <cell r="R901" t="str">
            <v>BODY SPLASH</v>
          </cell>
          <cell r="S901" t="str">
            <v>LÍQUIDO</v>
          </cell>
        </row>
        <row r="902">
          <cell r="E902">
            <v>434.11764698153019</v>
          </cell>
          <cell r="N902">
            <v>210</v>
          </cell>
          <cell r="R902" t="str">
            <v>BODY SPLASH</v>
          </cell>
          <cell r="S902" t="str">
            <v>LÍQUIDO</v>
          </cell>
        </row>
        <row r="903">
          <cell r="E903">
            <v>890.06622517722849</v>
          </cell>
          <cell r="N903">
            <v>120</v>
          </cell>
          <cell r="R903" t="str">
            <v>BODY SPLASH</v>
          </cell>
          <cell r="S903" t="str">
            <v>LÍQUIDO</v>
          </cell>
        </row>
        <row r="904">
          <cell r="E904">
            <v>440.28571427839199</v>
          </cell>
          <cell r="N904">
            <v>120</v>
          </cell>
          <cell r="R904" t="str">
            <v>BODY SPLASH</v>
          </cell>
          <cell r="S904" t="str">
            <v>LÍQUIDO</v>
          </cell>
        </row>
        <row r="905">
          <cell r="E905">
            <v>17.694915254167459</v>
          </cell>
          <cell r="N905">
            <v>210</v>
          </cell>
          <cell r="R905" t="str">
            <v>BODY SPLASH</v>
          </cell>
          <cell r="S905" t="str">
            <v>LÍQUIDO</v>
          </cell>
        </row>
        <row r="906">
          <cell r="E906">
            <v>609.77777776200276</v>
          </cell>
          <cell r="N906">
            <v>60</v>
          </cell>
          <cell r="R906" t="str">
            <v>OLEO CAPILAR</v>
          </cell>
          <cell r="S906" t="str">
            <v>VISCOSO</v>
          </cell>
        </row>
        <row r="907">
          <cell r="E907">
            <v>371.9999999566935</v>
          </cell>
          <cell r="N907">
            <v>210</v>
          </cell>
          <cell r="R907" t="str">
            <v>BODY SPLASH</v>
          </cell>
          <cell r="S907" t="str">
            <v>LÍQUIDO</v>
          </cell>
        </row>
        <row r="908">
          <cell r="E908">
            <v>870</v>
          </cell>
          <cell r="N908">
            <v>250</v>
          </cell>
          <cell r="R908" t="str">
            <v>BODY SPLASH</v>
          </cell>
          <cell r="S908" t="str">
            <v>LÍQUIDO</v>
          </cell>
        </row>
        <row r="909">
          <cell r="E909">
            <v>578.25000002103661</v>
          </cell>
          <cell r="N909">
            <v>250</v>
          </cell>
          <cell r="R909" t="str">
            <v>BODY SPLASH</v>
          </cell>
          <cell r="S909" t="str">
            <v>LÍQUIDO</v>
          </cell>
        </row>
        <row r="910">
          <cell r="E910">
            <v>1081.9672130724241</v>
          </cell>
          <cell r="N910">
            <v>120</v>
          </cell>
          <cell r="R910" t="str">
            <v>BODY SPLASH</v>
          </cell>
          <cell r="S910" t="str">
            <v>LÍQUIDO</v>
          </cell>
        </row>
        <row r="911">
          <cell r="E911">
            <v>1390.1639344580663</v>
          </cell>
          <cell r="N911">
            <v>120</v>
          </cell>
          <cell r="R911" t="str">
            <v>BODY SPLASH</v>
          </cell>
          <cell r="S911" t="str">
            <v>LÍQUIDO</v>
          </cell>
        </row>
        <row r="912">
          <cell r="E912">
            <v>978.00000002277079</v>
          </cell>
          <cell r="N912">
            <v>120</v>
          </cell>
          <cell r="R912" t="str">
            <v>BODY SPLASH</v>
          </cell>
          <cell r="S912" t="str">
            <v>LÍQUIDO</v>
          </cell>
        </row>
        <row r="913">
          <cell r="E913">
            <v>1049.9999999661668</v>
          </cell>
          <cell r="N913">
            <v>120</v>
          </cell>
          <cell r="R913" t="str">
            <v>BODY SPLASH</v>
          </cell>
          <cell r="S913" t="str">
            <v>LÍQUIDO</v>
          </cell>
        </row>
        <row r="914">
          <cell r="E914">
            <v>1182.9015544226963</v>
          </cell>
          <cell r="N914">
            <v>120</v>
          </cell>
          <cell r="R914" t="str">
            <v>BODY SPLASH</v>
          </cell>
          <cell r="S914" t="str">
            <v>LÍQUIDO</v>
          </cell>
        </row>
        <row r="915">
          <cell r="E915">
            <v>781.50753765095317</v>
          </cell>
          <cell r="N915">
            <v>220</v>
          </cell>
          <cell r="R915" t="str">
            <v>BODY SPLASH</v>
          </cell>
          <cell r="S915" t="str">
            <v>LÍQUIDO</v>
          </cell>
        </row>
        <row r="916">
          <cell r="E916">
            <v>1107.69230765263</v>
          </cell>
          <cell r="N916">
            <v>220</v>
          </cell>
          <cell r="R916" t="str">
            <v>BODY SPLASH</v>
          </cell>
          <cell r="S916" t="str">
            <v>LÍQUIDO</v>
          </cell>
        </row>
        <row r="917">
          <cell r="E917">
            <v>732.4137931085935</v>
          </cell>
          <cell r="N917">
            <v>220</v>
          </cell>
          <cell r="R917" t="str">
            <v>BODY SPLASH</v>
          </cell>
          <cell r="S917" t="str">
            <v>LÍQUIDO</v>
          </cell>
        </row>
        <row r="918">
          <cell r="E918">
            <v>528.60759493125613</v>
          </cell>
          <cell r="N918">
            <v>250</v>
          </cell>
          <cell r="R918" t="str">
            <v>BODY SPLASH</v>
          </cell>
          <cell r="S918" t="str">
            <v>LÍQUIDO</v>
          </cell>
        </row>
        <row r="919">
          <cell r="E919">
            <v>493.0434782540068</v>
          </cell>
          <cell r="N919">
            <v>250</v>
          </cell>
          <cell r="R919" t="str">
            <v>BODY SPLASH</v>
          </cell>
          <cell r="S919" t="str">
            <v>LÍQUIDO</v>
          </cell>
        </row>
        <row r="920">
          <cell r="E920">
            <v>680.72727271286419</v>
          </cell>
          <cell r="N920">
            <v>220</v>
          </cell>
          <cell r="R920" t="str">
            <v>BODY SPLASH</v>
          </cell>
          <cell r="S920" t="str">
            <v>LÍQUIDO</v>
          </cell>
        </row>
        <row r="921">
          <cell r="E921">
            <v>645.98130839294151</v>
          </cell>
          <cell r="N921">
            <v>250</v>
          </cell>
          <cell r="R921" t="str">
            <v>BODY SPLASH</v>
          </cell>
          <cell r="S921" t="str">
            <v>LÍQUIDO</v>
          </cell>
        </row>
        <row r="922">
          <cell r="E922">
            <v>641</v>
          </cell>
          <cell r="N922">
            <v>250</v>
          </cell>
          <cell r="R922" t="str">
            <v>BODY SPLASH</v>
          </cell>
          <cell r="S922" t="str">
            <v>LÍQUIDO</v>
          </cell>
        </row>
        <row r="923">
          <cell r="E923">
            <v>1139.1044776396498</v>
          </cell>
          <cell r="N923">
            <v>250</v>
          </cell>
          <cell r="R923" t="str">
            <v>BODY SPLASH</v>
          </cell>
          <cell r="S923" t="str">
            <v>LÍQUIDO</v>
          </cell>
        </row>
        <row r="924">
          <cell r="E924">
            <v>649.54128434678387</v>
          </cell>
          <cell r="N924">
            <v>250</v>
          </cell>
          <cell r="R924" t="str">
            <v>BODY SPLASH</v>
          </cell>
          <cell r="S924" t="str">
            <v>LÍQUIDO</v>
          </cell>
        </row>
        <row r="925">
          <cell r="E925">
            <v>623.99999998183921</v>
          </cell>
          <cell r="N925">
            <v>250</v>
          </cell>
          <cell r="R925" t="str">
            <v>BODY SPLASH</v>
          </cell>
          <cell r="S925" t="str">
            <v>LÍQUIDO</v>
          </cell>
        </row>
        <row r="926">
          <cell r="E926">
            <v>365.58139535675519</v>
          </cell>
          <cell r="N926">
            <v>250</v>
          </cell>
          <cell r="R926" t="str">
            <v>BODY SPLASH</v>
          </cell>
          <cell r="S926" t="str">
            <v>LÍQUIDO</v>
          </cell>
        </row>
        <row r="927">
          <cell r="E927">
            <v>942.85714284146241</v>
          </cell>
          <cell r="N927">
            <v>250</v>
          </cell>
          <cell r="R927" t="str">
            <v>BODY SPLASH</v>
          </cell>
          <cell r="S927" t="str">
            <v>LÍQUIDO</v>
          </cell>
        </row>
        <row r="928">
          <cell r="E928">
            <v>123.65131578772167</v>
          </cell>
          <cell r="N928">
            <v>250</v>
          </cell>
          <cell r="R928" t="str">
            <v>BODY SPLASH</v>
          </cell>
          <cell r="S928" t="str">
            <v>LÍQUIDO</v>
          </cell>
        </row>
        <row r="929">
          <cell r="E929">
            <v>1292.5984251423465</v>
          </cell>
          <cell r="N929">
            <v>220</v>
          </cell>
          <cell r="R929" t="str">
            <v>BODY SPLASH</v>
          </cell>
          <cell r="S929" t="str">
            <v>LÍQUIDO</v>
          </cell>
        </row>
        <row r="930">
          <cell r="E930">
            <v>1178.1818182067561</v>
          </cell>
          <cell r="N930">
            <v>220</v>
          </cell>
          <cell r="R930" t="str">
            <v>BODY SPLASH</v>
          </cell>
          <cell r="S930" t="str">
            <v>LÍQUIDO</v>
          </cell>
        </row>
        <row r="931">
          <cell r="E931">
            <v>978.46153842648982</v>
          </cell>
          <cell r="N931">
            <v>250</v>
          </cell>
          <cell r="R931" t="str">
            <v>BODY SPLASH</v>
          </cell>
          <cell r="S931" t="str">
            <v>LÍQUIDO</v>
          </cell>
        </row>
        <row r="932">
          <cell r="E932">
            <v>971.16279072659631</v>
          </cell>
          <cell r="N932">
            <v>220</v>
          </cell>
          <cell r="R932" t="str">
            <v>BODY SPLASH</v>
          </cell>
          <cell r="S932" t="str">
            <v>LÍQUIDO</v>
          </cell>
        </row>
        <row r="933">
          <cell r="E933">
            <v>655.60975613851474</v>
          </cell>
          <cell r="N933">
            <v>250</v>
          </cell>
          <cell r="R933" t="str">
            <v>BODY SPLASH</v>
          </cell>
          <cell r="S933" t="str">
            <v>LÍQUIDO</v>
          </cell>
        </row>
        <row r="934">
          <cell r="E934">
            <v>1237.499999916713</v>
          </cell>
          <cell r="N934">
            <v>220</v>
          </cell>
          <cell r="R934" t="str">
            <v>BODY SPLASH</v>
          </cell>
          <cell r="S934" t="str">
            <v>LÍQUIDO</v>
          </cell>
        </row>
        <row r="935">
          <cell r="E935">
            <v>847.30158731098152</v>
          </cell>
          <cell r="N935">
            <v>220</v>
          </cell>
          <cell r="R935" t="str">
            <v>BODY SPLASH</v>
          </cell>
          <cell r="S935" t="str">
            <v>LÍQUIDO</v>
          </cell>
        </row>
        <row r="936">
          <cell r="E936">
            <v>712.72727266692914</v>
          </cell>
          <cell r="N936">
            <v>250</v>
          </cell>
          <cell r="R936" t="str">
            <v>BODY SPLASH</v>
          </cell>
          <cell r="S936" t="str">
            <v>LÍQUIDO</v>
          </cell>
        </row>
        <row r="937">
          <cell r="E937">
            <v>447.69230771063496</v>
          </cell>
          <cell r="N937">
            <v>250</v>
          </cell>
          <cell r="R937" t="str">
            <v>BODY SPLASH</v>
          </cell>
          <cell r="S937" t="str">
            <v>LÍQUIDO</v>
          </cell>
        </row>
        <row r="938">
          <cell r="E938">
            <v>852.90322582887211</v>
          </cell>
          <cell r="N938">
            <v>220</v>
          </cell>
          <cell r="R938" t="str">
            <v>BODY SPLASH</v>
          </cell>
          <cell r="S938" t="str">
            <v>LÍQUIDO</v>
          </cell>
        </row>
        <row r="939">
          <cell r="E939">
            <v>771.95876287177441</v>
          </cell>
          <cell r="N939">
            <v>250</v>
          </cell>
          <cell r="R939" t="str">
            <v>BODY SPLASH</v>
          </cell>
          <cell r="S939" t="str">
            <v>LÍQUIDO</v>
          </cell>
        </row>
        <row r="940">
          <cell r="E940">
            <v>540.42253520417876</v>
          </cell>
          <cell r="N940">
            <v>250</v>
          </cell>
          <cell r="R940" t="str">
            <v>BODY SPLASH</v>
          </cell>
          <cell r="S940" t="str">
            <v>LÍQUIDO</v>
          </cell>
        </row>
        <row r="941">
          <cell r="E941">
            <v>797.3195876996773</v>
          </cell>
          <cell r="N941">
            <v>250</v>
          </cell>
          <cell r="R941" t="str">
            <v>BODY SPLASH</v>
          </cell>
          <cell r="S941" t="str">
            <v>LÍQUIDO</v>
          </cell>
        </row>
        <row r="942">
          <cell r="E942">
            <v>763.75000001111403</v>
          </cell>
          <cell r="N942">
            <v>250</v>
          </cell>
          <cell r="R942" t="str">
            <v>BODY SPLASH</v>
          </cell>
          <cell r="S942" t="str">
            <v>LÍQUIDO</v>
          </cell>
        </row>
        <row r="943">
          <cell r="E943">
            <v>876.52173913487138</v>
          </cell>
          <cell r="N943">
            <v>220</v>
          </cell>
          <cell r="R943" t="str">
            <v>BODY SPLASH</v>
          </cell>
          <cell r="S943" t="str">
            <v>LÍQUIDO</v>
          </cell>
        </row>
        <row r="944">
          <cell r="E944">
            <v>610.16949155913437</v>
          </cell>
          <cell r="N944">
            <v>250</v>
          </cell>
          <cell r="R944" t="str">
            <v>BODY SPLASH</v>
          </cell>
          <cell r="S944" t="str">
            <v>LÍQUIDO</v>
          </cell>
        </row>
        <row r="945">
          <cell r="E945">
            <v>571.73913043767652</v>
          </cell>
          <cell r="N945">
            <v>250</v>
          </cell>
          <cell r="R945" t="str">
            <v>BODY SPLASH</v>
          </cell>
          <cell r="S945" t="str">
            <v>LÍQUIDO</v>
          </cell>
        </row>
        <row r="946">
          <cell r="E946">
            <v>822.85714281413368</v>
          </cell>
          <cell r="N946">
            <v>220</v>
          </cell>
          <cell r="R946" t="str">
            <v>BODY SPLASH</v>
          </cell>
          <cell r="S946" t="str">
            <v>LÍQUIDO</v>
          </cell>
        </row>
        <row r="947">
          <cell r="E947">
            <v>158.90322580585487</v>
          </cell>
          <cell r="N947">
            <v>100</v>
          </cell>
          <cell r="R947" t="str">
            <v>PERFUME</v>
          </cell>
          <cell r="S947" t="str">
            <v>LÍQUIDO</v>
          </cell>
        </row>
        <row r="948">
          <cell r="E948">
            <v>872.22857145758303</v>
          </cell>
          <cell r="N948">
            <v>220</v>
          </cell>
          <cell r="R948" t="str">
            <v>BODY SPLASH</v>
          </cell>
          <cell r="S948" t="str">
            <v>LÍQUIDO</v>
          </cell>
        </row>
        <row r="949">
          <cell r="E949">
            <v>796.59574465914693</v>
          </cell>
          <cell r="N949">
            <v>220</v>
          </cell>
          <cell r="R949" t="str">
            <v>BODY SPLASH</v>
          </cell>
          <cell r="S949" t="str">
            <v>LÍQUIDO</v>
          </cell>
        </row>
        <row r="950">
          <cell r="E950">
            <v>601.04347828216498</v>
          </cell>
          <cell r="N950">
            <v>220</v>
          </cell>
          <cell r="R950" t="str">
            <v>BODY SPLASH</v>
          </cell>
          <cell r="S950" t="str">
            <v>LÍQUIDO</v>
          </cell>
        </row>
        <row r="951">
          <cell r="E951">
            <v>423.3253012036318</v>
          </cell>
          <cell r="N951">
            <v>215</v>
          </cell>
          <cell r="R951" t="str">
            <v>BODY SPLASH</v>
          </cell>
          <cell r="S951" t="str">
            <v>LÍQUIDO</v>
          </cell>
        </row>
        <row r="952">
          <cell r="E952">
            <v>150.6666666622817</v>
          </cell>
          <cell r="N952">
            <v>100</v>
          </cell>
          <cell r="R952" t="str">
            <v>PERFUME</v>
          </cell>
          <cell r="S952" t="str">
            <v>LÍQUIDO</v>
          </cell>
        </row>
        <row r="953">
          <cell r="E953">
            <v>693.81818177045341</v>
          </cell>
          <cell r="N953">
            <v>220</v>
          </cell>
          <cell r="R953" t="str">
            <v>BODY SPLASH</v>
          </cell>
          <cell r="S953" t="str">
            <v>LÍQUIDO</v>
          </cell>
        </row>
        <row r="954">
          <cell r="E954">
            <v>811.26760563646326</v>
          </cell>
          <cell r="N954">
            <v>215</v>
          </cell>
          <cell r="R954" t="str">
            <v>BODY SPLASH</v>
          </cell>
          <cell r="S954" t="str">
            <v>LÍQUIDO</v>
          </cell>
        </row>
        <row r="955">
          <cell r="E955">
            <v>607.62295082199137</v>
          </cell>
          <cell r="N955">
            <v>215</v>
          </cell>
          <cell r="R955" t="str">
            <v>BODY SPLASH</v>
          </cell>
          <cell r="S955" t="str">
            <v>LÍQUIDO</v>
          </cell>
        </row>
        <row r="956">
          <cell r="E956">
            <v>508.23529409676479</v>
          </cell>
          <cell r="N956">
            <v>250</v>
          </cell>
          <cell r="R956" t="str">
            <v>BODY SPLASH</v>
          </cell>
          <cell r="S956" t="str">
            <v>LÍQUIDO</v>
          </cell>
        </row>
        <row r="957">
          <cell r="E957">
            <v>444.44444446169115</v>
          </cell>
          <cell r="N957">
            <v>250</v>
          </cell>
          <cell r="R957" t="str">
            <v>BODY SPLASH</v>
          </cell>
          <cell r="S957" t="str">
            <v>LÍQUIDO</v>
          </cell>
        </row>
        <row r="958">
          <cell r="E958">
            <v>829.83050847130153</v>
          </cell>
          <cell r="N958">
            <v>215</v>
          </cell>
          <cell r="R958" t="str">
            <v>BODY SPLASH</v>
          </cell>
          <cell r="S958" t="str">
            <v>LÍQUIDO</v>
          </cell>
        </row>
        <row r="959">
          <cell r="E959">
            <v>953.88535032837365</v>
          </cell>
          <cell r="N959">
            <v>220</v>
          </cell>
          <cell r="R959" t="str">
            <v>BODY SPLASH</v>
          </cell>
          <cell r="S959" t="str">
            <v>LÍQUIDO</v>
          </cell>
        </row>
        <row r="960">
          <cell r="E960">
            <v>714.99999995838152</v>
          </cell>
          <cell r="N960">
            <v>215</v>
          </cell>
          <cell r="R960" t="str">
            <v>BODY SPLASH</v>
          </cell>
          <cell r="S960" t="str">
            <v>LÍQUIDO</v>
          </cell>
        </row>
        <row r="961">
          <cell r="E961">
            <v>754.95145626886881</v>
          </cell>
          <cell r="N961">
            <v>220</v>
          </cell>
          <cell r="R961" t="str">
            <v>BODY SPLASH</v>
          </cell>
          <cell r="S961" t="str">
            <v>LÍQUIDO</v>
          </cell>
        </row>
        <row r="962">
          <cell r="E962">
            <v>751.52542381481976</v>
          </cell>
          <cell r="N962">
            <v>215</v>
          </cell>
          <cell r="R962" t="str">
            <v>BODY SPLASH</v>
          </cell>
          <cell r="S962" t="str">
            <v>LÍQUIDO</v>
          </cell>
        </row>
        <row r="963">
          <cell r="E963">
            <v>827.07692310654909</v>
          </cell>
          <cell r="N963">
            <v>220</v>
          </cell>
          <cell r="R963" t="str">
            <v>BODY SPLASH</v>
          </cell>
          <cell r="S963" t="str">
            <v>LÍQUIDO</v>
          </cell>
        </row>
        <row r="964">
          <cell r="E964">
            <v>464.46428570656133</v>
          </cell>
          <cell r="N964">
            <v>120</v>
          </cell>
          <cell r="R964" t="str">
            <v>BRUMA</v>
          </cell>
          <cell r="S964" t="str">
            <v>LÍQUIDO</v>
          </cell>
        </row>
        <row r="965">
          <cell r="E965">
            <v>230.17391303881811</v>
          </cell>
          <cell r="N965">
            <v>220</v>
          </cell>
          <cell r="R965" t="str">
            <v>BODY SPLASH</v>
          </cell>
          <cell r="S965" t="str">
            <v>LÍQUIDO</v>
          </cell>
        </row>
        <row r="966">
          <cell r="E966">
            <v>766.18075800084989</v>
          </cell>
          <cell r="N966">
            <v>120</v>
          </cell>
          <cell r="R966" t="str">
            <v>BRUMA</v>
          </cell>
          <cell r="S966" t="str">
            <v>LÍQUIDO</v>
          </cell>
        </row>
        <row r="967">
          <cell r="E967">
            <v>944.99999999607098</v>
          </cell>
          <cell r="N967">
            <v>120</v>
          </cell>
          <cell r="R967" t="str">
            <v>BRUMA</v>
          </cell>
          <cell r="S967" t="str">
            <v>LÍQUIDO</v>
          </cell>
        </row>
        <row r="968">
          <cell r="E968">
            <v>700.24937655087842</v>
          </cell>
          <cell r="N968">
            <v>120</v>
          </cell>
          <cell r="R968" t="str">
            <v>BRUMA</v>
          </cell>
          <cell r="S968" t="str">
            <v>LÍQUIDO</v>
          </cell>
        </row>
        <row r="969">
          <cell r="E969">
            <v>292.4259055957026</v>
          </cell>
          <cell r="N969">
            <v>120</v>
          </cell>
          <cell r="R969" t="str">
            <v>BRUMA</v>
          </cell>
          <cell r="S969" t="str">
            <v>LÍQUIDO</v>
          </cell>
        </row>
        <row r="970">
          <cell r="E970">
            <v>733.15068492683019</v>
          </cell>
          <cell r="N970">
            <v>220</v>
          </cell>
          <cell r="R970" t="str">
            <v>BODY SPLASH</v>
          </cell>
          <cell r="S970" t="str">
            <v>LÍQUIDO</v>
          </cell>
        </row>
        <row r="971">
          <cell r="E971">
            <v>777.8393351805571</v>
          </cell>
          <cell r="N971">
            <v>120</v>
          </cell>
          <cell r="R971" t="str">
            <v>BRUMA</v>
          </cell>
          <cell r="S971" t="str">
            <v>LÍQUIDO</v>
          </cell>
        </row>
        <row r="972">
          <cell r="E972">
            <v>509.28571428783175</v>
          </cell>
          <cell r="N972">
            <v>220</v>
          </cell>
          <cell r="R972" t="str">
            <v>BODY SPLASH</v>
          </cell>
          <cell r="S972" t="str">
            <v>LÍQUIDO</v>
          </cell>
        </row>
        <row r="973">
          <cell r="E973">
            <v>98.000000005704351</v>
          </cell>
          <cell r="N973" t="str">
            <v>-</v>
          </cell>
          <cell r="R973" t="str">
            <v>-</v>
          </cell>
          <cell r="S973" t="str">
            <v>-</v>
          </cell>
        </row>
        <row r="974">
          <cell r="E974">
            <v>240.00000002235174</v>
          </cell>
          <cell r="N974" t="str">
            <v>-</v>
          </cell>
          <cell r="R974" t="str">
            <v>-</v>
          </cell>
          <cell r="S974" t="str">
            <v>-</v>
          </cell>
        </row>
        <row r="975">
          <cell r="E975">
            <v>199.99999997671694</v>
          </cell>
          <cell r="N975" t="str">
            <v>-</v>
          </cell>
          <cell r="R975" t="str">
            <v>-</v>
          </cell>
          <cell r="S975" t="str">
            <v>-</v>
          </cell>
        </row>
        <row r="976">
          <cell r="E976">
            <v>199.99999997671694</v>
          </cell>
          <cell r="N976" t="str">
            <v>-</v>
          </cell>
          <cell r="R976" t="str">
            <v>-</v>
          </cell>
          <cell r="S976" t="str">
            <v>-</v>
          </cell>
        </row>
        <row r="977">
          <cell r="E977">
            <v>3251.9999996214174</v>
          </cell>
          <cell r="N977">
            <v>200</v>
          </cell>
          <cell r="R977" t="str">
            <v>CREME HIDRATANTE</v>
          </cell>
          <cell r="S977" t="str">
            <v>CREMOSO</v>
          </cell>
        </row>
        <row r="978">
          <cell r="E978">
            <v>240.00000002235174</v>
          </cell>
          <cell r="N978" t="str">
            <v>-</v>
          </cell>
          <cell r="R978" t="str">
            <v>-</v>
          </cell>
          <cell r="S978" t="str">
            <v>-</v>
          </cell>
        </row>
        <row r="979">
          <cell r="E979">
            <v>235.20000002190471</v>
          </cell>
          <cell r="N979" t="str">
            <v>-</v>
          </cell>
          <cell r="R979" t="str">
            <v>-</v>
          </cell>
          <cell r="S979" t="str">
            <v>-</v>
          </cell>
        </row>
        <row r="980">
          <cell r="E980">
            <v>689.92628991523884</v>
          </cell>
          <cell r="N980">
            <v>120</v>
          </cell>
          <cell r="R980" t="str">
            <v>BRUMA</v>
          </cell>
          <cell r="S980" t="str">
            <v>LÍQUIDO</v>
          </cell>
        </row>
        <row r="981">
          <cell r="E981">
            <v>294.20689653873268</v>
          </cell>
          <cell r="N981">
            <v>220</v>
          </cell>
          <cell r="R981" t="str">
            <v>BODY SPLASH</v>
          </cell>
          <cell r="S981" t="str">
            <v>LÍQUIDO</v>
          </cell>
        </row>
        <row r="982">
          <cell r="E982">
            <v>680.5970149123649</v>
          </cell>
          <cell r="N982">
            <v>120</v>
          </cell>
          <cell r="R982" t="str">
            <v>BRUMA</v>
          </cell>
          <cell r="S982" t="str">
            <v>LÍQUIDO</v>
          </cell>
        </row>
        <row r="983">
          <cell r="E983">
            <v>431.67938930415386</v>
          </cell>
          <cell r="N983">
            <v>200</v>
          </cell>
          <cell r="R983" t="str">
            <v>CREME HIDRATANTE</v>
          </cell>
          <cell r="S983" t="str">
            <v>CREMOSO</v>
          </cell>
        </row>
        <row r="984">
          <cell r="E984">
            <v>742.26804122954127</v>
          </cell>
          <cell r="N984">
            <v>120</v>
          </cell>
          <cell r="R984" t="str">
            <v>BRUMA</v>
          </cell>
          <cell r="S984" t="str">
            <v>LÍQUIDO</v>
          </cell>
        </row>
        <row r="985">
          <cell r="E985">
            <v>774.8520709861682</v>
          </cell>
          <cell r="N985">
            <v>120</v>
          </cell>
          <cell r="R985" t="str">
            <v>BRUMA</v>
          </cell>
          <cell r="S985" t="str">
            <v>LÍQUIDO</v>
          </cell>
        </row>
        <row r="986">
          <cell r="E986">
            <v>167.4444444433615</v>
          </cell>
          <cell r="N986">
            <v>215</v>
          </cell>
          <cell r="R986" t="str">
            <v>BODY SPLASH</v>
          </cell>
          <cell r="S986" t="str">
            <v>LÍQUIDO</v>
          </cell>
        </row>
        <row r="987">
          <cell r="E987">
            <v>764.99999999109423</v>
          </cell>
          <cell r="N987">
            <v>120</v>
          </cell>
          <cell r="R987" t="str">
            <v>BRUMA</v>
          </cell>
          <cell r="S987" t="str">
            <v>LÍQUIDO</v>
          </cell>
        </row>
        <row r="988">
          <cell r="E988">
            <v>866.13861386837448</v>
          </cell>
          <cell r="N988">
            <v>215</v>
          </cell>
          <cell r="R988" t="str">
            <v>BODY SPLASH</v>
          </cell>
          <cell r="S988" t="str">
            <v>LÍQUIDO</v>
          </cell>
        </row>
        <row r="989">
          <cell r="E989">
            <v>885.2459016427232</v>
          </cell>
          <cell r="N989">
            <v>215</v>
          </cell>
          <cell r="R989" t="str">
            <v>BODY SPLASH</v>
          </cell>
          <cell r="S989" t="str">
            <v>LÍQUIDO</v>
          </cell>
        </row>
        <row r="990">
          <cell r="E990">
            <v>314.37037036494854</v>
          </cell>
          <cell r="N990">
            <v>200</v>
          </cell>
          <cell r="R990" t="str">
            <v>CREME HIDRATANTE</v>
          </cell>
          <cell r="S990" t="str">
            <v>CREMOSO</v>
          </cell>
        </row>
        <row r="991">
          <cell r="E991">
            <v>2304.0000021457672</v>
          </cell>
          <cell r="N991">
            <v>215</v>
          </cell>
          <cell r="R991" t="str">
            <v>BODY SPLASH</v>
          </cell>
          <cell r="S991" t="str">
            <v>LÍQUIDO</v>
          </cell>
        </row>
        <row r="992">
          <cell r="E992">
            <v>689.12790696228501</v>
          </cell>
          <cell r="N992">
            <v>215</v>
          </cell>
          <cell r="R992" t="str">
            <v>BODY SPLASH</v>
          </cell>
          <cell r="S992" t="str">
            <v>LÍQUIDO</v>
          </cell>
        </row>
        <row r="993">
          <cell r="E993">
            <v>502.15384613585894</v>
          </cell>
          <cell r="N993">
            <v>60</v>
          </cell>
          <cell r="R993" t="str">
            <v>PERFUME CAPILAR</v>
          </cell>
          <cell r="S993" t="str">
            <v>LÍQUIDO ESPESSO</v>
          </cell>
        </row>
        <row r="994">
          <cell r="E994">
            <v>1028.5714290675005</v>
          </cell>
          <cell r="N994">
            <v>215</v>
          </cell>
          <cell r="R994" t="str">
            <v>BODY SPLASH</v>
          </cell>
          <cell r="S994" t="str">
            <v>LÍQUIDO</v>
          </cell>
        </row>
        <row r="995">
          <cell r="E995">
            <v>850.04405285210169</v>
          </cell>
          <cell r="N995">
            <v>220</v>
          </cell>
          <cell r="R995" t="str">
            <v>BODY SPLASH</v>
          </cell>
          <cell r="S995" t="str">
            <v>LÍQUIDO</v>
          </cell>
        </row>
        <row r="996">
          <cell r="E996">
            <v>507.80856422935551</v>
          </cell>
          <cell r="N996">
            <v>60</v>
          </cell>
          <cell r="R996" t="str">
            <v>PERFUME CAPILAR</v>
          </cell>
          <cell r="S996" t="str">
            <v>LÍQUIDO ESPESSO</v>
          </cell>
        </row>
        <row r="997">
          <cell r="E997">
            <v>374.61818181501008</v>
          </cell>
          <cell r="N997">
            <v>200</v>
          </cell>
          <cell r="R997" t="str">
            <v>CREME HIDRATANTE</v>
          </cell>
          <cell r="S997" t="str">
            <v>CREMOSO</v>
          </cell>
        </row>
        <row r="998">
          <cell r="E998">
            <v>775.62753033658942</v>
          </cell>
          <cell r="N998">
            <v>220</v>
          </cell>
          <cell r="R998" t="str">
            <v>BODY SPLASH</v>
          </cell>
          <cell r="S998" t="str">
            <v>LÍQUIDO</v>
          </cell>
        </row>
        <row r="999">
          <cell r="E999">
            <v>384.61538460160767</v>
          </cell>
          <cell r="N999">
            <v>200</v>
          </cell>
          <cell r="R999" t="str">
            <v>CREME HIDRATANTE</v>
          </cell>
          <cell r="S999" t="str">
            <v>CREMOSO</v>
          </cell>
        </row>
        <row r="1000">
          <cell r="E1000">
            <v>746.66666667632478</v>
          </cell>
          <cell r="N1000">
            <v>220</v>
          </cell>
          <cell r="R1000" t="str">
            <v>BODY SPLASH</v>
          </cell>
          <cell r="S1000" t="str">
            <v>LÍQUIDO</v>
          </cell>
        </row>
        <row r="1001">
          <cell r="E1001">
            <v>357.11340205928411</v>
          </cell>
          <cell r="N1001">
            <v>200</v>
          </cell>
          <cell r="R1001" t="str">
            <v>CREME HIDRATANTE</v>
          </cell>
          <cell r="S1001" t="str">
            <v>CREMOSO</v>
          </cell>
        </row>
        <row r="1002">
          <cell r="E1002">
            <v>600.9756097424463</v>
          </cell>
          <cell r="N1002">
            <v>215</v>
          </cell>
          <cell r="R1002" t="str">
            <v>BODY SPLASH</v>
          </cell>
          <cell r="S1002" t="str">
            <v>LÍQUIDO</v>
          </cell>
        </row>
        <row r="1003">
          <cell r="E1003">
            <v>108.49906691438471</v>
          </cell>
          <cell r="N1003">
            <v>60</v>
          </cell>
          <cell r="R1003" t="str">
            <v>PERFUME CAPILAR</v>
          </cell>
          <cell r="S1003" t="str">
            <v>LÍQUIDO ESPESSO</v>
          </cell>
        </row>
        <row r="1004">
          <cell r="E1004">
            <v>282.99999999176362</v>
          </cell>
          <cell r="N1004">
            <v>200</v>
          </cell>
          <cell r="R1004" t="str">
            <v>CREME HIDRATANTE</v>
          </cell>
          <cell r="S1004" t="str">
            <v>CREMOSO</v>
          </cell>
        </row>
        <row r="1005">
          <cell r="E1005">
            <v>259.26247288450878</v>
          </cell>
          <cell r="N1005">
            <v>215</v>
          </cell>
          <cell r="R1005" t="str">
            <v>BODY SPLASH</v>
          </cell>
          <cell r="S1005" t="str">
            <v>LÍQUIDO</v>
          </cell>
        </row>
        <row r="1006">
          <cell r="E1006">
            <v>233.73134327708419</v>
          </cell>
          <cell r="N1006">
            <v>200</v>
          </cell>
          <cell r="R1006" t="str">
            <v>CREME HIDRATANTE</v>
          </cell>
          <cell r="S1006" t="str">
            <v>CREMOSO</v>
          </cell>
        </row>
        <row r="1007">
          <cell r="E1007">
            <v>120.29161603779315</v>
          </cell>
          <cell r="N1007">
            <v>200</v>
          </cell>
          <cell r="R1007" t="str">
            <v>CREME HIDRATANTE</v>
          </cell>
          <cell r="S1007" t="str">
            <v>CREMOSO</v>
          </cell>
        </row>
        <row r="1008">
          <cell r="E1008">
            <v>976.69565216402589</v>
          </cell>
          <cell r="N1008">
            <v>215</v>
          </cell>
          <cell r="R1008" t="str">
            <v>BODY SPLASH</v>
          </cell>
          <cell r="S1008" t="str">
            <v>LÍQUIDO</v>
          </cell>
        </row>
        <row r="1009">
          <cell r="E1009">
            <v>360.00000000311491</v>
          </cell>
          <cell r="N1009">
            <v>200</v>
          </cell>
          <cell r="R1009" t="str">
            <v>CREME HIDRATANTE</v>
          </cell>
          <cell r="S1009" t="str">
            <v>CREMOSO</v>
          </cell>
        </row>
        <row r="1010">
          <cell r="E1010">
            <v>1002.7433628173957</v>
          </cell>
          <cell r="N1010">
            <v>215</v>
          </cell>
          <cell r="R1010" t="str">
            <v>BODY SPLASH</v>
          </cell>
          <cell r="S1010" t="str">
            <v>LÍQUIDO</v>
          </cell>
        </row>
        <row r="1011">
          <cell r="E1011">
            <v>224.88888888888889</v>
          </cell>
          <cell r="N1011">
            <v>200</v>
          </cell>
          <cell r="R1011" t="str">
            <v>CREME HIDRATANTE</v>
          </cell>
          <cell r="S1011" t="str">
            <v>CREMOSO</v>
          </cell>
        </row>
        <row r="1012">
          <cell r="E1012">
            <v>499.60975611174689</v>
          </cell>
          <cell r="N1012">
            <v>200</v>
          </cell>
          <cell r="R1012" t="str">
            <v>CREME HIDRATANTE</v>
          </cell>
          <cell r="S1012" t="str">
            <v>CREMOSO</v>
          </cell>
        </row>
        <row r="1013">
          <cell r="E1013">
            <v>646.08000002406834</v>
          </cell>
          <cell r="N1013">
            <v>120</v>
          </cell>
          <cell r="R1013" t="str">
            <v>BRUMA</v>
          </cell>
          <cell r="S1013" t="str">
            <v>LÍQUIDO</v>
          </cell>
        </row>
        <row r="1014">
          <cell r="E1014">
            <v>517.4619289535807</v>
          </cell>
          <cell r="N1014">
            <v>200</v>
          </cell>
          <cell r="R1014" t="str">
            <v>CREME HIDRATANTE</v>
          </cell>
          <cell r="S1014" t="str">
            <v>CREMOSO</v>
          </cell>
        </row>
        <row r="1015">
          <cell r="E1015">
            <v>821.33333333333337</v>
          </cell>
          <cell r="N1015">
            <v>120</v>
          </cell>
          <cell r="R1015" t="str">
            <v>BRUMA</v>
          </cell>
          <cell r="S1015" t="str">
            <v>LÍQUIDO</v>
          </cell>
        </row>
        <row r="1016">
          <cell r="E1016">
            <v>665.48302872386307</v>
          </cell>
          <cell r="N1016">
            <v>120</v>
          </cell>
          <cell r="R1016" t="str">
            <v>BRUMA</v>
          </cell>
          <cell r="S1016" t="str">
            <v>LÍQUIDO</v>
          </cell>
        </row>
        <row r="1017">
          <cell r="E1017">
            <v>575.61497326704887</v>
          </cell>
          <cell r="N1017">
            <v>200</v>
          </cell>
          <cell r="R1017" t="str">
            <v>CREME HIDRATANTE</v>
          </cell>
          <cell r="S1017" t="str">
            <v>CREMOSO</v>
          </cell>
        </row>
        <row r="1018">
          <cell r="E1018">
            <v>450.85714287213904</v>
          </cell>
          <cell r="N1018">
            <v>200</v>
          </cell>
          <cell r="R1018" t="str">
            <v>CREME HIDRATANTE</v>
          </cell>
          <cell r="S1018" t="str">
            <v>CREMOSO</v>
          </cell>
        </row>
        <row r="1019">
          <cell r="E1019">
            <v>478.8837209094886</v>
          </cell>
          <cell r="N1019">
            <v>200</v>
          </cell>
          <cell r="R1019" t="str">
            <v>CREME HIDRATANTE</v>
          </cell>
          <cell r="S1019" t="str">
            <v>CREMOSO</v>
          </cell>
        </row>
        <row r="1020">
          <cell r="E1020">
            <v>566.06896551724139</v>
          </cell>
          <cell r="N1020">
            <v>120</v>
          </cell>
          <cell r="R1020" t="str">
            <v>BRUMA</v>
          </cell>
          <cell r="S1020" t="str">
            <v>LÍQUIDO</v>
          </cell>
        </row>
        <row r="1021">
          <cell r="E1021">
            <v>187.88844621182798</v>
          </cell>
          <cell r="N1021">
            <v>200</v>
          </cell>
          <cell r="R1021" t="str">
            <v>CREME HIDRATANTE</v>
          </cell>
          <cell r="S1021" t="str">
            <v>CREMOSO</v>
          </cell>
        </row>
        <row r="1022">
          <cell r="E1022">
            <v>766.0465116040566</v>
          </cell>
          <cell r="N1022">
            <v>120</v>
          </cell>
          <cell r="R1022" t="str">
            <v>BRUMA</v>
          </cell>
          <cell r="S1022" t="str">
            <v>LÍQUIDO</v>
          </cell>
        </row>
        <row r="1023">
          <cell r="E1023">
            <v>353.63957597551376</v>
          </cell>
          <cell r="N1023">
            <v>200</v>
          </cell>
          <cell r="R1023" t="str">
            <v>CREME HIDRATANTE</v>
          </cell>
          <cell r="S1023" t="str">
            <v>CREMOSO</v>
          </cell>
        </row>
        <row r="1024">
          <cell r="E1024">
            <v>743.23404256055517</v>
          </cell>
          <cell r="N1024">
            <v>120</v>
          </cell>
          <cell r="R1024" t="str">
            <v>BRUMA</v>
          </cell>
          <cell r="S1024" t="str">
            <v>LÍQUIDO</v>
          </cell>
        </row>
        <row r="1025">
          <cell r="E1025">
            <v>345.93103449247934</v>
          </cell>
          <cell r="N1025">
            <v>200</v>
          </cell>
          <cell r="R1025" t="str">
            <v>CREME HIDRATANTE</v>
          </cell>
          <cell r="S1025" t="str">
            <v>CREMOSO</v>
          </cell>
        </row>
        <row r="1026">
          <cell r="E1026">
            <v>368.18181818717591</v>
          </cell>
          <cell r="N1026">
            <v>120</v>
          </cell>
          <cell r="R1026" t="str">
            <v>BRUMA</v>
          </cell>
          <cell r="S1026" t="str">
            <v>LÍQUIDO</v>
          </cell>
        </row>
        <row r="1027">
          <cell r="E1027">
            <v>314.32835820021666</v>
          </cell>
          <cell r="N1027">
            <v>200</v>
          </cell>
          <cell r="R1027" t="str">
            <v>CREME HIDRATANTE</v>
          </cell>
          <cell r="S1027" t="str">
            <v>CREMOSO</v>
          </cell>
        </row>
        <row r="1028">
          <cell r="E1028">
            <v>533.70629370672816</v>
          </cell>
          <cell r="N1028">
            <v>215</v>
          </cell>
          <cell r="R1028" t="str">
            <v>BODY SPLASH</v>
          </cell>
          <cell r="S1028" t="str">
            <v>LÍQUIDO</v>
          </cell>
        </row>
        <row r="1029">
          <cell r="E1029">
            <v>523.6363636311479</v>
          </cell>
          <cell r="N1029">
            <v>200</v>
          </cell>
          <cell r="R1029" t="str">
            <v>CREME HIDRATANTE</v>
          </cell>
          <cell r="S1029" t="str">
            <v>CREMOSO</v>
          </cell>
        </row>
        <row r="1030">
          <cell r="E1030">
            <v>821.86813188600581</v>
          </cell>
          <cell r="N1030">
            <v>215</v>
          </cell>
          <cell r="R1030" t="str">
            <v>BODY SPLASH</v>
          </cell>
          <cell r="S1030" t="str">
            <v>LÍQUIDO</v>
          </cell>
        </row>
        <row r="1031">
          <cell r="E1031">
            <v>139.79381443533853</v>
          </cell>
          <cell r="N1031">
            <v>200</v>
          </cell>
          <cell r="R1031" t="str">
            <v>CREME HIDRATANTE</v>
          </cell>
          <cell r="S1031" t="str">
            <v>CREMOSO</v>
          </cell>
        </row>
        <row r="1032">
          <cell r="E1032">
            <v>513.27272726186311</v>
          </cell>
          <cell r="N1032">
            <v>100</v>
          </cell>
          <cell r="R1032" t="str">
            <v>ESFOLIANTE</v>
          </cell>
          <cell r="S1032" t="str">
            <v>VISCOSO</v>
          </cell>
        </row>
        <row r="1033">
          <cell r="E1033">
            <v>474.63687151702311</v>
          </cell>
          <cell r="N1033">
            <v>100</v>
          </cell>
          <cell r="R1033" t="str">
            <v>ESFOLIANTE</v>
          </cell>
          <cell r="S1033" t="str">
            <v>VISCOSO</v>
          </cell>
        </row>
        <row r="1034">
          <cell r="E1034">
            <v>381.71428570158929</v>
          </cell>
          <cell r="N1034">
            <v>240</v>
          </cell>
          <cell r="R1034" t="str">
            <v>CREME HIDRATANTE</v>
          </cell>
          <cell r="S1034" t="str">
            <v>CREMOSO</v>
          </cell>
        </row>
        <row r="1035">
          <cell r="E1035">
            <v>681.59999996826048</v>
          </cell>
          <cell r="N1035">
            <v>240</v>
          </cell>
          <cell r="R1035" t="str">
            <v>CREME HIDRATANTE</v>
          </cell>
          <cell r="S1035" t="str">
            <v>CREMOSO</v>
          </cell>
        </row>
        <row r="1036">
          <cell r="E1036">
            <v>757.82608693734289</v>
          </cell>
          <cell r="N1036">
            <v>100</v>
          </cell>
          <cell r="R1036" t="str">
            <v>SABONETE</v>
          </cell>
          <cell r="S1036" t="str">
            <v>VISCOSO</v>
          </cell>
        </row>
        <row r="1037">
          <cell r="E1037">
            <v>422.50000002459274</v>
          </cell>
          <cell r="N1037">
            <v>240</v>
          </cell>
          <cell r="R1037" t="str">
            <v>CREME HIDRATANTE</v>
          </cell>
          <cell r="S1037" t="str">
            <v>CREMOSO</v>
          </cell>
        </row>
        <row r="1038">
          <cell r="E1038">
            <v>389.25619835909168</v>
          </cell>
          <cell r="N1038">
            <v>240</v>
          </cell>
          <cell r="R1038" t="str">
            <v>CREME HIDRATANTE</v>
          </cell>
          <cell r="S1038" t="str">
            <v>CREMOSO</v>
          </cell>
        </row>
        <row r="1039">
          <cell r="E1039">
            <v>773.45454533994655</v>
          </cell>
          <cell r="N1039">
            <v>240</v>
          </cell>
          <cell r="R1039" t="str">
            <v>CREME HIDRATANTE</v>
          </cell>
          <cell r="S1039" t="str">
            <v>CREMOSO</v>
          </cell>
        </row>
        <row r="1040">
          <cell r="E1040">
            <v>488.65384613634251</v>
          </cell>
          <cell r="N1040">
            <v>240</v>
          </cell>
          <cell r="R1040" t="str">
            <v>CREME HIDRATANTE</v>
          </cell>
          <cell r="S1040" t="str">
            <v>CREMOSO</v>
          </cell>
        </row>
        <row r="1041">
          <cell r="E1041">
            <v>1958.3999993616342</v>
          </cell>
          <cell r="N1041">
            <v>240</v>
          </cell>
          <cell r="R1041" t="str">
            <v>CREME HIDRATANTE</v>
          </cell>
          <cell r="S1041" t="str">
            <v>CREMOSO</v>
          </cell>
        </row>
        <row r="1042">
          <cell r="E1042">
            <v>542.06896551288935</v>
          </cell>
          <cell r="N1042">
            <v>240</v>
          </cell>
          <cell r="R1042" t="str">
            <v>CREME HIDRATANTE</v>
          </cell>
          <cell r="S1042" t="str">
            <v>CREMOSO</v>
          </cell>
        </row>
        <row r="1043">
          <cell r="E1043">
            <v>686.02409640093754</v>
          </cell>
          <cell r="N1043">
            <v>240</v>
          </cell>
          <cell r="R1043" t="str">
            <v>CREME HIDRATANTE</v>
          </cell>
          <cell r="S1043" t="str">
            <v>CREMOSO</v>
          </cell>
        </row>
        <row r="1044">
          <cell r="E1044">
            <v>826.52542372555183</v>
          </cell>
          <cell r="N1044">
            <v>100</v>
          </cell>
          <cell r="R1044" t="str">
            <v>SABONETE</v>
          </cell>
          <cell r="S1044" t="str">
            <v>VISCOSO</v>
          </cell>
        </row>
        <row r="1045">
          <cell r="E1045">
            <v>714.04958681945311</v>
          </cell>
          <cell r="N1045">
            <v>240</v>
          </cell>
          <cell r="R1045" t="str">
            <v>CREME HIDRATANTE</v>
          </cell>
          <cell r="S1045" t="str">
            <v>CREMOSO</v>
          </cell>
        </row>
        <row r="1046">
          <cell r="E1046">
            <v>501.11111113055676</v>
          </cell>
          <cell r="N1046">
            <v>240</v>
          </cell>
          <cell r="R1046" t="str">
            <v>CREME HIDRATANTE</v>
          </cell>
          <cell r="S1046" t="str">
            <v>CREMOSO</v>
          </cell>
        </row>
        <row r="1047">
          <cell r="E1047">
            <v>494.40000000400386</v>
          </cell>
          <cell r="N1047">
            <v>220</v>
          </cell>
          <cell r="R1047" t="str">
            <v>BODY SPLASH</v>
          </cell>
          <cell r="S1047" t="str">
            <v>LÍQUIDO</v>
          </cell>
        </row>
        <row r="1048">
          <cell r="E1048">
            <v>415.25581394449449</v>
          </cell>
          <cell r="N1048">
            <v>220</v>
          </cell>
          <cell r="R1048" t="str">
            <v>BODY SPLASH</v>
          </cell>
          <cell r="S1048" t="str">
            <v>LÍQUIDO</v>
          </cell>
        </row>
        <row r="1049">
          <cell r="E1049">
            <v>629.32330825194788</v>
          </cell>
          <cell r="N1049">
            <v>240</v>
          </cell>
          <cell r="R1049" t="str">
            <v>CREME HIDRATANTE</v>
          </cell>
          <cell r="S1049" t="str">
            <v>CREMOSO</v>
          </cell>
        </row>
        <row r="1050">
          <cell r="E1050">
            <v>550.06711409310014</v>
          </cell>
          <cell r="N1050">
            <v>240</v>
          </cell>
          <cell r="R1050" t="str">
            <v>CREME HIDRATANTE</v>
          </cell>
          <cell r="S1050" t="str">
            <v>CREMOSO</v>
          </cell>
        </row>
        <row r="1051">
          <cell r="E1051">
            <v>450.00000000053456</v>
          </cell>
          <cell r="N1051">
            <v>240</v>
          </cell>
          <cell r="R1051" t="str">
            <v>CREME HIDRATANTE</v>
          </cell>
          <cell r="S1051" t="str">
            <v>CREMOSO</v>
          </cell>
        </row>
        <row r="1052">
          <cell r="E1052">
            <v>209.44881889648585</v>
          </cell>
          <cell r="N1052">
            <v>240</v>
          </cell>
          <cell r="R1052" t="str">
            <v>CREME HIDRATANTE</v>
          </cell>
          <cell r="S1052" t="str">
            <v>CREMOSO</v>
          </cell>
        </row>
        <row r="1053">
          <cell r="E1053">
            <v>606.42857141092202</v>
          </cell>
          <cell r="N1053">
            <v>220</v>
          </cell>
          <cell r="R1053" t="str">
            <v>BODY SPLASH</v>
          </cell>
          <cell r="S1053" t="str">
            <v>LÍQUIDO</v>
          </cell>
        </row>
        <row r="1054">
          <cell r="E1054">
            <v>199.45945945177172</v>
          </cell>
          <cell r="N1054">
            <v>240</v>
          </cell>
          <cell r="R1054" t="str">
            <v>CREME HIDRATANTE</v>
          </cell>
          <cell r="S1054" t="str">
            <v>CREMOSO</v>
          </cell>
        </row>
        <row r="1055">
          <cell r="E1055">
            <v>1072.9411764999782</v>
          </cell>
          <cell r="N1055">
            <v>200</v>
          </cell>
          <cell r="R1055" t="str">
            <v>BODY SPLASH</v>
          </cell>
          <cell r="S1055" t="str">
            <v>LÍQUIDO</v>
          </cell>
        </row>
        <row r="1056">
          <cell r="E1056">
            <v>858.49056604905002</v>
          </cell>
          <cell r="N1056">
            <v>200</v>
          </cell>
          <cell r="R1056" t="str">
            <v>BODY SPLASH</v>
          </cell>
          <cell r="S1056" t="str">
            <v>LÍQUIDO</v>
          </cell>
        </row>
        <row r="1057">
          <cell r="E1057">
            <v>563.65979380360932</v>
          </cell>
          <cell r="N1057">
            <v>200</v>
          </cell>
          <cell r="R1057" t="str">
            <v>BODY SPLASH</v>
          </cell>
          <cell r="S1057" t="str">
            <v>LÍQUIDO</v>
          </cell>
        </row>
        <row r="1058">
          <cell r="E1058">
            <v>641.59999997012312</v>
          </cell>
          <cell r="N1058">
            <v>60</v>
          </cell>
          <cell r="R1058" t="str">
            <v>PERFUME CAPILAR</v>
          </cell>
          <cell r="S1058" t="str">
            <v>LÍQUIDO ESPESSO</v>
          </cell>
        </row>
        <row r="1059">
          <cell r="E1059">
            <v>711.11111110996137</v>
          </cell>
          <cell r="N1059">
            <v>215</v>
          </cell>
          <cell r="R1059" t="str">
            <v>BODY SPLASH</v>
          </cell>
          <cell r="S1059" t="str">
            <v>LÍQUIDO</v>
          </cell>
        </row>
        <row r="1060">
          <cell r="E1060">
            <v>748.79999998007497</v>
          </cell>
          <cell r="N1060">
            <v>200</v>
          </cell>
          <cell r="R1060" t="str">
            <v>BODY SPLASH</v>
          </cell>
          <cell r="S1060" t="str">
            <v>LÍQUIDO</v>
          </cell>
        </row>
        <row r="1061">
          <cell r="E1061">
            <v>754.95145629446722</v>
          </cell>
          <cell r="N1061">
            <v>215</v>
          </cell>
          <cell r="R1061" t="str">
            <v>BODY SPLASH</v>
          </cell>
          <cell r="S1061" t="str">
            <v>LÍQUIDO</v>
          </cell>
        </row>
        <row r="1062">
          <cell r="E1062">
            <v>1095.6521739324535</v>
          </cell>
          <cell r="N1062">
            <v>200</v>
          </cell>
          <cell r="R1062" t="str">
            <v>BODY SPLASH</v>
          </cell>
          <cell r="S1062" t="str">
            <v>LÍQUIDO</v>
          </cell>
        </row>
        <row r="1063">
          <cell r="E1063">
            <v>773.5</v>
          </cell>
          <cell r="N1063">
            <v>215</v>
          </cell>
          <cell r="R1063" t="str">
            <v>BODY SPLASH</v>
          </cell>
          <cell r="S1063" t="str">
            <v>LÍQUIDO</v>
          </cell>
        </row>
        <row r="1064">
          <cell r="E1064">
            <v>1152.0000010728836</v>
          </cell>
          <cell r="N1064">
            <v>200</v>
          </cell>
          <cell r="R1064" t="str">
            <v>BODY SPLASH</v>
          </cell>
          <cell r="S1064" t="str">
            <v>LÍQUIDO</v>
          </cell>
        </row>
        <row r="1065">
          <cell r="E1065">
            <v>812.71232876193903</v>
          </cell>
          <cell r="N1065">
            <v>200</v>
          </cell>
          <cell r="R1065" t="str">
            <v>BODY SPLASH</v>
          </cell>
          <cell r="S1065" t="str">
            <v>LÍQUIDO</v>
          </cell>
        </row>
        <row r="1066">
          <cell r="E1066">
            <v>821.62162161472793</v>
          </cell>
          <cell r="N1066">
            <v>215</v>
          </cell>
          <cell r="R1066" t="str">
            <v>BODY SPLASH</v>
          </cell>
          <cell r="S1066" t="str">
            <v>LÍQUIDO</v>
          </cell>
        </row>
        <row r="1067">
          <cell r="E1067">
            <v>896.95312497634256</v>
          </cell>
          <cell r="N1067">
            <v>200</v>
          </cell>
          <cell r="R1067" t="str">
            <v>BODY SPLASH</v>
          </cell>
          <cell r="S1067" t="str">
            <v>LÍQUIDO</v>
          </cell>
        </row>
        <row r="1068">
          <cell r="E1068">
            <v>718.63636363256091</v>
          </cell>
          <cell r="N1068">
            <v>215</v>
          </cell>
          <cell r="R1068" t="str">
            <v>BODY SPLASH</v>
          </cell>
          <cell r="S1068" t="str">
            <v>LÍQUIDO</v>
          </cell>
        </row>
        <row r="1069">
          <cell r="E1069">
            <v>920.81632652623682</v>
          </cell>
          <cell r="N1069">
            <v>215</v>
          </cell>
          <cell r="R1069" t="str">
            <v>BODY SPLASH</v>
          </cell>
          <cell r="S1069" t="str">
            <v>LÍQUIDO</v>
          </cell>
        </row>
        <row r="1070">
          <cell r="E1070">
            <v>970.66666662899979</v>
          </cell>
          <cell r="N1070">
            <v>200</v>
          </cell>
          <cell r="R1070" t="str">
            <v>BODY SPLASH</v>
          </cell>
          <cell r="S1070" t="str">
            <v>LÍQUIDO</v>
          </cell>
        </row>
        <row r="1071">
          <cell r="E1071">
            <v>746.66666664735033</v>
          </cell>
          <cell r="N1071">
            <v>215</v>
          </cell>
          <cell r="R1071" t="str">
            <v>BODY SPLASH</v>
          </cell>
          <cell r="S1071" t="str">
            <v>LÍQUIDO</v>
          </cell>
        </row>
        <row r="1072">
          <cell r="E1072">
            <v>927.42857143885396</v>
          </cell>
          <cell r="N1072">
            <v>200</v>
          </cell>
          <cell r="R1072" t="str">
            <v>BODY SPLASH</v>
          </cell>
          <cell r="S1072" t="str">
            <v>LÍQUIDO</v>
          </cell>
        </row>
        <row r="1073">
          <cell r="E1073">
            <v>901.81818181606093</v>
          </cell>
          <cell r="N1073">
            <v>215</v>
          </cell>
          <cell r="R1073" t="str">
            <v>BODY SPLASH</v>
          </cell>
          <cell r="S1073" t="str">
            <v>LÍQUIDO</v>
          </cell>
        </row>
        <row r="1074">
          <cell r="E1074">
            <v>1121.2213740228844</v>
          </cell>
          <cell r="N1074">
            <v>220</v>
          </cell>
          <cell r="R1074" t="str">
            <v>BODY SPLASH</v>
          </cell>
          <cell r="S1074" t="str">
            <v>LÍQUIDO</v>
          </cell>
        </row>
        <row r="1075">
          <cell r="E1075">
            <v>1124.2241378712372</v>
          </cell>
          <cell r="N1075">
            <v>215</v>
          </cell>
          <cell r="R1075" t="str">
            <v>BODY SPLASH</v>
          </cell>
          <cell r="S1075" t="str">
            <v>LÍQUIDO</v>
          </cell>
        </row>
        <row r="1076">
          <cell r="E1076">
            <v>791.48571427255126</v>
          </cell>
          <cell r="N1076">
            <v>220</v>
          </cell>
          <cell r="R1076" t="str">
            <v>BODY SPLASH</v>
          </cell>
          <cell r="S1076" t="str">
            <v>LÍQUIDO</v>
          </cell>
        </row>
        <row r="1077">
          <cell r="E1077">
            <v>697.26315789687294</v>
          </cell>
          <cell r="N1077">
            <v>215</v>
          </cell>
          <cell r="R1077" t="str">
            <v>BODY SPLASH</v>
          </cell>
          <cell r="S1077" t="str">
            <v>LÍQUIDO</v>
          </cell>
        </row>
        <row r="1078">
          <cell r="E1078">
            <v>143.88461538429326</v>
          </cell>
          <cell r="N1078">
            <v>215</v>
          </cell>
          <cell r="R1078" t="str">
            <v>BODY SPLASH</v>
          </cell>
          <cell r="S1078" t="str">
            <v>LÍQUIDO</v>
          </cell>
        </row>
        <row r="1079">
          <cell r="E1079">
            <v>3354.3529409927069</v>
          </cell>
          <cell r="N1079">
            <v>220</v>
          </cell>
          <cell r="R1079" t="str">
            <v>BODY SPLASH</v>
          </cell>
          <cell r="S1079" t="str">
            <v>LÍQUIDO</v>
          </cell>
        </row>
        <row r="1080">
          <cell r="E1080">
            <v>871.94539246583076</v>
          </cell>
          <cell r="N1080">
            <v>215</v>
          </cell>
          <cell r="R1080" t="str">
            <v>BODY SPLASH</v>
          </cell>
          <cell r="S1080" t="str">
            <v>LÍQUIDO</v>
          </cell>
        </row>
        <row r="1081">
          <cell r="E1081">
            <v>2436.5217389577792</v>
          </cell>
          <cell r="N1081">
            <v>220</v>
          </cell>
          <cell r="R1081" t="str">
            <v>BODY SPLASH</v>
          </cell>
          <cell r="S1081" t="str">
            <v>LÍQUIDO</v>
          </cell>
        </row>
        <row r="1082">
          <cell r="E1082">
            <v>309.65517241130698</v>
          </cell>
          <cell r="N1082">
            <v>120</v>
          </cell>
          <cell r="R1082" t="str">
            <v>BODY SPLASH</v>
          </cell>
          <cell r="S1082" t="str">
            <v>LÍQUIDO</v>
          </cell>
        </row>
        <row r="1083">
          <cell r="E1083">
            <v>933.78839589924269</v>
          </cell>
          <cell r="N1083">
            <v>215</v>
          </cell>
          <cell r="R1083" t="str">
            <v>BODY SPLASH</v>
          </cell>
          <cell r="S1083" t="str">
            <v>LÍQUIDO</v>
          </cell>
        </row>
        <row r="1084">
          <cell r="E1084">
            <v>761.652892570777</v>
          </cell>
          <cell r="N1084">
            <v>215</v>
          </cell>
          <cell r="R1084" t="str">
            <v>BODY SPLASH</v>
          </cell>
          <cell r="S1084" t="str">
            <v>LÍQUIDO</v>
          </cell>
        </row>
        <row r="1085">
          <cell r="E1085">
            <v>13.055303716950446</v>
          </cell>
          <cell r="N1085">
            <v>120</v>
          </cell>
          <cell r="R1085" t="str">
            <v>BODY SPLASH</v>
          </cell>
          <cell r="S1085" t="str">
            <v>LÍQUIDO</v>
          </cell>
        </row>
        <row r="1086">
          <cell r="E1086">
            <v>2204.8351647561876</v>
          </cell>
          <cell r="N1086">
            <v>120</v>
          </cell>
          <cell r="R1086" t="str">
            <v>BODY SPLASH</v>
          </cell>
          <cell r="S1086" t="str">
            <v>LÍQUIDO</v>
          </cell>
        </row>
        <row r="1087">
          <cell r="E1087">
            <v>486.1463414689361</v>
          </cell>
          <cell r="N1087">
            <v>215</v>
          </cell>
          <cell r="R1087" t="str">
            <v>BODY SPLASH</v>
          </cell>
          <cell r="S1087" t="str">
            <v>LÍQUIDO</v>
          </cell>
        </row>
        <row r="1088">
          <cell r="E1088">
            <v>1146.7873303300321</v>
          </cell>
          <cell r="N1088">
            <v>215</v>
          </cell>
          <cell r="R1088" t="str">
            <v>BODY SPLASH</v>
          </cell>
          <cell r="S1088" t="str">
            <v>LÍQUIDO</v>
          </cell>
        </row>
        <row r="1089">
          <cell r="E1089">
            <v>847.05882337859555</v>
          </cell>
          <cell r="N1089">
            <v>120</v>
          </cell>
          <cell r="R1089" t="str">
            <v>BODY SPLASH</v>
          </cell>
          <cell r="S1089" t="str">
            <v>LÍQUIDO</v>
          </cell>
        </row>
        <row r="1090">
          <cell r="E1090">
            <v>2293.0805687988195</v>
          </cell>
          <cell r="N1090">
            <v>120</v>
          </cell>
          <cell r="R1090" t="str">
            <v>BODY SPLASH</v>
          </cell>
          <cell r="S1090" t="str">
            <v>LÍQUIDO</v>
          </cell>
        </row>
        <row r="1091">
          <cell r="E1091">
            <v>1920.0000000665796</v>
          </cell>
          <cell r="N1091">
            <v>215</v>
          </cell>
          <cell r="R1091" t="str">
            <v>BODY SPLASH</v>
          </cell>
          <cell r="S1091" t="str">
            <v>LÍQUIDO</v>
          </cell>
        </row>
        <row r="1092">
          <cell r="E1092">
            <v>673.09859156529865</v>
          </cell>
          <cell r="N1092">
            <v>215</v>
          </cell>
          <cell r="R1092" t="str">
            <v>BODY SPLASH</v>
          </cell>
          <cell r="S1092" t="str">
            <v>LÍQUIDO</v>
          </cell>
        </row>
        <row r="1093">
          <cell r="E1093">
            <v>1024.6153846031507</v>
          </cell>
          <cell r="N1093">
            <v>120</v>
          </cell>
          <cell r="R1093" t="str">
            <v>BODY SPLASH</v>
          </cell>
          <cell r="S1093" t="str">
            <v>LÍQUIDO</v>
          </cell>
        </row>
        <row r="1094">
          <cell r="E1094">
            <v>722.70000000420669</v>
          </cell>
          <cell r="N1094">
            <v>215</v>
          </cell>
          <cell r="R1094" t="str">
            <v>BODY SPLASH</v>
          </cell>
          <cell r="S1094" t="str">
            <v>LÍQUIDO</v>
          </cell>
        </row>
        <row r="1095">
          <cell r="E1095">
            <v>389.33333332829727</v>
          </cell>
          <cell r="N1095">
            <v>120</v>
          </cell>
          <cell r="R1095" t="str">
            <v>BODY SPLASH</v>
          </cell>
          <cell r="S1095" t="str">
            <v>LÍQUIDO</v>
          </cell>
        </row>
        <row r="1096">
          <cell r="E1096">
            <v>347.14285714339837</v>
          </cell>
          <cell r="N1096">
            <v>120</v>
          </cell>
          <cell r="R1096" t="str">
            <v>BODY SPLASH</v>
          </cell>
          <cell r="S1096" t="str">
            <v>LÍQUIDO</v>
          </cell>
        </row>
        <row r="1097">
          <cell r="E1097">
            <v>744.75336323103227</v>
          </cell>
          <cell r="N1097">
            <v>120</v>
          </cell>
          <cell r="R1097" t="str">
            <v>BODY SPLASH</v>
          </cell>
          <cell r="S1097" t="str">
            <v>LÍQUIDO</v>
          </cell>
        </row>
        <row r="1098">
          <cell r="E1098" t="str">
            <v/>
          </cell>
          <cell r="N1098">
            <v>120</v>
          </cell>
          <cell r="R1098" t="str">
            <v>BODY SPLASH</v>
          </cell>
          <cell r="S1098" t="str">
            <v>LÍQUIDO</v>
          </cell>
        </row>
        <row r="1099">
          <cell r="E1099">
            <v>1006.7256637489659</v>
          </cell>
          <cell r="N1099">
            <v>120</v>
          </cell>
          <cell r="R1099" t="str">
            <v>BODY SPLASH</v>
          </cell>
          <cell r="S1099" t="str">
            <v>LÍQUIDO</v>
          </cell>
        </row>
        <row r="1100">
          <cell r="E1100">
            <v>1045.210083970218</v>
          </cell>
          <cell r="N1100">
            <v>120</v>
          </cell>
          <cell r="R1100" t="str">
            <v>BODY SPLASH</v>
          </cell>
          <cell r="S1100" t="str">
            <v>LÍQUIDO</v>
          </cell>
        </row>
        <row r="1101">
          <cell r="E1101">
            <v>770.76923086586237</v>
          </cell>
          <cell r="N1101">
            <v>120</v>
          </cell>
          <cell r="R1101" t="str">
            <v>BODY SPLASH</v>
          </cell>
          <cell r="S1101" t="str">
            <v>LÍQUIDO</v>
          </cell>
        </row>
        <row r="1102">
          <cell r="E1102">
            <v>719.99999991618097</v>
          </cell>
          <cell r="N1102">
            <v>120</v>
          </cell>
          <cell r="R1102" t="str">
            <v>BODY SPLASH</v>
          </cell>
          <cell r="S1102" t="str">
            <v>LÍQUIDO</v>
          </cell>
        </row>
        <row r="1103">
          <cell r="E1103">
            <v>959.99999998645353</v>
          </cell>
          <cell r="N1103">
            <v>120</v>
          </cell>
          <cell r="R1103" t="str">
            <v>BODY SPLASH</v>
          </cell>
          <cell r="S1103" t="str">
            <v>LÍQUIDO</v>
          </cell>
        </row>
        <row r="1104">
          <cell r="E1104">
            <v>933.74999998174133</v>
          </cell>
          <cell r="N1104">
            <v>120</v>
          </cell>
          <cell r="R1104" t="str">
            <v>BODY SPLASH</v>
          </cell>
          <cell r="S1104" t="str">
            <v>LÍQUIDO</v>
          </cell>
        </row>
        <row r="1105">
          <cell r="E1105">
            <v>1066.6666667080588</v>
          </cell>
          <cell r="N1105">
            <v>120</v>
          </cell>
          <cell r="R1105" t="str">
            <v>BODY SPLASH</v>
          </cell>
          <cell r="S1105" t="str">
            <v>LÍQUIDO</v>
          </cell>
        </row>
        <row r="1106">
          <cell r="E1106">
            <v>89.466192169966007</v>
          </cell>
          <cell r="N1106">
            <v>120</v>
          </cell>
          <cell r="R1106" t="str">
            <v>BODY SPLASH</v>
          </cell>
          <cell r="S1106" t="str">
            <v>LÍQUIDO</v>
          </cell>
        </row>
        <row r="1107">
          <cell r="E1107">
            <v>844.8</v>
          </cell>
          <cell r="N1107">
            <v>220</v>
          </cell>
          <cell r="R1107" t="str">
            <v>BODY SPLASH</v>
          </cell>
          <cell r="S1107" t="str">
            <v>LÍQUIDO</v>
          </cell>
        </row>
        <row r="1108">
          <cell r="E1108" t="str">
            <v/>
          </cell>
          <cell r="N1108">
            <v>215</v>
          </cell>
          <cell r="R1108" t="str">
            <v>BODY SPLASH</v>
          </cell>
          <cell r="S1108" t="str">
            <v>LÍQUIDO</v>
          </cell>
        </row>
        <row r="1109">
          <cell r="E1109">
            <v>1543.4254143368453</v>
          </cell>
          <cell r="N1109">
            <v>220</v>
          </cell>
          <cell r="R1109" t="str">
            <v>BODY SPLASH</v>
          </cell>
          <cell r="S1109" t="str">
            <v>LÍQUIDO</v>
          </cell>
        </row>
        <row r="1110">
          <cell r="E1110">
            <v>937.19999998908952</v>
          </cell>
          <cell r="N1110">
            <v>215</v>
          </cell>
          <cell r="R1110" t="str">
            <v>BODY SPLASH</v>
          </cell>
          <cell r="S1110" t="str">
            <v>LÍQUIDO</v>
          </cell>
        </row>
        <row r="1111">
          <cell r="E1111">
            <v>633.81107492914191</v>
          </cell>
          <cell r="N1111">
            <v>220</v>
          </cell>
          <cell r="R1111" t="str">
            <v>BODY SPLASH</v>
          </cell>
          <cell r="S1111" t="str">
            <v>LÍQUIDO</v>
          </cell>
        </row>
        <row r="1112">
          <cell r="E1112">
            <v>360.00000005238689</v>
          </cell>
          <cell r="N1112">
            <v>120</v>
          </cell>
          <cell r="R1112" t="str">
            <v>BODY SPLASH</v>
          </cell>
          <cell r="S1112" t="str">
            <v>LÍQUIDO</v>
          </cell>
        </row>
        <row r="1113">
          <cell r="E1113">
            <v>2844.2236024680192</v>
          </cell>
          <cell r="N1113">
            <v>120</v>
          </cell>
          <cell r="R1113" t="str">
            <v>BODY SPLASH</v>
          </cell>
          <cell r="S1113" t="str">
            <v>LÍQUIDO</v>
          </cell>
        </row>
        <row r="1114">
          <cell r="E1114">
            <v>1297.4999999952797</v>
          </cell>
          <cell r="N1114">
            <v>120</v>
          </cell>
          <cell r="R1114" t="str">
            <v>BODY SPLASH</v>
          </cell>
          <cell r="S1114" t="str">
            <v>LÍQUIDO</v>
          </cell>
        </row>
        <row r="1115">
          <cell r="E1115">
            <v>1411.4594594150499</v>
          </cell>
          <cell r="N1115">
            <v>120</v>
          </cell>
          <cell r="R1115" t="str">
            <v>FIXADOR</v>
          </cell>
          <cell r="S1115" t="str">
            <v>LÍQUIDO</v>
          </cell>
        </row>
        <row r="1116">
          <cell r="E1116">
            <v>609.8028168934095</v>
          </cell>
          <cell r="N1116">
            <v>120</v>
          </cell>
          <cell r="R1116" t="str">
            <v>BODY SPLASH</v>
          </cell>
          <cell r="S1116" t="str">
            <v>LÍQUIDO</v>
          </cell>
        </row>
        <row r="1117">
          <cell r="E1117">
            <v>832.91866027687456</v>
          </cell>
          <cell r="N1117">
            <v>120</v>
          </cell>
          <cell r="R1117" t="str">
            <v>FIXADOR</v>
          </cell>
          <cell r="S1117" t="str">
            <v>LÍQUIDO</v>
          </cell>
        </row>
        <row r="1118">
          <cell r="E1118">
            <v>739.35483854863901</v>
          </cell>
          <cell r="N1118">
            <v>120</v>
          </cell>
          <cell r="R1118" t="str">
            <v>BODY SPLASH</v>
          </cell>
          <cell r="S1118" t="str">
            <v>LÍQUIDO</v>
          </cell>
        </row>
        <row r="1119">
          <cell r="E1119">
            <v>315.00000000458385</v>
          </cell>
          <cell r="N1119">
            <v>120</v>
          </cell>
          <cell r="R1119" t="str">
            <v>BODY SPLASH</v>
          </cell>
          <cell r="S1119" t="str">
            <v>LÍQUIDO</v>
          </cell>
        </row>
        <row r="1120">
          <cell r="E1120">
            <v>1064.6616541036537</v>
          </cell>
          <cell r="N1120">
            <v>120</v>
          </cell>
          <cell r="R1120" t="str">
            <v>BODY SPLASH</v>
          </cell>
          <cell r="S1120" t="str">
            <v>LÍQUIDO</v>
          </cell>
        </row>
        <row r="1121">
          <cell r="E1121">
            <v>967.11111109860144</v>
          </cell>
          <cell r="N1121">
            <v>120</v>
          </cell>
          <cell r="R1121" t="str">
            <v>FIXADOR</v>
          </cell>
          <cell r="S1121" t="str">
            <v>LÍQUIDO</v>
          </cell>
        </row>
        <row r="1122">
          <cell r="E1122" t="str">
            <v/>
          </cell>
          <cell r="N1122">
            <v>120</v>
          </cell>
          <cell r="R1122" t="str">
            <v>BODY SPLASH</v>
          </cell>
          <cell r="S1122" t="str">
            <v>LÍQUIDO</v>
          </cell>
        </row>
        <row r="1123">
          <cell r="E1123">
            <v>751.12499999043598</v>
          </cell>
          <cell r="N1123">
            <v>120</v>
          </cell>
          <cell r="R1123" t="str">
            <v>BODY SPLASH</v>
          </cell>
          <cell r="S1123" t="str">
            <v>LÍQUIDO</v>
          </cell>
        </row>
        <row r="1124">
          <cell r="N1124">
            <v>120</v>
          </cell>
          <cell r="R1124" t="str">
            <v>FIXADOR</v>
          </cell>
          <cell r="S1124" t="str">
            <v>LÍQUIDO</v>
          </cell>
        </row>
        <row r="1125">
          <cell r="E1125">
            <v>1024.7191010807037</v>
          </cell>
          <cell r="N1125">
            <v>220</v>
          </cell>
          <cell r="R1125" t="str">
            <v>BODY SPLASH</v>
          </cell>
          <cell r="S1125" t="str">
            <v>LÍQUIDO</v>
          </cell>
        </row>
        <row r="1126">
          <cell r="E1126">
            <v>935.38922153993269</v>
          </cell>
          <cell r="N1126">
            <v>120</v>
          </cell>
          <cell r="R1126" t="str">
            <v>BODY SPLASH</v>
          </cell>
          <cell r="S1126" t="str">
            <v>LÍQUIDO</v>
          </cell>
        </row>
        <row r="1127">
          <cell r="E1127">
            <v>994.15384617165148</v>
          </cell>
          <cell r="N1127">
            <v>220</v>
          </cell>
          <cell r="R1127" t="str">
            <v>BODY SPLASH</v>
          </cell>
          <cell r="S1127" t="str">
            <v>LÍQUIDO</v>
          </cell>
        </row>
        <row r="1128">
          <cell r="E1128">
            <v>985.09803917521083</v>
          </cell>
          <cell r="N1128">
            <v>220</v>
          </cell>
          <cell r="R1128" t="str">
            <v>BODY SPLASH</v>
          </cell>
          <cell r="S1128" t="str">
            <v>LÍQUIDO</v>
          </cell>
        </row>
        <row r="1129">
          <cell r="E1129">
            <v>764.74576270884654</v>
          </cell>
          <cell r="N1129">
            <v>215</v>
          </cell>
          <cell r="R1129" t="str">
            <v>BODY SPLASH</v>
          </cell>
          <cell r="S1129" t="str">
            <v>LÍQUIDO</v>
          </cell>
        </row>
        <row r="1130">
          <cell r="E1130">
            <v>430.66666666666669</v>
          </cell>
          <cell r="N1130">
            <v>200</v>
          </cell>
          <cell r="R1130" t="str">
            <v>CREME HIDRATANTE</v>
          </cell>
          <cell r="S1130" t="str">
            <v>CREMOSO</v>
          </cell>
        </row>
        <row r="1131">
          <cell r="E1131">
            <v>1266.6666666748588</v>
          </cell>
          <cell r="N1131">
            <v>215</v>
          </cell>
          <cell r="R1131" t="str">
            <v>BODY SPLASH</v>
          </cell>
          <cell r="S1131" t="str">
            <v>LÍQUIDO</v>
          </cell>
        </row>
        <row r="1132">
          <cell r="E1132">
            <v>465.327510918923</v>
          </cell>
          <cell r="N1132">
            <v>200</v>
          </cell>
          <cell r="R1132" t="str">
            <v>CREME HIDRATANTE</v>
          </cell>
          <cell r="S1132" t="str">
            <v>CREMOSO</v>
          </cell>
        </row>
        <row r="1133">
          <cell r="E1133">
            <v>1070.3448275346464</v>
          </cell>
          <cell r="N1133">
            <v>215</v>
          </cell>
          <cell r="R1133" t="str">
            <v>BODY SPLASH</v>
          </cell>
          <cell r="S1133" t="str">
            <v>LÍQUIDO</v>
          </cell>
        </row>
        <row r="1134">
          <cell r="E1134">
            <v>987.4285713875172</v>
          </cell>
          <cell r="N1134">
            <v>215</v>
          </cell>
          <cell r="R1134" t="str">
            <v>BODY SPLASH</v>
          </cell>
          <cell r="S1134" t="str">
            <v>LÍQUIDO</v>
          </cell>
        </row>
        <row r="1135">
          <cell r="E1135">
            <v>377.14285708954367</v>
          </cell>
          <cell r="N1135">
            <v>200</v>
          </cell>
          <cell r="R1135" t="str">
            <v>CREME HIDRATANTE</v>
          </cell>
          <cell r="S1135" t="str">
            <v>CREMOSO</v>
          </cell>
        </row>
        <row r="1136">
          <cell r="E1136">
            <v>357.74744027104759</v>
          </cell>
          <cell r="N1136">
            <v>200</v>
          </cell>
          <cell r="R1136" t="str">
            <v>CREME HIDRATANTE</v>
          </cell>
          <cell r="S1136" t="str">
            <v>CREMOSO</v>
          </cell>
        </row>
        <row r="1137">
          <cell r="E1137">
            <v>1055.2671755509502</v>
          </cell>
          <cell r="N1137">
            <v>215</v>
          </cell>
          <cell r="R1137" t="str">
            <v>BODY SPLASH</v>
          </cell>
          <cell r="S1137" t="str">
            <v>LÍQUIDO</v>
          </cell>
        </row>
        <row r="1138">
          <cell r="E1138">
            <v>891.29533678541429</v>
          </cell>
          <cell r="N1138">
            <v>215</v>
          </cell>
          <cell r="R1138" t="str">
            <v>BODY SPLASH</v>
          </cell>
          <cell r="S1138" t="str">
            <v>LÍQUIDO</v>
          </cell>
        </row>
        <row r="1139">
          <cell r="E1139">
            <v>783.95415469850548</v>
          </cell>
          <cell r="N1139">
            <v>215</v>
          </cell>
          <cell r="R1139" t="str">
            <v>BODY SPLASH</v>
          </cell>
          <cell r="S1139" t="str">
            <v>LÍQUIDO</v>
          </cell>
        </row>
        <row r="1140">
          <cell r="E1140">
            <v>287.3684210455886</v>
          </cell>
          <cell r="N1140">
            <v>200</v>
          </cell>
          <cell r="R1140" t="str">
            <v>CREME HIDRATANTE</v>
          </cell>
          <cell r="S1140" t="str">
            <v>CREMOSO</v>
          </cell>
        </row>
        <row r="1141">
          <cell r="E1141">
            <v>912.2981366110007</v>
          </cell>
          <cell r="N1141">
            <v>200</v>
          </cell>
          <cell r="R1141" t="str">
            <v>BODY SPLASH</v>
          </cell>
          <cell r="S1141" t="str">
            <v>LÍQUIDO</v>
          </cell>
        </row>
        <row r="1142">
          <cell r="E1142">
            <v>355.73333333333335</v>
          </cell>
          <cell r="N1142">
            <v>200</v>
          </cell>
          <cell r="R1142" t="str">
            <v>CREME HIDRATANTE</v>
          </cell>
          <cell r="S1142" t="str">
            <v>CREMOSO</v>
          </cell>
        </row>
        <row r="1143">
          <cell r="E1143">
            <v>923.5862069002593</v>
          </cell>
          <cell r="N1143">
            <v>215</v>
          </cell>
          <cell r="R1143" t="str">
            <v>BODY SPLASH</v>
          </cell>
          <cell r="S1143" t="str">
            <v>LÍQUIDO</v>
          </cell>
        </row>
        <row r="1144">
          <cell r="E1144">
            <v>346.68874171437034</v>
          </cell>
          <cell r="N1144">
            <v>200</v>
          </cell>
          <cell r="R1144" t="str">
            <v>CREME HIDRATANTE</v>
          </cell>
          <cell r="S1144" t="str">
            <v>CREMOSO</v>
          </cell>
        </row>
        <row r="1145">
          <cell r="E1145">
            <v>1045.4794520606299</v>
          </cell>
          <cell r="N1145">
            <v>215</v>
          </cell>
          <cell r="R1145" t="str">
            <v>BODY SPLASH</v>
          </cell>
          <cell r="S1145" t="str">
            <v>LÍQUIDO</v>
          </cell>
        </row>
        <row r="1146">
          <cell r="E1146">
            <v>1100.8494208236907</v>
          </cell>
          <cell r="N1146">
            <v>220</v>
          </cell>
          <cell r="R1146" t="str">
            <v>BODY SPLASH</v>
          </cell>
          <cell r="S1146" t="str">
            <v>LÍQUIDO</v>
          </cell>
        </row>
        <row r="1147">
          <cell r="E1147">
            <v>202.24448897408689</v>
          </cell>
          <cell r="N1147">
            <v>200</v>
          </cell>
          <cell r="R1147" t="str">
            <v>CREME HIDRATANTE</v>
          </cell>
          <cell r="S1147" t="str">
            <v>CREMOSO</v>
          </cell>
        </row>
        <row r="1148">
          <cell r="E1148" t="str">
            <v/>
          </cell>
          <cell r="N1148">
            <v>220</v>
          </cell>
          <cell r="R1148" t="str">
            <v>BODY SPLASH</v>
          </cell>
          <cell r="S1148" t="str">
            <v>LÍQUIDO</v>
          </cell>
        </row>
        <row r="1149">
          <cell r="E1149" t="str">
            <v/>
          </cell>
          <cell r="N1149">
            <v>215</v>
          </cell>
          <cell r="R1149" t="str">
            <v>BODY SPLASH</v>
          </cell>
          <cell r="S1149" t="str">
            <v>LÍQUIDO</v>
          </cell>
        </row>
        <row r="1150">
          <cell r="E1150">
            <v>780.55813951375137</v>
          </cell>
          <cell r="N1150">
            <v>215</v>
          </cell>
          <cell r="R1150" t="str">
            <v>BODY SPLASH</v>
          </cell>
          <cell r="S1150" t="str">
            <v>LÍQUIDO</v>
          </cell>
        </row>
        <row r="1151">
          <cell r="E1151">
            <v>609.88235292447064</v>
          </cell>
          <cell r="N1151">
            <v>215</v>
          </cell>
          <cell r="R1151" t="str">
            <v>BODY SPLASH</v>
          </cell>
          <cell r="S1151" t="str">
            <v>LÍQUIDO</v>
          </cell>
        </row>
        <row r="1152">
          <cell r="E1152">
            <v>425.73248407453906</v>
          </cell>
          <cell r="N1152">
            <v>220</v>
          </cell>
          <cell r="R1152" t="str">
            <v>BODY SPLASH</v>
          </cell>
          <cell r="S1152" t="str">
            <v>LÍQUIDO</v>
          </cell>
        </row>
        <row r="1153">
          <cell r="E1153">
            <v>959.99999997789394</v>
          </cell>
          <cell r="N1153">
            <v>200</v>
          </cell>
          <cell r="R1153" t="str">
            <v>BODY SPLASH</v>
          </cell>
          <cell r="S1153" t="str">
            <v>LÍQUIDO</v>
          </cell>
        </row>
        <row r="1154">
          <cell r="E1154">
            <v>1300.0000003026798</v>
          </cell>
          <cell r="N1154">
            <v>200</v>
          </cell>
          <cell r="R1154" t="str">
            <v>BODY SPLASH</v>
          </cell>
          <cell r="S1154" t="str">
            <v>LÍQUIDO</v>
          </cell>
        </row>
        <row r="1155">
          <cell r="E1155">
            <v>289.02439024349212</v>
          </cell>
          <cell r="N1155">
            <v>200</v>
          </cell>
          <cell r="R1155" t="str">
            <v>CREME HIDRATANTE</v>
          </cell>
          <cell r="S1155" t="str">
            <v>CREMOSO</v>
          </cell>
        </row>
        <row r="1156">
          <cell r="E1156">
            <v>450.00000000654836</v>
          </cell>
          <cell r="N1156">
            <v>120</v>
          </cell>
          <cell r="R1156" t="str">
            <v>BODY SPLASH</v>
          </cell>
          <cell r="S1156" t="str">
            <v>LÍQUIDO</v>
          </cell>
        </row>
        <row r="1157">
          <cell r="E1157">
            <v>860.86956525442849</v>
          </cell>
          <cell r="N1157">
            <v>120</v>
          </cell>
          <cell r="R1157" t="str">
            <v>BODY SPLASH</v>
          </cell>
          <cell r="S1157" t="str">
            <v>LÍQUIDO</v>
          </cell>
        </row>
        <row r="1158">
          <cell r="E1158">
            <v>503.25259514212706</v>
          </cell>
          <cell r="N1158">
            <v>215</v>
          </cell>
          <cell r="R1158" t="str">
            <v>BODY SPLASH</v>
          </cell>
          <cell r="S1158" t="str">
            <v>LÍQUIDO</v>
          </cell>
        </row>
        <row r="1159">
          <cell r="E1159">
            <v>872.96137337790924</v>
          </cell>
          <cell r="N1159">
            <v>120</v>
          </cell>
          <cell r="R1159" t="str">
            <v>BODY SPLASH</v>
          </cell>
          <cell r="S1159" t="str">
            <v>LÍQUIDO</v>
          </cell>
        </row>
        <row r="1160">
          <cell r="E1160">
            <v>969.9999999905898</v>
          </cell>
          <cell r="N1160">
            <v>215</v>
          </cell>
          <cell r="R1160" t="str">
            <v>BODY SPLASH</v>
          </cell>
          <cell r="S1160" t="str">
            <v>LÍQUIDO</v>
          </cell>
        </row>
        <row r="1161">
          <cell r="E1161">
            <v>754.11471320207045</v>
          </cell>
          <cell r="N1161">
            <v>215</v>
          </cell>
          <cell r="R1161" t="str">
            <v>BODY SPLASH</v>
          </cell>
          <cell r="S1161" t="str">
            <v>LÍQUIDO</v>
          </cell>
        </row>
        <row r="1162">
          <cell r="E1162">
            <v>202.62650602182276</v>
          </cell>
          <cell r="N1162">
            <v>200</v>
          </cell>
          <cell r="R1162" t="str">
            <v>CREME HIDRATANTE</v>
          </cell>
          <cell r="S1162" t="str">
            <v>CREMOSO</v>
          </cell>
        </row>
        <row r="1163">
          <cell r="E1163">
            <v>878.49056601072118</v>
          </cell>
          <cell r="N1163">
            <v>215</v>
          </cell>
          <cell r="R1163" t="str">
            <v>BODY SPLASH</v>
          </cell>
          <cell r="S1163" t="str">
            <v>LÍQUIDO</v>
          </cell>
        </row>
        <row r="1164">
          <cell r="E1164">
            <v>126.65006226459106</v>
          </cell>
          <cell r="N1164">
            <v>200</v>
          </cell>
          <cell r="R1164" t="str">
            <v>CREME HIDRATANTE</v>
          </cell>
          <cell r="S1164" t="str">
            <v>CREMOSO</v>
          </cell>
        </row>
        <row r="1165">
          <cell r="E1165">
            <v>448</v>
          </cell>
          <cell r="N1165">
            <v>200</v>
          </cell>
          <cell r="R1165" t="str">
            <v>CREME HIDRATANTE</v>
          </cell>
          <cell r="S1165" t="str">
            <v>CREMOSO</v>
          </cell>
        </row>
        <row r="1166">
          <cell r="E1166">
            <v>358.52257181896869</v>
          </cell>
          <cell r="N1166">
            <v>215</v>
          </cell>
          <cell r="R1166" t="str">
            <v>BODY SPLASH</v>
          </cell>
          <cell r="S1166" t="str">
            <v>LÍQUIDO</v>
          </cell>
        </row>
        <row r="1167">
          <cell r="E1167" t="str">
            <v/>
          </cell>
          <cell r="N1167" t="str">
            <v>-</v>
          </cell>
          <cell r="R1167" t="str">
            <v>-</v>
          </cell>
          <cell r="S1167" t="str">
            <v>-</v>
          </cell>
        </row>
        <row r="1168">
          <cell r="E1168" t="str">
            <v/>
          </cell>
          <cell r="N1168" t="str">
            <v>-</v>
          </cell>
          <cell r="R1168" t="str">
            <v>-</v>
          </cell>
          <cell r="S1168" t="str">
            <v>-</v>
          </cell>
        </row>
        <row r="1169">
          <cell r="E1169" t="str">
            <v/>
          </cell>
          <cell r="N1169" t="str">
            <v>-</v>
          </cell>
          <cell r="R1169" t="str">
            <v>-</v>
          </cell>
          <cell r="S1169" t="str">
            <v>-</v>
          </cell>
        </row>
        <row r="1170">
          <cell r="E1170" t="str">
            <v/>
          </cell>
          <cell r="N1170" t="str">
            <v>-</v>
          </cell>
          <cell r="R1170" t="str">
            <v>-</v>
          </cell>
          <cell r="S1170" t="str">
            <v>-</v>
          </cell>
        </row>
        <row r="1171">
          <cell r="E1171" t="str">
            <v/>
          </cell>
          <cell r="N1171" t="str">
            <v>-</v>
          </cell>
          <cell r="R1171" t="str">
            <v>-</v>
          </cell>
          <cell r="S1171" t="str">
            <v>-</v>
          </cell>
        </row>
        <row r="1172">
          <cell r="E1172" t="str">
            <v/>
          </cell>
          <cell r="N1172" t="str">
            <v>-</v>
          </cell>
          <cell r="R1172" t="str">
            <v>-</v>
          </cell>
          <cell r="S1172" t="str">
            <v>-</v>
          </cell>
        </row>
        <row r="1173">
          <cell r="E1173" t="str">
            <v/>
          </cell>
          <cell r="N1173" t="str">
            <v>-</v>
          </cell>
          <cell r="R1173" t="str">
            <v>-</v>
          </cell>
          <cell r="S1173" t="str">
            <v>-</v>
          </cell>
        </row>
        <row r="1174">
          <cell r="E1174" t="str">
            <v/>
          </cell>
          <cell r="N1174" t="str">
            <v>-</v>
          </cell>
          <cell r="R1174" t="str">
            <v>-</v>
          </cell>
          <cell r="S1174" t="str">
            <v>-</v>
          </cell>
        </row>
        <row r="1175">
          <cell r="E1175" t="str">
            <v/>
          </cell>
          <cell r="N1175" t="str">
            <v>-</v>
          </cell>
          <cell r="R1175" t="str">
            <v>-</v>
          </cell>
          <cell r="S1175" t="str">
            <v>-</v>
          </cell>
        </row>
        <row r="1176">
          <cell r="E1176" t="str">
            <v/>
          </cell>
          <cell r="N1176" t="str">
            <v>-</v>
          </cell>
          <cell r="R1176" t="str">
            <v>-</v>
          </cell>
          <cell r="S1176" t="str">
            <v>-</v>
          </cell>
        </row>
        <row r="1177">
          <cell r="E1177" t="str">
            <v/>
          </cell>
          <cell r="N1177" t="str">
            <v>-</v>
          </cell>
          <cell r="R1177" t="str">
            <v>-</v>
          </cell>
          <cell r="S1177" t="str">
            <v>-</v>
          </cell>
        </row>
        <row r="1178">
          <cell r="E1178" t="str">
            <v/>
          </cell>
          <cell r="N1178" t="str">
            <v>-</v>
          </cell>
          <cell r="R1178" t="str">
            <v>-</v>
          </cell>
          <cell r="S1178" t="str">
            <v>-</v>
          </cell>
        </row>
        <row r="1179">
          <cell r="E1179" t="str">
            <v/>
          </cell>
          <cell r="N1179" t="str">
            <v>-</v>
          </cell>
          <cell r="R1179" t="str">
            <v>-</v>
          </cell>
          <cell r="S1179" t="str">
            <v>-</v>
          </cell>
        </row>
        <row r="1180">
          <cell r="E1180" t="str">
            <v/>
          </cell>
          <cell r="N1180" t="str">
            <v>-</v>
          </cell>
          <cell r="R1180" t="str">
            <v>-</v>
          </cell>
          <cell r="S1180" t="str">
            <v>-</v>
          </cell>
        </row>
        <row r="1181">
          <cell r="E1181" t="str">
            <v/>
          </cell>
          <cell r="N1181" t="str">
            <v>-</v>
          </cell>
          <cell r="R1181" t="str">
            <v>-</v>
          </cell>
          <cell r="S1181" t="str">
            <v>-</v>
          </cell>
        </row>
        <row r="1182">
          <cell r="E1182" t="str">
            <v/>
          </cell>
          <cell r="N1182" t="str">
            <v>-</v>
          </cell>
          <cell r="R1182" t="str">
            <v>-</v>
          </cell>
          <cell r="S1182" t="str">
            <v>-</v>
          </cell>
        </row>
        <row r="1183">
          <cell r="E1183" t="str">
            <v/>
          </cell>
          <cell r="N1183" t="str">
            <v>-</v>
          </cell>
          <cell r="R1183" t="str">
            <v>-</v>
          </cell>
          <cell r="S1183" t="str">
            <v>-</v>
          </cell>
        </row>
        <row r="1184">
          <cell r="E1184" t="str">
            <v/>
          </cell>
          <cell r="N1184" t="str">
            <v>-</v>
          </cell>
          <cell r="R1184" t="str">
            <v>-</v>
          </cell>
          <cell r="S1184" t="str">
            <v>-</v>
          </cell>
        </row>
        <row r="1185">
          <cell r="E1185" t="str">
            <v/>
          </cell>
          <cell r="N1185" t="str">
            <v>-</v>
          </cell>
          <cell r="R1185" t="str">
            <v>-</v>
          </cell>
          <cell r="S1185" t="str">
            <v>-</v>
          </cell>
        </row>
        <row r="1186">
          <cell r="E1186" t="str">
            <v/>
          </cell>
          <cell r="N1186" t="str">
            <v>-</v>
          </cell>
          <cell r="R1186" t="str">
            <v>-</v>
          </cell>
          <cell r="S1186" t="str">
            <v>-</v>
          </cell>
        </row>
        <row r="1187">
          <cell r="E1187" t="str">
            <v/>
          </cell>
          <cell r="N1187" t="str">
            <v>-</v>
          </cell>
          <cell r="R1187" t="str">
            <v>-</v>
          </cell>
          <cell r="S1187" t="str">
            <v>-</v>
          </cell>
        </row>
        <row r="1188">
          <cell r="E1188" t="str">
            <v/>
          </cell>
          <cell r="N1188" t="str">
            <v>-</v>
          </cell>
          <cell r="R1188" t="str">
            <v>-</v>
          </cell>
          <cell r="S1188" t="str">
            <v>-</v>
          </cell>
        </row>
        <row r="1189">
          <cell r="E1189" t="str">
            <v/>
          </cell>
          <cell r="N1189" t="str">
            <v>-</v>
          </cell>
          <cell r="R1189" t="str">
            <v>-</v>
          </cell>
          <cell r="S1189" t="str">
            <v>-</v>
          </cell>
        </row>
        <row r="1190">
          <cell r="E1190" t="str">
            <v/>
          </cell>
          <cell r="N1190" t="str">
            <v>-</v>
          </cell>
          <cell r="R1190" t="str">
            <v>-</v>
          </cell>
          <cell r="S1190" t="str">
            <v>-</v>
          </cell>
        </row>
        <row r="1191">
          <cell r="E1191" t="str">
            <v/>
          </cell>
          <cell r="N1191" t="str">
            <v>-</v>
          </cell>
          <cell r="R1191" t="str">
            <v>-</v>
          </cell>
          <cell r="S1191" t="str">
            <v>-</v>
          </cell>
        </row>
        <row r="1192">
          <cell r="E1192" t="str">
            <v/>
          </cell>
          <cell r="N1192" t="str">
            <v>-</v>
          </cell>
          <cell r="R1192" t="str">
            <v>-</v>
          </cell>
          <cell r="S1192" t="str">
            <v>-</v>
          </cell>
        </row>
        <row r="1193">
          <cell r="E1193" t="str">
            <v/>
          </cell>
          <cell r="N1193" t="str">
            <v>-</v>
          </cell>
          <cell r="R1193" t="str">
            <v>-</v>
          </cell>
          <cell r="S1193" t="str">
            <v>-</v>
          </cell>
        </row>
        <row r="1194">
          <cell r="E1194" t="str">
            <v/>
          </cell>
          <cell r="N1194" t="str">
            <v>-</v>
          </cell>
          <cell r="R1194" t="str">
            <v>-</v>
          </cell>
          <cell r="S1194" t="str">
            <v>-</v>
          </cell>
        </row>
        <row r="1195">
          <cell r="E1195" t="str">
            <v/>
          </cell>
          <cell r="N1195" t="str">
            <v>-</v>
          </cell>
          <cell r="R1195" t="str">
            <v>-</v>
          </cell>
          <cell r="S1195" t="str">
            <v>-</v>
          </cell>
        </row>
        <row r="1196">
          <cell r="E1196" t="str">
            <v/>
          </cell>
          <cell r="N1196" t="str">
            <v>-</v>
          </cell>
          <cell r="R1196" t="str">
            <v>-</v>
          </cell>
          <cell r="S1196" t="str">
            <v>-</v>
          </cell>
        </row>
        <row r="1197">
          <cell r="E1197" t="str">
            <v/>
          </cell>
          <cell r="N1197" t="str">
            <v>-</v>
          </cell>
          <cell r="R1197" t="str">
            <v>-</v>
          </cell>
          <cell r="S1197" t="str">
            <v>-</v>
          </cell>
        </row>
        <row r="1198">
          <cell r="E1198" t="str">
            <v/>
          </cell>
          <cell r="N1198" t="str">
            <v>-</v>
          </cell>
          <cell r="R1198" t="str">
            <v>-</v>
          </cell>
          <cell r="S1198" t="str">
            <v>-</v>
          </cell>
        </row>
        <row r="1199">
          <cell r="E1199" t="str">
            <v/>
          </cell>
          <cell r="N1199" t="str">
            <v>-</v>
          </cell>
          <cell r="R1199" t="str">
            <v>-</v>
          </cell>
          <cell r="S1199" t="str">
            <v>-</v>
          </cell>
        </row>
        <row r="1200">
          <cell r="E1200" t="str">
            <v/>
          </cell>
          <cell r="N1200" t="str">
            <v>-</v>
          </cell>
          <cell r="R1200" t="str">
            <v>-</v>
          </cell>
          <cell r="S1200" t="str">
            <v>-</v>
          </cell>
        </row>
        <row r="1201">
          <cell r="E1201" t="str">
            <v/>
          </cell>
          <cell r="N1201" t="str">
            <v>-</v>
          </cell>
          <cell r="R1201" t="str">
            <v>-</v>
          </cell>
          <cell r="S1201" t="str">
            <v>-</v>
          </cell>
        </row>
        <row r="1202">
          <cell r="E1202" t="str">
            <v/>
          </cell>
          <cell r="N1202" t="str">
            <v>-</v>
          </cell>
          <cell r="R1202" t="str">
            <v>-</v>
          </cell>
          <cell r="S1202" t="str">
            <v>-</v>
          </cell>
        </row>
        <row r="1203">
          <cell r="E1203" t="str">
            <v/>
          </cell>
          <cell r="N1203" t="str">
            <v>-</v>
          </cell>
          <cell r="R1203" t="str">
            <v>-</v>
          </cell>
          <cell r="S1203" t="str">
            <v>-</v>
          </cell>
        </row>
        <row r="1204">
          <cell r="E1204" t="str">
            <v/>
          </cell>
          <cell r="N1204" t="str">
            <v>-</v>
          </cell>
          <cell r="R1204" t="str">
            <v>-</v>
          </cell>
          <cell r="S1204" t="str">
            <v>-</v>
          </cell>
        </row>
        <row r="1205">
          <cell r="E1205" t="str">
            <v/>
          </cell>
          <cell r="N1205" t="str">
            <v>-</v>
          </cell>
          <cell r="R1205" t="str">
            <v>-</v>
          </cell>
          <cell r="S1205" t="str">
            <v>-</v>
          </cell>
        </row>
        <row r="1206">
          <cell r="E1206" t="str">
            <v/>
          </cell>
          <cell r="N1206" t="str">
            <v>-</v>
          </cell>
          <cell r="R1206" t="str">
            <v>-</v>
          </cell>
          <cell r="S1206" t="str">
            <v>-</v>
          </cell>
        </row>
        <row r="1207">
          <cell r="E1207" t="str">
            <v/>
          </cell>
          <cell r="N1207" t="str">
            <v>-</v>
          </cell>
          <cell r="R1207" t="str">
            <v>-</v>
          </cell>
          <cell r="S1207" t="str">
            <v>-</v>
          </cell>
        </row>
        <row r="1208">
          <cell r="E1208" t="str">
            <v/>
          </cell>
          <cell r="N1208" t="str">
            <v>-</v>
          </cell>
          <cell r="R1208" t="str">
            <v>-</v>
          </cell>
          <cell r="S1208" t="str">
            <v>-</v>
          </cell>
        </row>
        <row r="1209">
          <cell r="E1209" t="str">
            <v/>
          </cell>
          <cell r="N1209" t="str">
            <v>-</v>
          </cell>
          <cell r="R1209" t="str">
            <v>-</v>
          </cell>
          <cell r="S1209" t="str">
            <v>-</v>
          </cell>
        </row>
        <row r="1210">
          <cell r="E1210" t="str">
            <v/>
          </cell>
          <cell r="N1210" t="str">
            <v>-</v>
          </cell>
          <cell r="R1210" t="str">
            <v>-</v>
          </cell>
          <cell r="S1210" t="str">
            <v>-</v>
          </cell>
        </row>
        <row r="1211">
          <cell r="E1211" t="str">
            <v/>
          </cell>
          <cell r="N1211" t="str">
            <v>-</v>
          </cell>
          <cell r="R1211" t="str">
            <v>-</v>
          </cell>
          <cell r="S1211" t="str">
            <v>-</v>
          </cell>
        </row>
        <row r="1212">
          <cell r="E1212" t="str">
            <v/>
          </cell>
          <cell r="N1212" t="str">
            <v>-</v>
          </cell>
          <cell r="R1212" t="str">
            <v>-</v>
          </cell>
          <cell r="S1212" t="str">
            <v>-</v>
          </cell>
        </row>
        <row r="1213">
          <cell r="E1213" t="str">
            <v/>
          </cell>
          <cell r="N1213" t="str">
            <v>-</v>
          </cell>
          <cell r="R1213" t="str">
            <v>-</v>
          </cell>
          <cell r="S1213" t="str">
            <v>-</v>
          </cell>
        </row>
        <row r="1214">
          <cell r="E1214" t="str">
            <v/>
          </cell>
          <cell r="N1214" t="str">
            <v>-</v>
          </cell>
          <cell r="R1214" t="str">
            <v>-</v>
          </cell>
          <cell r="S1214" t="str">
            <v>-</v>
          </cell>
        </row>
        <row r="1215">
          <cell r="E1215" t="str">
            <v/>
          </cell>
          <cell r="N1215" t="str">
            <v>-</v>
          </cell>
          <cell r="R1215" t="str">
            <v>-</v>
          </cell>
          <cell r="S1215" t="str">
            <v>-</v>
          </cell>
        </row>
        <row r="1216">
          <cell r="E1216" t="str">
            <v/>
          </cell>
          <cell r="N1216" t="str">
            <v>-</v>
          </cell>
          <cell r="R1216" t="str">
            <v>-</v>
          </cell>
          <cell r="S1216" t="str">
            <v>-</v>
          </cell>
        </row>
        <row r="1217">
          <cell r="E1217" t="str">
            <v/>
          </cell>
          <cell r="N1217" t="str">
            <v>-</v>
          </cell>
          <cell r="R1217" t="str">
            <v>-</v>
          </cell>
          <cell r="S1217" t="str">
            <v>-</v>
          </cell>
        </row>
        <row r="1218">
          <cell r="E1218" t="str">
            <v/>
          </cell>
          <cell r="N1218" t="str">
            <v>-</v>
          </cell>
          <cell r="R1218" t="str">
            <v>-</v>
          </cell>
          <cell r="S1218" t="str">
            <v>-</v>
          </cell>
        </row>
        <row r="1219">
          <cell r="E1219" t="str">
            <v/>
          </cell>
          <cell r="N1219" t="str">
            <v>-</v>
          </cell>
          <cell r="R1219" t="str">
            <v>-</v>
          </cell>
          <cell r="S1219" t="str">
            <v>-</v>
          </cell>
        </row>
        <row r="1220">
          <cell r="E1220" t="str">
            <v/>
          </cell>
          <cell r="N1220" t="str">
            <v>-</v>
          </cell>
          <cell r="R1220" t="str">
            <v>-</v>
          </cell>
          <cell r="S1220" t="str">
            <v>-</v>
          </cell>
        </row>
        <row r="1221">
          <cell r="E1221" t="str">
            <v/>
          </cell>
          <cell r="N1221" t="str">
            <v>-</v>
          </cell>
          <cell r="R1221" t="str">
            <v>-</v>
          </cell>
          <cell r="S1221" t="str">
            <v>-</v>
          </cell>
        </row>
        <row r="1222">
          <cell r="E1222" t="str">
            <v/>
          </cell>
          <cell r="N1222" t="str">
            <v>-</v>
          </cell>
          <cell r="R1222" t="str">
            <v>-</v>
          </cell>
          <cell r="S1222" t="str">
            <v>-</v>
          </cell>
        </row>
        <row r="1223">
          <cell r="E1223" t="str">
            <v/>
          </cell>
          <cell r="N1223" t="str">
            <v>-</v>
          </cell>
          <cell r="R1223" t="str">
            <v>-</v>
          </cell>
          <cell r="S1223" t="str">
            <v>-</v>
          </cell>
        </row>
        <row r="1224">
          <cell r="E1224" t="str">
            <v/>
          </cell>
          <cell r="N1224" t="str">
            <v>-</v>
          </cell>
          <cell r="R1224" t="str">
            <v>-</v>
          </cell>
          <cell r="S1224" t="str">
            <v>-</v>
          </cell>
        </row>
        <row r="1225">
          <cell r="E1225" t="str">
            <v/>
          </cell>
          <cell r="N1225" t="str">
            <v>-</v>
          </cell>
          <cell r="R1225" t="str">
            <v>-</v>
          </cell>
          <cell r="S1225" t="str">
            <v>-</v>
          </cell>
        </row>
        <row r="1226">
          <cell r="E1226" t="str">
            <v/>
          </cell>
          <cell r="N1226" t="str">
            <v>-</v>
          </cell>
          <cell r="R1226" t="str">
            <v>-</v>
          </cell>
          <cell r="S1226" t="str">
            <v>-</v>
          </cell>
        </row>
        <row r="1227">
          <cell r="E1227" t="str">
            <v/>
          </cell>
          <cell r="N1227" t="str">
            <v>-</v>
          </cell>
          <cell r="R1227" t="str">
            <v>-</v>
          </cell>
          <cell r="S1227" t="str">
            <v>-</v>
          </cell>
        </row>
        <row r="1228">
          <cell r="E1228" t="str">
            <v/>
          </cell>
          <cell r="N1228" t="str">
            <v>-</v>
          </cell>
          <cell r="R1228" t="str">
            <v>-</v>
          </cell>
          <cell r="S1228" t="str">
            <v>-</v>
          </cell>
        </row>
        <row r="1229">
          <cell r="E1229" t="str">
            <v/>
          </cell>
          <cell r="N1229" t="str">
            <v>-</v>
          </cell>
          <cell r="R1229" t="str">
            <v>-</v>
          </cell>
          <cell r="S1229" t="str">
            <v>-</v>
          </cell>
        </row>
        <row r="1230">
          <cell r="E1230" t="str">
            <v/>
          </cell>
          <cell r="N1230" t="str">
            <v>-</v>
          </cell>
          <cell r="R1230" t="str">
            <v>-</v>
          </cell>
          <cell r="S1230" t="str">
            <v>-</v>
          </cell>
        </row>
        <row r="1231">
          <cell r="E1231" t="str">
            <v/>
          </cell>
          <cell r="N1231" t="str">
            <v>-</v>
          </cell>
          <cell r="R1231" t="str">
            <v>-</v>
          </cell>
          <cell r="S1231" t="str">
            <v>-</v>
          </cell>
        </row>
        <row r="1232">
          <cell r="E1232" t="str">
            <v/>
          </cell>
          <cell r="N1232" t="str">
            <v>-</v>
          </cell>
          <cell r="R1232" t="str">
            <v>-</v>
          </cell>
          <cell r="S1232" t="str">
            <v>-</v>
          </cell>
        </row>
        <row r="1233">
          <cell r="E1233" t="str">
            <v/>
          </cell>
          <cell r="N1233" t="str">
            <v>-</v>
          </cell>
          <cell r="R1233" t="str">
            <v>-</v>
          </cell>
          <cell r="S1233" t="str">
            <v>-</v>
          </cell>
        </row>
        <row r="1234">
          <cell r="E1234" t="str">
            <v/>
          </cell>
          <cell r="N1234" t="str">
            <v>-</v>
          </cell>
          <cell r="R1234" t="str">
            <v>-</v>
          </cell>
          <cell r="S1234" t="str">
            <v>-</v>
          </cell>
        </row>
        <row r="1235">
          <cell r="E1235" t="str">
            <v/>
          </cell>
          <cell r="N1235" t="str">
            <v>-</v>
          </cell>
          <cell r="R1235" t="str">
            <v>-</v>
          </cell>
          <cell r="S1235" t="str">
            <v>-</v>
          </cell>
        </row>
        <row r="1236">
          <cell r="E1236" t="str">
            <v/>
          </cell>
          <cell r="N1236" t="str">
            <v>-</v>
          </cell>
          <cell r="R1236" t="str">
            <v>-</v>
          </cell>
          <cell r="S1236" t="str">
            <v>-</v>
          </cell>
        </row>
        <row r="1237">
          <cell r="E1237" t="str">
            <v/>
          </cell>
          <cell r="N1237" t="str">
            <v>-</v>
          </cell>
          <cell r="R1237" t="str">
            <v>-</v>
          </cell>
          <cell r="S1237" t="str">
            <v>-</v>
          </cell>
        </row>
        <row r="1238">
          <cell r="E1238" t="str">
            <v/>
          </cell>
          <cell r="N1238" t="str">
            <v>-</v>
          </cell>
          <cell r="R1238" t="str">
            <v>-</v>
          </cell>
          <cell r="S1238" t="str">
            <v>-</v>
          </cell>
        </row>
        <row r="1239">
          <cell r="E1239" t="str">
            <v/>
          </cell>
          <cell r="N1239" t="str">
            <v>-</v>
          </cell>
          <cell r="R1239" t="str">
            <v>-</v>
          </cell>
          <cell r="S1239" t="str">
            <v>-</v>
          </cell>
        </row>
        <row r="1240">
          <cell r="E1240" t="str">
            <v/>
          </cell>
          <cell r="N1240" t="str">
            <v>-</v>
          </cell>
          <cell r="R1240" t="str">
            <v>-</v>
          </cell>
          <cell r="S1240" t="str">
            <v>-</v>
          </cell>
        </row>
        <row r="1241">
          <cell r="E1241" t="str">
            <v/>
          </cell>
          <cell r="N1241" t="str">
            <v>-</v>
          </cell>
          <cell r="R1241" t="str">
            <v>-</v>
          </cell>
          <cell r="S1241" t="str">
            <v>-</v>
          </cell>
        </row>
        <row r="1242">
          <cell r="E1242" t="str">
            <v/>
          </cell>
          <cell r="N1242" t="str">
            <v>-</v>
          </cell>
          <cell r="R1242" t="str">
            <v>-</v>
          </cell>
          <cell r="S1242" t="str">
            <v>-</v>
          </cell>
        </row>
        <row r="1243">
          <cell r="E1243" t="str">
            <v/>
          </cell>
          <cell r="N1243" t="str">
            <v>-</v>
          </cell>
          <cell r="R1243" t="str">
            <v>-</v>
          </cell>
          <cell r="S1243" t="str">
            <v>-</v>
          </cell>
        </row>
        <row r="1244">
          <cell r="E1244" t="str">
            <v/>
          </cell>
          <cell r="N1244" t="str">
            <v>-</v>
          </cell>
          <cell r="R1244" t="str">
            <v>-</v>
          </cell>
          <cell r="S1244" t="str">
            <v>-</v>
          </cell>
        </row>
        <row r="1245">
          <cell r="E1245" t="str">
            <v/>
          </cell>
          <cell r="N1245" t="str">
            <v>-</v>
          </cell>
          <cell r="R1245" t="str">
            <v>-</v>
          </cell>
          <cell r="S1245" t="str">
            <v>-</v>
          </cell>
        </row>
        <row r="1246">
          <cell r="E1246" t="str">
            <v/>
          </cell>
          <cell r="N1246" t="str">
            <v>-</v>
          </cell>
          <cell r="R1246" t="str">
            <v>-</v>
          </cell>
          <cell r="S1246" t="str">
            <v>-</v>
          </cell>
        </row>
        <row r="1247">
          <cell r="E1247" t="str">
            <v/>
          </cell>
          <cell r="N1247" t="str">
            <v>-</v>
          </cell>
          <cell r="R1247" t="str">
            <v>-</v>
          </cell>
          <cell r="S1247" t="str">
            <v>-</v>
          </cell>
        </row>
        <row r="1248">
          <cell r="E1248" t="str">
            <v/>
          </cell>
          <cell r="N1248" t="str">
            <v>-</v>
          </cell>
          <cell r="R1248" t="str">
            <v>-</v>
          </cell>
          <cell r="S1248" t="str">
            <v>-</v>
          </cell>
        </row>
        <row r="1249">
          <cell r="E1249" t="str">
            <v/>
          </cell>
          <cell r="N1249" t="str">
            <v>-</v>
          </cell>
          <cell r="R1249" t="str">
            <v>-</v>
          </cell>
          <cell r="S1249" t="str">
            <v>-</v>
          </cell>
        </row>
        <row r="1250">
          <cell r="E1250" t="str">
            <v/>
          </cell>
          <cell r="N1250" t="str">
            <v>-</v>
          </cell>
          <cell r="R1250" t="str">
            <v>-</v>
          </cell>
          <cell r="S1250" t="str">
            <v>-</v>
          </cell>
        </row>
        <row r="1251">
          <cell r="E1251" t="str">
            <v/>
          </cell>
          <cell r="N1251" t="str">
            <v>-</v>
          </cell>
          <cell r="R1251" t="str">
            <v>-</v>
          </cell>
          <cell r="S1251" t="str">
            <v>-</v>
          </cell>
        </row>
        <row r="1252">
          <cell r="E1252" t="str">
            <v/>
          </cell>
          <cell r="N1252" t="str">
            <v>-</v>
          </cell>
          <cell r="R1252" t="str">
            <v>-</v>
          </cell>
          <cell r="S1252" t="str">
            <v>-</v>
          </cell>
        </row>
        <row r="1253">
          <cell r="E1253" t="str">
            <v/>
          </cell>
          <cell r="N1253" t="str">
            <v>-</v>
          </cell>
          <cell r="R1253" t="str">
            <v>-</v>
          </cell>
          <cell r="S1253" t="str">
            <v>-</v>
          </cell>
        </row>
        <row r="1254">
          <cell r="E1254" t="str">
            <v/>
          </cell>
          <cell r="N1254" t="str">
            <v>-</v>
          </cell>
          <cell r="R1254" t="str">
            <v>-</v>
          </cell>
          <cell r="S1254" t="str">
            <v>-</v>
          </cell>
        </row>
        <row r="1255">
          <cell r="E1255" t="str">
            <v/>
          </cell>
          <cell r="N1255" t="str">
            <v>-</v>
          </cell>
          <cell r="R1255" t="str">
            <v>-</v>
          </cell>
          <cell r="S1255" t="str">
            <v>-</v>
          </cell>
        </row>
        <row r="1256">
          <cell r="E1256" t="str">
            <v/>
          </cell>
          <cell r="N1256" t="str">
            <v>-</v>
          </cell>
          <cell r="R1256" t="str">
            <v>-</v>
          </cell>
          <cell r="S1256" t="str">
            <v>-</v>
          </cell>
        </row>
        <row r="1257">
          <cell r="E1257" t="str">
            <v/>
          </cell>
          <cell r="N1257" t="str">
            <v>-</v>
          </cell>
          <cell r="R1257" t="str">
            <v>-</v>
          </cell>
          <cell r="S1257" t="str">
            <v>-</v>
          </cell>
        </row>
        <row r="1258">
          <cell r="E1258" t="str">
            <v/>
          </cell>
          <cell r="N1258" t="str">
            <v>-</v>
          </cell>
          <cell r="R1258" t="str">
            <v>-</v>
          </cell>
          <cell r="S1258" t="str">
            <v>-</v>
          </cell>
        </row>
        <row r="1259">
          <cell r="E1259" t="str">
            <v/>
          </cell>
          <cell r="N1259" t="str">
            <v>-</v>
          </cell>
          <cell r="R1259" t="str">
            <v>-</v>
          </cell>
          <cell r="S1259" t="str">
            <v>-</v>
          </cell>
        </row>
        <row r="1260">
          <cell r="E1260" t="str">
            <v/>
          </cell>
          <cell r="N1260" t="str">
            <v>-</v>
          </cell>
          <cell r="R1260" t="str">
            <v>-</v>
          </cell>
          <cell r="S1260" t="str">
            <v>-</v>
          </cell>
        </row>
        <row r="1261">
          <cell r="E1261" t="str">
            <v/>
          </cell>
          <cell r="N1261" t="str">
            <v>-</v>
          </cell>
          <cell r="R1261" t="str">
            <v>-</v>
          </cell>
          <cell r="S1261" t="str">
            <v>-</v>
          </cell>
        </row>
        <row r="1262">
          <cell r="E1262" t="str">
            <v/>
          </cell>
          <cell r="N1262" t="str">
            <v>-</v>
          </cell>
          <cell r="R1262" t="str">
            <v>-</v>
          </cell>
          <cell r="S1262" t="str">
            <v>-</v>
          </cell>
        </row>
        <row r="1263">
          <cell r="E1263" t="str">
            <v/>
          </cell>
          <cell r="N1263" t="str">
            <v>-</v>
          </cell>
          <cell r="R1263" t="str">
            <v>-</v>
          </cell>
          <cell r="S1263" t="str">
            <v>-</v>
          </cell>
        </row>
        <row r="1264">
          <cell r="E1264" t="str">
            <v/>
          </cell>
          <cell r="N1264" t="str">
            <v>-</v>
          </cell>
          <cell r="R1264" t="str">
            <v>-</v>
          </cell>
          <cell r="S1264" t="str">
            <v>-</v>
          </cell>
        </row>
        <row r="1265">
          <cell r="E1265" t="str">
            <v/>
          </cell>
          <cell r="N1265" t="str">
            <v>-</v>
          </cell>
          <cell r="R1265" t="str">
            <v>-</v>
          </cell>
          <cell r="S1265" t="str">
            <v>-</v>
          </cell>
        </row>
        <row r="1266">
          <cell r="E1266" t="str">
            <v/>
          </cell>
          <cell r="N1266" t="str">
            <v>-</v>
          </cell>
          <cell r="R1266" t="str">
            <v>-</v>
          </cell>
          <cell r="S1266" t="str">
            <v>-</v>
          </cell>
        </row>
        <row r="1267">
          <cell r="E1267" t="str">
            <v/>
          </cell>
          <cell r="N1267" t="str">
            <v>-</v>
          </cell>
          <cell r="R1267" t="str">
            <v>-</v>
          </cell>
          <cell r="S1267" t="str">
            <v>-</v>
          </cell>
        </row>
        <row r="1268">
          <cell r="E1268" t="str">
            <v/>
          </cell>
          <cell r="N1268" t="str">
            <v>-</v>
          </cell>
          <cell r="R1268" t="str">
            <v>-</v>
          </cell>
          <cell r="S1268" t="str">
            <v>-</v>
          </cell>
        </row>
        <row r="1269">
          <cell r="E1269" t="str">
            <v/>
          </cell>
          <cell r="N1269" t="str">
            <v>-</v>
          </cell>
          <cell r="R1269" t="str">
            <v>-</v>
          </cell>
          <cell r="S1269" t="str">
            <v>-</v>
          </cell>
        </row>
        <row r="1270">
          <cell r="E1270" t="str">
            <v/>
          </cell>
          <cell r="N1270" t="str">
            <v>-</v>
          </cell>
          <cell r="R1270" t="str">
            <v>-</v>
          </cell>
          <cell r="S1270" t="str">
            <v>-</v>
          </cell>
        </row>
        <row r="1271">
          <cell r="E1271" t="str">
            <v/>
          </cell>
          <cell r="N1271" t="str">
            <v>-</v>
          </cell>
          <cell r="R1271" t="str">
            <v>-</v>
          </cell>
          <cell r="S1271" t="str">
            <v>-</v>
          </cell>
        </row>
        <row r="1272">
          <cell r="E1272" t="str">
            <v/>
          </cell>
          <cell r="N1272" t="str">
            <v>-</v>
          </cell>
          <cell r="R1272" t="str">
            <v>-</v>
          </cell>
          <cell r="S1272" t="str">
            <v>-</v>
          </cell>
        </row>
        <row r="1273">
          <cell r="E1273" t="str">
            <v/>
          </cell>
          <cell r="N1273" t="str">
            <v>-</v>
          </cell>
          <cell r="R1273" t="str">
            <v>-</v>
          </cell>
          <cell r="S1273" t="str">
            <v>-</v>
          </cell>
        </row>
        <row r="1274">
          <cell r="E1274" t="str">
            <v/>
          </cell>
          <cell r="N1274" t="str">
            <v>-</v>
          </cell>
          <cell r="R1274" t="str">
            <v>-</v>
          </cell>
          <cell r="S1274" t="str">
            <v>-</v>
          </cell>
        </row>
        <row r="1275">
          <cell r="E1275" t="str">
            <v/>
          </cell>
          <cell r="N1275" t="str">
            <v>-</v>
          </cell>
          <cell r="R1275" t="str">
            <v>-</v>
          </cell>
          <cell r="S1275" t="str">
            <v>-</v>
          </cell>
        </row>
        <row r="1276">
          <cell r="E1276" t="str">
            <v/>
          </cell>
          <cell r="N1276" t="str">
            <v>-</v>
          </cell>
          <cell r="R1276" t="str">
            <v>-</v>
          </cell>
          <cell r="S1276" t="str">
            <v>-</v>
          </cell>
        </row>
        <row r="1277">
          <cell r="E1277" t="str">
            <v/>
          </cell>
          <cell r="N1277" t="str">
            <v>-</v>
          </cell>
          <cell r="R1277" t="str">
            <v>-</v>
          </cell>
          <cell r="S1277" t="str">
            <v>-</v>
          </cell>
        </row>
        <row r="1278">
          <cell r="E1278" t="str">
            <v/>
          </cell>
          <cell r="N1278" t="str">
            <v>-</v>
          </cell>
          <cell r="R1278" t="str">
            <v>-</v>
          </cell>
          <cell r="S1278" t="str">
            <v>-</v>
          </cell>
        </row>
        <row r="1279">
          <cell r="E1279" t="str">
            <v/>
          </cell>
          <cell r="N1279" t="str">
            <v>-</v>
          </cell>
          <cell r="R1279" t="str">
            <v>-</v>
          </cell>
          <cell r="S1279" t="str">
            <v>-</v>
          </cell>
        </row>
        <row r="1280">
          <cell r="E1280" t="str">
            <v/>
          </cell>
          <cell r="N1280" t="str">
            <v>-</v>
          </cell>
          <cell r="R1280" t="str">
            <v>-</v>
          </cell>
          <cell r="S1280" t="str">
            <v>-</v>
          </cell>
        </row>
        <row r="1281">
          <cell r="E1281" t="str">
            <v/>
          </cell>
          <cell r="N1281" t="str">
            <v>-</v>
          </cell>
          <cell r="R1281" t="str">
            <v>-</v>
          </cell>
          <cell r="S1281" t="str">
            <v>-</v>
          </cell>
        </row>
        <row r="1282">
          <cell r="E1282" t="str">
            <v/>
          </cell>
          <cell r="N1282" t="str">
            <v>-</v>
          </cell>
          <cell r="R1282" t="str">
            <v>-</v>
          </cell>
          <cell r="S1282" t="str">
            <v>-</v>
          </cell>
        </row>
        <row r="1283">
          <cell r="E1283" t="str">
            <v/>
          </cell>
          <cell r="N1283" t="str">
            <v>-</v>
          </cell>
          <cell r="R1283" t="str">
            <v>-</v>
          </cell>
          <cell r="S1283" t="str">
            <v>-</v>
          </cell>
        </row>
        <row r="1284">
          <cell r="E1284" t="str">
            <v/>
          </cell>
          <cell r="N1284" t="str">
            <v>-</v>
          </cell>
          <cell r="R1284" t="str">
            <v>-</v>
          </cell>
          <cell r="S1284" t="str">
            <v>-</v>
          </cell>
        </row>
        <row r="1285">
          <cell r="E1285" t="str">
            <v/>
          </cell>
          <cell r="N1285" t="str">
            <v>-</v>
          </cell>
          <cell r="R1285" t="str">
            <v>-</v>
          </cell>
          <cell r="S1285" t="str">
            <v>-</v>
          </cell>
        </row>
        <row r="1286">
          <cell r="E1286" t="str">
            <v/>
          </cell>
          <cell r="N1286" t="str">
            <v>-</v>
          </cell>
          <cell r="R1286" t="str">
            <v>-</v>
          </cell>
          <cell r="S1286" t="str">
            <v>-</v>
          </cell>
        </row>
        <row r="1287">
          <cell r="E1287" t="str">
            <v/>
          </cell>
          <cell r="N1287" t="str">
            <v>-</v>
          </cell>
          <cell r="R1287" t="str">
            <v>-</v>
          </cell>
          <cell r="S1287" t="str">
            <v>-</v>
          </cell>
        </row>
        <row r="1288">
          <cell r="E1288" t="str">
            <v/>
          </cell>
          <cell r="N1288" t="str">
            <v>-</v>
          </cell>
          <cell r="R1288" t="str">
            <v>-</v>
          </cell>
          <cell r="S1288" t="str">
            <v>-</v>
          </cell>
        </row>
        <row r="1289">
          <cell r="E1289" t="str">
            <v/>
          </cell>
          <cell r="N1289" t="str">
            <v>-</v>
          </cell>
          <cell r="R1289" t="str">
            <v>-</v>
          </cell>
          <cell r="S1289" t="str">
            <v>-</v>
          </cell>
        </row>
        <row r="1290">
          <cell r="E1290" t="str">
            <v/>
          </cell>
          <cell r="N1290" t="str">
            <v>-</v>
          </cell>
          <cell r="R1290" t="str">
            <v>-</v>
          </cell>
          <cell r="S1290" t="str">
            <v>-</v>
          </cell>
        </row>
        <row r="1291">
          <cell r="E1291" t="str">
            <v/>
          </cell>
          <cell r="N1291" t="str">
            <v>-</v>
          </cell>
          <cell r="R1291" t="str">
            <v>-</v>
          </cell>
          <cell r="S1291" t="str">
            <v>-</v>
          </cell>
        </row>
        <row r="1292">
          <cell r="E1292" t="str">
            <v/>
          </cell>
          <cell r="N1292" t="str">
            <v>-</v>
          </cell>
          <cell r="R1292" t="str">
            <v>-</v>
          </cell>
          <cell r="S1292" t="str">
            <v>-</v>
          </cell>
        </row>
        <row r="1293">
          <cell r="E1293" t="str">
            <v/>
          </cell>
          <cell r="N1293" t="str">
            <v>-</v>
          </cell>
          <cell r="R1293" t="str">
            <v>-</v>
          </cell>
          <cell r="S1293" t="str">
            <v>-</v>
          </cell>
        </row>
        <row r="1294">
          <cell r="E1294" t="str">
            <v/>
          </cell>
          <cell r="N1294" t="str">
            <v>-</v>
          </cell>
          <cell r="R1294" t="str">
            <v>-</v>
          </cell>
          <cell r="S1294" t="str">
            <v>-</v>
          </cell>
        </row>
        <row r="1295">
          <cell r="E1295" t="str">
            <v/>
          </cell>
          <cell r="N1295" t="str">
            <v>-</v>
          </cell>
          <cell r="R1295" t="str">
            <v>-</v>
          </cell>
          <cell r="S1295" t="str">
            <v>-</v>
          </cell>
        </row>
        <row r="1296">
          <cell r="E1296" t="str">
            <v/>
          </cell>
          <cell r="N1296" t="str">
            <v>-</v>
          </cell>
          <cell r="R1296" t="str">
            <v>-</v>
          </cell>
          <cell r="S1296" t="str">
            <v>-</v>
          </cell>
        </row>
        <row r="1297">
          <cell r="E1297" t="str">
            <v/>
          </cell>
          <cell r="N1297" t="str">
            <v>-</v>
          </cell>
          <cell r="R1297" t="str">
            <v>-</v>
          </cell>
          <cell r="S1297" t="str">
            <v>-</v>
          </cell>
        </row>
        <row r="1298">
          <cell r="E1298" t="str">
            <v/>
          </cell>
          <cell r="N1298" t="str">
            <v>-</v>
          </cell>
          <cell r="R1298" t="str">
            <v>-</v>
          </cell>
          <cell r="S1298" t="str">
            <v>-</v>
          </cell>
        </row>
        <row r="1299">
          <cell r="E1299" t="str">
            <v/>
          </cell>
          <cell r="N1299" t="str">
            <v>-</v>
          </cell>
          <cell r="R1299" t="str">
            <v>-</v>
          </cell>
          <cell r="S1299" t="str">
            <v>-</v>
          </cell>
        </row>
        <row r="1300">
          <cell r="E1300" t="str">
            <v/>
          </cell>
          <cell r="N1300" t="str">
            <v>-</v>
          </cell>
          <cell r="R1300" t="str">
            <v>-</v>
          </cell>
          <cell r="S1300" t="str">
            <v>-</v>
          </cell>
        </row>
        <row r="1301">
          <cell r="E1301" t="str">
            <v/>
          </cell>
          <cell r="N1301" t="str">
            <v>-</v>
          </cell>
          <cell r="R1301" t="str">
            <v>-</v>
          </cell>
          <cell r="S1301" t="str">
            <v>-</v>
          </cell>
        </row>
        <row r="1302">
          <cell r="E1302" t="str">
            <v/>
          </cell>
          <cell r="N1302" t="str">
            <v>-</v>
          </cell>
          <cell r="R1302" t="str">
            <v>-</v>
          </cell>
          <cell r="S1302" t="str">
            <v>-</v>
          </cell>
        </row>
        <row r="1303">
          <cell r="E1303" t="str">
            <v/>
          </cell>
          <cell r="N1303" t="str">
            <v>-</v>
          </cell>
          <cell r="R1303" t="str">
            <v>-</v>
          </cell>
          <cell r="S1303" t="str">
            <v>-</v>
          </cell>
        </row>
        <row r="1304">
          <cell r="E1304" t="str">
            <v/>
          </cell>
          <cell r="N1304" t="str">
            <v>-</v>
          </cell>
          <cell r="R1304" t="str">
            <v>-</v>
          </cell>
          <cell r="S1304" t="str">
            <v>-</v>
          </cell>
        </row>
        <row r="1305">
          <cell r="E1305" t="str">
            <v/>
          </cell>
          <cell r="N1305" t="str">
            <v>-</v>
          </cell>
          <cell r="R1305" t="str">
            <v>-</v>
          </cell>
          <cell r="S1305" t="str">
            <v>-</v>
          </cell>
        </row>
        <row r="1306">
          <cell r="E1306" t="str">
            <v/>
          </cell>
          <cell r="N1306" t="str">
            <v>-</v>
          </cell>
          <cell r="R1306" t="str">
            <v>-</v>
          </cell>
          <cell r="S1306" t="str">
            <v>-</v>
          </cell>
        </row>
        <row r="1307">
          <cell r="E1307" t="str">
            <v/>
          </cell>
          <cell r="N1307" t="str">
            <v>-</v>
          </cell>
          <cell r="R1307" t="str">
            <v>-</v>
          </cell>
          <cell r="S1307" t="str">
            <v>-</v>
          </cell>
        </row>
        <row r="1308">
          <cell r="E1308" t="str">
            <v/>
          </cell>
          <cell r="N1308" t="str">
            <v>-</v>
          </cell>
          <cell r="R1308" t="str">
            <v>-</v>
          </cell>
          <cell r="S1308" t="str">
            <v>-</v>
          </cell>
        </row>
        <row r="1309">
          <cell r="E1309" t="str">
            <v/>
          </cell>
          <cell r="N1309" t="str">
            <v>-</v>
          </cell>
          <cell r="R1309" t="str">
            <v>-</v>
          </cell>
          <cell r="S1309" t="str">
            <v>-</v>
          </cell>
        </row>
        <row r="1310">
          <cell r="E1310" t="str">
            <v/>
          </cell>
          <cell r="N1310" t="str">
            <v>-</v>
          </cell>
          <cell r="R1310" t="str">
            <v>-</v>
          </cell>
          <cell r="S1310" t="str">
            <v>-</v>
          </cell>
        </row>
        <row r="1311">
          <cell r="E1311" t="str">
            <v/>
          </cell>
          <cell r="N1311" t="str">
            <v>-</v>
          </cell>
          <cell r="R1311" t="str">
            <v>-</v>
          </cell>
          <cell r="S1311" t="str">
            <v>-</v>
          </cell>
        </row>
        <row r="1312">
          <cell r="E1312" t="str">
            <v/>
          </cell>
          <cell r="N1312" t="str">
            <v>-</v>
          </cell>
          <cell r="R1312" t="str">
            <v>-</v>
          </cell>
          <cell r="S1312" t="str">
            <v>-</v>
          </cell>
        </row>
        <row r="1313">
          <cell r="E1313" t="str">
            <v/>
          </cell>
          <cell r="N1313" t="str">
            <v>-</v>
          </cell>
          <cell r="R1313" t="str">
            <v>-</v>
          </cell>
          <cell r="S1313" t="str">
            <v>-</v>
          </cell>
        </row>
        <row r="1314">
          <cell r="E1314" t="str">
            <v/>
          </cell>
          <cell r="N1314" t="str">
            <v>-</v>
          </cell>
          <cell r="R1314" t="str">
            <v>-</v>
          </cell>
          <cell r="S1314" t="str">
            <v>-</v>
          </cell>
        </row>
        <row r="1315">
          <cell r="E1315" t="str">
            <v/>
          </cell>
          <cell r="N1315" t="str">
            <v>-</v>
          </cell>
          <cell r="R1315" t="str">
            <v>-</v>
          </cell>
          <cell r="S1315" t="str">
            <v>-</v>
          </cell>
        </row>
        <row r="1316">
          <cell r="E1316" t="str">
            <v/>
          </cell>
          <cell r="N1316" t="str">
            <v>-</v>
          </cell>
          <cell r="R1316" t="str">
            <v>-</v>
          </cell>
          <cell r="S1316" t="str">
            <v>-</v>
          </cell>
        </row>
        <row r="1317">
          <cell r="E1317" t="str">
            <v/>
          </cell>
          <cell r="N1317" t="str">
            <v>-</v>
          </cell>
          <cell r="R1317" t="str">
            <v>-</v>
          </cell>
          <cell r="S1317" t="str">
            <v>-</v>
          </cell>
        </row>
        <row r="1318">
          <cell r="E1318" t="str">
            <v/>
          </cell>
          <cell r="N1318" t="str">
            <v>-</v>
          </cell>
          <cell r="R1318" t="str">
            <v>-</v>
          </cell>
          <cell r="S1318" t="str">
            <v>-</v>
          </cell>
        </row>
        <row r="1319">
          <cell r="E1319" t="str">
            <v/>
          </cell>
          <cell r="N1319" t="str">
            <v>-</v>
          </cell>
          <cell r="R1319" t="str">
            <v>-</v>
          </cell>
          <cell r="S1319" t="str">
            <v>-</v>
          </cell>
        </row>
        <row r="1320">
          <cell r="E1320" t="str">
            <v/>
          </cell>
          <cell r="N1320" t="str">
            <v>-</v>
          </cell>
          <cell r="R1320" t="str">
            <v>-</v>
          </cell>
          <cell r="S1320" t="str">
            <v>-</v>
          </cell>
        </row>
        <row r="1321">
          <cell r="E1321" t="str">
            <v/>
          </cell>
          <cell r="N1321" t="str">
            <v>-</v>
          </cell>
          <cell r="R1321" t="str">
            <v>-</v>
          </cell>
          <cell r="S1321" t="str">
            <v>-</v>
          </cell>
        </row>
        <row r="1322">
          <cell r="E1322" t="str">
            <v/>
          </cell>
          <cell r="N1322" t="str">
            <v>-</v>
          </cell>
          <cell r="R1322" t="str">
            <v>-</v>
          </cell>
          <cell r="S1322" t="str">
            <v>-</v>
          </cell>
        </row>
        <row r="1323">
          <cell r="E1323" t="str">
            <v/>
          </cell>
          <cell r="N1323" t="str">
            <v>-</v>
          </cell>
          <cell r="R1323" t="str">
            <v>-</v>
          </cell>
          <cell r="S1323" t="str">
            <v>-</v>
          </cell>
        </row>
        <row r="1324">
          <cell r="E1324" t="str">
            <v/>
          </cell>
          <cell r="N1324" t="str">
            <v>-</v>
          </cell>
          <cell r="R1324" t="str">
            <v>-</v>
          </cell>
          <cell r="S1324" t="str">
            <v>-</v>
          </cell>
        </row>
        <row r="1325">
          <cell r="E1325" t="str">
            <v/>
          </cell>
          <cell r="N1325" t="str">
            <v>-</v>
          </cell>
          <cell r="R1325" t="str">
            <v>-</v>
          </cell>
          <cell r="S1325" t="str">
            <v>-</v>
          </cell>
        </row>
        <row r="1326">
          <cell r="E1326" t="str">
            <v/>
          </cell>
          <cell r="N1326" t="str">
            <v>-</v>
          </cell>
          <cell r="R1326" t="str">
            <v>-</v>
          </cell>
          <cell r="S1326" t="str">
            <v>-</v>
          </cell>
        </row>
        <row r="1327">
          <cell r="E1327" t="str">
            <v/>
          </cell>
          <cell r="N1327" t="str">
            <v>-</v>
          </cell>
          <cell r="R1327" t="str">
            <v>-</v>
          </cell>
          <cell r="S1327" t="str">
            <v>-</v>
          </cell>
        </row>
        <row r="1328">
          <cell r="E1328" t="str">
            <v/>
          </cell>
          <cell r="N1328" t="str">
            <v>-</v>
          </cell>
          <cell r="R1328" t="str">
            <v>-</v>
          </cell>
          <cell r="S1328" t="str">
            <v>-</v>
          </cell>
        </row>
        <row r="1329">
          <cell r="E1329" t="str">
            <v/>
          </cell>
          <cell r="N1329" t="str">
            <v>-</v>
          </cell>
          <cell r="R1329" t="str">
            <v>-</v>
          </cell>
          <cell r="S1329" t="str">
            <v>-</v>
          </cell>
        </row>
        <row r="1330">
          <cell r="E1330" t="str">
            <v/>
          </cell>
          <cell r="N1330" t="str">
            <v>-</v>
          </cell>
          <cell r="R1330" t="str">
            <v>-</v>
          </cell>
          <cell r="S1330" t="str">
            <v>-</v>
          </cell>
        </row>
        <row r="1331">
          <cell r="E1331" t="str">
            <v/>
          </cell>
          <cell r="N1331" t="str">
            <v>-</v>
          </cell>
          <cell r="R1331" t="str">
            <v>-</v>
          </cell>
          <cell r="S1331" t="str">
            <v>-</v>
          </cell>
        </row>
        <row r="1332">
          <cell r="E1332" t="str">
            <v/>
          </cell>
          <cell r="N1332" t="str">
            <v>-</v>
          </cell>
          <cell r="R1332" t="str">
            <v>-</v>
          </cell>
          <cell r="S1332" t="str">
            <v>-</v>
          </cell>
        </row>
        <row r="1333">
          <cell r="E1333" t="str">
            <v/>
          </cell>
          <cell r="N1333" t="str">
            <v>-</v>
          </cell>
          <cell r="R1333" t="str">
            <v>-</v>
          </cell>
          <cell r="S1333" t="str">
            <v>-</v>
          </cell>
        </row>
        <row r="1334">
          <cell r="E1334" t="str">
            <v/>
          </cell>
          <cell r="N1334" t="str">
            <v>-</v>
          </cell>
          <cell r="R1334" t="str">
            <v>-</v>
          </cell>
          <cell r="S1334" t="str">
            <v>-</v>
          </cell>
        </row>
        <row r="1335">
          <cell r="E1335" t="str">
            <v/>
          </cell>
          <cell r="N1335" t="str">
            <v>-</v>
          </cell>
          <cell r="R1335" t="str">
            <v>-</v>
          </cell>
          <cell r="S1335" t="str">
            <v>-</v>
          </cell>
        </row>
        <row r="1336">
          <cell r="E1336" t="str">
            <v/>
          </cell>
          <cell r="N1336" t="str">
            <v>-</v>
          </cell>
          <cell r="R1336" t="str">
            <v>-</v>
          </cell>
          <cell r="S1336" t="str">
            <v>-</v>
          </cell>
        </row>
        <row r="1337">
          <cell r="E1337" t="str">
            <v/>
          </cell>
          <cell r="N1337" t="str">
            <v>-</v>
          </cell>
          <cell r="R1337" t="str">
            <v>-</v>
          </cell>
          <cell r="S1337" t="str">
            <v>-</v>
          </cell>
        </row>
        <row r="1338">
          <cell r="E1338" t="str">
            <v/>
          </cell>
          <cell r="N1338" t="str">
            <v>-</v>
          </cell>
          <cell r="R1338" t="str">
            <v>-</v>
          </cell>
          <cell r="S1338" t="str">
            <v>-</v>
          </cell>
        </row>
        <row r="1339">
          <cell r="E1339" t="str">
            <v/>
          </cell>
          <cell r="N1339" t="str">
            <v>-</v>
          </cell>
          <cell r="R1339" t="str">
            <v>-</v>
          </cell>
          <cell r="S1339" t="str">
            <v>-</v>
          </cell>
        </row>
        <row r="1340">
          <cell r="E1340" t="str">
            <v/>
          </cell>
          <cell r="N1340" t="str">
            <v>-</v>
          </cell>
          <cell r="R1340" t="str">
            <v>-</v>
          </cell>
          <cell r="S1340" t="str">
            <v>-</v>
          </cell>
        </row>
        <row r="1341">
          <cell r="E1341" t="str">
            <v/>
          </cell>
          <cell r="N1341" t="str">
            <v>-</v>
          </cell>
          <cell r="R1341" t="str">
            <v>-</v>
          </cell>
          <cell r="S1341" t="str">
            <v>-</v>
          </cell>
        </row>
        <row r="1342">
          <cell r="E1342" t="str">
            <v/>
          </cell>
          <cell r="N1342" t="str">
            <v>-</v>
          </cell>
          <cell r="R1342" t="str">
            <v>-</v>
          </cell>
          <cell r="S1342" t="str">
            <v>-</v>
          </cell>
        </row>
        <row r="1343">
          <cell r="E1343" t="str">
            <v/>
          </cell>
          <cell r="N1343" t="str">
            <v>-</v>
          </cell>
          <cell r="R1343" t="str">
            <v>-</v>
          </cell>
          <cell r="S1343" t="str">
            <v>-</v>
          </cell>
        </row>
        <row r="1344">
          <cell r="E1344" t="str">
            <v/>
          </cell>
          <cell r="N1344" t="str">
            <v>-</v>
          </cell>
          <cell r="R1344" t="str">
            <v>-</v>
          </cell>
          <cell r="S1344" t="str">
            <v>-</v>
          </cell>
        </row>
        <row r="1345">
          <cell r="E1345" t="str">
            <v/>
          </cell>
          <cell r="N1345" t="str">
            <v>-</v>
          </cell>
          <cell r="R1345" t="str">
            <v>-</v>
          </cell>
          <cell r="S1345" t="str">
            <v>-</v>
          </cell>
        </row>
        <row r="1346">
          <cell r="E1346" t="str">
            <v/>
          </cell>
          <cell r="N1346" t="str">
            <v>-</v>
          </cell>
          <cell r="R1346" t="str">
            <v>-</v>
          </cell>
          <cell r="S1346" t="str">
            <v>-</v>
          </cell>
        </row>
        <row r="1347">
          <cell r="E1347" t="str">
            <v/>
          </cell>
          <cell r="N1347" t="str">
            <v>-</v>
          </cell>
          <cell r="R1347" t="str">
            <v>-</v>
          </cell>
          <cell r="S1347" t="str">
            <v>-</v>
          </cell>
        </row>
        <row r="1348">
          <cell r="E1348" t="str">
            <v/>
          </cell>
          <cell r="N1348" t="str">
            <v>-</v>
          </cell>
          <cell r="R1348" t="str">
            <v>-</v>
          </cell>
          <cell r="S1348" t="str">
            <v>-</v>
          </cell>
        </row>
        <row r="1349">
          <cell r="E1349" t="str">
            <v/>
          </cell>
          <cell r="N1349" t="str">
            <v>-</v>
          </cell>
          <cell r="R1349" t="str">
            <v>-</v>
          </cell>
          <cell r="S1349" t="str">
            <v>-</v>
          </cell>
        </row>
        <row r="1350">
          <cell r="E1350" t="str">
            <v/>
          </cell>
          <cell r="N1350" t="str">
            <v>-</v>
          </cell>
          <cell r="R1350" t="str">
            <v>-</v>
          </cell>
          <cell r="S1350" t="str">
            <v>-</v>
          </cell>
        </row>
        <row r="1351">
          <cell r="E1351" t="str">
            <v/>
          </cell>
          <cell r="N1351" t="str">
            <v>-</v>
          </cell>
          <cell r="R1351" t="str">
            <v>-</v>
          </cell>
          <cell r="S1351" t="str">
            <v>-</v>
          </cell>
        </row>
        <row r="1352">
          <cell r="E1352" t="str">
            <v/>
          </cell>
          <cell r="N1352" t="str">
            <v>-</v>
          </cell>
          <cell r="R1352" t="str">
            <v>-</v>
          </cell>
          <cell r="S1352" t="str">
            <v>-</v>
          </cell>
        </row>
        <row r="1353">
          <cell r="E1353" t="str">
            <v/>
          </cell>
          <cell r="N1353" t="str">
            <v>-</v>
          </cell>
          <cell r="R1353" t="str">
            <v>-</v>
          </cell>
          <cell r="S1353" t="str">
            <v>-</v>
          </cell>
        </row>
        <row r="1354">
          <cell r="E1354" t="str">
            <v/>
          </cell>
          <cell r="N1354" t="str">
            <v>-</v>
          </cell>
          <cell r="R1354" t="str">
            <v>-</v>
          </cell>
          <cell r="S1354" t="str">
            <v>-</v>
          </cell>
        </row>
        <row r="1355">
          <cell r="E1355" t="str">
            <v/>
          </cell>
          <cell r="N1355" t="str">
            <v>-</v>
          </cell>
          <cell r="R1355" t="str">
            <v>-</v>
          </cell>
          <cell r="S1355" t="str">
            <v>-</v>
          </cell>
        </row>
        <row r="1356">
          <cell r="E1356" t="str">
            <v/>
          </cell>
          <cell r="N1356" t="str">
            <v>-</v>
          </cell>
          <cell r="R1356" t="str">
            <v>-</v>
          </cell>
          <cell r="S1356" t="str">
            <v>-</v>
          </cell>
        </row>
        <row r="1357">
          <cell r="E1357" t="str">
            <v/>
          </cell>
          <cell r="N1357" t="str">
            <v>-</v>
          </cell>
          <cell r="R1357" t="str">
            <v>-</v>
          </cell>
          <cell r="S1357" t="str">
            <v>-</v>
          </cell>
        </row>
        <row r="1358">
          <cell r="E1358" t="str">
            <v/>
          </cell>
          <cell r="N1358" t="str">
            <v>-</v>
          </cell>
          <cell r="R1358" t="str">
            <v>-</v>
          </cell>
          <cell r="S1358" t="str">
            <v>-</v>
          </cell>
        </row>
        <row r="1359">
          <cell r="E1359" t="str">
            <v/>
          </cell>
          <cell r="N1359" t="str">
            <v>-</v>
          </cell>
          <cell r="R1359" t="str">
            <v>-</v>
          </cell>
          <cell r="S1359" t="str">
            <v>-</v>
          </cell>
        </row>
        <row r="1360">
          <cell r="E1360" t="str">
            <v/>
          </cell>
          <cell r="N1360" t="str">
            <v>-</v>
          </cell>
          <cell r="R1360" t="str">
            <v>-</v>
          </cell>
          <cell r="S1360" t="str">
            <v>-</v>
          </cell>
        </row>
        <row r="1361">
          <cell r="E1361" t="str">
            <v/>
          </cell>
          <cell r="N1361" t="str">
            <v>-</v>
          </cell>
          <cell r="R1361" t="str">
            <v>-</v>
          </cell>
          <cell r="S1361" t="str">
            <v>-</v>
          </cell>
        </row>
        <row r="1362">
          <cell r="E1362" t="str">
            <v/>
          </cell>
          <cell r="N1362" t="str">
            <v>-</v>
          </cell>
          <cell r="R1362" t="str">
            <v>-</v>
          </cell>
          <cell r="S1362" t="str">
            <v>-</v>
          </cell>
        </row>
        <row r="1363">
          <cell r="E1363" t="str">
            <v/>
          </cell>
          <cell r="N1363" t="str">
            <v>-</v>
          </cell>
          <cell r="R1363" t="str">
            <v>-</v>
          </cell>
          <cell r="S1363" t="str">
            <v>-</v>
          </cell>
        </row>
        <row r="1364">
          <cell r="E1364" t="str">
            <v/>
          </cell>
          <cell r="N1364" t="str">
            <v>-</v>
          </cell>
          <cell r="R1364" t="str">
            <v>-</v>
          </cell>
          <cell r="S1364" t="str">
            <v>-</v>
          </cell>
        </row>
        <row r="1365">
          <cell r="E1365" t="str">
            <v/>
          </cell>
          <cell r="N1365" t="str">
            <v>-</v>
          </cell>
          <cell r="R1365" t="str">
            <v>-</v>
          </cell>
          <cell r="S1365" t="str">
            <v>-</v>
          </cell>
        </row>
        <row r="1366">
          <cell r="E1366" t="str">
            <v/>
          </cell>
          <cell r="N1366" t="str">
            <v>-</v>
          </cell>
          <cell r="R1366" t="str">
            <v>-</v>
          </cell>
          <cell r="S1366" t="str">
            <v>-</v>
          </cell>
        </row>
        <row r="1367">
          <cell r="E1367" t="str">
            <v/>
          </cell>
          <cell r="N1367" t="str">
            <v>-</v>
          </cell>
          <cell r="R1367" t="str">
            <v>-</v>
          </cell>
          <cell r="S1367" t="str">
            <v>-</v>
          </cell>
        </row>
        <row r="1368">
          <cell r="E1368" t="str">
            <v/>
          </cell>
          <cell r="N1368" t="str">
            <v>-</v>
          </cell>
          <cell r="R1368" t="str">
            <v>-</v>
          </cell>
          <cell r="S1368" t="str">
            <v>-</v>
          </cell>
        </row>
        <row r="1369">
          <cell r="E1369" t="str">
            <v/>
          </cell>
          <cell r="N1369" t="str">
            <v>-</v>
          </cell>
          <cell r="R1369" t="str">
            <v>-</v>
          </cell>
          <cell r="S1369" t="str">
            <v>-</v>
          </cell>
        </row>
        <row r="1370">
          <cell r="E1370" t="str">
            <v/>
          </cell>
          <cell r="N1370" t="str">
            <v>-</v>
          </cell>
          <cell r="R1370" t="str">
            <v>-</v>
          </cell>
          <cell r="S1370" t="str">
            <v>-</v>
          </cell>
        </row>
        <row r="1371">
          <cell r="E1371" t="str">
            <v/>
          </cell>
          <cell r="N1371" t="str">
            <v>-</v>
          </cell>
          <cell r="R1371" t="str">
            <v>-</v>
          </cell>
          <cell r="S1371" t="str">
            <v>-</v>
          </cell>
        </row>
        <row r="1372">
          <cell r="E1372" t="str">
            <v/>
          </cell>
          <cell r="N1372" t="str">
            <v>-</v>
          </cell>
          <cell r="R1372" t="str">
            <v>-</v>
          </cell>
          <cell r="S1372" t="str">
            <v>-</v>
          </cell>
        </row>
        <row r="1373">
          <cell r="E1373" t="str">
            <v/>
          </cell>
          <cell r="N1373" t="str">
            <v>-</v>
          </cell>
          <cell r="R1373" t="str">
            <v>-</v>
          </cell>
          <cell r="S1373" t="str">
            <v>-</v>
          </cell>
        </row>
        <row r="1374">
          <cell r="E1374" t="str">
            <v/>
          </cell>
          <cell r="N1374" t="str">
            <v>-</v>
          </cell>
          <cell r="R1374" t="str">
            <v>-</v>
          </cell>
          <cell r="S1374" t="str">
            <v>-</v>
          </cell>
        </row>
        <row r="1375">
          <cell r="E1375" t="str">
            <v/>
          </cell>
          <cell r="N1375" t="str">
            <v>-</v>
          </cell>
          <cell r="R1375" t="str">
            <v>-</v>
          </cell>
          <cell r="S1375" t="str">
            <v>-</v>
          </cell>
        </row>
        <row r="1376">
          <cell r="E1376" t="str">
            <v/>
          </cell>
          <cell r="N1376" t="str">
            <v>-</v>
          </cell>
          <cell r="R1376" t="str">
            <v>-</v>
          </cell>
          <cell r="S1376" t="str">
            <v>-</v>
          </cell>
        </row>
        <row r="1377">
          <cell r="E1377" t="str">
            <v/>
          </cell>
          <cell r="N1377" t="str">
            <v>-</v>
          </cell>
          <cell r="R1377" t="str">
            <v>-</v>
          </cell>
          <cell r="S1377" t="str">
            <v>-</v>
          </cell>
        </row>
        <row r="1378">
          <cell r="E1378" t="str">
            <v/>
          </cell>
          <cell r="N1378" t="str">
            <v>-</v>
          </cell>
          <cell r="R1378" t="str">
            <v>-</v>
          </cell>
          <cell r="S1378" t="str">
            <v>-</v>
          </cell>
        </row>
        <row r="1379">
          <cell r="E1379" t="str">
            <v/>
          </cell>
          <cell r="N1379" t="str">
            <v>-</v>
          </cell>
          <cell r="R1379" t="str">
            <v>-</v>
          </cell>
          <cell r="S1379" t="str">
            <v>-</v>
          </cell>
        </row>
        <row r="1380">
          <cell r="E1380" t="str">
            <v/>
          </cell>
          <cell r="N1380" t="str">
            <v>-</v>
          </cell>
          <cell r="R1380" t="str">
            <v>-</v>
          </cell>
          <cell r="S1380" t="str">
            <v>-</v>
          </cell>
        </row>
        <row r="1381">
          <cell r="E1381" t="str">
            <v/>
          </cell>
          <cell r="N1381" t="str">
            <v>-</v>
          </cell>
          <cell r="R1381" t="str">
            <v>-</v>
          </cell>
          <cell r="S1381" t="str">
            <v>-</v>
          </cell>
        </row>
        <row r="1382">
          <cell r="E1382" t="str">
            <v/>
          </cell>
          <cell r="N1382" t="str">
            <v>-</v>
          </cell>
          <cell r="R1382" t="str">
            <v>-</v>
          </cell>
          <cell r="S1382" t="str">
            <v>-</v>
          </cell>
        </row>
        <row r="1383">
          <cell r="E1383" t="str">
            <v/>
          </cell>
          <cell r="N1383" t="str">
            <v>-</v>
          </cell>
          <cell r="R1383" t="str">
            <v>-</v>
          </cell>
          <cell r="S1383" t="str">
            <v>-</v>
          </cell>
        </row>
        <row r="1384">
          <cell r="E1384" t="str">
            <v/>
          </cell>
          <cell r="N1384" t="str">
            <v>-</v>
          </cell>
          <cell r="R1384" t="str">
            <v>-</v>
          </cell>
          <cell r="S1384" t="str">
            <v>-</v>
          </cell>
        </row>
        <row r="1385">
          <cell r="E1385" t="str">
            <v/>
          </cell>
          <cell r="N1385" t="str">
            <v>-</v>
          </cell>
          <cell r="R1385" t="str">
            <v>-</v>
          </cell>
          <cell r="S1385" t="str">
            <v>-</v>
          </cell>
        </row>
        <row r="1386">
          <cell r="E1386" t="str">
            <v/>
          </cell>
          <cell r="N1386" t="str">
            <v>-</v>
          </cell>
          <cell r="R1386" t="str">
            <v>-</v>
          </cell>
          <cell r="S1386" t="str">
            <v>-</v>
          </cell>
        </row>
        <row r="1387">
          <cell r="E1387" t="str">
            <v/>
          </cell>
          <cell r="N1387" t="str">
            <v>-</v>
          </cell>
          <cell r="R1387" t="str">
            <v>-</v>
          </cell>
          <cell r="S1387" t="str">
            <v>-</v>
          </cell>
        </row>
        <row r="1388">
          <cell r="E1388" t="str">
            <v/>
          </cell>
          <cell r="N1388" t="str">
            <v>-</v>
          </cell>
          <cell r="R1388" t="str">
            <v>-</v>
          </cell>
          <cell r="S1388" t="str">
            <v>-</v>
          </cell>
        </row>
        <row r="1389">
          <cell r="E1389" t="str">
            <v/>
          </cell>
          <cell r="N1389" t="str">
            <v>-</v>
          </cell>
          <cell r="R1389" t="str">
            <v>-</v>
          </cell>
          <cell r="S1389" t="str">
            <v>-</v>
          </cell>
        </row>
        <row r="1390">
          <cell r="E1390" t="str">
            <v/>
          </cell>
          <cell r="N1390" t="str">
            <v>-</v>
          </cell>
          <cell r="R1390" t="str">
            <v>-</v>
          </cell>
          <cell r="S1390" t="str">
            <v>-</v>
          </cell>
        </row>
        <row r="1391">
          <cell r="E1391" t="str">
            <v/>
          </cell>
          <cell r="N1391" t="str">
            <v>-</v>
          </cell>
          <cell r="R1391" t="str">
            <v>-</v>
          </cell>
          <cell r="S1391" t="str">
            <v>-</v>
          </cell>
        </row>
        <row r="1392">
          <cell r="E1392" t="str">
            <v/>
          </cell>
          <cell r="N1392" t="str">
            <v>-</v>
          </cell>
          <cell r="R1392" t="str">
            <v>-</v>
          </cell>
          <cell r="S1392" t="str">
            <v>-</v>
          </cell>
        </row>
        <row r="1393">
          <cell r="E1393" t="str">
            <v/>
          </cell>
          <cell r="N1393" t="str">
            <v>-</v>
          </cell>
          <cell r="R1393" t="str">
            <v>-</v>
          </cell>
          <cell r="S1393" t="str">
            <v>-</v>
          </cell>
        </row>
        <row r="1394">
          <cell r="E1394" t="str">
            <v/>
          </cell>
          <cell r="N1394" t="str">
            <v>-</v>
          </cell>
          <cell r="R1394" t="str">
            <v>-</v>
          </cell>
          <cell r="S1394" t="str">
            <v>-</v>
          </cell>
        </row>
        <row r="1395">
          <cell r="E1395" t="str">
            <v/>
          </cell>
          <cell r="N1395" t="str">
            <v>-</v>
          </cell>
          <cell r="R1395" t="str">
            <v>-</v>
          </cell>
          <cell r="S1395" t="str">
            <v>-</v>
          </cell>
        </row>
        <row r="1396">
          <cell r="E1396" t="str">
            <v/>
          </cell>
          <cell r="N1396" t="str">
            <v>-</v>
          </cell>
          <cell r="R1396" t="str">
            <v>-</v>
          </cell>
          <cell r="S1396" t="str">
            <v>-</v>
          </cell>
        </row>
        <row r="1397">
          <cell r="E1397" t="str">
            <v/>
          </cell>
          <cell r="N1397" t="str">
            <v>-</v>
          </cell>
          <cell r="R1397" t="str">
            <v>-</v>
          </cell>
          <cell r="S1397" t="str">
            <v>-</v>
          </cell>
        </row>
        <row r="1398">
          <cell r="E1398" t="str">
            <v/>
          </cell>
          <cell r="N1398" t="str">
            <v>-</v>
          </cell>
          <cell r="R1398" t="str">
            <v>-</v>
          </cell>
          <cell r="S1398" t="str">
            <v>-</v>
          </cell>
        </row>
        <row r="1399">
          <cell r="E1399" t="str">
            <v/>
          </cell>
          <cell r="N1399" t="str">
            <v>-</v>
          </cell>
          <cell r="R1399" t="str">
            <v>-</v>
          </cell>
          <cell r="S1399" t="str">
            <v>-</v>
          </cell>
        </row>
        <row r="1400">
          <cell r="E1400" t="str">
            <v/>
          </cell>
          <cell r="N1400" t="str">
            <v>-</v>
          </cell>
          <cell r="R1400" t="str">
            <v>-</v>
          </cell>
          <cell r="S1400" t="str">
            <v>-</v>
          </cell>
        </row>
        <row r="1401">
          <cell r="E1401" t="str">
            <v/>
          </cell>
          <cell r="N1401" t="str">
            <v>-</v>
          </cell>
          <cell r="R1401" t="str">
            <v>-</v>
          </cell>
          <cell r="S1401" t="str">
            <v>-</v>
          </cell>
        </row>
        <row r="1402">
          <cell r="E1402" t="str">
            <v/>
          </cell>
          <cell r="N1402" t="str">
            <v>-</v>
          </cell>
          <cell r="R1402" t="str">
            <v>-</v>
          </cell>
          <cell r="S1402" t="str">
            <v>-</v>
          </cell>
        </row>
        <row r="1403">
          <cell r="E1403" t="str">
            <v/>
          </cell>
          <cell r="N1403" t="str">
            <v>-</v>
          </cell>
          <cell r="R1403" t="str">
            <v>-</v>
          </cell>
          <cell r="S1403" t="str">
            <v>-</v>
          </cell>
        </row>
        <row r="1404">
          <cell r="E1404" t="str">
            <v/>
          </cell>
          <cell r="N1404" t="str">
            <v>-</v>
          </cell>
          <cell r="R1404" t="str">
            <v>-</v>
          </cell>
          <cell r="S1404" t="str">
            <v>-</v>
          </cell>
        </row>
        <row r="1405">
          <cell r="E1405" t="str">
            <v/>
          </cell>
          <cell r="N1405" t="str">
            <v>-</v>
          </cell>
          <cell r="R1405" t="str">
            <v>-</v>
          </cell>
          <cell r="S1405" t="str">
            <v>-</v>
          </cell>
        </row>
        <row r="1406">
          <cell r="E1406" t="str">
            <v/>
          </cell>
          <cell r="N1406" t="str">
            <v>-</v>
          </cell>
          <cell r="R1406" t="str">
            <v>-</v>
          </cell>
          <cell r="S1406" t="str">
            <v>-</v>
          </cell>
        </row>
        <row r="1407">
          <cell r="E1407" t="str">
            <v/>
          </cell>
          <cell r="N1407" t="str">
            <v>-</v>
          </cell>
          <cell r="R1407" t="str">
            <v>-</v>
          </cell>
          <cell r="S1407" t="str">
            <v>-</v>
          </cell>
        </row>
        <row r="1408">
          <cell r="E1408" t="str">
            <v/>
          </cell>
          <cell r="N1408" t="str">
            <v>-</v>
          </cell>
          <cell r="R1408" t="str">
            <v>-</v>
          </cell>
          <cell r="S1408" t="str">
            <v>-</v>
          </cell>
        </row>
        <row r="1409">
          <cell r="E1409" t="str">
            <v/>
          </cell>
          <cell r="N1409" t="str">
            <v>-</v>
          </cell>
          <cell r="R1409" t="str">
            <v>-</v>
          </cell>
          <cell r="S1409" t="str">
            <v>-</v>
          </cell>
        </row>
        <row r="1410">
          <cell r="E1410" t="str">
            <v/>
          </cell>
          <cell r="N1410" t="str">
            <v>-</v>
          </cell>
          <cell r="R1410" t="str">
            <v>-</v>
          </cell>
          <cell r="S1410" t="str">
            <v>-</v>
          </cell>
        </row>
        <row r="1411">
          <cell r="E1411" t="str">
            <v/>
          </cell>
          <cell r="N1411" t="str">
            <v>-</v>
          </cell>
          <cell r="R1411" t="str">
            <v>-</v>
          </cell>
          <cell r="S1411" t="str">
            <v>-</v>
          </cell>
        </row>
        <row r="1412">
          <cell r="E1412" t="str">
            <v/>
          </cell>
          <cell r="N1412" t="str">
            <v>-</v>
          </cell>
          <cell r="R1412" t="str">
            <v>-</v>
          </cell>
          <cell r="S1412" t="str">
            <v>-</v>
          </cell>
        </row>
        <row r="1413">
          <cell r="E1413" t="str">
            <v/>
          </cell>
          <cell r="N1413" t="str">
            <v>-</v>
          </cell>
          <cell r="R1413" t="str">
            <v>-</v>
          </cell>
          <cell r="S1413" t="str">
            <v>-</v>
          </cell>
        </row>
        <row r="1414">
          <cell r="E1414" t="str">
            <v/>
          </cell>
          <cell r="N1414" t="str">
            <v>-</v>
          </cell>
          <cell r="R1414" t="str">
            <v>-</v>
          </cell>
          <cell r="S1414" t="str">
            <v>-</v>
          </cell>
        </row>
        <row r="1415">
          <cell r="E1415" t="str">
            <v/>
          </cell>
          <cell r="N1415" t="str">
            <v>-</v>
          </cell>
          <cell r="R1415" t="str">
            <v>-</v>
          </cell>
          <cell r="S1415" t="str">
            <v>-</v>
          </cell>
        </row>
        <row r="1416">
          <cell r="E1416" t="str">
            <v/>
          </cell>
          <cell r="N1416" t="str">
            <v>-</v>
          </cell>
          <cell r="R1416" t="str">
            <v>-</v>
          </cell>
          <cell r="S1416" t="str">
            <v>-</v>
          </cell>
        </row>
        <row r="1417">
          <cell r="E1417" t="str">
            <v/>
          </cell>
          <cell r="N1417" t="str">
            <v>-</v>
          </cell>
          <cell r="R1417" t="str">
            <v>-</v>
          </cell>
          <cell r="S1417" t="str">
            <v>-</v>
          </cell>
        </row>
        <row r="1418">
          <cell r="E1418" t="str">
            <v/>
          </cell>
          <cell r="N1418" t="str">
            <v>-</v>
          </cell>
          <cell r="R1418" t="str">
            <v>-</v>
          </cell>
          <cell r="S1418" t="str">
            <v>-</v>
          </cell>
        </row>
        <row r="1419">
          <cell r="E1419" t="str">
            <v/>
          </cell>
          <cell r="N1419" t="str">
            <v>-</v>
          </cell>
          <cell r="R1419" t="str">
            <v>-</v>
          </cell>
          <cell r="S1419" t="str">
            <v>-</v>
          </cell>
        </row>
        <row r="1420">
          <cell r="E1420" t="str">
            <v/>
          </cell>
          <cell r="N1420" t="str">
            <v>-</v>
          </cell>
          <cell r="R1420" t="str">
            <v>-</v>
          </cell>
          <cell r="S1420" t="str">
            <v>-</v>
          </cell>
        </row>
        <row r="1421">
          <cell r="E1421" t="str">
            <v/>
          </cell>
          <cell r="N1421" t="str">
            <v>-</v>
          </cell>
          <cell r="R1421" t="str">
            <v>-</v>
          </cell>
          <cell r="S1421" t="str">
            <v>-</v>
          </cell>
        </row>
        <row r="1422">
          <cell r="E1422" t="str">
            <v/>
          </cell>
          <cell r="N1422" t="str">
            <v>-</v>
          </cell>
          <cell r="R1422" t="str">
            <v>-</v>
          </cell>
          <cell r="S1422" t="str">
            <v>-</v>
          </cell>
        </row>
        <row r="1423">
          <cell r="E1423" t="str">
            <v/>
          </cell>
          <cell r="N1423" t="str">
            <v>-</v>
          </cell>
          <cell r="R1423" t="str">
            <v>-</v>
          </cell>
          <cell r="S1423" t="str">
            <v>-</v>
          </cell>
        </row>
        <row r="1424">
          <cell r="E1424" t="str">
            <v/>
          </cell>
          <cell r="N1424" t="str">
            <v>-</v>
          </cell>
          <cell r="R1424" t="str">
            <v>-</v>
          </cell>
          <cell r="S1424" t="str">
            <v>-</v>
          </cell>
        </row>
        <row r="1425">
          <cell r="E1425" t="str">
            <v/>
          </cell>
          <cell r="N1425" t="str">
            <v>-</v>
          </cell>
          <cell r="R1425" t="str">
            <v>-</v>
          </cell>
          <cell r="S1425" t="str">
            <v>-</v>
          </cell>
        </row>
        <row r="1426">
          <cell r="E1426" t="str">
            <v/>
          </cell>
          <cell r="N1426" t="str">
            <v>-</v>
          </cell>
          <cell r="R1426" t="str">
            <v>-</v>
          </cell>
          <cell r="S1426" t="str">
            <v>-</v>
          </cell>
        </row>
        <row r="1427">
          <cell r="E1427" t="str">
            <v/>
          </cell>
          <cell r="N1427" t="str">
            <v>-</v>
          </cell>
          <cell r="R1427" t="str">
            <v>-</v>
          </cell>
          <cell r="S1427" t="str">
            <v>-</v>
          </cell>
        </row>
        <row r="1428">
          <cell r="E1428" t="str">
            <v/>
          </cell>
          <cell r="N1428" t="str">
            <v>-</v>
          </cell>
          <cell r="R1428" t="str">
            <v>-</v>
          </cell>
          <cell r="S1428" t="str">
            <v>-</v>
          </cell>
        </row>
        <row r="1429">
          <cell r="E1429" t="str">
            <v/>
          </cell>
          <cell r="N1429" t="str">
            <v>-</v>
          </cell>
          <cell r="R1429" t="str">
            <v>-</v>
          </cell>
          <cell r="S1429" t="str">
            <v>-</v>
          </cell>
        </row>
        <row r="1430">
          <cell r="E1430" t="str">
            <v/>
          </cell>
          <cell r="N1430" t="str">
            <v>-</v>
          </cell>
          <cell r="R1430" t="str">
            <v>-</v>
          </cell>
          <cell r="S1430" t="str">
            <v>-</v>
          </cell>
        </row>
        <row r="1431">
          <cell r="E1431" t="str">
            <v/>
          </cell>
          <cell r="N1431" t="str">
            <v>-</v>
          </cell>
          <cell r="R1431" t="str">
            <v>-</v>
          </cell>
          <cell r="S1431" t="str">
            <v>-</v>
          </cell>
        </row>
        <row r="1432">
          <cell r="E1432" t="str">
            <v/>
          </cell>
          <cell r="N1432" t="str">
            <v>-</v>
          </cell>
          <cell r="R1432" t="str">
            <v>-</v>
          </cell>
          <cell r="S1432" t="str">
            <v>-</v>
          </cell>
        </row>
        <row r="1433">
          <cell r="E1433" t="str">
            <v/>
          </cell>
          <cell r="N1433" t="str">
            <v>-</v>
          </cell>
          <cell r="R1433" t="str">
            <v>-</v>
          </cell>
          <cell r="S1433" t="str">
            <v>-</v>
          </cell>
        </row>
        <row r="1434">
          <cell r="E1434" t="str">
            <v/>
          </cell>
          <cell r="N1434" t="str">
            <v>-</v>
          </cell>
          <cell r="R1434" t="str">
            <v>-</v>
          </cell>
          <cell r="S1434" t="str">
            <v>-</v>
          </cell>
        </row>
        <row r="1435">
          <cell r="E1435" t="str">
            <v/>
          </cell>
          <cell r="N1435" t="str">
            <v>-</v>
          </cell>
          <cell r="R1435" t="str">
            <v>-</v>
          </cell>
          <cell r="S1435" t="str">
            <v>-</v>
          </cell>
        </row>
        <row r="1436">
          <cell r="E1436" t="str">
            <v/>
          </cell>
          <cell r="N1436" t="str">
            <v>-</v>
          </cell>
          <cell r="R1436" t="str">
            <v>-</v>
          </cell>
          <cell r="S1436" t="str">
            <v>-</v>
          </cell>
        </row>
        <row r="1437">
          <cell r="E1437" t="str">
            <v/>
          </cell>
          <cell r="N1437" t="str">
            <v>-</v>
          </cell>
          <cell r="R1437" t="str">
            <v>-</v>
          </cell>
          <cell r="S1437" t="str">
            <v>-</v>
          </cell>
        </row>
        <row r="1438">
          <cell r="E1438" t="str">
            <v/>
          </cell>
          <cell r="N1438" t="str">
            <v>-</v>
          </cell>
          <cell r="R1438" t="str">
            <v>-</v>
          </cell>
          <cell r="S1438" t="str">
            <v>-</v>
          </cell>
        </row>
        <row r="1439">
          <cell r="E1439" t="str">
            <v/>
          </cell>
          <cell r="N1439" t="str">
            <v>-</v>
          </cell>
          <cell r="R1439" t="str">
            <v>-</v>
          </cell>
          <cell r="S1439" t="str">
            <v>-</v>
          </cell>
        </row>
        <row r="1440">
          <cell r="E1440" t="str">
            <v/>
          </cell>
          <cell r="N1440" t="str">
            <v>-</v>
          </cell>
          <cell r="R1440" t="str">
            <v>-</v>
          </cell>
          <cell r="S1440" t="str">
            <v>-</v>
          </cell>
        </row>
        <row r="1441">
          <cell r="E1441" t="str">
            <v/>
          </cell>
          <cell r="N1441" t="str">
            <v>-</v>
          </cell>
          <cell r="R1441" t="str">
            <v>-</v>
          </cell>
          <cell r="S1441" t="str">
            <v>-</v>
          </cell>
        </row>
        <row r="1442">
          <cell r="E1442" t="str">
            <v/>
          </cell>
          <cell r="N1442" t="str">
            <v>-</v>
          </cell>
          <cell r="R1442" t="str">
            <v>-</v>
          </cell>
          <cell r="S1442" t="str">
            <v>-</v>
          </cell>
        </row>
        <row r="1443">
          <cell r="E1443" t="str">
            <v/>
          </cell>
          <cell r="N1443" t="str">
            <v>-</v>
          </cell>
          <cell r="R1443" t="str">
            <v>-</v>
          </cell>
          <cell r="S1443" t="str">
            <v>-</v>
          </cell>
        </row>
        <row r="1444">
          <cell r="E1444" t="str">
            <v/>
          </cell>
          <cell r="N1444" t="str">
            <v>-</v>
          </cell>
          <cell r="R1444" t="str">
            <v>-</v>
          </cell>
          <cell r="S1444" t="str">
            <v>-</v>
          </cell>
        </row>
        <row r="1445">
          <cell r="E1445" t="str">
            <v/>
          </cell>
          <cell r="N1445" t="str">
            <v>-</v>
          </cell>
          <cell r="R1445" t="str">
            <v>-</v>
          </cell>
          <cell r="S1445" t="str">
            <v>-</v>
          </cell>
        </row>
        <row r="1446">
          <cell r="E1446" t="str">
            <v/>
          </cell>
          <cell r="N1446" t="str">
            <v>-</v>
          </cell>
          <cell r="R1446" t="str">
            <v>-</v>
          </cell>
          <cell r="S1446" t="str">
            <v>-</v>
          </cell>
        </row>
        <row r="1447">
          <cell r="E1447" t="str">
            <v/>
          </cell>
          <cell r="N1447" t="str">
            <v>-</v>
          </cell>
          <cell r="R1447" t="str">
            <v>-</v>
          </cell>
          <cell r="S1447" t="str">
            <v>-</v>
          </cell>
        </row>
        <row r="1448">
          <cell r="E1448" t="str">
            <v/>
          </cell>
          <cell r="N1448" t="str">
            <v>-</v>
          </cell>
          <cell r="R1448" t="str">
            <v>-</v>
          </cell>
          <cell r="S1448" t="str">
            <v>-</v>
          </cell>
        </row>
        <row r="1449">
          <cell r="E1449" t="str">
            <v/>
          </cell>
          <cell r="N1449" t="str">
            <v>-</v>
          </cell>
          <cell r="R1449" t="str">
            <v>-</v>
          </cell>
          <cell r="S1449" t="str">
            <v>-</v>
          </cell>
        </row>
        <row r="1450">
          <cell r="E1450" t="str">
            <v/>
          </cell>
          <cell r="N1450" t="str">
            <v>-</v>
          </cell>
          <cell r="R1450" t="str">
            <v>-</v>
          </cell>
          <cell r="S1450" t="str">
            <v>-</v>
          </cell>
        </row>
        <row r="1451">
          <cell r="E1451" t="str">
            <v/>
          </cell>
          <cell r="N1451" t="str">
            <v>-</v>
          </cell>
          <cell r="R1451" t="str">
            <v>-</v>
          </cell>
          <cell r="S1451" t="str">
            <v>-</v>
          </cell>
        </row>
        <row r="1452">
          <cell r="E1452" t="str">
            <v/>
          </cell>
          <cell r="N1452" t="str">
            <v>-</v>
          </cell>
          <cell r="R1452" t="str">
            <v>-</v>
          </cell>
          <cell r="S1452" t="str">
            <v>-</v>
          </cell>
        </row>
        <row r="1453">
          <cell r="E1453" t="str">
            <v/>
          </cell>
          <cell r="N1453" t="str">
            <v>-</v>
          </cell>
          <cell r="R1453" t="str">
            <v>-</v>
          </cell>
          <cell r="S1453" t="str">
            <v>-</v>
          </cell>
        </row>
        <row r="1454">
          <cell r="E1454" t="str">
            <v/>
          </cell>
          <cell r="N1454" t="str">
            <v>-</v>
          </cell>
          <cell r="R1454" t="str">
            <v>-</v>
          </cell>
          <cell r="S1454" t="str">
            <v>-</v>
          </cell>
        </row>
        <row r="1455">
          <cell r="E1455" t="str">
            <v/>
          </cell>
          <cell r="N1455" t="str">
            <v>-</v>
          </cell>
          <cell r="R1455" t="str">
            <v>-</v>
          </cell>
          <cell r="S1455" t="str">
            <v>-</v>
          </cell>
        </row>
        <row r="1456">
          <cell r="E1456" t="str">
            <v/>
          </cell>
          <cell r="N1456" t="str">
            <v>-</v>
          </cell>
          <cell r="R1456" t="str">
            <v>-</v>
          </cell>
          <cell r="S1456" t="str">
            <v>-</v>
          </cell>
        </row>
        <row r="1457">
          <cell r="E1457" t="str">
            <v/>
          </cell>
          <cell r="N1457" t="str">
            <v>-</v>
          </cell>
          <cell r="R1457" t="str">
            <v>-</v>
          </cell>
          <cell r="S1457" t="str">
            <v>-</v>
          </cell>
        </row>
        <row r="1458">
          <cell r="E1458" t="str">
            <v/>
          </cell>
          <cell r="N1458" t="str">
            <v>-</v>
          </cell>
          <cell r="R1458" t="str">
            <v>-</v>
          </cell>
          <cell r="S1458" t="str">
            <v>-</v>
          </cell>
        </row>
        <row r="1459">
          <cell r="E1459" t="str">
            <v/>
          </cell>
          <cell r="N1459" t="str">
            <v>-</v>
          </cell>
          <cell r="R1459" t="str">
            <v>-</v>
          </cell>
          <cell r="S1459" t="str">
            <v>-</v>
          </cell>
        </row>
        <row r="1460">
          <cell r="E1460" t="str">
            <v/>
          </cell>
          <cell r="N1460" t="str">
            <v>-</v>
          </cell>
          <cell r="R1460" t="str">
            <v>-</v>
          </cell>
          <cell r="S1460" t="str">
            <v>-</v>
          </cell>
        </row>
        <row r="1461">
          <cell r="E1461" t="str">
            <v/>
          </cell>
          <cell r="N1461" t="str">
            <v>-</v>
          </cell>
          <cell r="R1461" t="str">
            <v>-</v>
          </cell>
          <cell r="S1461" t="str">
            <v>-</v>
          </cell>
        </row>
        <row r="1462">
          <cell r="E1462" t="str">
            <v/>
          </cell>
          <cell r="N1462" t="str">
            <v>-</v>
          </cell>
          <cell r="R1462" t="str">
            <v>-</v>
          </cell>
          <cell r="S1462" t="str">
            <v>-</v>
          </cell>
        </row>
        <row r="1463">
          <cell r="E1463" t="str">
            <v/>
          </cell>
          <cell r="N1463" t="str">
            <v>-</v>
          </cell>
          <cell r="R1463" t="str">
            <v>-</v>
          </cell>
          <cell r="S1463" t="str">
            <v>-</v>
          </cell>
        </row>
        <row r="1464">
          <cell r="E1464" t="str">
            <v/>
          </cell>
          <cell r="N1464" t="str">
            <v>-</v>
          </cell>
          <cell r="R1464" t="str">
            <v>-</v>
          </cell>
          <cell r="S1464" t="str">
            <v>-</v>
          </cell>
        </row>
        <row r="1465">
          <cell r="E1465" t="str">
            <v/>
          </cell>
          <cell r="N1465" t="str">
            <v>-</v>
          </cell>
          <cell r="R1465" t="str">
            <v>-</v>
          </cell>
          <cell r="S1465" t="str">
            <v>-</v>
          </cell>
        </row>
        <row r="1466">
          <cell r="E1466" t="str">
            <v/>
          </cell>
          <cell r="N1466" t="str">
            <v>-</v>
          </cell>
          <cell r="R1466" t="str">
            <v>-</v>
          </cell>
          <cell r="S1466" t="str">
            <v>-</v>
          </cell>
        </row>
        <row r="1467">
          <cell r="E1467" t="str">
            <v/>
          </cell>
          <cell r="N1467" t="str">
            <v>-</v>
          </cell>
          <cell r="R1467" t="str">
            <v>-</v>
          </cell>
          <cell r="S1467" t="str">
            <v>-</v>
          </cell>
        </row>
        <row r="1468">
          <cell r="E1468" t="str">
            <v/>
          </cell>
          <cell r="N1468" t="str">
            <v>-</v>
          </cell>
          <cell r="R1468" t="str">
            <v>-</v>
          </cell>
          <cell r="S1468" t="str">
            <v>-</v>
          </cell>
        </row>
        <row r="1469">
          <cell r="E1469" t="str">
            <v/>
          </cell>
          <cell r="N1469" t="str">
            <v>-</v>
          </cell>
          <cell r="R1469" t="str">
            <v>-</v>
          </cell>
          <cell r="S1469" t="str">
            <v>-</v>
          </cell>
        </row>
        <row r="1470">
          <cell r="E1470" t="str">
            <v/>
          </cell>
          <cell r="N1470" t="str">
            <v>-</v>
          </cell>
          <cell r="R1470" t="str">
            <v>-</v>
          </cell>
          <cell r="S1470" t="str">
            <v>-</v>
          </cell>
        </row>
        <row r="1471">
          <cell r="E1471" t="str">
            <v/>
          </cell>
          <cell r="N1471" t="str">
            <v>-</v>
          </cell>
          <cell r="R1471" t="str">
            <v>-</v>
          </cell>
          <cell r="S1471" t="str">
            <v>-</v>
          </cell>
        </row>
        <row r="1472">
          <cell r="E1472" t="str">
            <v/>
          </cell>
          <cell r="N1472" t="str">
            <v>-</v>
          </cell>
          <cell r="R1472" t="str">
            <v>-</v>
          </cell>
          <cell r="S1472" t="str">
            <v>-</v>
          </cell>
        </row>
        <row r="1473">
          <cell r="E1473" t="str">
            <v/>
          </cell>
          <cell r="N1473" t="str">
            <v>-</v>
          </cell>
          <cell r="R1473" t="str">
            <v>-</v>
          </cell>
          <cell r="S1473" t="str">
            <v>-</v>
          </cell>
        </row>
        <row r="1474">
          <cell r="E1474" t="str">
            <v/>
          </cell>
          <cell r="N1474" t="str">
            <v>-</v>
          </cell>
          <cell r="R1474" t="str">
            <v>-</v>
          </cell>
          <cell r="S1474" t="str">
            <v>-</v>
          </cell>
        </row>
        <row r="1475">
          <cell r="E1475" t="str">
            <v/>
          </cell>
          <cell r="N1475" t="str">
            <v>-</v>
          </cell>
          <cell r="R1475" t="str">
            <v>-</v>
          </cell>
          <cell r="S1475" t="str">
            <v>-</v>
          </cell>
        </row>
        <row r="1476">
          <cell r="E1476" t="str">
            <v/>
          </cell>
          <cell r="N1476" t="str">
            <v>-</v>
          </cell>
          <cell r="R1476" t="str">
            <v>-</v>
          </cell>
          <cell r="S1476" t="str">
            <v>-</v>
          </cell>
        </row>
        <row r="1477">
          <cell r="E1477" t="str">
            <v/>
          </cell>
          <cell r="N1477" t="str">
            <v>-</v>
          </cell>
          <cell r="R1477" t="str">
            <v>-</v>
          </cell>
          <cell r="S1477" t="str">
            <v>-</v>
          </cell>
        </row>
        <row r="1478">
          <cell r="E1478" t="str">
            <v/>
          </cell>
          <cell r="N1478" t="str">
            <v>-</v>
          </cell>
          <cell r="R1478" t="str">
            <v>-</v>
          </cell>
          <cell r="S1478" t="str">
            <v>-</v>
          </cell>
        </row>
        <row r="1479">
          <cell r="E1479" t="str">
            <v/>
          </cell>
          <cell r="N1479" t="str">
            <v>-</v>
          </cell>
          <cell r="R1479" t="str">
            <v>-</v>
          </cell>
          <cell r="S1479" t="str">
            <v>-</v>
          </cell>
        </row>
        <row r="1480">
          <cell r="E1480" t="str">
            <v/>
          </cell>
          <cell r="N1480" t="str">
            <v>-</v>
          </cell>
          <cell r="R1480" t="str">
            <v>-</v>
          </cell>
          <cell r="S1480" t="str">
            <v>-</v>
          </cell>
        </row>
        <row r="1481">
          <cell r="E1481" t="str">
            <v/>
          </cell>
          <cell r="N1481" t="str">
            <v>-</v>
          </cell>
          <cell r="R1481" t="str">
            <v>-</v>
          </cell>
          <cell r="S1481" t="str">
            <v>-</v>
          </cell>
        </row>
        <row r="1482">
          <cell r="E1482" t="str">
            <v/>
          </cell>
          <cell r="N1482" t="str">
            <v>-</v>
          </cell>
          <cell r="R1482" t="str">
            <v>-</v>
          </cell>
          <cell r="S1482" t="str">
            <v>-</v>
          </cell>
        </row>
        <row r="1483">
          <cell r="E1483" t="str">
            <v/>
          </cell>
          <cell r="N1483" t="str">
            <v>-</v>
          </cell>
          <cell r="R1483" t="str">
            <v>-</v>
          </cell>
          <cell r="S1483" t="str">
            <v>-</v>
          </cell>
        </row>
        <row r="1484">
          <cell r="E1484" t="str">
            <v/>
          </cell>
          <cell r="N1484" t="str">
            <v>-</v>
          </cell>
          <cell r="R1484" t="str">
            <v>-</v>
          </cell>
          <cell r="S1484" t="str">
            <v>-</v>
          </cell>
        </row>
        <row r="1485">
          <cell r="E1485" t="str">
            <v/>
          </cell>
          <cell r="N1485" t="str">
            <v>-</v>
          </cell>
          <cell r="R1485" t="str">
            <v>-</v>
          </cell>
          <cell r="S1485" t="str">
            <v>-</v>
          </cell>
        </row>
        <row r="1486">
          <cell r="E1486" t="str">
            <v/>
          </cell>
          <cell r="N1486" t="str">
            <v>-</v>
          </cell>
          <cell r="R1486" t="str">
            <v>-</v>
          </cell>
          <cell r="S1486" t="str">
            <v>-</v>
          </cell>
        </row>
        <row r="1487">
          <cell r="E1487" t="str">
            <v/>
          </cell>
          <cell r="N1487" t="str">
            <v>-</v>
          </cell>
          <cell r="R1487" t="str">
            <v>-</v>
          </cell>
          <cell r="S1487" t="str">
            <v>-</v>
          </cell>
        </row>
        <row r="1488">
          <cell r="E1488" t="str">
            <v/>
          </cell>
          <cell r="N1488" t="str">
            <v>-</v>
          </cell>
          <cell r="R1488" t="str">
            <v>-</v>
          </cell>
          <cell r="S1488" t="str">
            <v>-</v>
          </cell>
        </row>
        <row r="1489">
          <cell r="E1489" t="str">
            <v/>
          </cell>
          <cell r="N1489" t="str">
            <v>-</v>
          </cell>
          <cell r="R1489" t="str">
            <v>-</v>
          </cell>
          <cell r="S1489" t="str">
            <v>-</v>
          </cell>
        </row>
        <row r="1490">
          <cell r="E1490" t="str">
            <v/>
          </cell>
          <cell r="N1490" t="str">
            <v>-</v>
          </cell>
          <cell r="R1490" t="str">
            <v>-</v>
          </cell>
          <cell r="S1490" t="str">
            <v>-</v>
          </cell>
        </row>
        <row r="1491">
          <cell r="E1491" t="str">
            <v/>
          </cell>
          <cell r="N1491" t="str">
            <v>-</v>
          </cell>
          <cell r="R1491" t="str">
            <v>-</v>
          </cell>
          <cell r="S1491" t="str">
            <v>-</v>
          </cell>
        </row>
        <row r="1492">
          <cell r="E1492" t="str">
            <v/>
          </cell>
          <cell r="N1492" t="str">
            <v>-</v>
          </cell>
          <cell r="R1492" t="str">
            <v>-</v>
          </cell>
          <cell r="S1492" t="str">
            <v>-</v>
          </cell>
        </row>
        <row r="1493">
          <cell r="E1493" t="str">
            <v/>
          </cell>
          <cell r="N1493" t="str">
            <v>-</v>
          </cell>
          <cell r="R1493" t="str">
            <v>-</v>
          </cell>
          <cell r="S1493" t="str">
            <v>-</v>
          </cell>
        </row>
        <row r="1494">
          <cell r="E1494" t="str">
            <v/>
          </cell>
          <cell r="N1494" t="str">
            <v>-</v>
          </cell>
          <cell r="R1494" t="str">
            <v>-</v>
          </cell>
          <cell r="S1494" t="str">
            <v>-</v>
          </cell>
        </row>
        <row r="1495">
          <cell r="E1495" t="str">
            <v/>
          </cell>
          <cell r="N1495" t="str">
            <v>-</v>
          </cell>
          <cell r="R1495" t="str">
            <v>-</v>
          </cell>
          <cell r="S1495" t="str">
            <v>-</v>
          </cell>
        </row>
        <row r="1496">
          <cell r="E1496" t="str">
            <v/>
          </cell>
          <cell r="N1496" t="str">
            <v>-</v>
          </cell>
          <cell r="R1496" t="str">
            <v>-</v>
          </cell>
          <cell r="S1496" t="str">
            <v>-</v>
          </cell>
        </row>
        <row r="1497">
          <cell r="E1497" t="str">
            <v/>
          </cell>
          <cell r="N1497" t="str">
            <v>-</v>
          </cell>
          <cell r="R1497" t="str">
            <v>-</v>
          </cell>
          <cell r="S1497" t="str">
            <v>-</v>
          </cell>
        </row>
        <row r="1498">
          <cell r="E1498" t="str">
            <v/>
          </cell>
          <cell r="N1498" t="str">
            <v>-</v>
          </cell>
          <cell r="R1498" t="str">
            <v>-</v>
          </cell>
          <cell r="S1498" t="str">
            <v>-</v>
          </cell>
        </row>
        <row r="1499">
          <cell r="E1499" t="str">
            <v/>
          </cell>
          <cell r="N1499" t="str">
            <v>-</v>
          </cell>
          <cell r="R1499" t="str">
            <v>-</v>
          </cell>
          <cell r="S1499" t="str">
            <v>-</v>
          </cell>
        </row>
        <row r="1500">
          <cell r="E1500" t="str">
            <v/>
          </cell>
          <cell r="N1500" t="str">
            <v>-</v>
          </cell>
          <cell r="R1500" t="str">
            <v>-</v>
          </cell>
          <cell r="S1500" t="str">
            <v>-</v>
          </cell>
        </row>
        <row r="1501">
          <cell r="E1501" t="str">
            <v/>
          </cell>
          <cell r="N1501" t="str">
            <v>-</v>
          </cell>
          <cell r="R1501" t="str">
            <v>-</v>
          </cell>
          <cell r="S1501" t="str">
            <v>-</v>
          </cell>
        </row>
        <row r="1502">
          <cell r="E1502" t="str">
            <v/>
          </cell>
          <cell r="N1502" t="str">
            <v>-</v>
          </cell>
          <cell r="R1502" t="str">
            <v>-</v>
          </cell>
          <cell r="S1502" t="str">
            <v>-</v>
          </cell>
        </row>
        <row r="1503">
          <cell r="E1503" t="str">
            <v/>
          </cell>
          <cell r="N1503" t="str">
            <v>-</v>
          </cell>
          <cell r="R1503" t="str">
            <v>-</v>
          </cell>
          <cell r="S1503" t="str">
            <v>-</v>
          </cell>
        </row>
        <row r="1504">
          <cell r="E1504" t="str">
            <v/>
          </cell>
          <cell r="N1504" t="str">
            <v>-</v>
          </cell>
          <cell r="R1504" t="str">
            <v>-</v>
          </cell>
          <cell r="S1504" t="str">
            <v>-</v>
          </cell>
        </row>
        <row r="1505">
          <cell r="E1505" t="str">
            <v/>
          </cell>
          <cell r="N1505" t="str">
            <v>-</v>
          </cell>
          <cell r="R1505" t="str">
            <v>-</v>
          </cell>
          <cell r="S1505" t="str">
            <v>-</v>
          </cell>
        </row>
        <row r="1506">
          <cell r="E1506" t="str">
            <v/>
          </cell>
          <cell r="N1506" t="str">
            <v>-</v>
          </cell>
          <cell r="R1506" t="str">
            <v>-</v>
          </cell>
          <cell r="S1506" t="str">
            <v>-</v>
          </cell>
        </row>
        <row r="1507">
          <cell r="E1507" t="str">
            <v/>
          </cell>
          <cell r="N1507" t="str">
            <v>-</v>
          </cell>
          <cell r="R1507" t="str">
            <v>-</v>
          </cell>
          <cell r="S1507" t="str">
            <v>-</v>
          </cell>
        </row>
        <row r="1508">
          <cell r="E1508" t="str">
            <v/>
          </cell>
          <cell r="N1508" t="str">
            <v>-</v>
          </cell>
          <cell r="R1508" t="str">
            <v>-</v>
          </cell>
          <cell r="S1508" t="str">
            <v>-</v>
          </cell>
        </row>
        <row r="1509">
          <cell r="E1509" t="str">
            <v/>
          </cell>
          <cell r="N1509" t="str">
            <v>-</v>
          </cell>
          <cell r="R1509" t="str">
            <v>-</v>
          </cell>
          <cell r="S1509" t="str">
            <v>-</v>
          </cell>
        </row>
        <row r="1510">
          <cell r="E1510" t="str">
            <v/>
          </cell>
          <cell r="N1510" t="str">
            <v>-</v>
          </cell>
          <cell r="R1510" t="str">
            <v>-</v>
          </cell>
          <cell r="S1510" t="str">
            <v>-</v>
          </cell>
        </row>
        <row r="1511">
          <cell r="E1511" t="str">
            <v/>
          </cell>
          <cell r="N1511" t="str">
            <v>-</v>
          </cell>
          <cell r="R1511" t="str">
            <v>-</v>
          </cell>
          <cell r="S1511" t="str">
            <v>-</v>
          </cell>
        </row>
        <row r="1512">
          <cell r="E1512" t="str">
            <v/>
          </cell>
          <cell r="N1512" t="str">
            <v>-</v>
          </cell>
          <cell r="R1512" t="str">
            <v>-</v>
          </cell>
          <cell r="S1512" t="str">
            <v>-</v>
          </cell>
        </row>
        <row r="1513">
          <cell r="E1513" t="str">
            <v/>
          </cell>
          <cell r="N1513" t="str">
            <v>-</v>
          </cell>
          <cell r="R1513" t="str">
            <v>-</v>
          </cell>
          <cell r="S1513" t="str">
            <v>-</v>
          </cell>
        </row>
        <row r="1514">
          <cell r="E1514" t="str">
            <v/>
          </cell>
          <cell r="N1514" t="str">
            <v>-</v>
          </cell>
          <cell r="R1514" t="str">
            <v>-</v>
          </cell>
          <cell r="S1514" t="str">
            <v>-</v>
          </cell>
        </row>
        <row r="1515">
          <cell r="E1515" t="str">
            <v/>
          </cell>
          <cell r="N1515" t="str">
            <v>-</v>
          </cell>
          <cell r="R1515" t="str">
            <v>-</v>
          </cell>
          <cell r="S1515" t="str">
            <v>-</v>
          </cell>
        </row>
        <row r="1516">
          <cell r="E1516" t="str">
            <v/>
          </cell>
          <cell r="N1516" t="str">
            <v>-</v>
          </cell>
          <cell r="R1516" t="str">
            <v>-</v>
          </cell>
          <cell r="S1516" t="str">
            <v>-</v>
          </cell>
        </row>
        <row r="1517">
          <cell r="E1517" t="str">
            <v/>
          </cell>
          <cell r="N1517" t="str">
            <v>-</v>
          </cell>
          <cell r="R1517" t="str">
            <v>-</v>
          </cell>
          <cell r="S1517" t="str">
            <v>-</v>
          </cell>
        </row>
        <row r="1518">
          <cell r="E1518" t="str">
            <v/>
          </cell>
          <cell r="N1518" t="str">
            <v>-</v>
          </cell>
          <cell r="R1518" t="str">
            <v>-</v>
          </cell>
          <cell r="S1518" t="str">
            <v>-</v>
          </cell>
        </row>
        <row r="1519">
          <cell r="E1519" t="str">
            <v/>
          </cell>
          <cell r="N1519" t="str">
            <v>-</v>
          </cell>
          <cell r="R1519" t="str">
            <v>-</v>
          </cell>
          <cell r="S1519" t="str">
            <v>-</v>
          </cell>
        </row>
        <row r="1520">
          <cell r="E1520" t="str">
            <v/>
          </cell>
          <cell r="N1520" t="str">
            <v>-</v>
          </cell>
          <cell r="R1520" t="str">
            <v>-</v>
          </cell>
          <cell r="S1520" t="str">
            <v>-</v>
          </cell>
        </row>
        <row r="1521">
          <cell r="E1521" t="str">
            <v/>
          </cell>
          <cell r="N1521" t="str">
            <v>-</v>
          </cell>
          <cell r="R1521" t="str">
            <v>-</v>
          </cell>
          <cell r="S1521" t="str">
            <v>-</v>
          </cell>
        </row>
        <row r="1522">
          <cell r="E1522" t="str">
            <v/>
          </cell>
          <cell r="N1522" t="str">
            <v>-</v>
          </cell>
          <cell r="R1522" t="str">
            <v>-</v>
          </cell>
          <cell r="S1522" t="str">
            <v>-</v>
          </cell>
        </row>
        <row r="1523">
          <cell r="E1523" t="str">
            <v/>
          </cell>
          <cell r="N1523" t="str">
            <v>-</v>
          </cell>
          <cell r="R1523" t="str">
            <v>-</v>
          </cell>
          <cell r="S1523" t="str">
            <v>-</v>
          </cell>
        </row>
        <row r="1524">
          <cell r="E1524" t="str">
            <v/>
          </cell>
          <cell r="N1524" t="str">
            <v>-</v>
          </cell>
          <cell r="R1524" t="str">
            <v>-</v>
          </cell>
          <cell r="S1524" t="str">
            <v>-</v>
          </cell>
        </row>
        <row r="1525">
          <cell r="E1525" t="str">
            <v/>
          </cell>
          <cell r="N1525" t="str">
            <v>-</v>
          </cell>
          <cell r="R1525" t="str">
            <v>-</v>
          </cell>
          <cell r="S1525" t="str">
            <v>-</v>
          </cell>
        </row>
        <row r="1526">
          <cell r="E1526" t="str">
            <v/>
          </cell>
          <cell r="N1526" t="str">
            <v>-</v>
          </cell>
          <cell r="R1526" t="str">
            <v>-</v>
          </cell>
          <cell r="S1526" t="str">
            <v>-</v>
          </cell>
        </row>
        <row r="1527">
          <cell r="E1527" t="str">
            <v/>
          </cell>
          <cell r="N1527" t="str">
            <v>-</v>
          </cell>
          <cell r="R1527" t="str">
            <v>-</v>
          </cell>
          <cell r="S1527" t="str">
            <v>-</v>
          </cell>
        </row>
        <row r="1528">
          <cell r="E1528" t="str">
            <v/>
          </cell>
          <cell r="N1528" t="str">
            <v>-</v>
          </cell>
          <cell r="R1528" t="str">
            <v>-</v>
          </cell>
          <cell r="S1528" t="str">
            <v>-</v>
          </cell>
        </row>
        <row r="1529">
          <cell r="E1529" t="str">
            <v/>
          </cell>
          <cell r="N1529" t="str">
            <v>-</v>
          </cell>
          <cell r="R1529" t="str">
            <v>-</v>
          </cell>
          <cell r="S1529" t="str">
            <v>-</v>
          </cell>
        </row>
        <row r="1530">
          <cell r="E1530" t="str">
            <v/>
          </cell>
          <cell r="N1530" t="str">
            <v>-</v>
          </cell>
          <cell r="R1530" t="str">
            <v>-</v>
          </cell>
          <cell r="S1530" t="str">
            <v>-</v>
          </cell>
        </row>
        <row r="1531">
          <cell r="E1531" t="str">
            <v/>
          </cell>
          <cell r="N1531" t="str">
            <v>-</v>
          </cell>
          <cell r="R1531" t="str">
            <v>-</v>
          </cell>
          <cell r="S1531" t="str">
            <v>-</v>
          </cell>
        </row>
        <row r="1532">
          <cell r="E1532" t="str">
            <v/>
          </cell>
          <cell r="N1532" t="str">
            <v>-</v>
          </cell>
          <cell r="R1532" t="str">
            <v>-</v>
          </cell>
          <cell r="S1532" t="str">
            <v>-</v>
          </cell>
        </row>
        <row r="1533">
          <cell r="E1533" t="str">
            <v/>
          </cell>
          <cell r="N1533" t="str">
            <v>-</v>
          </cell>
          <cell r="R1533" t="str">
            <v>-</v>
          </cell>
          <cell r="S1533" t="str">
            <v>-</v>
          </cell>
        </row>
        <row r="1534">
          <cell r="E1534" t="str">
            <v/>
          </cell>
          <cell r="N1534" t="str">
            <v>-</v>
          </cell>
          <cell r="R1534" t="str">
            <v>-</v>
          </cell>
          <cell r="S1534" t="str">
            <v>-</v>
          </cell>
        </row>
        <row r="1535">
          <cell r="E1535" t="str">
            <v/>
          </cell>
          <cell r="N1535" t="str">
            <v>-</v>
          </cell>
          <cell r="R1535" t="str">
            <v>-</v>
          </cell>
          <cell r="S1535" t="str">
            <v>-</v>
          </cell>
        </row>
        <row r="1536">
          <cell r="E1536" t="str">
            <v/>
          </cell>
          <cell r="N1536" t="str">
            <v>-</v>
          </cell>
          <cell r="R1536" t="str">
            <v>-</v>
          </cell>
          <cell r="S1536" t="str">
            <v>-</v>
          </cell>
        </row>
        <row r="1537">
          <cell r="E1537" t="str">
            <v/>
          </cell>
          <cell r="N1537" t="str">
            <v>-</v>
          </cell>
          <cell r="R1537" t="str">
            <v>-</v>
          </cell>
          <cell r="S1537" t="str">
            <v>-</v>
          </cell>
        </row>
        <row r="1538">
          <cell r="E1538" t="str">
            <v/>
          </cell>
          <cell r="N1538" t="str">
            <v>-</v>
          </cell>
          <cell r="R1538" t="str">
            <v>-</v>
          </cell>
          <cell r="S1538" t="str">
            <v>-</v>
          </cell>
        </row>
        <row r="1539">
          <cell r="E1539" t="str">
            <v/>
          </cell>
          <cell r="N1539" t="str">
            <v>-</v>
          </cell>
          <cell r="R1539" t="str">
            <v>-</v>
          </cell>
          <cell r="S1539" t="str">
            <v>-</v>
          </cell>
        </row>
        <row r="1540">
          <cell r="E1540" t="str">
            <v/>
          </cell>
          <cell r="N1540" t="str">
            <v>-</v>
          </cell>
          <cell r="R1540" t="str">
            <v>-</v>
          </cell>
          <cell r="S1540" t="str">
            <v>-</v>
          </cell>
        </row>
        <row r="1541">
          <cell r="E1541" t="str">
            <v/>
          </cell>
          <cell r="N1541" t="str">
            <v>-</v>
          </cell>
          <cell r="R1541" t="str">
            <v>-</v>
          </cell>
          <cell r="S1541" t="str">
            <v>-</v>
          </cell>
        </row>
        <row r="1542">
          <cell r="E1542" t="str">
            <v/>
          </cell>
          <cell r="N1542" t="str">
            <v>-</v>
          </cell>
          <cell r="R1542" t="str">
            <v>-</v>
          </cell>
          <cell r="S1542" t="str">
            <v>-</v>
          </cell>
        </row>
        <row r="1543">
          <cell r="E1543" t="str">
            <v/>
          </cell>
          <cell r="N1543" t="str">
            <v>-</v>
          </cell>
          <cell r="R1543" t="str">
            <v>-</v>
          </cell>
          <cell r="S1543" t="str">
            <v>-</v>
          </cell>
        </row>
        <row r="1544">
          <cell r="E1544" t="str">
            <v/>
          </cell>
          <cell r="N1544" t="str">
            <v>-</v>
          </cell>
          <cell r="R1544" t="str">
            <v>-</v>
          </cell>
          <cell r="S1544" t="str">
            <v>-</v>
          </cell>
        </row>
        <row r="1545">
          <cell r="E1545" t="str">
            <v/>
          </cell>
          <cell r="N1545" t="str">
            <v>-</v>
          </cell>
          <cell r="R1545" t="str">
            <v>-</v>
          </cell>
          <cell r="S1545" t="str">
            <v>-</v>
          </cell>
        </row>
        <row r="1546">
          <cell r="E1546" t="str">
            <v/>
          </cell>
          <cell r="N1546" t="str">
            <v>-</v>
          </cell>
          <cell r="R1546" t="str">
            <v>-</v>
          </cell>
          <cell r="S1546" t="str">
            <v>-</v>
          </cell>
        </row>
        <row r="1547">
          <cell r="E1547" t="str">
            <v/>
          </cell>
          <cell r="N1547" t="str">
            <v>-</v>
          </cell>
          <cell r="R1547" t="str">
            <v>-</v>
          </cell>
          <cell r="S1547" t="str">
            <v>-</v>
          </cell>
        </row>
        <row r="1548">
          <cell r="E1548" t="str">
            <v/>
          </cell>
          <cell r="N1548" t="str">
            <v>-</v>
          </cell>
          <cell r="R1548" t="str">
            <v>-</v>
          </cell>
          <cell r="S1548" t="str">
            <v>-</v>
          </cell>
        </row>
        <row r="1549">
          <cell r="E1549" t="str">
            <v/>
          </cell>
          <cell r="N1549" t="str">
            <v>-</v>
          </cell>
          <cell r="R1549" t="str">
            <v>-</v>
          </cell>
          <cell r="S1549" t="str">
            <v>-</v>
          </cell>
        </row>
        <row r="1550">
          <cell r="E1550" t="str">
            <v/>
          </cell>
          <cell r="N1550" t="str">
            <v>-</v>
          </cell>
          <cell r="R1550" t="str">
            <v>-</v>
          </cell>
          <cell r="S1550" t="str">
            <v>-</v>
          </cell>
        </row>
        <row r="1551">
          <cell r="E1551" t="str">
            <v/>
          </cell>
          <cell r="N1551" t="str">
            <v>-</v>
          </cell>
          <cell r="R1551" t="str">
            <v>-</v>
          </cell>
          <cell r="S1551" t="str">
            <v>-</v>
          </cell>
        </row>
        <row r="1552">
          <cell r="E1552" t="str">
            <v/>
          </cell>
          <cell r="N1552" t="str">
            <v>-</v>
          </cell>
          <cell r="R1552" t="str">
            <v>-</v>
          </cell>
          <cell r="S1552" t="str">
            <v>-</v>
          </cell>
        </row>
        <row r="1553">
          <cell r="E1553" t="str">
            <v/>
          </cell>
          <cell r="N1553" t="str">
            <v>-</v>
          </cell>
          <cell r="R1553" t="str">
            <v>-</v>
          </cell>
          <cell r="S1553" t="str">
            <v>-</v>
          </cell>
        </row>
        <row r="1554">
          <cell r="E1554" t="str">
            <v/>
          </cell>
          <cell r="N1554" t="str">
            <v>-</v>
          </cell>
          <cell r="R1554" t="str">
            <v>-</v>
          </cell>
          <cell r="S1554" t="str">
            <v>-</v>
          </cell>
        </row>
        <row r="1555">
          <cell r="E1555" t="str">
            <v/>
          </cell>
          <cell r="N1555" t="str">
            <v>-</v>
          </cell>
          <cell r="R1555" t="str">
            <v>-</v>
          </cell>
          <cell r="S1555" t="str">
            <v>-</v>
          </cell>
        </row>
        <row r="1556">
          <cell r="E1556" t="str">
            <v/>
          </cell>
          <cell r="N1556" t="str">
            <v>-</v>
          </cell>
          <cell r="R1556" t="str">
            <v>-</v>
          </cell>
          <cell r="S1556" t="str">
            <v>-</v>
          </cell>
        </row>
        <row r="1557">
          <cell r="E1557" t="str">
            <v/>
          </cell>
          <cell r="N1557" t="str">
            <v>-</v>
          </cell>
          <cell r="R1557" t="str">
            <v>-</v>
          </cell>
          <cell r="S1557" t="str">
            <v>-</v>
          </cell>
        </row>
        <row r="1558">
          <cell r="E1558" t="str">
            <v/>
          </cell>
          <cell r="N1558" t="str">
            <v>-</v>
          </cell>
          <cell r="R1558" t="str">
            <v>-</v>
          </cell>
          <cell r="S1558" t="str">
            <v>-</v>
          </cell>
        </row>
        <row r="1559">
          <cell r="E1559" t="str">
            <v/>
          </cell>
          <cell r="N1559" t="str">
            <v>-</v>
          </cell>
          <cell r="R1559" t="str">
            <v>-</v>
          </cell>
          <cell r="S1559" t="str">
            <v>-</v>
          </cell>
        </row>
        <row r="1560">
          <cell r="E1560" t="str">
            <v/>
          </cell>
          <cell r="N1560" t="str">
            <v>-</v>
          </cell>
          <cell r="R1560" t="str">
            <v>-</v>
          </cell>
          <cell r="S1560" t="str">
            <v>-</v>
          </cell>
        </row>
        <row r="1561">
          <cell r="E1561" t="str">
            <v/>
          </cell>
          <cell r="N1561" t="str">
            <v>-</v>
          </cell>
          <cell r="R1561" t="str">
            <v>-</v>
          </cell>
          <cell r="S1561" t="str">
            <v>-</v>
          </cell>
        </row>
        <row r="1562">
          <cell r="E1562" t="str">
            <v/>
          </cell>
          <cell r="N1562" t="str">
            <v>-</v>
          </cell>
          <cell r="R1562" t="str">
            <v>-</v>
          </cell>
          <cell r="S1562" t="str">
            <v>-</v>
          </cell>
        </row>
        <row r="1563">
          <cell r="E1563" t="str">
            <v/>
          </cell>
          <cell r="N1563" t="str">
            <v>-</v>
          </cell>
          <cell r="R1563" t="str">
            <v>-</v>
          </cell>
          <cell r="S1563" t="str">
            <v>-</v>
          </cell>
        </row>
        <row r="1564">
          <cell r="E1564" t="str">
            <v/>
          </cell>
          <cell r="N1564" t="str">
            <v>-</v>
          </cell>
          <cell r="R1564" t="str">
            <v>-</v>
          </cell>
          <cell r="S1564" t="str">
            <v>-</v>
          </cell>
        </row>
        <row r="1565">
          <cell r="E1565" t="str">
            <v/>
          </cell>
          <cell r="N1565" t="str">
            <v>-</v>
          </cell>
          <cell r="R1565" t="str">
            <v>-</v>
          </cell>
          <cell r="S1565" t="str">
            <v>-</v>
          </cell>
        </row>
        <row r="1566">
          <cell r="E1566" t="str">
            <v/>
          </cell>
          <cell r="N1566" t="str">
            <v>-</v>
          </cell>
          <cell r="R1566" t="str">
            <v>-</v>
          </cell>
          <cell r="S1566" t="str">
            <v>-</v>
          </cell>
        </row>
        <row r="1567">
          <cell r="E1567" t="str">
            <v/>
          </cell>
          <cell r="N1567" t="str">
            <v>-</v>
          </cell>
          <cell r="R1567" t="str">
            <v>-</v>
          </cell>
          <cell r="S1567" t="str">
            <v>-</v>
          </cell>
        </row>
        <row r="1568">
          <cell r="E1568" t="str">
            <v/>
          </cell>
          <cell r="N1568" t="str">
            <v>-</v>
          </cell>
          <cell r="R1568" t="str">
            <v>-</v>
          </cell>
          <cell r="S1568" t="str">
            <v>-</v>
          </cell>
        </row>
        <row r="1569">
          <cell r="E1569" t="str">
            <v/>
          </cell>
          <cell r="N1569" t="str">
            <v>-</v>
          </cell>
          <cell r="R1569" t="str">
            <v>-</v>
          </cell>
          <cell r="S1569" t="str">
            <v>-</v>
          </cell>
        </row>
        <row r="1570">
          <cell r="E1570" t="str">
            <v/>
          </cell>
          <cell r="N1570" t="str">
            <v>-</v>
          </cell>
          <cell r="R1570" t="str">
            <v>-</v>
          </cell>
          <cell r="S1570" t="str">
            <v>-</v>
          </cell>
        </row>
        <row r="1571">
          <cell r="E1571" t="str">
            <v/>
          </cell>
          <cell r="N1571" t="str">
            <v>-</v>
          </cell>
          <cell r="R1571" t="str">
            <v>-</v>
          </cell>
          <cell r="S1571" t="str">
            <v>-</v>
          </cell>
        </row>
        <row r="1572">
          <cell r="E1572" t="str">
            <v/>
          </cell>
          <cell r="N1572" t="str">
            <v>-</v>
          </cell>
          <cell r="R1572" t="str">
            <v>-</v>
          </cell>
          <cell r="S1572" t="str">
            <v>-</v>
          </cell>
        </row>
        <row r="1573">
          <cell r="E1573" t="str">
            <v/>
          </cell>
          <cell r="N1573" t="str">
            <v>-</v>
          </cell>
          <cell r="R1573" t="str">
            <v>-</v>
          </cell>
          <cell r="S1573" t="str">
            <v>-</v>
          </cell>
        </row>
        <row r="1574">
          <cell r="E1574" t="str">
            <v/>
          </cell>
          <cell r="N1574" t="str">
            <v>-</v>
          </cell>
          <cell r="R1574" t="str">
            <v>-</v>
          </cell>
          <cell r="S1574" t="str">
            <v>-</v>
          </cell>
        </row>
        <row r="1575">
          <cell r="E1575" t="str">
            <v/>
          </cell>
          <cell r="N1575" t="str">
            <v>-</v>
          </cell>
          <cell r="R1575" t="str">
            <v>-</v>
          </cell>
          <cell r="S1575" t="str">
            <v>-</v>
          </cell>
        </row>
        <row r="1576">
          <cell r="E1576" t="str">
            <v/>
          </cell>
          <cell r="N1576" t="str">
            <v>-</v>
          </cell>
          <cell r="R1576" t="str">
            <v>-</v>
          </cell>
          <cell r="S1576" t="str">
            <v>-</v>
          </cell>
        </row>
        <row r="1577">
          <cell r="E1577" t="str">
            <v/>
          </cell>
          <cell r="N1577" t="str">
            <v>-</v>
          </cell>
          <cell r="R1577" t="str">
            <v>-</v>
          </cell>
          <cell r="S1577" t="str">
            <v>-</v>
          </cell>
        </row>
        <row r="1578">
          <cell r="E1578" t="str">
            <v/>
          </cell>
          <cell r="N1578" t="str">
            <v>-</v>
          </cell>
          <cell r="R1578" t="str">
            <v>-</v>
          </cell>
          <cell r="S1578" t="str">
            <v>-</v>
          </cell>
        </row>
        <row r="1579">
          <cell r="E1579" t="str">
            <v/>
          </cell>
          <cell r="N1579" t="str">
            <v>-</v>
          </cell>
          <cell r="R1579" t="str">
            <v>-</v>
          </cell>
          <cell r="S1579" t="str">
            <v>-</v>
          </cell>
        </row>
        <row r="1580">
          <cell r="E1580" t="str">
            <v/>
          </cell>
          <cell r="N1580" t="str">
            <v>-</v>
          </cell>
          <cell r="R1580" t="str">
            <v>-</v>
          </cell>
          <cell r="S1580" t="str">
            <v>-</v>
          </cell>
        </row>
        <row r="1581">
          <cell r="E1581" t="str">
            <v/>
          </cell>
          <cell r="N1581" t="str">
            <v>-</v>
          </cell>
          <cell r="R1581" t="str">
            <v>-</v>
          </cell>
          <cell r="S1581" t="str">
            <v>-</v>
          </cell>
        </row>
        <row r="1582">
          <cell r="E1582" t="str">
            <v/>
          </cell>
          <cell r="N1582" t="str">
            <v>-</v>
          </cell>
          <cell r="R1582" t="str">
            <v>-</v>
          </cell>
          <cell r="S1582" t="str">
            <v>-</v>
          </cell>
        </row>
        <row r="1583">
          <cell r="E1583" t="str">
            <v/>
          </cell>
          <cell r="N1583" t="str">
            <v>-</v>
          </cell>
          <cell r="R1583" t="str">
            <v>-</v>
          </cell>
          <cell r="S1583" t="str">
            <v>-</v>
          </cell>
        </row>
        <row r="1584">
          <cell r="E1584" t="str">
            <v/>
          </cell>
          <cell r="N1584" t="str">
            <v>-</v>
          </cell>
          <cell r="R1584" t="str">
            <v>-</v>
          </cell>
          <cell r="S1584" t="str">
            <v>-</v>
          </cell>
        </row>
        <row r="1585">
          <cell r="E1585" t="str">
            <v/>
          </cell>
          <cell r="N1585" t="str">
            <v>-</v>
          </cell>
          <cell r="R1585" t="str">
            <v>-</v>
          </cell>
          <cell r="S1585" t="str">
            <v>-</v>
          </cell>
        </row>
        <row r="1586">
          <cell r="E1586" t="str">
            <v/>
          </cell>
          <cell r="N1586" t="str">
            <v>-</v>
          </cell>
          <cell r="R1586" t="str">
            <v>-</v>
          </cell>
          <cell r="S1586" t="str">
            <v>-</v>
          </cell>
        </row>
        <row r="1587">
          <cell r="E1587" t="str">
            <v/>
          </cell>
          <cell r="N1587" t="str">
            <v>-</v>
          </cell>
          <cell r="R1587" t="str">
            <v>-</v>
          </cell>
          <cell r="S1587" t="str">
            <v>-</v>
          </cell>
        </row>
        <row r="1588">
          <cell r="E1588" t="str">
            <v/>
          </cell>
          <cell r="N1588" t="str">
            <v>-</v>
          </cell>
          <cell r="R1588" t="str">
            <v>-</v>
          </cell>
          <cell r="S1588" t="str">
            <v>-</v>
          </cell>
        </row>
        <row r="1589">
          <cell r="E1589" t="str">
            <v/>
          </cell>
          <cell r="N1589" t="str">
            <v>-</v>
          </cell>
          <cell r="R1589" t="str">
            <v>-</v>
          </cell>
          <cell r="S1589" t="str">
            <v>-</v>
          </cell>
        </row>
        <row r="1590">
          <cell r="E1590" t="str">
            <v/>
          </cell>
          <cell r="N1590" t="str">
            <v>-</v>
          </cell>
          <cell r="R1590" t="str">
            <v>-</v>
          </cell>
          <cell r="S1590" t="str">
            <v>-</v>
          </cell>
        </row>
        <row r="1591">
          <cell r="E1591" t="str">
            <v/>
          </cell>
          <cell r="N1591" t="str">
            <v>-</v>
          </cell>
          <cell r="R1591" t="str">
            <v>-</v>
          </cell>
          <cell r="S1591" t="str">
            <v>-</v>
          </cell>
        </row>
        <row r="1592">
          <cell r="E1592" t="str">
            <v/>
          </cell>
          <cell r="N1592" t="str">
            <v>-</v>
          </cell>
          <cell r="R1592" t="str">
            <v>-</v>
          </cell>
          <cell r="S1592" t="str">
            <v>-</v>
          </cell>
        </row>
        <row r="1593">
          <cell r="E1593" t="str">
            <v/>
          </cell>
          <cell r="N1593" t="str">
            <v>-</v>
          </cell>
          <cell r="R1593" t="str">
            <v>-</v>
          </cell>
          <cell r="S1593" t="str">
            <v>-</v>
          </cell>
        </row>
        <row r="1594">
          <cell r="E1594" t="str">
            <v/>
          </cell>
          <cell r="N1594" t="str">
            <v>-</v>
          </cell>
          <cell r="R1594" t="str">
            <v>-</v>
          </cell>
          <cell r="S1594" t="str">
            <v>-</v>
          </cell>
        </row>
        <row r="1595">
          <cell r="E1595" t="str">
            <v/>
          </cell>
          <cell r="N1595" t="str">
            <v>-</v>
          </cell>
          <cell r="R1595" t="str">
            <v>-</v>
          </cell>
          <cell r="S1595" t="str">
            <v>-</v>
          </cell>
        </row>
        <row r="1596">
          <cell r="E1596" t="str">
            <v/>
          </cell>
          <cell r="N1596" t="str">
            <v>-</v>
          </cell>
          <cell r="R1596" t="str">
            <v>-</v>
          </cell>
          <cell r="S1596" t="str">
            <v>-</v>
          </cell>
        </row>
        <row r="1597">
          <cell r="E1597" t="str">
            <v/>
          </cell>
          <cell r="N1597" t="str">
            <v>-</v>
          </cell>
          <cell r="R1597" t="str">
            <v>-</v>
          </cell>
          <cell r="S1597" t="str">
            <v>-</v>
          </cell>
        </row>
        <row r="1598">
          <cell r="E1598" t="str">
            <v/>
          </cell>
          <cell r="N1598" t="str">
            <v>-</v>
          </cell>
          <cell r="R1598" t="str">
            <v>-</v>
          </cell>
          <cell r="S1598" t="str">
            <v>-</v>
          </cell>
        </row>
        <row r="1599">
          <cell r="E1599" t="str">
            <v/>
          </cell>
          <cell r="N1599" t="str">
            <v>-</v>
          </cell>
          <cell r="R1599" t="str">
            <v>-</v>
          </cell>
          <cell r="S1599" t="str">
            <v>-</v>
          </cell>
        </row>
        <row r="1600">
          <cell r="E1600" t="str">
            <v/>
          </cell>
          <cell r="N1600" t="str">
            <v>-</v>
          </cell>
          <cell r="R1600" t="str">
            <v>-</v>
          </cell>
          <cell r="S1600" t="str">
            <v>-</v>
          </cell>
        </row>
        <row r="1601">
          <cell r="E1601" t="str">
            <v/>
          </cell>
          <cell r="N1601" t="str">
            <v>-</v>
          </cell>
          <cell r="R1601" t="str">
            <v>-</v>
          </cell>
          <cell r="S1601" t="str">
            <v>-</v>
          </cell>
        </row>
        <row r="1602">
          <cell r="E1602" t="str">
            <v/>
          </cell>
          <cell r="N1602" t="str">
            <v>-</v>
          </cell>
          <cell r="R1602" t="str">
            <v>-</v>
          </cell>
          <cell r="S1602" t="str">
            <v>-</v>
          </cell>
        </row>
        <row r="1603">
          <cell r="E1603" t="str">
            <v/>
          </cell>
          <cell r="N1603" t="str">
            <v>-</v>
          </cell>
          <cell r="R1603" t="str">
            <v>-</v>
          </cell>
          <cell r="S1603" t="str">
            <v>-</v>
          </cell>
        </row>
        <row r="1604">
          <cell r="E1604" t="str">
            <v/>
          </cell>
          <cell r="N1604" t="str">
            <v>-</v>
          </cell>
          <cell r="R1604" t="str">
            <v>-</v>
          </cell>
          <cell r="S1604" t="str">
            <v>-</v>
          </cell>
        </row>
        <row r="1605">
          <cell r="E1605" t="str">
            <v/>
          </cell>
          <cell r="N1605" t="str">
            <v>-</v>
          </cell>
          <cell r="R1605" t="str">
            <v>-</v>
          </cell>
          <cell r="S1605" t="str">
            <v>-</v>
          </cell>
        </row>
        <row r="1606">
          <cell r="E1606" t="str">
            <v/>
          </cell>
          <cell r="N1606" t="str">
            <v>-</v>
          </cell>
          <cell r="R1606" t="str">
            <v>-</v>
          </cell>
          <cell r="S1606" t="str">
            <v>-</v>
          </cell>
        </row>
        <row r="1607">
          <cell r="E1607" t="str">
            <v/>
          </cell>
          <cell r="N1607" t="str">
            <v>-</v>
          </cell>
          <cell r="R1607" t="str">
            <v>-</v>
          </cell>
          <cell r="S1607" t="str">
            <v>-</v>
          </cell>
        </row>
        <row r="1608">
          <cell r="E1608" t="str">
            <v/>
          </cell>
          <cell r="N1608" t="str">
            <v>-</v>
          </cell>
          <cell r="R1608" t="str">
            <v>-</v>
          </cell>
          <cell r="S1608" t="str">
            <v>-</v>
          </cell>
        </row>
        <row r="1609">
          <cell r="E1609" t="str">
            <v/>
          </cell>
          <cell r="N1609" t="str">
            <v>-</v>
          </cell>
          <cell r="R1609" t="str">
            <v>-</v>
          </cell>
          <cell r="S1609" t="str">
            <v>-</v>
          </cell>
        </row>
        <row r="1610">
          <cell r="E1610" t="str">
            <v/>
          </cell>
          <cell r="N1610" t="str">
            <v>-</v>
          </cell>
          <cell r="R1610" t="str">
            <v>-</v>
          </cell>
          <cell r="S1610" t="str">
            <v>-</v>
          </cell>
        </row>
        <row r="1611">
          <cell r="E1611" t="str">
            <v/>
          </cell>
          <cell r="N1611" t="str">
            <v>-</v>
          </cell>
          <cell r="R1611" t="str">
            <v>-</v>
          </cell>
          <cell r="S1611" t="str">
            <v>-</v>
          </cell>
        </row>
        <row r="1612">
          <cell r="E1612" t="str">
            <v/>
          </cell>
          <cell r="N1612" t="str">
            <v>-</v>
          </cell>
          <cell r="R1612" t="str">
            <v>-</v>
          </cell>
          <cell r="S1612" t="str">
            <v>-</v>
          </cell>
        </row>
        <row r="1613">
          <cell r="E1613" t="str">
            <v/>
          </cell>
          <cell r="N1613" t="str">
            <v>-</v>
          </cell>
          <cell r="R1613" t="str">
            <v>-</v>
          </cell>
          <cell r="S1613" t="str">
            <v>-</v>
          </cell>
        </row>
        <row r="1614">
          <cell r="E1614" t="str">
            <v/>
          </cell>
          <cell r="N1614" t="str">
            <v>-</v>
          </cell>
          <cell r="R1614" t="str">
            <v>-</v>
          </cell>
          <cell r="S1614" t="str">
            <v>-</v>
          </cell>
        </row>
        <row r="1615">
          <cell r="E1615" t="str">
            <v/>
          </cell>
          <cell r="N1615" t="str">
            <v>-</v>
          </cell>
          <cell r="R1615" t="str">
            <v>-</v>
          </cell>
          <cell r="S1615" t="str">
            <v>-</v>
          </cell>
        </row>
        <row r="1616">
          <cell r="E1616" t="str">
            <v/>
          </cell>
          <cell r="N1616" t="str">
            <v>-</v>
          </cell>
          <cell r="R1616" t="str">
            <v>-</v>
          </cell>
          <cell r="S1616" t="str">
            <v>-</v>
          </cell>
        </row>
        <row r="1617">
          <cell r="E1617" t="str">
            <v/>
          </cell>
          <cell r="N1617" t="str">
            <v>-</v>
          </cell>
          <cell r="R1617" t="str">
            <v>-</v>
          </cell>
          <cell r="S1617" t="str">
            <v>-</v>
          </cell>
        </row>
        <row r="1618">
          <cell r="E1618" t="str">
            <v/>
          </cell>
          <cell r="N1618" t="str">
            <v>-</v>
          </cell>
          <cell r="R1618" t="str">
            <v>-</v>
          </cell>
          <cell r="S1618" t="str">
            <v>-</v>
          </cell>
        </row>
        <row r="1619">
          <cell r="E1619" t="str">
            <v/>
          </cell>
          <cell r="N1619" t="str">
            <v>-</v>
          </cell>
          <cell r="R1619" t="str">
            <v>-</v>
          </cell>
          <cell r="S1619" t="str">
            <v>-</v>
          </cell>
        </row>
        <row r="1620">
          <cell r="E1620" t="str">
            <v/>
          </cell>
          <cell r="N1620" t="str">
            <v>-</v>
          </cell>
          <cell r="R1620" t="str">
            <v>-</v>
          </cell>
          <cell r="S1620" t="str">
            <v>-</v>
          </cell>
        </row>
        <row r="1621">
          <cell r="E1621" t="str">
            <v/>
          </cell>
          <cell r="N1621" t="str">
            <v>-</v>
          </cell>
          <cell r="R1621" t="str">
            <v>-</v>
          </cell>
          <cell r="S1621" t="str">
            <v>-</v>
          </cell>
        </row>
        <row r="1622">
          <cell r="E1622" t="str">
            <v/>
          </cell>
          <cell r="N1622" t="str">
            <v>-</v>
          </cell>
          <cell r="R1622" t="str">
            <v>-</v>
          </cell>
          <cell r="S1622" t="str">
            <v>-</v>
          </cell>
        </row>
        <row r="1623">
          <cell r="E1623" t="str">
            <v/>
          </cell>
          <cell r="N1623" t="str">
            <v>-</v>
          </cell>
          <cell r="R1623" t="str">
            <v>-</v>
          </cell>
          <cell r="S1623" t="str">
            <v>-</v>
          </cell>
        </row>
        <row r="1624">
          <cell r="E1624" t="str">
            <v/>
          </cell>
          <cell r="N1624" t="str">
            <v>-</v>
          </cell>
          <cell r="R1624" t="str">
            <v>-</v>
          </cell>
          <cell r="S1624" t="str">
            <v>-</v>
          </cell>
        </row>
        <row r="1625">
          <cell r="E1625" t="str">
            <v/>
          </cell>
          <cell r="N1625" t="str">
            <v>-</v>
          </cell>
          <cell r="R1625" t="str">
            <v>-</v>
          </cell>
          <cell r="S1625" t="str">
            <v>-</v>
          </cell>
        </row>
        <row r="1626">
          <cell r="E1626" t="str">
            <v/>
          </cell>
          <cell r="N1626" t="str">
            <v>-</v>
          </cell>
          <cell r="R1626" t="str">
            <v>-</v>
          </cell>
          <cell r="S1626" t="str">
            <v>-</v>
          </cell>
        </row>
        <row r="1627">
          <cell r="E1627" t="str">
            <v/>
          </cell>
          <cell r="N1627" t="str">
            <v>-</v>
          </cell>
          <cell r="R1627" t="str">
            <v>-</v>
          </cell>
          <cell r="S1627" t="str">
            <v>-</v>
          </cell>
        </row>
        <row r="1628">
          <cell r="E1628" t="str">
            <v/>
          </cell>
          <cell r="N1628" t="str">
            <v>-</v>
          </cell>
          <cell r="R1628" t="str">
            <v>-</v>
          </cell>
          <cell r="S1628" t="str">
            <v>-</v>
          </cell>
        </row>
        <row r="1629">
          <cell r="E1629" t="str">
            <v/>
          </cell>
          <cell r="N1629" t="str">
            <v>-</v>
          </cell>
          <cell r="R1629" t="str">
            <v>-</v>
          </cell>
          <cell r="S1629" t="str">
            <v>-</v>
          </cell>
        </row>
        <row r="1630">
          <cell r="E1630" t="str">
            <v/>
          </cell>
          <cell r="N1630" t="str">
            <v>-</v>
          </cell>
          <cell r="R1630" t="str">
            <v>-</v>
          </cell>
          <cell r="S1630" t="str">
            <v>-</v>
          </cell>
        </row>
        <row r="1631">
          <cell r="E1631" t="str">
            <v/>
          </cell>
          <cell r="N1631" t="str">
            <v>-</v>
          </cell>
          <cell r="R1631" t="str">
            <v>-</v>
          </cell>
          <cell r="S1631" t="str">
            <v>-</v>
          </cell>
        </row>
        <row r="1632">
          <cell r="E1632" t="str">
            <v/>
          </cell>
          <cell r="N1632" t="str">
            <v>-</v>
          </cell>
          <cell r="R1632" t="str">
            <v>-</v>
          </cell>
          <cell r="S1632" t="str">
            <v>-</v>
          </cell>
        </row>
        <row r="1633">
          <cell r="E1633" t="str">
            <v/>
          </cell>
          <cell r="N1633" t="str">
            <v>-</v>
          </cell>
          <cell r="R1633" t="str">
            <v>-</v>
          </cell>
          <cell r="S1633" t="str">
            <v>-</v>
          </cell>
        </row>
        <row r="1634">
          <cell r="E1634" t="str">
            <v/>
          </cell>
          <cell r="N1634" t="str">
            <v>-</v>
          </cell>
          <cell r="R1634" t="str">
            <v>-</v>
          </cell>
          <cell r="S1634" t="str">
            <v>-</v>
          </cell>
        </row>
        <row r="1635">
          <cell r="E1635" t="str">
            <v/>
          </cell>
          <cell r="N1635" t="str">
            <v>-</v>
          </cell>
          <cell r="R1635" t="str">
            <v>-</v>
          </cell>
          <cell r="S1635" t="str">
            <v>-</v>
          </cell>
        </row>
        <row r="1636">
          <cell r="E1636" t="str">
            <v/>
          </cell>
          <cell r="N1636" t="str">
            <v>-</v>
          </cell>
          <cell r="R1636" t="str">
            <v>-</v>
          </cell>
          <cell r="S1636" t="str">
            <v>-</v>
          </cell>
        </row>
        <row r="1637">
          <cell r="E1637" t="str">
            <v/>
          </cell>
          <cell r="N1637" t="str">
            <v>-</v>
          </cell>
          <cell r="R1637" t="str">
            <v>-</v>
          </cell>
          <cell r="S1637" t="str">
            <v>-</v>
          </cell>
        </row>
        <row r="1638">
          <cell r="E1638" t="str">
            <v/>
          </cell>
          <cell r="N1638" t="str">
            <v>-</v>
          </cell>
          <cell r="R1638" t="str">
            <v>-</v>
          </cell>
          <cell r="S1638" t="str">
            <v>-</v>
          </cell>
        </row>
        <row r="1639">
          <cell r="E1639" t="str">
            <v/>
          </cell>
          <cell r="N1639" t="str">
            <v>-</v>
          </cell>
          <cell r="R1639" t="str">
            <v>-</v>
          </cell>
          <cell r="S1639" t="str">
            <v>-</v>
          </cell>
        </row>
        <row r="1640">
          <cell r="E1640" t="str">
            <v/>
          </cell>
          <cell r="N1640" t="str">
            <v>-</v>
          </cell>
          <cell r="R1640" t="str">
            <v>-</v>
          </cell>
          <cell r="S1640" t="str">
            <v>-</v>
          </cell>
        </row>
        <row r="1641">
          <cell r="E1641" t="str">
            <v/>
          </cell>
          <cell r="N1641" t="str">
            <v>-</v>
          </cell>
          <cell r="R1641" t="str">
            <v>-</v>
          </cell>
          <cell r="S1641" t="str">
            <v>-</v>
          </cell>
        </row>
        <row r="1642">
          <cell r="E1642" t="str">
            <v/>
          </cell>
          <cell r="N1642" t="str">
            <v>-</v>
          </cell>
          <cell r="R1642" t="str">
            <v>-</v>
          </cell>
          <cell r="S1642" t="str">
            <v>-</v>
          </cell>
        </row>
        <row r="1643">
          <cell r="E1643" t="str">
            <v/>
          </cell>
          <cell r="N1643" t="str">
            <v>-</v>
          </cell>
          <cell r="R1643" t="str">
            <v>-</v>
          </cell>
          <cell r="S1643" t="str">
            <v>-</v>
          </cell>
        </row>
        <row r="1644">
          <cell r="E1644" t="str">
            <v/>
          </cell>
          <cell r="N1644" t="str">
            <v>-</v>
          </cell>
          <cell r="R1644" t="str">
            <v>-</v>
          </cell>
          <cell r="S1644" t="str">
            <v>-</v>
          </cell>
        </row>
        <row r="1645">
          <cell r="E1645" t="str">
            <v/>
          </cell>
          <cell r="N1645" t="str">
            <v>-</v>
          </cell>
          <cell r="R1645" t="str">
            <v>-</v>
          </cell>
          <cell r="S1645" t="str">
            <v>-</v>
          </cell>
        </row>
        <row r="1646">
          <cell r="E1646" t="str">
            <v/>
          </cell>
          <cell r="N1646" t="str">
            <v>-</v>
          </cell>
          <cell r="R1646" t="str">
            <v>-</v>
          </cell>
          <cell r="S1646" t="str">
            <v>-</v>
          </cell>
        </row>
        <row r="1647">
          <cell r="E1647" t="str">
            <v/>
          </cell>
          <cell r="N1647" t="str">
            <v>-</v>
          </cell>
          <cell r="R1647" t="str">
            <v>-</v>
          </cell>
          <cell r="S1647" t="str">
            <v>-</v>
          </cell>
        </row>
        <row r="1648">
          <cell r="E1648" t="str">
            <v/>
          </cell>
          <cell r="N1648" t="str">
            <v>-</v>
          </cell>
          <cell r="R1648" t="str">
            <v>-</v>
          </cell>
          <cell r="S1648" t="str">
            <v>-</v>
          </cell>
        </row>
        <row r="1649">
          <cell r="E1649" t="str">
            <v/>
          </cell>
          <cell r="N1649" t="str">
            <v>-</v>
          </cell>
          <cell r="R1649" t="str">
            <v>-</v>
          </cell>
          <cell r="S1649" t="str">
            <v>-</v>
          </cell>
        </row>
        <row r="1650">
          <cell r="E1650" t="str">
            <v/>
          </cell>
          <cell r="N1650" t="str">
            <v>-</v>
          </cell>
          <cell r="R1650" t="str">
            <v>-</v>
          </cell>
          <cell r="S1650" t="str">
            <v>-</v>
          </cell>
        </row>
        <row r="1651">
          <cell r="E1651" t="str">
            <v/>
          </cell>
          <cell r="N1651" t="str">
            <v>-</v>
          </cell>
          <cell r="R1651" t="str">
            <v>-</v>
          </cell>
          <cell r="S1651" t="str">
            <v>-</v>
          </cell>
        </row>
        <row r="1652">
          <cell r="E1652" t="str">
            <v/>
          </cell>
          <cell r="N1652" t="str">
            <v>-</v>
          </cell>
          <cell r="R1652" t="str">
            <v>-</v>
          </cell>
          <cell r="S1652" t="str">
            <v>-</v>
          </cell>
        </row>
        <row r="1653">
          <cell r="E1653" t="str">
            <v/>
          </cell>
          <cell r="N1653" t="str">
            <v>-</v>
          </cell>
          <cell r="R1653" t="str">
            <v>-</v>
          </cell>
          <cell r="S1653" t="str">
            <v>-</v>
          </cell>
        </row>
        <row r="1654">
          <cell r="E1654" t="str">
            <v/>
          </cell>
          <cell r="N1654" t="str">
            <v>-</v>
          </cell>
          <cell r="R1654" t="str">
            <v>-</v>
          </cell>
          <cell r="S1654" t="str">
            <v>-</v>
          </cell>
        </row>
        <row r="1655">
          <cell r="E1655" t="str">
            <v/>
          </cell>
          <cell r="N1655" t="str">
            <v>-</v>
          </cell>
          <cell r="R1655" t="str">
            <v>-</v>
          </cell>
          <cell r="S1655" t="str">
            <v>-</v>
          </cell>
        </row>
        <row r="1656">
          <cell r="E1656" t="str">
            <v/>
          </cell>
          <cell r="N1656" t="str">
            <v>-</v>
          </cell>
          <cell r="R1656" t="str">
            <v>-</v>
          </cell>
          <cell r="S1656" t="str">
            <v>-</v>
          </cell>
        </row>
        <row r="1657">
          <cell r="E1657" t="str">
            <v/>
          </cell>
          <cell r="N1657" t="str">
            <v>-</v>
          </cell>
          <cell r="R1657" t="str">
            <v>-</v>
          </cell>
          <cell r="S1657" t="str">
            <v>-</v>
          </cell>
        </row>
        <row r="1658">
          <cell r="E1658" t="str">
            <v/>
          </cell>
          <cell r="N1658" t="str">
            <v>-</v>
          </cell>
          <cell r="R1658" t="str">
            <v>-</v>
          </cell>
          <cell r="S1658" t="str">
            <v>-</v>
          </cell>
        </row>
        <row r="1659">
          <cell r="E1659" t="str">
            <v/>
          </cell>
          <cell r="N1659" t="str">
            <v>-</v>
          </cell>
          <cell r="R1659" t="str">
            <v>-</v>
          </cell>
          <cell r="S1659" t="str">
            <v>-</v>
          </cell>
        </row>
        <row r="1660">
          <cell r="E1660" t="str">
            <v/>
          </cell>
          <cell r="N1660" t="str">
            <v>-</v>
          </cell>
          <cell r="R1660" t="str">
            <v>-</v>
          </cell>
          <cell r="S1660" t="str">
            <v>-</v>
          </cell>
        </row>
        <row r="1661">
          <cell r="E1661" t="str">
            <v/>
          </cell>
          <cell r="N1661" t="str">
            <v>-</v>
          </cell>
          <cell r="R1661" t="str">
            <v>-</v>
          </cell>
          <cell r="S1661" t="str">
            <v>-</v>
          </cell>
        </row>
        <row r="1662">
          <cell r="E1662" t="str">
            <v/>
          </cell>
          <cell r="N1662" t="str">
            <v>-</v>
          </cell>
          <cell r="R1662" t="str">
            <v>-</v>
          </cell>
          <cell r="S1662" t="str">
            <v>-</v>
          </cell>
        </row>
        <row r="1663">
          <cell r="E1663" t="str">
            <v/>
          </cell>
          <cell r="N1663" t="str">
            <v>-</v>
          </cell>
          <cell r="R1663" t="str">
            <v>-</v>
          </cell>
          <cell r="S1663" t="str">
            <v>-</v>
          </cell>
        </row>
        <row r="1664">
          <cell r="E1664" t="str">
            <v/>
          </cell>
          <cell r="N1664" t="str">
            <v>-</v>
          </cell>
          <cell r="R1664" t="str">
            <v>-</v>
          </cell>
          <cell r="S1664" t="str">
            <v>-</v>
          </cell>
        </row>
        <row r="1665">
          <cell r="E1665" t="str">
            <v/>
          </cell>
          <cell r="N1665" t="str">
            <v>-</v>
          </cell>
          <cell r="R1665" t="str">
            <v>-</v>
          </cell>
          <cell r="S1665" t="str">
            <v>-</v>
          </cell>
        </row>
        <row r="1666">
          <cell r="E1666" t="str">
            <v/>
          </cell>
          <cell r="N1666" t="str">
            <v>-</v>
          </cell>
          <cell r="R1666" t="str">
            <v>-</v>
          </cell>
          <cell r="S1666" t="str">
            <v>-</v>
          </cell>
        </row>
        <row r="1667">
          <cell r="E1667" t="str">
            <v/>
          </cell>
          <cell r="N1667" t="str">
            <v>-</v>
          </cell>
          <cell r="R1667" t="str">
            <v>-</v>
          </cell>
          <cell r="S1667" t="str">
            <v>-</v>
          </cell>
        </row>
        <row r="1668">
          <cell r="E1668" t="str">
            <v/>
          </cell>
          <cell r="N1668" t="str">
            <v>-</v>
          </cell>
          <cell r="R1668" t="str">
            <v>-</v>
          </cell>
          <cell r="S1668" t="str">
            <v>-</v>
          </cell>
        </row>
        <row r="1669">
          <cell r="E1669" t="str">
            <v/>
          </cell>
          <cell r="N1669" t="str">
            <v>-</v>
          </cell>
          <cell r="R1669" t="str">
            <v>-</v>
          </cell>
          <cell r="S1669" t="str">
            <v>-</v>
          </cell>
        </row>
        <row r="1670">
          <cell r="E1670" t="str">
            <v/>
          </cell>
          <cell r="N1670" t="str">
            <v>-</v>
          </cell>
          <cell r="R1670" t="str">
            <v>-</v>
          </cell>
          <cell r="S1670" t="str">
            <v>-</v>
          </cell>
        </row>
        <row r="1671">
          <cell r="E1671" t="str">
            <v/>
          </cell>
          <cell r="N1671" t="str">
            <v>-</v>
          </cell>
          <cell r="R1671" t="str">
            <v>-</v>
          </cell>
          <cell r="S1671" t="str">
            <v>-</v>
          </cell>
        </row>
        <row r="1672">
          <cell r="E1672" t="str">
            <v/>
          </cell>
          <cell r="N1672" t="str">
            <v>-</v>
          </cell>
          <cell r="R1672" t="str">
            <v>-</v>
          </cell>
          <cell r="S1672" t="str">
            <v>-</v>
          </cell>
        </row>
        <row r="1673">
          <cell r="E1673" t="str">
            <v/>
          </cell>
          <cell r="N1673" t="str">
            <v>-</v>
          </cell>
          <cell r="R1673" t="str">
            <v>-</v>
          </cell>
          <cell r="S1673" t="str">
            <v>-</v>
          </cell>
        </row>
        <row r="1674">
          <cell r="E1674" t="str">
            <v/>
          </cell>
          <cell r="N1674" t="str">
            <v>-</v>
          </cell>
          <cell r="R1674" t="str">
            <v>-</v>
          </cell>
          <cell r="S1674" t="str">
            <v>-</v>
          </cell>
        </row>
        <row r="1675">
          <cell r="E1675" t="str">
            <v/>
          </cell>
          <cell r="N1675" t="str">
            <v>-</v>
          </cell>
          <cell r="R1675" t="str">
            <v>-</v>
          </cell>
          <cell r="S1675" t="str">
            <v>-</v>
          </cell>
        </row>
        <row r="1676">
          <cell r="E1676" t="str">
            <v/>
          </cell>
          <cell r="N1676" t="str">
            <v>-</v>
          </cell>
          <cell r="R1676" t="str">
            <v>-</v>
          </cell>
          <cell r="S1676" t="str">
            <v>-</v>
          </cell>
        </row>
        <row r="1677">
          <cell r="E1677" t="str">
            <v/>
          </cell>
          <cell r="N1677" t="str">
            <v>-</v>
          </cell>
          <cell r="R1677" t="str">
            <v>-</v>
          </cell>
          <cell r="S1677" t="str">
            <v>-</v>
          </cell>
        </row>
        <row r="1678">
          <cell r="E1678" t="str">
            <v/>
          </cell>
          <cell r="N1678" t="str">
            <v>-</v>
          </cell>
          <cell r="R1678" t="str">
            <v>-</v>
          </cell>
          <cell r="S1678" t="str">
            <v>-</v>
          </cell>
        </row>
        <row r="1679">
          <cell r="E1679" t="str">
            <v/>
          </cell>
          <cell r="N1679" t="str">
            <v>-</v>
          </cell>
          <cell r="R1679" t="str">
            <v>-</v>
          </cell>
          <cell r="S1679" t="str">
            <v>-</v>
          </cell>
        </row>
        <row r="1680">
          <cell r="E1680" t="str">
            <v/>
          </cell>
          <cell r="N1680" t="str">
            <v>-</v>
          </cell>
          <cell r="R1680" t="str">
            <v>-</v>
          </cell>
          <cell r="S1680" t="str">
            <v>-</v>
          </cell>
        </row>
        <row r="1681">
          <cell r="E1681" t="str">
            <v/>
          </cell>
          <cell r="N1681" t="str">
            <v>-</v>
          </cell>
          <cell r="R1681" t="str">
            <v>-</v>
          </cell>
          <cell r="S1681" t="str">
            <v>-</v>
          </cell>
        </row>
        <row r="1682">
          <cell r="E1682" t="str">
            <v/>
          </cell>
          <cell r="N1682" t="str">
            <v>-</v>
          </cell>
          <cell r="R1682" t="str">
            <v>-</v>
          </cell>
          <cell r="S1682" t="str">
            <v>-</v>
          </cell>
        </row>
        <row r="1683">
          <cell r="E1683" t="str">
            <v/>
          </cell>
          <cell r="N1683" t="str">
            <v>-</v>
          </cell>
          <cell r="R1683" t="str">
            <v>-</v>
          </cell>
          <cell r="S1683" t="str">
            <v>-</v>
          </cell>
        </row>
        <row r="1684">
          <cell r="E1684" t="str">
            <v/>
          </cell>
          <cell r="N1684" t="str">
            <v>-</v>
          </cell>
          <cell r="R1684" t="str">
            <v>-</v>
          </cell>
          <cell r="S1684" t="str">
            <v>-</v>
          </cell>
        </row>
        <row r="1685">
          <cell r="E1685" t="str">
            <v/>
          </cell>
          <cell r="N1685" t="str">
            <v>-</v>
          </cell>
          <cell r="R1685" t="str">
            <v>-</v>
          </cell>
          <cell r="S1685" t="str">
            <v>-</v>
          </cell>
        </row>
        <row r="1686">
          <cell r="E1686" t="str">
            <v/>
          </cell>
          <cell r="N1686" t="str">
            <v>-</v>
          </cell>
          <cell r="R1686" t="str">
            <v>-</v>
          </cell>
          <cell r="S1686" t="str">
            <v>-</v>
          </cell>
        </row>
        <row r="1687">
          <cell r="E1687" t="str">
            <v/>
          </cell>
          <cell r="N1687" t="str">
            <v>-</v>
          </cell>
          <cell r="R1687" t="str">
            <v>-</v>
          </cell>
          <cell r="S1687" t="str">
            <v>-</v>
          </cell>
        </row>
        <row r="1688">
          <cell r="E1688" t="str">
            <v/>
          </cell>
          <cell r="N1688" t="str">
            <v>-</v>
          </cell>
          <cell r="R1688" t="str">
            <v>-</v>
          </cell>
          <cell r="S1688" t="str">
            <v>-</v>
          </cell>
        </row>
        <row r="1689">
          <cell r="E1689" t="str">
            <v/>
          </cell>
          <cell r="N1689" t="str">
            <v>-</v>
          </cell>
          <cell r="R1689" t="str">
            <v>-</v>
          </cell>
          <cell r="S1689" t="str">
            <v>-</v>
          </cell>
        </row>
        <row r="1690">
          <cell r="E1690" t="str">
            <v/>
          </cell>
          <cell r="N1690" t="str">
            <v>-</v>
          </cell>
          <cell r="R1690" t="str">
            <v>-</v>
          </cell>
          <cell r="S1690" t="str">
            <v>-</v>
          </cell>
        </row>
        <row r="1691">
          <cell r="E1691" t="str">
            <v/>
          </cell>
          <cell r="N1691" t="str">
            <v>-</v>
          </cell>
          <cell r="R1691" t="str">
            <v>-</v>
          </cell>
          <cell r="S1691" t="str">
            <v>-</v>
          </cell>
        </row>
        <row r="1692">
          <cell r="E1692" t="str">
            <v/>
          </cell>
          <cell r="N1692" t="str">
            <v>-</v>
          </cell>
          <cell r="R1692" t="str">
            <v>-</v>
          </cell>
          <cell r="S1692" t="str">
            <v>-</v>
          </cell>
        </row>
        <row r="1693">
          <cell r="E1693" t="str">
            <v/>
          </cell>
          <cell r="N1693" t="str">
            <v>-</v>
          </cell>
          <cell r="R1693" t="str">
            <v>-</v>
          </cell>
          <cell r="S1693" t="str">
            <v>-</v>
          </cell>
        </row>
        <row r="1694">
          <cell r="E1694" t="str">
            <v/>
          </cell>
          <cell r="N1694" t="str">
            <v>-</v>
          </cell>
          <cell r="R1694" t="str">
            <v>-</v>
          </cell>
          <cell r="S1694" t="str">
            <v>-</v>
          </cell>
        </row>
        <row r="1695">
          <cell r="E1695" t="str">
            <v/>
          </cell>
          <cell r="N1695" t="str">
            <v>-</v>
          </cell>
          <cell r="R1695" t="str">
            <v>-</v>
          </cell>
          <cell r="S1695" t="str">
            <v>-</v>
          </cell>
        </row>
        <row r="1696">
          <cell r="E1696" t="str">
            <v/>
          </cell>
          <cell r="N1696" t="str">
            <v>-</v>
          </cell>
          <cell r="R1696" t="str">
            <v>-</v>
          </cell>
          <cell r="S1696" t="str">
            <v>-</v>
          </cell>
        </row>
        <row r="1697">
          <cell r="E1697" t="str">
            <v/>
          </cell>
          <cell r="N1697" t="str">
            <v>-</v>
          </cell>
          <cell r="R1697" t="str">
            <v>-</v>
          </cell>
          <cell r="S1697" t="str">
            <v>-</v>
          </cell>
        </row>
        <row r="1698">
          <cell r="E1698" t="str">
            <v/>
          </cell>
          <cell r="N1698" t="str">
            <v>-</v>
          </cell>
          <cell r="R1698" t="str">
            <v>-</v>
          </cell>
          <cell r="S1698" t="str">
            <v>-</v>
          </cell>
        </row>
        <row r="1699">
          <cell r="E1699" t="str">
            <v/>
          </cell>
          <cell r="N1699" t="str">
            <v>-</v>
          </cell>
          <cell r="R1699" t="str">
            <v>-</v>
          </cell>
          <cell r="S1699" t="str">
            <v>-</v>
          </cell>
        </row>
        <row r="1700">
          <cell r="E1700" t="str">
            <v/>
          </cell>
          <cell r="N1700" t="str">
            <v>-</v>
          </cell>
          <cell r="R1700" t="str">
            <v>-</v>
          </cell>
          <cell r="S1700" t="str">
            <v>-</v>
          </cell>
        </row>
        <row r="1701">
          <cell r="E1701" t="str">
            <v/>
          </cell>
          <cell r="N1701" t="str">
            <v>-</v>
          </cell>
          <cell r="R1701" t="str">
            <v>-</v>
          </cell>
          <cell r="S1701" t="str">
            <v>-</v>
          </cell>
        </row>
        <row r="1702">
          <cell r="E1702" t="str">
            <v/>
          </cell>
          <cell r="N1702" t="str">
            <v>-</v>
          </cell>
          <cell r="R1702" t="str">
            <v>-</v>
          </cell>
          <cell r="S1702" t="str">
            <v>-</v>
          </cell>
        </row>
        <row r="1703">
          <cell r="E1703" t="str">
            <v/>
          </cell>
          <cell r="N1703" t="str">
            <v>-</v>
          </cell>
          <cell r="R1703" t="str">
            <v>-</v>
          </cell>
          <cell r="S1703" t="str">
            <v>-</v>
          </cell>
        </row>
        <row r="1704">
          <cell r="E1704" t="str">
            <v/>
          </cell>
          <cell r="N1704" t="str">
            <v>-</v>
          </cell>
          <cell r="R1704" t="str">
            <v>-</v>
          </cell>
          <cell r="S1704" t="str">
            <v>-</v>
          </cell>
        </row>
        <row r="1705">
          <cell r="E1705" t="str">
            <v/>
          </cell>
          <cell r="N1705" t="str">
            <v>-</v>
          </cell>
          <cell r="R1705" t="str">
            <v>-</v>
          </cell>
          <cell r="S1705" t="str">
            <v>-</v>
          </cell>
        </row>
        <row r="1706">
          <cell r="E1706" t="str">
            <v/>
          </cell>
          <cell r="N1706" t="str">
            <v>-</v>
          </cell>
          <cell r="R1706" t="str">
            <v>-</v>
          </cell>
          <cell r="S1706" t="str">
            <v>-</v>
          </cell>
        </row>
        <row r="1707">
          <cell r="E1707" t="str">
            <v/>
          </cell>
          <cell r="N1707" t="str">
            <v>-</v>
          </cell>
          <cell r="R1707" t="str">
            <v>-</v>
          </cell>
          <cell r="S1707" t="str">
            <v>-</v>
          </cell>
        </row>
        <row r="1708">
          <cell r="E1708" t="str">
            <v/>
          </cell>
          <cell r="N1708" t="str">
            <v>-</v>
          </cell>
          <cell r="R1708" t="str">
            <v>-</v>
          </cell>
          <cell r="S1708" t="str">
            <v>-</v>
          </cell>
        </row>
        <row r="1709">
          <cell r="E1709" t="str">
            <v/>
          </cell>
          <cell r="N1709" t="str">
            <v>-</v>
          </cell>
          <cell r="R1709" t="str">
            <v>-</v>
          </cell>
          <cell r="S1709" t="str">
            <v>-</v>
          </cell>
        </row>
        <row r="1710">
          <cell r="E1710" t="str">
            <v/>
          </cell>
          <cell r="N1710" t="str">
            <v>-</v>
          </cell>
          <cell r="R1710" t="str">
            <v>-</v>
          </cell>
          <cell r="S1710" t="str">
            <v>-</v>
          </cell>
        </row>
        <row r="1711">
          <cell r="E1711" t="str">
            <v/>
          </cell>
          <cell r="N1711" t="str">
            <v>-</v>
          </cell>
          <cell r="R1711" t="str">
            <v>-</v>
          </cell>
          <cell r="S1711" t="str">
            <v>-</v>
          </cell>
        </row>
        <row r="1712">
          <cell r="E1712" t="str">
            <v/>
          </cell>
          <cell r="N1712" t="str">
            <v>-</v>
          </cell>
          <cell r="R1712" t="str">
            <v>-</v>
          </cell>
          <cell r="S1712" t="str">
            <v>-</v>
          </cell>
        </row>
        <row r="1713">
          <cell r="E1713" t="str">
            <v/>
          </cell>
          <cell r="N1713" t="str">
            <v>-</v>
          </cell>
          <cell r="R1713" t="str">
            <v>-</v>
          </cell>
          <cell r="S1713" t="str">
            <v>-</v>
          </cell>
        </row>
        <row r="1714">
          <cell r="E1714" t="str">
            <v/>
          </cell>
          <cell r="N1714" t="str">
            <v>-</v>
          </cell>
          <cell r="R1714" t="str">
            <v>-</v>
          </cell>
          <cell r="S1714" t="str">
            <v>-</v>
          </cell>
        </row>
        <row r="1715">
          <cell r="E1715" t="str">
            <v/>
          </cell>
          <cell r="N1715" t="str">
            <v>-</v>
          </cell>
          <cell r="R1715" t="str">
            <v>-</v>
          </cell>
          <cell r="S1715" t="str">
            <v>-</v>
          </cell>
        </row>
        <row r="1716">
          <cell r="E1716" t="str">
            <v/>
          </cell>
          <cell r="N1716" t="str">
            <v>-</v>
          </cell>
          <cell r="R1716" t="str">
            <v>-</v>
          </cell>
          <cell r="S1716" t="str">
            <v>-</v>
          </cell>
        </row>
        <row r="1717">
          <cell r="E1717" t="str">
            <v/>
          </cell>
          <cell r="N1717" t="str">
            <v>-</v>
          </cell>
          <cell r="R1717" t="str">
            <v>-</v>
          </cell>
          <cell r="S1717" t="str">
            <v>-</v>
          </cell>
        </row>
        <row r="1718">
          <cell r="E1718" t="str">
            <v/>
          </cell>
          <cell r="N1718" t="str">
            <v>-</v>
          </cell>
          <cell r="R1718" t="str">
            <v>-</v>
          </cell>
          <cell r="S1718" t="str">
            <v>-</v>
          </cell>
        </row>
        <row r="1719">
          <cell r="E1719" t="str">
            <v/>
          </cell>
          <cell r="N1719" t="str">
            <v>-</v>
          </cell>
          <cell r="R1719" t="str">
            <v>-</v>
          </cell>
          <cell r="S1719" t="str">
            <v>-</v>
          </cell>
        </row>
        <row r="1720">
          <cell r="E1720" t="str">
            <v/>
          </cell>
          <cell r="N1720" t="str">
            <v>-</v>
          </cell>
          <cell r="R1720" t="str">
            <v>-</v>
          </cell>
          <cell r="S1720" t="str">
            <v>-</v>
          </cell>
        </row>
        <row r="1721">
          <cell r="E1721" t="str">
            <v/>
          </cell>
          <cell r="N1721" t="str">
            <v>-</v>
          </cell>
          <cell r="R1721" t="str">
            <v>-</v>
          </cell>
          <cell r="S1721" t="str">
            <v>-</v>
          </cell>
        </row>
        <row r="1722">
          <cell r="E1722" t="str">
            <v/>
          </cell>
          <cell r="N1722" t="str">
            <v>-</v>
          </cell>
          <cell r="R1722" t="str">
            <v>-</v>
          </cell>
          <cell r="S1722" t="str">
            <v>-</v>
          </cell>
        </row>
        <row r="1723">
          <cell r="E1723" t="str">
            <v/>
          </cell>
          <cell r="N1723" t="str">
            <v>-</v>
          </cell>
          <cell r="R1723" t="str">
            <v>-</v>
          </cell>
          <cell r="S1723" t="str">
            <v>-</v>
          </cell>
        </row>
        <row r="1724">
          <cell r="E1724" t="str">
            <v/>
          </cell>
          <cell r="N1724" t="str">
            <v>-</v>
          </cell>
          <cell r="R1724" t="str">
            <v>-</v>
          </cell>
          <cell r="S1724" t="str">
            <v>-</v>
          </cell>
        </row>
        <row r="1725">
          <cell r="E1725" t="str">
            <v/>
          </cell>
          <cell r="N1725" t="str">
            <v>-</v>
          </cell>
          <cell r="R1725" t="str">
            <v>-</v>
          </cell>
          <cell r="S1725" t="str">
            <v>-</v>
          </cell>
        </row>
        <row r="1726">
          <cell r="E1726" t="str">
            <v/>
          </cell>
          <cell r="N1726" t="str">
            <v>-</v>
          </cell>
          <cell r="R1726" t="str">
            <v>-</v>
          </cell>
          <cell r="S1726" t="str">
            <v>-</v>
          </cell>
        </row>
        <row r="1727">
          <cell r="E1727" t="str">
            <v/>
          </cell>
          <cell r="N1727" t="str">
            <v>-</v>
          </cell>
          <cell r="R1727" t="str">
            <v>-</v>
          </cell>
          <cell r="S1727" t="str">
            <v>-</v>
          </cell>
        </row>
        <row r="1728">
          <cell r="E1728" t="str">
            <v/>
          </cell>
          <cell r="N1728" t="str">
            <v>-</v>
          </cell>
          <cell r="R1728" t="str">
            <v>-</v>
          </cell>
          <cell r="S1728" t="str">
            <v>-</v>
          </cell>
        </row>
        <row r="1729">
          <cell r="E1729" t="str">
            <v/>
          </cell>
          <cell r="N1729" t="str">
            <v>-</v>
          </cell>
          <cell r="R1729" t="str">
            <v>-</v>
          </cell>
          <cell r="S1729" t="str">
            <v>-</v>
          </cell>
        </row>
        <row r="1730">
          <cell r="E1730" t="str">
            <v/>
          </cell>
          <cell r="N1730" t="str">
            <v>-</v>
          </cell>
          <cell r="R1730" t="str">
            <v>-</v>
          </cell>
          <cell r="S1730" t="str">
            <v>-</v>
          </cell>
        </row>
        <row r="1731">
          <cell r="E1731" t="str">
            <v/>
          </cell>
          <cell r="N1731" t="str">
            <v>-</v>
          </cell>
          <cell r="R1731" t="str">
            <v>-</v>
          </cell>
          <cell r="S1731" t="str">
            <v>-</v>
          </cell>
        </row>
        <row r="1732">
          <cell r="E1732" t="str">
            <v/>
          </cell>
          <cell r="N1732" t="str">
            <v>-</v>
          </cell>
          <cell r="R1732" t="str">
            <v>-</v>
          </cell>
          <cell r="S1732" t="str">
            <v>-</v>
          </cell>
        </row>
        <row r="1733">
          <cell r="E1733" t="str">
            <v/>
          </cell>
          <cell r="N1733" t="str">
            <v>-</v>
          </cell>
          <cell r="R1733" t="str">
            <v>-</v>
          </cell>
          <cell r="S1733" t="str">
            <v>-</v>
          </cell>
        </row>
        <row r="1734">
          <cell r="E1734" t="str">
            <v/>
          </cell>
          <cell r="N1734" t="str">
            <v>-</v>
          </cell>
          <cell r="R1734" t="str">
            <v>-</v>
          </cell>
          <cell r="S1734" t="str">
            <v>-</v>
          </cell>
        </row>
        <row r="1735">
          <cell r="E1735" t="str">
            <v/>
          </cell>
          <cell r="N1735" t="str">
            <v>-</v>
          </cell>
          <cell r="R1735" t="str">
            <v>-</v>
          </cell>
          <cell r="S1735" t="str">
            <v>-</v>
          </cell>
        </row>
        <row r="1736">
          <cell r="E1736" t="str">
            <v/>
          </cell>
          <cell r="N1736" t="str">
            <v>-</v>
          </cell>
          <cell r="R1736" t="str">
            <v>-</v>
          </cell>
          <cell r="S1736" t="str">
            <v>-</v>
          </cell>
        </row>
        <row r="1737">
          <cell r="E1737" t="str">
            <v/>
          </cell>
          <cell r="N1737" t="str">
            <v>-</v>
          </cell>
          <cell r="R1737" t="str">
            <v>-</v>
          </cell>
          <cell r="S1737" t="str">
            <v>-</v>
          </cell>
        </row>
        <row r="1738">
          <cell r="E1738" t="str">
            <v/>
          </cell>
          <cell r="N1738" t="str">
            <v>-</v>
          </cell>
          <cell r="R1738" t="str">
            <v>-</v>
          </cell>
          <cell r="S1738" t="str">
            <v>-</v>
          </cell>
        </row>
        <row r="1739">
          <cell r="E1739" t="str">
            <v/>
          </cell>
          <cell r="N1739" t="str">
            <v>-</v>
          </cell>
          <cell r="R1739" t="str">
            <v>-</v>
          </cell>
          <cell r="S1739" t="str">
            <v>-</v>
          </cell>
        </row>
        <row r="1740">
          <cell r="E1740" t="str">
            <v/>
          </cell>
          <cell r="N1740" t="str">
            <v>-</v>
          </cell>
          <cell r="R1740" t="str">
            <v>-</v>
          </cell>
          <cell r="S1740" t="str">
            <v>-</v>
          </cell>
        </row>
        <row r="1741">
          <cell r="E1741" t="str">
            <v/>
          </cell>
          <cell r="N1741" t="str">
            <v>-</v>
          </cell>
          <cell r="R1741" t="str">
            <v>-</v>
          </cell>
          <cell r="S1741" t="str">
            <v>-</v>
          </cell>
        </row>
        <row r="1742">
          <cell r="E1742" t="str">
            <v/>
          </cell>
          <cell r="N1742" t="str">
            <v>-</v>
          </cell>
          <cell r="R1742" t="str">
            <v>-</v>
          </cell>
          <cell r="S1742" t="str">
            <v>-</v>
          </cell>
        </row>
        <row r="1743">
          <cell r="E1743" t="str">
            <v/>
          </cell>
          <cell r="N1743" t="str">
            <v>-</v>
          </cell>
          <cell r="R1743" t="str">
            <v>-</v>
          </cell>
          <cell r="S1743" t="str">
            <v>-</v>
          </cell>
        </row>
        <row r="1744">
          <cell r="E1744" t="str">
            <v/>
          </cell>
          <cell r="N1744" t="str">
            <v>-</v>
          </cell>
          <cell r="R1744" t="str">
            <v>-</v>
          </cell>
          <cell r="S1744" t="str">
            <v>-</v>
          </cell>
        </row>
        <row r="1745">
          <cell r="E1745" t="str">
            <v/>
          </cell>
          <cell r="N1745" t="str">
            <v>-</v>
          </cell>
          <cell r="R1745" t="str">
            <v>-</v>
          </cell>
          <cell r="S1745" t="str">
            <v>-</v>
          </cell>
        </row>
        <row r="1746">
          <cell r="E1746" t="str">
            <v/>
          </cell>
          <cell r="N1746" t="str">
            <v>-</v>
          </cell>
          <cell r="R1746" t="str">
            <v>-</v>
          </cell>
          <cell r="S1746" t="str">
            <v>-</v>
          </cell>
        </row>
        <row r="1747">
          <cell r="E1747" t="str">
            <v/>
          </cell>
          <cell r="N1747" t="str">
            <v>-</v>
          </cell>
          <cell r="R1747" t="str">
            <v>-</v>
          </cell>
          <cell r="S1747" t="str">
            <v>-</v>
          </cell>
        </row>
        <row r="1748">
          <cell r="E1748" t="str">
            <v/>
          </cell>
          <cell r="N1748" t="str">
            <v>-</v>
          </cell>
          <cell r="R1748" t="str">
            <v>-</v>
          </cell>
          <cell r="S1748" t="str">
            <v>-</v>
          </cell>
        </row>
        <row r="1749">
          <cell r="E1749" t="str">
            <v/>
          </cell>
          <cell r="N1749" t="str">
            <v>-</v>
          </cell>
          <cell r="R1749" t="str">
            <v>-</v>
          </cell>
          <cell r="S1749" t="str">
            <v>-</v>
          </cell>
        </row>
        <row r="1750">
          <cell r="E1750" t="str">
            <v/>
          </cell>
          <cell r="N1750" t="str">
            <v>-</v>
          </cell>
          <cell r="R1750" t="str">
            <v>-</v>
          </cell>
          <cell r="S1750" t="str">
            <v>-</v>
          </cell>
        </row>
        <row r="1751">
          <cell r="E1751" t="str">
            <v/>
          </cell>
          <cell r="N1751" t="str">
            <v>-</v>
          </cell>
          <cell r="R1751" t="str">
            <v>-</v>
          </cell>
          <cell r="S1751" t="str">
            <v>-</v>
          </cell>
        </row>
        <row r="1752">
          <cell r="E1752" t="str">
            <v/>
          </cell>
          <cell r="N1752" t="str">
            <v>-</v>
          </cell>
          <cell r="R1752" t="str">
            <v>-</v>
          </cell>
          <cell r="S1752" t="str">
            <v>-</v>
          </cell>
        </row>
        <row r="1753">
          <cell r="E1753" t="str">
            <v/>
          </cell>
          <cell r="N1753" t="str">
            <v>-</v>
          </cell>
          <cell r="R1753" t="str">
            <v>-</v>
          </cell>
          <cell r="S1753" t="str">
            <v>-</v>
          </cell>
        </row>
        <row r="1754">
          <cell r="E1754" t="str">
            <v/>
          </cell>
          <cell r="N1754" t="str">
            <v>-</v>
          </cell>
          <cell r="R1754" t="str">
            <v>-</v>
          </cell>
          <cell r="S1754" t="str">
            <v>-</v>
          </cell>
        </row>
        <row r="1755">
          <cell r="E1755" t="str">
            <v/>
          </cell>
          <cell r="N1755" t="str">
            <v>-</v>
          </cell>
          <cell r="R1755" t="str">
            <v>-</v>
          </cell>
          <cell r="S1755" t="str">
            <v>-</v>
          </cell>
        </row>
        <row r="1756">
          <cell r="E1756" t="str">
            <v/>
          </cell>
          <cell r="N1756" t="str">
            <v>-</v>
          </cell>
          <cell r="R1756" t="str">
            <v>-</v>
          </cell>
          <cell r="S1756" t="str">
            <v>-</v>
          </cell>
        </row>
        <row r="1757">
          <cell r="E1757" t="str">
            <v/>
          </cell>
          <cell r="N1757" t="str">
            <v>-</v>
          </cell>
          <cell r="R1757" t="str">
            <v>-</v>
          </cell>
          <cell r="S1757" t="str">
            <v>-</v>
          </cell>
        </row>
        <row r="1758">
          <cell r="E1758" t="str">
            <v/>
          </cell>
          <cell r="N1758" t="str">
            <v>-</v>
          </cell>
          <cell r="R1758" t="str">
            <v>-</v>
          </cell>
          <cell r="S1758" t="str">
            <v>-</v>
          </cell>
        </row>
        <row r="1759">
          <cell r="E1759" t="str">
            <v/>
          </cell>
          <cell r="N1759" t="str">
            <v>-</v>
          </cell>
          <cell r="R1759" t="str">
            <v>-</v>
          </cell>
          <cell r="S1759" t="str">
            <v>-</v>
          </cell>
        </row>
        <row r="1760">
          <cell r="E1760" t="str">
            <v/>
          </cell>
          <cell r="N1760" t="str">
            <v>-</v>
          </cell>
          <cell r="R1760" t="str">
            <v>-</v>
          </cell>
          <cell r="S1760" t="str">
            <v>-</v>
          </cell>
        </row>
        <row r="1761">
          <cell r="E1761" t="str">
            <v/>
          </cell>
          <cell r="N1761" t="str">
            <v>-</v>
          </cell>
          <cell r="R1761" t="str">
            <v>-</v>
          </cell>
          <cell r="S1761" t="str">
            <v>-</v>
          </cell>
        </row>
        <row r="1762">
          <cell r="E1762" t="str">
            <v/>
          </cell>
          <cell r="N1762" t="str">
            <v>-</v>
          </cell>
          <cell r="R1762" t="str">
            <v>-</v>
          </cell>
          <cell r="S1762" t="str">
            <v>-</v>
          </cell>
        </row>
        <row r="1763">
          <cell r="E1763" t="str">
            <v/>
          </cell>
          <cell r="N1763" t="str">
            <v>-</v>
          </cell>
          <cell r="R1763" t="str">
            <v>-</v>
          </cell>
          <cell r="S1763" t="str">
            <v>-</v>
          </cell>
        </row>
        <row r="1764">
          <cell r="E1764" t="str">
            <v/>
          </cell>
          <cell r="N1764" t="str">
            <v>-</v>
          </cell>
          <cell r="R1764" t="str">
            <v>-</v>
          </cell>
          <cell r="S1764" t="str">
            <v>-</v>
          </cell>
        </row>
        <row r="1765">
          <cell r="E1765" t="str">
            <v/>
          </cell>
          <cell r="N1765" t="str">
            <v>-</v>
          </cell>
          <cell r="R1765" t="str">
            <v>-</v>
          </cell>
          <cell r="S1765" t="str">
            <v>-</v>
          </cell>
        </row>
        <row r="1766">
          <cell r="E1766" t="str">
            <v/>
          </cell>
          <cell r="N1766" t="str">
            <v>-</v>
          </cell>
          <cell r="R1766" t="str">
            <v>-</v>
          </cell>
          <cell r="S1766" t="str">
            <v>-</v>
          </cell>
        </row>
        <row r="1767">
          <cell r="E1767" t="str">
            <v/>
          </cell>
          <cell r="N1767" t="str">
            <v>-</v>
          </cell>
          <cell r="R1767" t="str">
            <v>-</v>
          </cell>
          <cell r="S1767" t="str">
            <v>-</v>
          </cell>
        </row>
        <row r="1768">
          <cell r="E1768" t="str">
            <v/>
          </cell>
          <cell r="N1768" t="str">
            <v>-</v>
          </cell>
          <cell r="R1768" t="str">
            <v>-</v>
          </cell>
          <cell r="S1768" t="str">
            <v>-</v>
          </cell>
        </row>
        <row r="1769">
          <cell r="E1769" t="str">
            <v/>
          </cell>
          <cell r="N1769" t="str">
            <v>-</v>
          </cell>
          <cell r="R1769" t="str">
            <v>-</v>
          </cell>
          <cell r="S1769" t="str">
            <v>-</v>
          </cell>
        </row>
        <row r="1770">
          <cell r="E1770" t="str">
            <v/>
          </cell>
          <cell r="N1770" t="str">
            <v>-</v>
          </cell>
          <cell r="R1770" t="str">
            <v>-</v>
          </cell>
          <cell r="S1770" t="str">
            <v>-</v>
          </cell>
        </row>
        <row r="1771">
          <cell r="E1771" t="str">
            <v/>
          </cell>
          <cell r="N1771" t="str">
            <v>-</v>
          </cell>
          <cell r="R1771" t="str">
            <v>-</v>
          </cell>
          <cell r="S1771" t="str">
            <v>-</v>
          </cell>
        </row>
        <row r="1772">
          <cell r="E1772" t="str">
            <v/>
          </cell>
          <cell r="N1772" t="str">
            <v>-</v>
          </cell>
          <cell r="R1772" t="str">
            <v>-</v>
          </cell>
          <cell r="S1772" t="str">
            <v>-</v>
          </cell>
        </row>
        <row r="1773">
          <cell r="E1773" t="str">
            <v/>
          </cell>
          <cell r="N1773" t="str">
            <v>-</v>
          </cell>
          <cell r="R1773" t="str">
            <v>-</v>
          </cell>
          <cell r="S1773" t="str">
            <v>-</v>
          </cell>
        </row>
        <row r="1774">
          <cell r="E1774" t="str">
            <v/>
          </cell>
          <cell r="N1774" t="str">
            <v>-</v>
          </cell>
          <cell r="R1774" t="str">
            <v>-</v>
          </cell>
          <cell r="S1774" t="str">
            <v>-</v>
          </cell>
        </row>
        <row r="1775">
          <cell r="E1775" t="str">
            <v/>
          </cell>
          <cell r="N1775" t="str">
            <v>-</v>
          </cell>
          <cell r="R1775" t="str">
            <v>-</v>
          </cell>
          <cell r="S1775" t="str">
            <v>-</v>
          </cell>
        </row>
        <row r="1776">
          <cell r="E1776" t="str">
            <v/>
          </cell>
          <cell r="N1776" t="str">
            <v>-</v>
          </cell>
          <cell r="R1776" t="str">
            <v>-</v>
          </cell>
          <cell r="S1776" t="str">
            <v>-</v>
          </cell>
        </row>
        <row r="1777">
          <cell r="E1777" t="str">
            <v/>
          </cell>
          <cell r="N1777" t="str">
            <v>-</v>
          </cell>
          <cell r="R1777" t="str">
            <v>-</v>
          </cell>
          <cell r="S1777" t="str">
            <v>-</v>
          </cell>
        </row>
        <row r="1778">
          <cell r="E1778" t="str">
            <v/>
          </cell>
          <cell r="N1778" t="str">
            <v>-</v>
          </cell>
          <cell r="R1778" t="str">
            <v>-</v>
          </cell>
          <cell r="S1778" t="str">
            <v>-</v>
          </cell>
        </row>
        <row r="1779">
          <cell r="E1779" t="str">
            <v/>
          </cell>
          <cell r="N1779" t="str">
            <v>-</v>
          </cell>
          <cell r="R1779" t="str">
            <v>-</v>
          </cell>
          <cell r="S1779" t="str">
            <v>-</v>
          </cell>
        </row>
        <row r="1780">
          <cell r="E1780" t="str">
            <v/>
          </cell>
          <cell r="N1780" t="str">
            <v>-</v>
          </cell>
          <cell r="R1780" t="str">
            <v>-</v>
          </cell>
          <cell r="S1780" t="str">
            <v>-</v>
          </cell>
        </row>
        <row r="1781">
          <cell r="E1781" t="str">
            <v/>
          </cell>
          <cell r="N1781" t="str">
            <v>-</v>
          </cell>
          <cell r="R1781" t="str">
            <v>-</v>
          </cell>
          <cell r="S1781" t="str">
            <v>-</v>
          </cell>
        </row>
        <row r="1782">
          <cell r="E1782" t="str">
            <v/>
          </cell>
          <cell r="N1782" t="str">
            <v>-</v>
          </cell>
          <cell r="R1782" t="str">
            <v>-</v>
          </cell>
          <cell r="S1782" t="str">
            <v>-</v>
          </cell>
        </row>
        <row r="1783">
          <cell r="E1783" t="str">
            <v/>
          </cell>
          <cell r="N1783" t="str">
            <v>-</v>
          </cell>
          <cell r="R1783" t="str">
            <v>-</v>
          </cell>
          <cell r="S1783" t="str">
            <v>-</v>
          </cell>
        </row>
        <row r="1784">
          <cell r="E1784" t="str">
            <v/>
          </cell>
          <cell r="N1784" t="str">
            <v>-</v>
          </cell>
          <cell r="R1784" t="str">
            <v>-</v>
          </cell>
          <cell r="S1784" t="str">
            <v>-</v>
          </cell>
        </row>
        <row r="1785">
          <cell r="E1785" t="str">
            <v/>
          </cell>
          <cell r="N1785" t="str">
            <v>-</v>
          </cell>
          <cell r="R1785" t="str">
            <v>-</v>
          </cell>
          <cell r="S1785" t="str">
            <v>-</v>
          </cell>
        </row>
        <row r="1786">
          <cell r="E1786" t="str">
            <v/>
          </cell>
          <cell r="N1786" t="str">
            <v>-</v>
          </cell>
          <cell r="R1786" t="str">
            <v>-</v>
          </cell>
          <cell r="S1786" t="str">
            <v>-</v>
          </cell>
        </row>
        <row r="1787">
          <cell r="E1787" t="str">
            <v/>
          </cell>
          <cell r="N1787" t="str">
            <v>-</v>
          </cell>
          <cell r="R1787" t="str">
            <v>-</v>
          </cell>
          <cell r="S1787" t="str">
            <v>-</v>
          </cell>
        </row>
        <row r="1788">
          <cell r="E1788" t="str">
            <v/>
          </cell>
          <cell r="N1788" t="str">
            <v>-</v>
          </cell>
          <cell r="R1788" t="str">
            <v>-</v>
          </cell>
          <cell r="S1788" t="str">
            <v>-</v>
          </cell>
        </row>
        <row r="1789">
          <cell r="E1789" t="str">
            <v/>
          </cell>
          <cell r="N1789" t="str">
            <v>-</v>
          </cell>
          <cell r="R1789" t="str">
            <v>-</v>
          </cell>
          <cell r="S1789" t="str">
            <v>-</v>
          </cell>
        </row>
        <row r="1790">
          <cell r="E1790" t="str">
            <v/>
          </cell>
          <cell r="N1790" t="str">
            <v>-</v>
          </cell>
          <cell r="R1790" t="str">
            <v>-</v>
          </cell>
          <cell r="S1790" t="str">
            <v>-</v>
          </cell>
        </row>
        <row r="1791">
          <cell r="E1791" t="str">
            <v/>
          </cell>
          <cell r="N1791" t="str">
            <v>-</v>
          </cell>
          <cell r="R1791" t="str">
            <v>-</v>
          </cell>
          <cell r="S1791" t="str">
            <v>-</v>
          </cell>
        </row>
        <row r="1792">
          <cell r="E1792" t="str">
            <v/>
          </cell>
          <cell r="N1792" t="str">
            <v>-</v>
          </cell>
          <cell r="R1792" t="str">
            <v>-</v>
          </cell>
          <cell r="S1792" t="str">
            <v>-</v>
          </cell>
        </row>
        <row r="1793">
          <cell r="E1793" t="str">
            <v/>
          </cell>
          <cell r="N1793" t="str">
            <v>-</v>
          </cell>
          <cell r="R1793" t="str">
            <v>-</v>
          </cell>
          <cell r="S1793" t="str">
            <v>-</v>
          </cell>
        </row>
        <row r="1794">
          <cell r="E1794" t="str">
            <v/>
          </cell>
          <cell r="N1794" t="str">
            <v>-</v>
          </cell>
          <cell r="R1794" t="str">
            <v>-</v>
          </cell>
          <cell r="S1794" t="str">
            <v>-</v>
          </cell>
        </row>
        <row r="1795">
          <cell r="E1795" t="str">
            <v/>
          </cell>
          <cell r="N1795" t="str">
            <v>-</v>
          </cell>
          <cell r="R1795" t="str">
            <v>-</v>
          </cell>
          <cell r="S1795" t="str">
            <v>-</v>
          </cell>
        </row>
        <row r="1796">
          <cell r="E1796" t="str">
            <v/>
          </cell>
          <cell r="N1796" t="str">
            <v>-</v>
          </cell>
          <cell r="R1796" t="str">
            <v>-</v>
          </cell>
          <cell r="S1796" t="str">
            <v>-</v>
          </cell>
        </row>
        <row r="1797">
          <cell r="E1797" t="str">
            <v/>
          </cell>
          <cell r="N1797" t="str">
            <v>-</v>
          </cell>
          <cell r="R1797" t="str">
            <v>-</v>
          </cell>
          <cell r="S1797" t="str">
            <v>-</v>
          </cell>
        </row>
        <row r="1798">
          <cell r="E1798" t="str">
            <v/>
          </cell>
          <cell r="N1798" t="str">
            <v>-</v>
          </cell>
          <cell r="R1798" t="str">
            <v>-</v>
          </cell>
          <cell r="S1798" t="str">
            <v>-</v>
          </cell>
        </row>
        <row r="1799">
          <cell r="E1799" t="str">
            <v/>
          </cell>
          <cell r="N1799" t="str">
            <v>-</v>
          </cell>
          <cell r="R1799" t="str">
            <v>-</v>
          </cell>
          <cell r="S1799" t="str">
            <v>-</v>
          </cell>
        </row>
        <row r="1800">
          <cell r="E1800" t="str">
            <v/>
          </cell>
          <cell r="N1800" t="str">
            <v>-</v>
          </cell>
          <cell r="R1800" t="str">
            <v>-</v>
          </cell>
          <cell r="S1800" t="str">
            <v>-</v>
          </cell>
        </row>
        <row r="1801">
          <cell r="E1801" t="str">
            <v/>
          </cell>
          <cell r="N1801" t="str">
            <v>-</v>
          </cell>
          <cell r="R1801" t="str">
            <v>-</v>
          </cell>
          <cell r="S1801" t="str">
            <v>-</v>
          </cell>
        </row>
        <row r="1802">
          <cell r="E1802" t="str">
            <v/>
          </cell>
          <cell r="N1802" t="str">
            <v>-</v>
          </cell>
          <cell r="R1802" t="str">
            <v>-</v>
          </cell>
          <cell r="S1802" t="str">
            <v>-</v>
          </cell>
        </row>
        <row r="1803">
          <cell r="E1803" t="str">
            <v/>
          </cell>
          <cell r="N1803" t="str">
            <v>-</v>
          </cell>
          <cell r="R1803" t="str">
            <v>-</v>
          </cell>
          <cell r="S1803" t="str">
            <v>-</v>
          </cell>
        </row>
        <row r="1804">
          <cell r="E1804" t="str">
            <v/>
          </cell>
          <cell r="N1804" t="str">
            <v>-</v>
          </cell>
          <cell r="R1804" t="str">
            <v>-</v>
          </cell>
          <cell r="S1804" t="str">
            <v>-</v>
          </cell>
        </row>
        <row r="1805">
          <cell r="E1805" t="str">
            <v/>
          </cell>
          <cell r="N1805" t="str">
            <v>-</v>
          </cell>
          <cell r="R1805" t="str">
            <v>-</v>
          </cell>
          <cell r="S1805" t="str">
            <v>-</v>
          </cell>
        </row>
        <row r="1806">
          <cell r="E1806" t="str">
            <v/>
          </cell>
          <cell r="N1806" t="str">
            <v>-</v>
          </cell>
          <cell r="R1806" t="str">
            <v>-</v>
          </cell>
          <cell r="S1806" t="str">
            <v>-</v>
          </cell>
        </row>
        <row r="1807">
          <cell r="E1807" t="str">
            <v/>
          </cell>
          <cell r="N1807" t="str">
            <v>-</v>
          </cell>
          <cell r="R1807" t="str">
            <v>-</v>
          </cell>
          <cell r="S1807" t="str">
            <v>-</v>
          </cell>
        </row>
        <row r="1808">
          <cell r="E1808" t="str">
            <v/>
          </cell>
          <cell r="N1808" t="str">
            <v>-</v>
          </cell>
          <cell r="R1808" t="str">
            <v>-</v>
          </cell>
          <cell r="S1808" t="str">
            <v>-</v>
          </cell>
        </row>
        <row r="1809">
          <cell r="E1809" t="str">
            <v/>
          </cell>
          <cell r="N1809" t="str">
            <v>-</v>
          </cell>
          <cell r="R1809" t="str">
            <v>-</v>
          </cell>
          <cell r="S1809" t="str">
            <v>-</v>
          </cell>
        </row>
        <row r="1810">
          <cell r="E1810" t="str">
            <v/>
          </cell>
          <cell r="N1810" t="str">
            <v>-</v>
          </cell>
          <cell r="R1810" t="str">
            <v>-</v>
          </cell>
          <cell r="S1810" t="str">
            <v>-</v>
          </cell>
        </row>
        <row r="1811">
          <cell r="E1811" t="str">
            <v/>
          </cell>
          <cell r="N1811" t="str">
            <v>-</v>
          </cell>
          <cell r="R1811" t="str">
            <v>-</v>
          </cell>
          <cell r="S1811" t="str">
            <v>-</v>
          </cell>
        </row>
        <row r="1812">
          <cell r="E1812" t="str">
            <v/>
          </cell>
          <cell r="N1812" t="str">
            <v>-</v>
          </cell>
          <cell r="R1812" t="str">
            <v>-</v>
          </cell>
          <cell r="S1812" t="str">
            <v>-</v>
          </cell>
        </row>
        <row r="1813">
          <cell r="E1813" t="str">
            <v/>
          </cell>
          <cell r="N1813" t="str">
            <v>-</v>
          </cell>
          <cell r="R1813" t="str">
            <v>-</v>
          </cell>
          <cell r="S1813" t="str">
            <v>-</v>
          </cell>
        </row>
        <row r="1814">
          <cell r="E1814" t="str">
            <v/>
          </cell>
          <cell r="N1814" t="str">
            <v>-</v>
          </cell>
          <cell r="R1814" t="str">
            <v>-</v>
          </cell>
          <cell r="S1814" t="str">
            <v>-</v>
          </cell>
        </row>
        <row r="1815">
          <cell r="E1815" t="str">
            <v/>
          </cell>
          <cell r="N1815" t="str">
            <v>-</v>
          </cell>
          <cell r="R1815" t="str">
            <v>-</v>
          </cell>
          <cell r="S1815" t="str">
            <v>-</v>
          </cell>
        </row>
        <row r="1816">
          <cell r="E1816" t="str">
            <v/>
          </cell>
          <cell r="N1816" t="str">
            <v>-</v>
          </cell>
          <cell r="R1816" t="str">
            <v>-</v>
          </cell>
          <cell r="S1816" t="str">
            <v>-</v>
          </cell>
        </row>
        <row r="1817">
          <cell r="E1817" t="str">
            <v/>
          </cell>
          <cell r="N1817" t="str">
            <v>-</v>
          </cell>
          <cell r="R1817" t="str">
            <v>-</v>
          </cell>
          <cell r="S1817" t="str">
            <v>-</v>
          </cell>
        </row>
        <row r="1818">
          <cell r="E1818" t="str">
            <v/>
          </cell>
          <cell r="N1818" t="str">
            <v>-</v>
          </cell>
          <cell r="R1818" t="str">
            <v>-</v>
          </cell>
          <cell r="S1818" t="str">
            <v>-</v>
          </cell>
        </row>
        <row r="1819">
          <cell r="E1819" t="str">
            <v/>
          </cell>
          <cell r="N1819" t="str">
            <v>-</v>
          </cell>
          <cell r="R1819" t="str">
            <v>-</v>
          </cell>
          <cell r="S1819" t="str">
            <v>-</v>
          </cell>
        </row>
        <row r="1820">
          <cell r="E1820" t="str">
            <v/>
          </cell>
          <cell r="N1820" t="str">
            <v>-</v>
          </cell>
          <cell r="R1820" t="str">
            <v>-</v>
          </cell>
          <cell r="S1820" t="str">
            <v>-</v>
          </cell>
        </row>
        <row r="1821">
          <cell r="E1821" t="str">
            <v/>
          </cell>
          <cell r="N1821" t="str">
            <v>-</v>
          </cell>
          <cell r="R1821" t="str">
            <v>-</v>
          </cell>
          <cell r="S1821" t="str">
            <v>-</v>
          </cell>
        </row>
        <row r="1822">
          <cell r="E1822" t="str">
            <v/>
          </cell>
          <cell r="N1822" t="str">
            <v>-</v>
          </cell>
          <cell r="R1822" t="str">
            <v>-</v>
          </cell>
          <cell r="S1822" t="str">
            <v>-</v>
          </cell>
        </row>
        <row r="1823">
          <cell r="E1823" t="str">
            <v/>
          </cell>
          <cell r="N1823" t="str">
            <v>-</v>
          </cell>
          <cell r="R1823" t="str">
            <v>-</v>
          </cell>
          <cell r="S1823" t="str">
            <v>-</v>
          </cell>
        </row>
        <row r="1824">
          <cell r="E1824" t="str">
            <v/>
          </cell>
          <cell r="N1824" t="str">
            <v>-</v>
          </cell>
          <cell r="R1824" t="str">
            <v>-</v>
          </cell>
          <cell r="S1824" t="str">
            <v>-</v>
          </cell>
        </row>
        <row r="1825">
          <cell r="E1825" t="str">
            <v/>
          </cell>
          <cell r="N1825" t="str">
            <v>-</v>
          </cell>
          <cell r="R1825" t="str">
            <v>-</v>
          </cell>
          <cell r="S1825" t="str">
            <v>-</v>
          </cell>
        </row>
        <row r="1826">
          <cell r="E1826" t="str">
            <v/>
          </cell>
          <cell r="N1826" t="str">
            <v>-</v>
          </cell>
          <cell r="R1826" t="str">
            <v>-</v>
          </cell>
          <cell r="S1826" t="str">
            <v>-</v>
          </cell>
        </row>
        <row r="1827">
          <cell r="E1827" t="str">
            <v/>
          </cell>
          <cell r="N1827" t="str">
            <v>-</v>
          </cell>
          <cell r="R1827" t="str">
            <v>-</v>
          </cell>
          <cell r="S1827" t="str">
            <v>-</v>
          </cell>
        </row>
        <row r="1828">
          <cell r="E1828" t="str">
            <v/>
          </cell>
          <cell r="N1828" t="str">
            <v>-</v>
          </cell>
          <cell r="R1828" t="str">
            <v>-</v>
          </cell>
          <cell r="S1828" t="str">
            <v>-</v>
          </cell>
        </row>
        <row r="1829">
          <cell r="E1829" t="str">
            <v/>
          </cell>
          <cell r="N1829" t="str">
            <v>-</v>
          </cell>
          <cell r="R1829" t="str">
            <v>-</v>
          </cell>
          <cell r="S1829" t="str">
            <v>-</v>
          </cell>
        </row>
        <row r="1830">
          <cell r="E1830" t="str">
            <v/>
          </cell>
          <cell r="N1830" t="str">
            <v>-</v>
          </cell>
          <cell r="R1830" t="str">
            <v>-</v>
          </cell>
          <cell r="S1830" t="str">
            <v>-</v>
          </cell>
        </row>
        <row r="1831">
          <cell r="E1831" t="str">
            <v/>
          </cell>
          <cell r="N1831" t="str">
            <v>-</v>
          </cell>
          <cell r="R1831" t="str">
            <v>-</v>
          </cell>
          <cell r="S1831" t="str">
            <v>-</v>
          </cell>
        </row>
        <row r="1832">
          <cell r="E1832" t="str">
            <v/>
          </cell>
          <cell r="N1832" t="str">
            <v>-</v>
          </cell>
          <cell r="R1832" t="str">
            <v>-</v>
          </cell>
          <cell r="S1832" t="str">
            <v>-</v>
          </cell>
        </row>
        <row r="1833">
          <cell r="E1833" t="str">
            <v/>
          </cell>
          <cell r="N1833" t="str">
            <v>-</v>
          </cell>
          <cell r="R1833" t="str">
            <v>-</v>
          </cell>
          <cell r="S1833" t="str">
            <v>-</v>
          </cell>
        </row>
        <row r="1834">
          <cell r="E1834" t="str">
            <v/>
          </cell>
          <cell r="N1834" t="str">
            <v>-</v>
          </cell>
          <cell r="R1834" t="str">
            <v>-</v>
          </cell>
          <cell r="S1834" t="str">
            <v>-</v>
          </cell>
        </row>
        <row r="1835">
          <cell r="E1835" t="str">
            <v/>
          </cell>
          <cell r="N1835" t="str">
            <v>-</v>
          </cell>
          <cell r="R1835" t="str">
            <v>-</v>
          </cell>
          <cell r="S1835" t="str">
            <v>-</v>
          </cell>
        </row>
        <row r="1836">
          <cell r="E1836" t="str">
            <v/>
          </cell>
          <cell r="N1836" t="str">
            <v>-</v>
          </cell>
          <cell r="R1836" t="str">
            <v>-</v>
          </cell>
          <cell r="S1836" t="str">
            <v>-</v>
          </cell>
        </row>
        <row r="1837">
          <cell r="E1837" t="str">
            <v/>
          </cell>
          <cell r="N1837" t="str">
            <v>-</v>
          </cell>
          <cell r="R1837" t="str">
            <v>-</v>
          </cell>
          <cell r="S1837" t="str">
            <v>-</v>
          </cell>
        </row>
        <row r="1838">
          <cell r="E1838" t="str">
            <v/>
          </cell>
          <cell r="N1838" t="str">
            <v>-</v>
          </cell>
          <cell r="R1838" t="str">
            <v>-</v>
          </cell>
          <cell r="S1838" t="str">
            <v>-</v>
          </cell>
        </row>
        <row r="1839">
          <cell r="E1839" t="str">
            <v/>
          </cell>
          <cell r="N1839" t="str">
            <v>-</v>
          </cell>
          <cell r="R1839" t="str">
            <v>-</v>
          </cell>
          <cell r="S1839" t="str">
            <v>-</v>
          </cell>
        </row>
        <row r="1840">
          <cell r="E1840" t="str">
            <v/>
          </cell>
          <cell r="N1840" t="str">
            <v>-</v>
          </cell>
          <cell r="R1840" t="str">
            <v>-</v>
          </cell>
          <cell r="S1840" t="str">
            <v>-</v>
          </cell>
        </row>
        <row r="1841">
          <cell r="E1841" t="str">
            <v/>
          </cell>
          <cell r="N1841" t="str">
            <v>-</v>
          </cell>
          <cell r="R1841" t="str">
            <v>-</v>
          </cell>
          <cell r="S1841" t="str">
            <v>-</v>
          </cell>
        </row>
        <row r="1842">
          <cell r="E1842" t="str">
            <v/>
          </cell>
          <cell r="N1842" t="str">
            <v>-</v>
          </cell>
          <cell r="R1842" t="str">
            <v>-</v>
          </cell>
          <cell r="S1842" t="str">
            <v>-</v>
          </cell>
        </row>
        <row r="1843">
          <cell r="E1843" t="str">
            <v/>
          </cell>
          <cell r="N1843" t="str">
            <v>-</v>
          </cell>
          <cell r="R1843" t="str">
            <v>-</v>
          </cell>
          <cell r="S1843" t="str">
            <v>-</v>
          </cell>
        </row>
        <row r="1844">
          <cell r="E1844" t="str">
            <v/>
          </cell>
          <cell r="N1844" t="str">
            <v>-</v>
          </cell>
          <cell r="R1844" t="str">
            <v>-</v>
          </cell>
          <cell r="S1844" t="str">
            <v>-</v>
          </cell>
        </row>
        <row r="1845">
          <cell r="E1845" t="str">
            <v/>
          </cell>
          <cell r="N1845" t="str">
            <v>-</v>
          </cell>
          <cell r="R1845" t="str">
            <v>-</v>
          </cell>
          <cell r="S1845" t="str">
            <v>-</v>
          </cell>
        </row>
        <row r="1846">
          <cell r="E1846" t="str">
            <v/>
          </cell>
          <cell r="N1846" t="str">
            <v>-</v>
          </cell>
          <cell r="R1846" t="str">
            <v>-</v>
          </cell>
          <cell r="S1846" t="str">
            <v>-</v>
          </cell>
        </row>
        <row r="1847">
          <cell r="E1847" t="str">
            <v/>
          </cell>
          <cell r="N1847" t="str">
            <v>-</v>
          </cell>
          <cell r="R1847" t="str">
            <v>-</v>
          </cell>
          <cell r="S1847" t="str">
            <v>-</v>
          </cell>
        </row>
        <row r="1848">
          <cell r="E1848" t="str">
            <v/>
          </cell>
          <cell r="N1848" t="str">
            <v>-</v>
          </cell>
          <cell r="R1848" t="str">
            <v>-</v>
          </cell>
          <cell r="S1848" t="str">
            <v>-</v>
          </cell>
        </row>
        <row r="1849">
          <cell r="E1849" t="str">
            <v/>
          </cell>
          <cell r="N1849" t="str">
            <v>-</v>
          </cell>
          <cell r="R1849" t="str">
            <v>-</v>
          </cell>
          <cell r="S1849" t="str">
            <v>-</v>
          </cell>
        </row>
        <row r="1850">
          <cell r="E1850" t="str">
            <v/>
          </cell>
          <cell r="N1850" t="str">
            <v>-</v>
          </cell>
          <cell r="R1850" t="str">
            <v>-</v>
          </cell>
          <cell r="S1850" t="str">
            <v>-</v>
          </cell>
        </row>
        <row r="1851">
          <cell r="E1851" t="str">
            <v/>
          </cell>
          <cell r="N1851" t="str">
            <v>-</v>
          </cell>
          <cell r="R1851" t="str">
            <v>-</v>
          </cell>
          <cell r="S1851" t="str">
            <v>-</v>
          </cell>
        </row>
        <row r="1852">
          <cell r="E1852" t="str">
            <v/>
          </cell>
          <cell r="N1852" t="str">
            <v>-</v>
          </cell>
          <cell r="R1852" t="str">
            <v>-</v>
          </cell>
          <cell r="S1852" t="str">
            <v>-</v>
          </cell>
        </row>
        <row r="1853">
          <cell r="E1853" t="str">
            <v/>
          </cell>
          <cell r="N1853" t="str">
            <v>-</v>
          </cell>
          <cell r="R1853" t="str">
            <v>-</v>
          </cell>
          <cell r="S1853" t="str">
            <v>-</v>
          </cell>
        </row>
        <row r="1854">
          <cell r="E1854" t="str">
            <v/>
          </cell>
          <cell r="N1854" t="str">
            <v>-</v>
          </cell>
          <cell r="R1854" t="str">
            <v>-</v>
          </cell>
          <cell r="S1854" t="str">
            <v>-</v>
          </cell>
        </row>
        <row r="1855">
          <cell r="E1855" t="str">
            <v/>
          </cell>
          <cell r="N1855" t="str">
            <v>-</v>
          </cell>
          <cell r="R1855" t="str">
            <v>-</v>
          </cell>
          <cell r="S1855" t="str">
            <v>-</v>
          </cell>
        </row>
        <row r="1856">
          <cell r="E1856" t="str">
            <v/>
          </cell>
          <cell r="N1856" t="str">
            <v>-</v>
          </cell>
          <cell r="R1856" t="str">
            <v>-</v>
          </cell>
          <cell r="S1856" t="str">
            <v>-</v>
          </cell>
        </row>
        <row r="1857">
          <cell r="E1857" t="str">
            <v/>
          </cell>
          <cell r="N1857" t="str">
            <v>-</v>
          </cell>
          <cell r="R1857" t="str">
            <v>-</v>
          </cell>
          <cell r="S1857" t="str">
            <v>-</v>
          </cell>
        </row>
        <row r="1858">
          <cell r="E1858" t="str">
            <v/>
          </cell>
          <cell r="N1858" t="str">
            <v>-</v>
          </cell>
          <cell r="R1858" t="str">
            <v>-</v>
          </cell>
          <cell r="S1858" t="str">
            <v>-</v>
          </cell>
        </row>
        <row r="1859">
          <cell r="E1859" t="str">
            <v/>
          </cell>
          <cell r="N1859" t="str">
            <v>-</v>
          </cell>
          <cell r="R1859" t="str">
            <v>-</v>
          </cell>
          <cell r="S1859" t="str">
            <v>-</v>
          </cell>
        </row>
        <row r="1860">
          <cell r="E1860" t="str">
            <v/>
          </cell>
          <cell r="N1860" t="str">
            <v>-</v>
          </cell>
          <cell r="R1860" t="str">
            <v>-</v>
          </cell>
          <cell r="S1860" t="str">
            <v>-</v>
          </cell>
        </row>
        <row r="1861">
          <cell r="E1861" t="str">
            <v/>
          </cell>
          <cell r="N1861" t="str">
            <v>-</v>
          </cell>
          <cell r="R1861" t="str">
            <v>-</v>
          </cell>
          <cell r="S1861" t="str">
            <v>-</v>
          </cell>
        </row>
        <row r="1862">
          <cell r="E1862" t="str">
            <v/>
          </cell>
          <cell r="N1862" t="str">
            <v>-</v>
          </cell>
          <cell r="R1862" t="str">
            <v>-</v>
          </cell>
          <cell r="S1862" t="str">
            <v>-</v>
          </cell>
        </row>
        <row r="1863">
          <cell r="E1863" t="str">
            <v/>
          </cell>
          <cell r="N1863" t="str">
            <v>-</v>
          </cell>
          <cell r="R1863" t="str">
            <v>-</v>
          </cell>
          <cell r="S1863" t="str">
            <v>-</v>
          </cell>
        </row>
        <row r="1864">
          <cell r="E1864" t="str">
            <v/>
          </cell>
          <cell r="N1864" t="str">
            <v>-</v>
          </cell>
          <cell r="R1864" t="str">
            <v>-</v>
          </cell>
          <cell r="S1864" t="str">
            <v>-</v>
          </cell>
        </row>
        <row r="1865">
          <cell r="E1865" t="str">
            <v/>
          </cell>
          <cell r="N1865" t="str">
            <v>-</v>
          </cell>
          <cell r="R1865" t="str">
            <v>-</v>
          </cell>
          <cell r="S1865" t="str">
            <v>-</v>
          </cell>
        </row>
        <row r="1866">
          <cell r="E1866" t="str">
            <v/>
          </cell>
          <cell r="N1866" t="str">
            <v>-</v>
          </cell>
          <cell r="R1866" t="str">
            <v>-</v>
          </cell>
          <cell r="S1866" t="str">
            <v>-</v>
          </cell>
        </row>
        <row r="1867">
          <cell r="E1867" t="str">
            <v/>
          </cell>
          <cell r="N1867" t="str">
            <v>-</v>
          </cell>
          <cell r="R1867" t="str">
            <v>-</v>
          </cell>
          <cell r="S1867" t="str">
            <v>-</v>
          </cell>
        </row>
        <row r="1868">
          <cell r="E1868" t="str">
            <v/>
          </cell>
          <cell r="N1868" t="str">
            <v>-</v>
          </cell>
          <cell r="R1868" t="str">
            <v>-</v>
          </cell>
          <cell r="S1868" t="str">
            <v>-</v>
          </cell>
        </row>
        <row r="1869">
          <cell r="E1869" t="str">
            <v/>
          </cell>
          <cell r="N1869" t="str">
            <v>-</v>
          </cell>
          <cell r="R1869" t="str">
            <v>-</v>
          </cell>
          <cell r="S1869" t="str">
            <v>-</v>
          </cell>
        </row>
        <row r="1870">
          <cell r="E1870" t="str">
            <v/>
          </cell>
          <cell r="N1870" t="str">
            <v>-</v>
          </cell>
          <cell r="R1870" t="str">
            <v>-</v>
          </cell>
          <cell r="S1870" t="str">
            <v>-</v>
          </cell>
        </row>
        <row r="1871">
          <cell r="E1871" t="str">
            <v/>
          </cell>
          <cell r="N1871" t="str">
            <v>-</v>
          </cell>
          <cell r="R1871" t="str">
            <v>-</v>
          </cell>
          <cell r="S1871" t="str">
            <v>-</v>
          </cell>
        </row>
        <row r="1872">
          <cell r="E1872" t="str">
            <v/>
          </cell>
          <cell r="N1872" t="str">
            <v>-</v>
          </cell>
          <cell r="R1872" t="str">
            <v>-</v>
          </cell>
          <cell r="S1872" t="str">
            <v>-</v>
          </cell>
        </row>
        <row r="1873">
          <cell r="E1873" t="str">
            <v/>
          </cell>
          <cell r="N1873" t="str">
            <v>-</v>
          </cell>
          <cell r="R1873" t="str">
            <v>-</v>
          </cell>
          <cell r="S1873" t="str">
            <v>-</v>
          </cell>
        </row>
        <row r="1874">
          <cell r="E1874" t="str">
            <v/>
          </cell>
          <cell r="N1874" t="str">
            <v>-</v>
          </cell>
          <cell r="R1874" t="str">
            <v>-</v>
          </cell>
          <cell r="S1874" t="str">
            <v>-</v>
          </cell>
        </row>
        <row r="1875">
          <cell r="E1875" t="str">
            <v/>
          </cell>
          <cell r="N1875" t="str">
            <v>-</v>
          </cell>
          <cell r="R1875" t="str">
            <v>-</v>
          </cell>
          <cell r="S1875" t="str">
            <v>-</v>
          </cell>
        </row>
        <row r="1876">
          <cell r="E1876" t="str">
            <v/>
          </cell>
          <cell r="N1876" t="str">
            <v>-</v>
          </cell>
          <cell r="R1876" t="str">
            <v>-</v>
          </cell>
          <cell r="S1876" t="str">
            <v>-</v>
          </cell>
        </row>
        <row r="1877">
          <cell r="E1877" t="str">
            <v/>
          </cell>
          <cell r="N1877" t="str">
            <v>-</v>
          </cell>
          <cell r="R1877" t="str">
            <v>-</v>
          </cell>
          <cell r="S1877" t="str">
            <v>-</v>
          </cell>
        </row>
        <row r="1878">
          <cell r="E1878" t="str">
            <v/>
          </cell>
          <cell r="N1878" t="str">
            <v>-</v>
          </cell>
          <cell r="R1878" t="str">
            <v>-</v>
          </cell>
          <cell r="S1878" t="str">
            <v>-</v>
          </cell>
        </row>
        <row r="1879">
          <cell r="E1879" t="str">
            <v/>
          </cell>
          <cell r="N1879" t="str">
            <v>-</v>
          </cell>
          <cell r="R1879" t="str">
            <v>-</v>
          </cell>
          <cell r="S1879" t="str">
            <v>-</v>
          </cell>
        </row>
        <row r="1880">
          <cell r="E1880" t="str">
            <v/>
          </cell>
          <cell r="N1880" t="str">
            <v>-</v>
          </cell>
          <cell r="R1880" t="str">
            <v>-</v>
          </cell>
          <cell r="S1880" t="str">
            <v>-</v>
          </cell>
        </row>
        <row r="1881">
          <cell r="E1881" t="str">
            <v/>
          </cell>
          <cell r="N1881" t="str">
            <v>-</v>
          </cell>
          <cell r="R1881" t="str">
            <v>-</v>
          </cell>
          <cell r="S1881" t="str">
            <v>-</v>
          </cell>
        </row>
        <row r="1882">
          <cell r="E1882" t="str">
            <v/>
          </cell>
          <cell r="N1882" t="str">
            <v>-</v>
          </cell>
          <cell r="R1882" t="str">
            <v>-</v>
          </cell>
          <cell r="S1882" t="str">
            <v>-</v>
          </cell>
        </row>
        <row r="1883">
          <cell r="E1883" t="str">
            <v/>
          </cell>
          <cell r="N1883" t="str">
            <v>-</v>
          </cell>
          <cell r="R1883" t="str">
            <v>-</v>
          </cell>
          <cell r="S1883" t="str">
            <v>-</v>
          </cell>
        </row>
        <row r="1884">
          <cell r="E1884" t="str">
            <v/>
          </cell>
          <cell r="N1884" t="str">
            <v>-</v>
          </cell>
          <cell r="R1884" t="str">
            <v>-</v>
          </cell>
          <cell r="S1884" t="str">
            <v>-</v>
          </cell>
        </row>
        <row r="1885">
          <cell r="E1885" t="str">
            <v/>
          </cell>
          <cell r="N1885" t="str">
            <v>-</v>
          </cell>
          <cell r="R1885" t="str">
            <v>-</v>
          </cell>
          <cell r="S1885" t="str">
            <v>-</v>
          </cell>
        </row>
        <row r="1886">
          <cell r="E1886" t="str">
            <v/>
          </cell>
          <cell r="N1886" t="str">
            <v>-</v>
          </cell>
          <cell r="R1886" t="str">
            <v>-</v>
          </cell>
          <cell r="S1886" t="str">
            <v>-</v>
          </cell>
        </row>
        <row r="1887">
          <cell r="E1887" t="str">
            <v/>
          </cell>
          <cell r="N1887" t="str">
            <v>-</v>
          </cell>
          <cell r="R1887" t="str">
            <v>-</v>
          </cell>
          <cell r="S1887" t="str">
            <v>-</v>
          </cell>
        </row>
        <row r="1888">
          <cell r="E1888" t="str">
            <v/>
          </cell>
          <cell r="N1888" t="str">
            <v>-</v>
          </cell>
          <cell r="R1888" t="str">
            <v>-</v>
          </cell>
          <cell r="S1888" t="str">
            <v>-</v>
          </cell>
        </row>
        <row r="1889">
          <cell r="E1889" t="str">
            <v/>
          </cell>
          <cell r="N1889" t="str">
            <v>-</v>
          </cell>
          <cell r="R1889" t="str">
            <v>-</v>
          </cell>
          <cell r="S1889" t="str">
            <v>-</v>
          </cell>
        </row>
        <row r="1890">
          <cell r="E1890" t="str">
            <v/>
          </cell>
          <cell r="N1890" t="str">
            <v>-</v>
          </cell>
          <cell r="R1890" t="str">
            <v>-</v>
          </cell>
          <cell r="S1890" t="str">
            <v>-</v>
          </cell>
        </row>
        <row r="1891">
          <cell r="E1891" t="str">
            <v/>
          </cell>
          <cell r="N1891" t="str">
            <v>-</v>
          </cell>
          <cell r="R1891" t="str">
            <v>-</v>
          </cell>
          <cell r="S1891" t="str">
            <v>-</v>
          </cell>
        </row>
        <row r="1892">
          <cell r="E1892" t="str">
            <v/>
          </cell>
          <cell r="N1892" t="str">
            <v>-</v>
          </cell>
          <cell r="R1892" t="str">
            <v>-</v>
          </cell>
          <cell r="S1892" t="str">
            <v>-</v>
          </cell>
        </row>
        <row r="1893">
          <cell r="E1893" t="str">
            <v/>
          </cell>
          <cell r="N1893" t="str">
            <v>-</v>
          </cell>
          <cell r="R1893" t="str">
            <v>-</v>
          </cell>
          <cell r="S1893" t="str">
            <v>-</v>
          </cell>
        </row>
        <row r="1894">
          <cell r="E1894" t="str">
            <v/>
          </cell>
          <cell r="N1894" t="str">
            <v>-</v>
          </cell>
          <cell r="R1894" t="str">
            <v>-</v>
          </cell>
          <cell r="S1894" t="str">
            <v>-</v>
          </cell>
        </row>
        <row r="1895">
          <cell r="E1895" t="str">
            <v/>
          </cell>
          <cell r="N1895" t="str">
            <v>-</v>
          </cell>
          <cell r="R1895" t="str">
            <v>-</v>
          </cell>
          <cell r="S1895" t="str">
            <v>-</v>
          </cell>
        </row>
        <row r="1896">
          <cell r="E1896" t="str">
            <v/>
          </cell>
          <cell r="N1896" t="str">
            <v>-</v>
          </cell>
          <cell r="R1896" t="str">
            <v>-</v>
          </cell>
          <cell r="S1896" t="str">
            <v>-</v>
          </cell>
        </row>
        <row r="1897">
          <cell r="E1897" t="str">
            <v/>
          </cell>
          <cell r="N1897" t="str">
            <v>-</v>
          </cell>
          <cell r="R1897" t="str">
            <v>-</v>
          </cell>
          <cell r="S1897" t="str">
            <v>-</v>
          </cell>
        </row>
        <row r="1898">
          <cell r="E1898" t="str">
            <v/>
          </cell>
          <cell r="N1898" t="str">
            <v>-</v>
          </cell>
          <cell r="R1898" t="str">
            <v>-</v>
          </cell>
          <cell r="S1898" t="str">
            <v>-</v>
          </cell>
        </row>
        <row r="1899">
          <cell r="E1899" t="str">
            <v/>
          </cell>
          <cell r="N1899" t="str">
            <v>-</v>
          </cell>
          <cell r="R1899" t="str">
            <v>-</v>
          </cell>
          <cell r="S1899" t="str">
            <v>-</v>
          </cell>
        </row>
        <row r="1900">
          <cell r="E1900" t="str">
            <v/>
          </cell>
          <cell r="N1900" t="str">
            <v>-</v>
          </cell>
          <cell r="R1900" t="str">
            <v>-</v>
          </cell>
          <cell r="S1900" t="str">
            <v>-</v>
          </cell>
        </row>
        <row r="1901">
          <cell r="E1901" t="str">
            <v/>
          </cell>
          <cell r="N1901" t="str">
            <v>-</v>
          </cell>
          <cell r="R1901" t="str">
            <v>-</v>
          </cell>
          <cell r="S1901" t="str">
            <v>-</v>
          </cell>
        </row>
        <row r="1902">
          <cell r="E1902" t="str">
            <v/>
          </cell>
          <cell r="N1902" t="str">
            <v>-</v>
          </cell>
          <cell r="R1902" t="str">
            <v>-</v>
          </cell>
          <cell r="S1902" t="str">
            <v>-</v>
          </cell>
        </row>
        <row r="1903">
          <cell r="E1903" t="str">
            <v/>
          </cell>
          <cell r="N1903" t="str">
            <v>-</v>
          </cell>
          <cell r="R1903" t="str">
            <v>-</v>
          </cell>
          <cell r="S1903" t="str">
            <v>-</v>
          </cell>
        </row>
        <row r="1904">
          <cell r="E1904" t="str">
            <v/>
          </cell>
          <cell r="N1904" t="str">
            <v>-</v>
          </cell>
          <cell r="R1904" t="str">
            <v>-</v>
          </cell>
          <cell r="S1904" t="str">
            <v>-</v>
          </cell>
        </row>
        <row r="1905">
          <cell r="E1905" t="str">
            <v/>
          </cell>
          <cell r="N1905" t="str">
            <v>-</v>
          </cell>
          <cell r="R1905" t="str">
            <v>-</v>
          </cell>
          <cell r="S1905" t="str">
            <v>-</v>
          </cell>
        </row>
        <row r="1906">
          <cell r="E1906" t="str">
            <v/>
          </cell>
          <cell r="N1906" t="str">
            <v>-</v>
          </cell>
          <cell r="R1906" t="str">
            <v>-</v>
          </cell>
          <cell r="S1906" t="str">
            <v>-</v>
          </cell>
        </row>
        <row r="1907">
          <cell r="E1907" t="str">
            <v/>
          </cell>
          <cell r="N1907" t="str">
            <v>-</v>
          </cell>
          <cell r="R1907" t="str">
            <v>-</v>
          </cell>
          <cell r="S1907" t="str">
            <v>-</v>
          </cell>
        </row>
        <row r="1908">
          <cell r="E1908" t="str">
            <v/>
          </cell>
          <cell r="N1908" t="str">
            <v>-</v>
          </cell>
          <cell r="R1908" t="str">
            <v>-</v>
          </cell>
          <cell r="S1908" t="str">
            <v>-</v>
          </cell>
        </row>
        <row r="1909">
          <cell r="E1909" t="str">
            <v/>
          </cell>
          <cell r="N1909" t="str">
            <v>-</v>
          </cell>
          <cell r="R1909" t="str">
            <v>-</v>
          </cell>
          <cell r="S1909" t="str">
            <v>-</v>
          </cell>
        </row>
        <row r="1910">
          <cell r="E1910" t="str">
            <v/>
          </cell>
          <cell r="N1910" t="str">
            <v>-</v>
          </cell>
          <cell r="R1910" t="str">
            <v>-</v>
          </cell>
          <cell r="S1910" t="str">
            <v>-</v>
          </cell>
        </row>
        <row r="1911">
          <cell r="E1911" t="str">
            <v/>
          </cell>
          <cell r="N1911" t="str">
            <v>-</v>
          </cell>
          <cell r="R1911" t="str">
            <v>-</v>
          </cell>
          <cell r="S1911" t="str">
            <v>-</v>
          </cell>
        </row>
        <row r="1912">
          <cell r="E1912" t="str">
            <v/>
          </cell>
          <cell r="N1912" t="str">
            <v>-</v>
          </cell>
          <cell r="R1912" t="str">
            <v>-</v>
          </cell>
          <cell r="S1912" t="str">
            <v>-</v>
          </cell>
        </row>
        <row r="1913">
          <cell r="E1913" t="str">
            <v/>
          </cell>
          <cell r="N1913" t="str">
            <v>-</v>
          </cell>
          <cell r="R1913" t="str">
            <v>-</v>
          </cell>
          <cell r="S1913" t="str">
            <v>-</v>
          </cell>
        </row>
        <row r="1914">
          <cell r="E1914" t="str">
            <v/>
          </cell>
          <cell r="N1914" t="str">
            <v>-</v>
          </cell>
          <cell r="R1914" t="str">
            <v>-</v>
          </cell>
          <cell r="S1914" t="str">
            <v>-</v>
          </cell>
        </row>
        <row r="1915">
          <cell r="E1915" t="str">
            <v/>
          </cell>
          <cell r="N1915" t="str">
            <v>-</v>
          </cell>
          <cell r="R1915" t="str">
            <v>-</v>
          </cell>
          <cell r="S1915" t="str">
            <v>-</v>
          </cell>
        </row>
        <row r="1916">
          <cell r="E1916" t="str">
            <v/>
          </cell>
          <cell r="N1916" t="str">
            <v>-</v>
          </cell>
          <cell r="R1916" t="str">
            <v>-</v>
          </cell>
          <cell r="S1916" t="str">
            <v>-</v>
          </cell>
        </row>
        <row r="1917">
          <cell r="E1917" t="str">
            <v/>
          </cell>
          <cell r="N1917" t="str">
            <v>-</v>
          </cell>
          <cell r="R1917" t="str">
            <v>-</v>
          </cell>
          <cell r="S1917" t="str">
            <v>-</v>
          </cell>
        </row>
        <row r="1918">
          <cell r="E1918" t="str">
            <v/>
          </cell>
          <cell r="N1918" t="str">
            <v>-</v>
          </cell>
          <cell r="R1918" t="str">
            <v>-</v>
          </cell>
          <cell r="S1918" t="str">
            <v>-</v>
          </cell>
        </row>
        <row r="1919">
          <cell r="E1919" t="str">
            <v/>
          </cell>
          <cell r="N1919" t="str">
            <v>-</v>
          </cell>
          <cell r="R1919" t="str">
            <v>-</v>
          </cell>
          <cell r="S1919" t="str">
            <v>-</v>
          </cell>
        </row>
        <row r="1920">
          <cell r="E1920" t="str">
            <v/>
          </cell>
          <cell r="N1920" t="str">
            <v>-</v>
          </cell>
          <cell r="R1920" t="str">
            <v>-</v>
          </cell>
          <cell r="S1920" t="str">
            <v>-</v>
          </cell>
        </row>
        <row r="1921">
          <cell r="E1921" t="str">
            <v/>
          </cell>
          <cell r="N1921" t="str">
            <v>-</v>
          </cell>
          <cell r="R1921" t="str">
            <v>-</v>
          </cell>
          <cell r="S1921" t="str">
            <v>-</v>
          </cell>
        </row>
        <row r="1922">
          <cell r="E1922" t="str">
            <v/>
          </cell>
          <cell r="N1922" t="str">
            <v>-</v>
          </cell>
          <cell r="R1922" t="str">
            <v>-</v>
          </cell>
          <cell r="S1922" t="str">
            <v>-</v>
          </cell>
        </row>
        <row r="1923">
          <cell r="E1923" t="str">
            <v/>
          </cell>
          <cell r="N1923" t="str">
            <v>-</v>
          </cell>
          <cell r="R1923" t="str">
            <v>-</v>
          </cell>
          <cell r="S1923" t="str">
            <v>-</v>
          </cell>
        </row>
        <row r="1924">
          <cell r="E1924" t="str">
            <v/>
          </cell>
          <cell r="N1924" t="str">
            <v>-</v>
          </cell>
          <cell r="R1924" t="str">
            <v>-</v>
          </cell>
          <cell r="S1924" t="str">
            <v>-</v>
          </cell>
        </row>
        <row r="1925">
          <cell r="E1925" t="str">
            <v/>
          </cell>
          <cell r="N1925" t="str">
            <v>-</v>
          </cell>
          <cell r="R1925" t="str">
            <v>-</v>
          </cell>
          <cell r="S1925" t="str">
            <v>-</v>
          </cell>
        </row>
        <row r="1926">
          <cell r="E1926" t="str">
            <v/>
          </cell>
          <cell r="N1926" t="str">
            <v>-</v>
          </cell>
          <cell r="R1926" t="str">
            <v>-</v>
          </cell>
          <cell r="S1926" t="str">
            <v>-</v>
          </cell>
        </row>
        <row r="1927">
          <cell r="E1927" t="str">
            <v/>
          </cell>
          <cell r="N1927" t="str">
            <v>-</v>
          </cell>
          <cell r="R1927" t="str">
            <v>-</v>
          </cell>
          <cell r="S1927" t="str">
            <v>-</v>
          </cell>
        </row>
        <row r="1928">
          <cell r="E1928" t="str">
            <v/>
          </cell>
          <cell r="N1928" t="str">
            <v>-</v>
          </cell>
          <cell r="R1928" t="str">
            <v>-</v>
          </cell>
          <cell r="S1928" t="str">
            <v>-</v>
          </cell>
        </row>
        <row r="1929">
          <cell r="E1929" t="str">
            <v/>
          </cell>
          <cell r="N1929" t="str">
            <v>-</v>
          </cell>
          <cell r="R1929" t="str">
            <v>-</v>
          </cell>
          <cell r="S1929" t="str">
            <v>-</v>
          </cell>
        </row>
        <row r="1930">
          <cell r="E1930" t="str">
            <v/>
          </cell>
          <cell r="N1930" t="str">
            <v>-</v>
          </cell>
          <cell r="R1930" t="str">
            <v>-</v>
          </cell>
          <cell r="S1930" t="str">
            <v>-</v>
          </cell>
        </row>
        <row r="1931">
          <cell r="E1931" t="str">
            <v/>
          </cell>
          <cell r="N1931" t="str">
            <v>-</v>
          </cell>
          <cell r="R1931" t="str">
            <v>-</v>
          </cell>
          <cell r="S1931" t="str">
            <v>-</v>
          </cell>
        </row>
        <row r="1932">
          <cell r="E1932" t="str">
            <v/>
          </cell>
          <cell r="N1932" t="str">
            <v>-</v>
          </cell>
          <cell r="R1932" t="str">
            <v>-</v>
          </cell>
          <cell r="S1932" t="str">
            <v>-</v>
          </cell>
        </row>
        <row r="1933">
          <cell r="E1933" t="str">
            <v/>
          </cell>
          <cell r="N1933" t="str">
            <v>-</v>
          </cell>
          <cell r="R1933" t="str">
            <v>-</v>
          </cell>
          <cell r="S1933" t="str">
            <v>-</v>
          </cell>
        </row>
        <row r="1934">
          <cell r="E1934" t="str">
            <v/>
          </cell>
          <cell r="N1934" t="str">
            <v>-</v>
          </cell>
          <cell r="R1934" t="str">
            <v>-</v>
          </cell>
          <cell r="S1934" t="str">
            <v>-</v>
          </cell>
        </row>
        <row r="1935">
          <cell r="E1935" t="str">
            <v/>
          </cell>
          <cell r="N1935" t="str">
            <v>-</v>
          </cell>
          <cell r="R1935" t="str">
            <v>-</v>
          </cell>
          <cell r="S1935" t="str">
            <v>-</v>
          </cell>
        </row>
        <row r="1936">
          <cell r="E1936" t="str">
            <v/>
          </cell>
          <cell r="N1936" t="str">
            <v>-</v>
          </cell>
          <cell r="R1936" t="str">
            <v>-</v>
          </cell>
          <cell r="S1936" t="str">
            <v>-</v>
          </cell>
        </row>
        <row r="1937">
          <cell r="E1937" t="str">
            <v/>
          </cell>
          <cell r="N1937" t="str">
            <v>-</v>
          </cell>
          <cell r="R1937" t="str">
            <v>-</v>
          </cell>
          <cell r="S1937" t="str">
            <v>-</v>
          </cell>
        </row>
        <row r="1938">
          <cell r="E1938" t="str">
            <v/>
          </cell>
          <cell r="N1938" t="str">
            <v>-</v>
          </cell>
          <cell r="R1938" t="str">
            <v>-</v>
          </cell>
          <cell r="S1938" t="str">
            <v>-</v>
          </cell>
        </row>
        <row r="1939">
          <cell r="E1939" t="str">
            <v/>
          </cell>
          <cell r="N1939" t="str">
            <v>-</v>
          </cell>
          <cell r="R1939" t="str">
            <v>-</v>
          </cell>
          <cell r="S1939" t="str">
            <v>-</v>
          </cell>
        </row>
        <row r="1940">
          <cell r="E1940" t="str">
            <v/>
          </cell>
          <cell r="N1940" t="str">
            <v>-</v>
          </cell>
          <cell r="R1940" t="str">
            <v>-</v>
          </cell>
          <cell r="S1940" t="str">
            <v>-</v>
          </cell>
        </row>
        <row r="1941">
          <cell r="E1941" t="str">
            <v/>
          </cell>
          <cell r="N1941" t="str">
            <v>-</v>
          </cell>
          <cell r="R1941" t="str">
            <v>-</v>
          </cell>
          <cell r="S1941" t="str">
            <v>-</v>
          </cell>
        </row>
        <row r="1942">
          <cell r="E1942" t="str">
            <v/>
          </cell>
          <cell r="N1942" t="str">
            <v>-</v>
          </cell>
          <cell r="R1942" t="str">
            <v>-</v>
          </cell>
          <cell r="S1942" t="str">
            <v>-</v>
          </cell>
        </row>
        <row r="1943">
          <cell r="E1943" t="str">
            <v/>
          </cell>
          <cell r="N1943" t="str">
            <v>-</v>
          </cell>
          <cell r="R1943" t="str">
            <v>-</v>
          </cell>
          <cell r="S1943" t="str">
            <v>-</v>
          </cell>
        </row>
        <row r="1944">
          <cell r="E1944" t="str">
            <v/>
          </cell>
          <cell r="N1944" t="str">
            <v>-</v>
          </cell>
          <cell r="R1944" t="str">
            <v>-</v>
          </cell>
          <cell r="S1944" t="str">
            <v>-</v>
          </cell>
        </row>
        <row r="1945">
          <cell r="E1945" t="str">
            <v/>
          </cell>
          <cell r="N1945" t="str">
            <v>-</v>
          </cell>
          <cell r="R1945" t="str">
            <v>-</v>
          </cell>
          <cell r="S1945" t="str">
            <v>-</v>
          </cell>
        </row>
        <row r="1946">
          <cell r="E1946" t="str">
            <v/>
          </cell>
          <cell r="N1946" t="str">
            <v>-</v>
          </cell>
          <cell r="R1946" t="str">
            <v>-</v>
          </cell>
          <cell r="S1946" t="str">
            <v>-</v>
          </cell>
        </row>
        <row r="1947">
          <cell r="E1947" t="str">
            <v/>
          </cell>
          <cell r="N1947" t="str">
            <v>-</v>
          </cell>
          <cell r="R1947" t="str">
            <v>-</v>
          </cell>
          <cell r="S1947" t="str">
            <v>-</v>
          </cell>
        </row>
        <row r="1948">
          <cell r="E1948" t="str">
            <v/>
          </cell>
          <cell r="N1948" t="str">
            <v>-</v>
          </cell>
          <cell r="R1948" t="str">
            <v>-</v>
          </cell>
          <cell r="S1948" t="str">
            <v>-</v>
          </cell>
        </row>
        <row r="1949">
          <cell r="E1949" t="str">
            <v/>
          </cell>
          <cell r="N1949" t="str">
            <v>-</v>
          </cell>
          <cell r="R1949" t="str">
            <v>-</v>
          </cell>
          <cell r="S1949" t="str">
            <v>-</v>
          </cell>
        </row>
        <row r="1950">
          <cell r="E1950" t="str">
            <v/>
          </cell>
          <cell r="N1950" t="str">
            <v>-</v>
          </cell>
          <cell r="R1950" t="str">
            <v>-</v>
          </cell>
          <cell r="S1950" t="str">
            <v>-</v>
          </cell>
        </row>
        <row r="1951">
          <cell r="E1951" t="str">
            <v/>
          </cell>
          <cell r="N1951" t="str">
            <v>-</v>
          </cell>
          <cell r="R1951" t="str">
            <v>-</v>
          </cell>
          <cell r="S1951" t="str">
            <v>-</v>
          </cell>
        </row>
        <row r="1952">
          <cell r="E1952" t="str">
            <v/>
          </cell>
          <cell r="N1952" t="str">
            <v>-</v>
          </cell>
          <cell r="R1952" t="str">
            <v>-</v>
          </cell>
          <cell r="S1952" t="str">
            <v>-</v>
          </cell>
        </row>
        <row r="1953">
          <cell r="E1953" t="str">
            <v/>
          </cell>
          <cell r="N1953" t="str">
            <v>-</v>
          </cell>
          <cell r="R1953" t="str">
            <v>-</v>
          </cell>
          <cell r="S1953" t="str">
            <v>-</v>
          </cell>
        </row>
        <row r="1954">
          <cell r="E1954" t="str">
            <v/>
          </cell>
          <cell r="N1954" t="str">
            <v>-</v>
          </cell>
          <cell r="R1954" t="str">
            <v>-</v>
          </cell>
          <cell r="S1954" t="str">
            <v>-</v>
          </cell>
        </row>
        <row r="1955">
          <cell r="E1955" t="str">
            <v/>
          </cell>
          <cell r="N1955" t="str">
            <v>-</v>
          </cell>
          <cell r="R1955" t="str">
            <v>-</v>
          </cell>
          <cell r="S1955" t="str">
            <v>-</v>
          </cell>
        </row>
        <row r="1956">
          <cell r="E1956" t="str">
            <v/>
          </cell>
          <cell r="N1956" t="str">
            <v>-</v>
          </cell>
          <cell r="R1956" t="str">
            <v>-</v>
          </cell>
          <cell r="S1956" t="str">
            <v>-</v>
          </cell>
        </row>
        <row r="1957">
          <cell r="E1957" t="str">
            <v/>
          </cell>
          <cell r="N1957" t="str">
            <v>-</v>
          </cell>
          <cell r="R1957" t="str">
            <v>-</v>
          </cell>
          <cell r="S1957" t="str">
            <v>-</v>
          </cell>
        </row>
        <row r="1958">
          <cell r="E1958" t="str">
            <v/>
          </cell>
          <cell r="N1958" t="str">
            <v>-</v>
          </cell>
          <cell r="R1958" t="str">
            <v>-</v>
          </cell>
          <cell r="S1958" t="str">
            <v>-</v>
          </cell>
        </row>
        <row r="1959">
          <cell r="E1959" t="str">
            <v/>
          </cell>
          <cell r="N1959" t="str">
            <v>-</v>
          </cell>
          <cell r="R1959" t="str">
            <v>-</v>
          </cell>
          <cell r="S1959" t="str">
            <v>-</v>
          </cell>
        </row>
        <row r="1960">
          <cell r="E1960" t="str">
            <v/>
          </cell>
          <cell r="N1960" t="str">
            <v>-</v>
          </cell>
          <cell r="R1960" t="str">
            <v>-</v>
          </cell>
          <cell r="S1960" t="str">
            <v>-</v>
          </cell>
        </row>
        <row r="1961">
          <cell r="E1961" t="str">
            <v/>
          </cell>
          <cell r="N1961" t="str">
            <v>-</v>
          </cell>
          <cell r="R1961" t="str">
            <v>-</v>
          </cell>
          <cell r="S1961" t="str">
            <v>-</v>
          </cell>
        </row>
        <row r="1962">
          <cell r="E1962" t="str">
            <v/>
          </cell>
          <cell r="N1962" t="str">
            <v>-</v>
          </cell>
          <cell r="R1962" t="str">
            <v>-</v>
          </cell>
          <cell r="S1962" t="str">
            <v>-</v>
          </cell>
        </row>
        <row r="1963">
          <cell r="E1963" t="str">
            <v/>
          </cell>
          <cell r="N1963" t="str">
            <v>-</v>
          </cell>
          <cell r="R1963" t="str">
            <v>-</v>
          </cell>
          <cell r="S1963" t="str">
            <v>-</v>
          </cell>
        </row>
        <row r="1964">
          <cell r="E1964" t="str">
            <v/>
          </cell>
          <cell r="N1964" t="str">
            <v>-</v>
          </cell>
          <cell r="R1964" t="str">
            <v>-</v>
          </cell>
          <cell r="S1964" t="str">
            <v>-</v>
          </cell>
        </row>
        <row r="1965">
          <cell r="E1965" t="str">
            <v/>
          </cell>
          <cell r="N1965" t="str">
            <v>-</v>
          </cell>
          <cell r="R1965" t="str">
            <v>-</v>
          </cell>
          <cell r="S1965" t="str">
            <v>-</v>
          </cell>
        </row>
        <row r="1966">
          <cell r="E1966" t="str">
            <v/>
          </cell>
          <cell r="N1966" t="str">
            <v>-</v>
          </cell>
          <cell r="R1966" t="str">
            <v>-</v>
          </cell>
          <cell r="S1966" t="str">
            <v>-</v>
          </cell>
        </row>
        <row r="1967">
          <cell r="E1967" t="str">
            <v/>
          </cell>
          <cell r="N1967" t="str">
            <v>-</v>
          </cell>
          <cell r="R1967" t="str">
            <v>-</v>
          </cell>
          <cell r="S1967" t="str">
            <v>-</v>
          </cell>
        </row>
        <row r="1968">
          <cell r="E1968" t="str">
            <v/>
          </cell>
          <cell r="N1968" t="str">
            <v>-</v>
          </cell>
          <cell r="R1968" t="str">
            <v>-</v>
          </cell>
          <cell r="S1968" t="str">
            <v>-</v>
          </cell>
        </row>
        <row r="1969">
          <cell r="E1969" t="str">
            <v/>
          </cell>
          <cell r="N1969" t="str">
            <v>-</v>
          </cell>
          <cell r="R1969" t="str">
            <v>-</v>
          </cell>
          <cell r="S1969" t="str">
            <v>-</v>
          </cell>
        </row>
        <row r="1970">
          <cell r="E1970" t="str">
            <v/>
          </cell>
          <cell r="N1970" t="str">
            <v>-</v>
          </cell>
          <cell r="R1970" t="str">
            <v>-</v>
          </cell>
          <cell r="S1970" t="str">
            <v>-</v>
          </cell>
        </row>
        <row r="1971">
          <cell r="E1971" t="str">
            <v/>
          </cell>
          <cell r="N1971" t="str">
            <v>-</v>
          </cell>
          <cell r="R1971" t="str">
            <v>-</v>
          </cell>
          <cell r="S1971" t="str">
            <v>-</v>
          </cell>
        </row>
        <row r="1972">
          <cell r="E1972" t="str">
            <v/>
          </cell>
          <cell r="N1972" t="str">
            <v>-</v>
          </cell>
          <cell r="R1972" t="str">
            <v>-</v>
          </cell>
          <cell r="S1972" t="str">
            <v>-</v>
          </cell>
        </row>
        <row r="1973">
          <cell r="E1973" t="str">
            <v/>
          </cell>
          <cell r="N1973" t="str">
            <v>-</v>
          </cell>
          <cell r="R1973" t="str">
            <v>-</v>
          </cell>
          <cell r="S1973" t="str">
            <v>-</v>
          </cell>
        </row>
        <row r="1974">
          <cell r="E1974" t="str">
            <v/>
          </cell>
          <cell r="N1974" t="str">
            <v>-</v>
          </cell>
          <cell r="R1974" t="str">
            <v>-</v>
          </cell>
          <cell r="S1974" t="str">
            <v>-</v>
          </cell>
        </row>
        <row r="1975">
          <cell r="E1975" t="str">
            <v/>
          </cell>
          <cell r="N1975" t="str">
            <v>-</v>
          </cell>
          <cell r="R1975" t="str">
            <v>-</v>
          </cell>
          <cell r="S1975" t="str">
            <v>-</v>
          </cell>
        </row>
        <row r="1976">
          <cell r="E1976" t="str">
            <v/>
          </cell>
          <cell r="N1976" t="str">
            <v>-</v>
          </cell>
          <cell r="R1976" t="str">
            <v>-</v>
          </cell>
          <cell r="S1976" t="str">
            <v>-</v>
          </cell>
        </row>
        <row r="1977">
          <cell r="E1977" t="str">
            <v/>
          </cell>
          <cell r="N1977" t="str">
            <v>-</v>
          </cell>
          <cell r="R1977" t="str">
            <v>-</v>
          </cell>
          <cell r="S1977" t="str">
            <v>-</v>
          </cell>
        </row>
        <row r="1978">
          <cell r="E1978" t="str">
            <v/>
          </cell>
          <cell r="N1978" t="str">
            <v>-</v>
          </cell>
          <cell r="R1978" t="str">
            <v>-</v>
          </cell>
          <cell r="S1978" t="str">
            <v>-</v>
          </cell>
        </row>
        <row r="1979">
          <cell r="E1979" t="str">
            <v/>
          </cell>
          <cell r="N1979" t="str">
            <v>-</v>
          </cell>
          <cell r="R1979" t="str">
            <v>-</v>
          </cell>
          <cell r="S1979" t="str">
            <v>-</v>
          </cell>
        </row>
        <row r="1980">
          <cell r="E1980" t="str">
            <v/>
          </cell>
          <cell r="N1980" t="str">
            <v>-</v>
          </cell>
          <cell r="R1980" t="str">
            <v>-</v>
          </cell>
          <cell r="S1980" t="str">
            <v>-</v>
          </cell>
        </row>
        <row r="1981">
          <cell r="E1981" t="str">
            <v/>
          </cell>
          <cell r="N1981" t="str">
            <v>-</v>
          </cell>
          <cell r="R1981" t="str">
            <v>-</v>
          </cell>
          <cell r="S1981" t="str">
            <v>-</v>
          </cell>
        </row>
        <row r="1982">
          <cell r="E1982" t="str">
            <v/>
          </cell>
          <cell r="N1982" t="str">
            <v>-</v>
          </cell>
          <cell r="R1982" t="str">
            <v>-</v>
          </cell>
          <cell r="S1982" t="str">
            <v>-</v>
          </cell>
        </row>
        <row r="1983">
          <cell r="E1983" t="str">
            <v/>
          </cell>
          <cell r="N1983" t="str">
            <v>-</v>
          </cell>
          <cell r="R1983" t="str">
            <v>-</v>
          </cell>
          <cell r="S1983" t="str">
            <v>-</v>
          </cell>
        </row>
        <row r="1984">
          <cell r="E1984" t="str">
            <v/>
          </cell>
          <cell r="N1984" t="str">
            <v>-</v>
          </cell>
          <cell r="R1984" t="str">
            <v>-</v>
          </cell>
          <cell r="S1984" t="str">
            <v>-</v>
          </cell>
        </row>
        <row r="1985">
          <cell r="E1985" t="str">
            <v/>
          </cell>
          <cell r="N1985" t="str">
            <v>-</v>
          </cell>
          <cell r="R1985" t="str">
            <v>-</v>
          </cell>
          <cell r="S1985" t="str">
            <v>-</v>
          </cell>
        </row>
        <row r="1986">
          <cell r="E1986" t="str">
            <v/>
          </cell>
          <cell r="N1986" t="str">
            <v>-</v>
          </cell>
          <cell r="R1986" t="str">
            <v>-</v>
          </cell>
          <cell r="S1986" t="str">
            <v>-</v>
          </cell>
        </row>
        <row r="1987">
          <cell r="E1987" t="str">
            <v/>
          </cell>
          <cell r="N1987" t="str">
            <v>-</v>
          </cell>
          <cell r="R1987" t="str">
            <v>-</v>
          </cell>
          <cell r="S1987" t="str">
            <v>-</v>
          </cell>
        </row>
        <row r="1988">
          <cell r="E1988" t="str">
            <v/>
          </cell>
          <cell r="N1988" t="str">
            <v>-</v>
          </cell>
          <cell r="R1988" t="str">
            <v>-</v>
          </cell>
          <cell r="S1988" t="str">
            <v>-</v>
          </cell>
        </row>
        <row r="1989">
          <cell r="E1989" t="str">
            <v/>
          </cell>
          <cell r="N1989" t="str">
            <v>-</v>
          </cell>
          <cell r="R1989" t="str">
            <v>-</v>
          </cell>
          <cell r="S1989" t="str">
            <v>-</v>
          </cell>
        </row>
        <row r="1990">
          <cell r="E1990" t="str">
            <v/>
          </cell>
          <cell r="N1990" t="str">
            <v>-</v>
          </cell>
          <cell r="R1990" t="str">
            <v>-</v>
          </cell>
          <cell r="S1990" t="str">
            <v>-</v>
          </cell>
        </row>
        <row r="1991">
          <cell r="E1991" t="str">
            <v/>
          </cell>
          <cell r="N1991" t="str">
            <v>-</v>
          </cell>
          <cell r="R1991" t="str">
            <v>-</v>
          </cell>
          <cell r="S1991" t="str">
            <v>-</v>
          </cell>
        </row>
        <row r="1992">
          <cell r="E1992" t="str">
            <v/>
          </cell>
          <cell r="N1992" t="str">
            <v>-</v>
          </cell>
          <cell r="R1992" t="str">
            <v>-</v>
          </cell>
          <cell r="S1992" t="str">
            <v>-</v>
          </cell>
        </row>
        <row r="1993">
          <cell r="E1993" t="str">
            <v/>
          </cell>
          <cell r="N1993" t="str">
            <v>-</v>
          </cell>
          <cell r="R1993" t="str">
            <v>-</v>
          </cell>
          <cell r="S1993" t="str">
            <v>-</v>
          </cell>
        </row>
        <row r="1994">
          <cell r="E1994" t="str">
            <v/>
          </cell>
          <cell r="N1994" t="str">
            <v>-</v>
          </cell>
          <cell r="R1994" t="str">
            <v>-</v>
          </cell>
          <cell r="S1994" t="str">
            <v>-</v>
          </cell>
        </row>
        <row r="1995">
          <cell r="E1995" t="str">
            <v/>
          </cell>
          <cell r="N1995" t="str">
            <v>-</v>
          </cell>
          <cell r="R1995" t="str">
            <v>-</v>
          </cell>
          <cell r="S1995" t="str">
            <v>-</v>
          </cell>
        </row>
        <row r="1996">
          <cell r="E1996" t="str">
            <v/>
          </cell>
          <cell r="N1996" t="str">
            <v>-</v>
          </cell>
          <cell r="R1996" t="str">
            <v>-</v>
          </cell>
          <cell r="S1996" t="str">
            <v>-</v>
          </cell>
        </row>
        <row r="1997">
          <cell r="E1997" t="str">
            <v/>
          </cell>
          <cell r="N1997" t="str">
            <v>-</v>
          </cell>
          <cell r="R1997" t="str">
            <v>-</v>
          </cell>
          <cell r="S1997" t="str">
            <v>-</v>
          </cell>
        </row>
        <row r="1998">
          <cell r="E1998" t="str">
            <v/>
          </cell>
          <cell r="N1998" t="str">
            <v>-</v>
          </cell>
          <cell r="R1998" t="str">
            <v>-</v>
          </cell>
          <cell r="S1998" t="str">
            <v>-</v>
          </cell>
        </row>
        <row r="1999">
          <cell r="E1999" t="str">
            <v/>
          </cell>
          <cell r="N1999" t="str">
            <v>-</v>
          </cell>
          <cell r="R1999" t="str">
            <v>-</v>
          </cell>
          <cell r="S1999" t="str">
            <v>-</v>
          </cell>
        </row>
        <row r="2000">
          <cell r="E2000" t="str">
            <v/>
          </cell>
          <cell r="N2000" t="str">
            <v>-</v>
          </cell>
          <cell r="R2000" t="str">
            <v>-</v>
          </cell>
          <cell r="S2000" t="str">
            <v>-</v>
          </cell>
        </row>
        <row r="2001">
          <cell r="E2001" t="str">
            <v/>
          </cell>
          <cell r="N2001" t="str">
            <v>-</v>
          </cell>
          <cell r="R2001" t="str">
            <v>-</v>
          </cell>
          <cell r="S2001" t="str">
            <v>-</v>
          </cell>
        </row>
        <row r="2002">
          <cell r="E2002" t="str">
            <v/>
          </cell>
          <cell r="N2002" t="str">
            <v>-</v>
          </cell>
          <cell r="R2002" t="str">
            <v>-</v>
          </cell>
          <cell r="S2002" t="str">
            <v>-</v>
          </cell>
        </row>
        <row r="2003">
          <cell r="E2003" t="str">
            <v/>
          </cell>
          <cell r="N2003" t="str">
            <v>-</v>
          </cell>
          <cell r="R2003" t="str">
            <v>-</v>
          </cell>
          <cell r="S2003" t="str">
            <v>-</v>
          </cell>
        </row>
        <row r="2004">
          <cell r="E2004" t="str">
            <v/>
          </cell>
          <cell r="N2004" t="str">
            <v>-</v>
          </cell>
          <cell r="R2004" t="str">
            <v>-</v>
          </cell>
          <cell r="S2004" t="str">
            <v>-</v>
          </cell>
        </row>
        <row r="2005">
          <cell r="E2005" t="str">
            <v/>
          </cell>
          <cell r="N2005" t="str">
            <v>-</v>
          </cell>
          <cell r="R2005" t="str">
            <v>-</v>
          </cell>
          <cell r="S2005" t="str">
            <v>-</v>
          </cell>
        </row>
        <row r="2006">
          <cell r="E2006" t="str">
            <v/>
          </cell>
          <cell r="N2006" t="str">
            <v>-</v>
          </cell>
          <cell r="R2006" t="str">
            <v>-</v>
          </cell>
          <cell r="S2006" t="str">
            <v>-</v>
          </cell>
        </row>
        <row r="2007">
          <cell r="E2007" t="str">
            <v/>
          </cell>
          <cell r="N2007" t="str">
            <v>-</v>
          </cell>
          <cell r="R2007" t="str">
            <v>-</v>
          </cell>
          <cell r="S2007" t="str">
            <v>-</v>
          </cell>
        </row>
        <row r="2008">
          <cell r="E2008" t="str">
            <v/>
          </cell>
          <cell r="N2008" t="str">
            <v>-</v>
          </cell>
          <cell r="R2008" t="str">
            <v>-</v>
          </cell>
          <cell r="S2008" t="str">
            <v>-</v>
          </cell>
        </row>
        <row r="2009">
          <cell r="E2009" t="str">
            <v/>
          </cell>
          <cell r="N2009" t="str">
            <v>-</v>
          </cell>
          <cell r="R2009" t="str">
            <v>-</v>
          </cell>
          <cell r="S2009" t="str">
            <v>-</v>
          </cell>
        </row>
        <row r="2010">
          <cell r="E2010" t="str">
            <v/>
          </cell>
          <cell r="N2010" t="str">
            <v>-</v>
          </cell>
          <cell r="R2010" t="str">
            <v>-</v>
          </cell>
          <cell r="S2010" t="str">
            <v>-</v>
          </cell>
        </row>
        <row r="2011">
          <cell r="E2011" t="str">
            <v/>
          </cell>
          <cell r="N2011" t="str">
            <v>-</v>
          </cell>
          <cell r="R2011" t="str">
            <v>-</v>
          </cell>
          <cell r="S2011" t="str">
            <v>-</v>
          </cell>
        </row>
        <row r="2012">
          <cell r="E2012" t="str">
            <v/>
          </cell>
          <cell r="N2012" t="str">
            <v>-</v>
          </cell>
          <cell r="R2012" t="str">
            <v>-</v>
          </cell>
          <cell r="S2012" t="str">
            <v>-</v>
          </cell>
        </row>
        <row r="2013">
          <cell r="E2013" t="str">
            <v/>
          </cell>
          <cell r="N2013" t="str">
            <v>-</v>
          </cell>
          <cell r="R2013" t="str">
            <v>-</v>
          </cell>
          <cell r="S2013" t="str">
            <v>-</v>
          </cell>
        </row>
        <row r="2014">
          <cell r="E2014" t="str">
            <v/>
          </cell>
          <cell r="N2014" t="str">
            <v>-</v>
          </cell>
          <cell r="R2014" t="str">
            <v>-</v>
          </cell>
          <cell r="S2014" t="str">
            <v>-</v>
          </cell>
        </row>
        <row r="2015">
          <cell r="E2015" t="str">
            <v/>
          </cell>
          <cell r="N2015" t="str">
            <v>-</v>
          </cell>
          <cell r="R2015" t="str">
            <v>-</v>
          </cell>
          <cell r="S2015" t="str">
            <v>-</v>
          </cell>
        </row>
        <row r="2016">
          <cell r="E2016" t="str">
            <v/>
          </cell>
          <cell r="N2016" t="str">
            <v>-</v>
          </cell>
          <cell r="R2016" t="str">
            <v>-</v>
          </cell>
          <cell r="S2016" t="str">
            <v>-</v>
          </cell>
        </row>
        <row r="2017">
          <cell r="E2017" t="str">
            <v/>
          </cell>
          <cell r="N2017" t="str">
            <v>-</v>
          </cell>
          <cell r="R2017" t="str">
            <v>-</v>
          </cell>
          <cell r="S2017" t="str">
            <v>-</v>
          </cell>
        </row>
        <row r="2018">
          <cell r="E2018" t="str">
            <v/>
          </cell>
          <cell r="N2018" t="str">
            <v>-</v>
          </cell>
          <cell r="R2018" t="str">
            <v>-</v>
          </cell>
          <cell r="S2018" t="str">
            <v>-</v>
          </cell>
        </row>
        <row r="2019">
          <cell r="E2019" t="str">
            <v/>
          </cell>
          <cell r="N2019" t="str">
            <v>-</v>
          </cell>
          <cell r="R2019" t="str">
            <v>-</v>
          </cell>
          <cell r="S2019" t="str">
            <v>-</v>
          </cell>
        </row>
        <row r="2020">
          <cell r="E2020" t="str">
            <v/>
          </cell>
          <cell r="N2020" t="str">
            <v>-</v>
          </cell>
          <cell r="R2020" t="str">
            <v>-</v>
          </cell>
          <cell r="S2020" t="str">
            <v>-</v>
          </cell>
        </row>
        <row r="2021">
          <cell r="E2021" t="str">
            <v/>
          </cell>
          <cell r="N2021" t="str">
            <v>-</v>
          </cell>
          <cell r="R2021" t="str">
            <v>-</v>
          </cell>
          <cell r="S2021" t="str">
            <v>-</v>
          </cell>
        </row>
        <row r="2022">
          <cell r="E2022" t="str">
            <v/>
          </cell>
          <cell r="N2022" t="str">
            <v>-</v>
          </cell>
          <cell r="R2022" t="str">
            <v>-</v>
          </cell>
          <cell r="S2022" t="str">
            <v>-</v>
          </cell>
        </row>
        <row r="2023">
          <cell r="E2023" t="str">
            <v/>
          </cell>
          <cell r="N2023" t="str">
            <v>-</v>
          </cell>
          <cell r="R2023" t="str">
            <v>-</v>
          </cell>
          <cell r="S2023" t="str">
            <v>-</v>
          </cell>
        </row>
        <row r="2024">
          <cell r="E2024" t="str">
            <v/>
          </cell>
          <cell r="N2024" t="str">
            <v>-</v>
          </cell>
          <cell r="R2024" t="str">
            <v>-</v>
          </cell>
          <cell r="S2024" t="str">
            <v>-</v>
          </cell>
        </row>
        <row r="2025">
          <cell r="E2025" t="str">
            <v/>
          </cell>
          <cell r="N2025" t="str">
            <v>-</v>
          </cell>
          <cell r="R2025" t="str">
            <v>-</v>
          </cell>
          <cell r="S2025" t="str">
            <v>-</v>
          </cell>
        </row>
        <row r="2026">
          <cell r="E2026" t="str">
            <v/>
          </cell>
          <cell r="N2026" t="str">
            <v>-</v>
          </cell>
          <cell r="R2026" t="str">
            <v>-</v>
          </cell>
          <cell r="S2026" t="str">
            <v>-</v>
          </cell>
        </row>
        <row r="2027">
          <cell r="E2027" t="str">
            <v/>
          </cell>
          <cell r="N2027" t="str">
            <v>-</v>
          </cell>
          <cell r="R2027" t="str">
            <v>-</v>
          </cell>
          <cell r="S2027" t="str">
            <v>-</v>
          </cell>
        </row>
        <row r="2028">
          <cell r="E2028" t="str">
            <v/>
          </cell>
          <cell r="N2028" t="str">
            <v>-</v>
          </cell>
          <cell r="R2028" t="str">
            <v>-</v>
          </cell>
          <cell r="S2028" t="str">
            <v>-</v>
          </cell>
        </row>
        <row r="2029">
          <cell r="E2029" t="str">
            <v/>
          </cell>
          <cell r="N2029" t="str">
            <v>-</v>
          </cell>
          <cell r="R2029" t="str">
            <v>-</v>
          </cell>
          <cell r="S2029" t="str">
            <v>-</v>
          </cell>
        </row>
        <row r="2030">
          <cell r="E2030" t="str">
            <v/>
          </cell>
          <cell r="N2030" t="str">
            <v>-</v>
          </cell>
          <cell r="R2030" t="str">
            <v>-</v>
          </cell>
          <cell r="S2030" t="str">
            <v>-</v>
          </cell>
        </row>
        <row r="2031">
          <cell r="E2031" t="str">
            <v/>
          </cell>
          <cell r="N2031" t="str">
            <v>-</v>
          </cell>
          <cell r="R2031" t="str">
            <v>-</v>
          </cell>
          <cell r="S2031" t="str">
            <v>-</v>
          </cell>
        </row>
        <row r="2032">
          <cell r="E2032" t="str">
            <v/>
          </cell>
          <cell r="N2032" t="str">
            <v>-</v>
          </cell>
          <cell r="R2032" t="str">
            <v>-</v>
          </cell>
          <cell r="S2032" t="str">
            <v>-</v>
          </cell>
        </row>
        <row r="2033">
          <cell r="E2033" t="str">
            <v/>
          </cell>
          <cell r="N2033" t="str">
            <v>-</v>
          </cell>
          <cell r="R2033" t="str">
            <v>-</v>
          </cell>
          <cell r="S2033" t="str">
            <v>-</v>
          </cell>
        </row>
        <row r="2034">
          <cell r="E2034" t="str">
            <v/>
          </cell>
          <cell r="N2034" t="str">
            <v>-</v>
          </cell>
          <cell r="R2034" t="str">
            <v>-</v>
          </cell>
          <cell r="S2034" t="str">
            <v>-</v>
          </cell>
        </row>
        <row r="2035">
          <cell r="E2035" t="str">
            <v/>
          </cell>
          <cell r="N2035" t="str">
            <v>-</v>
          </cell>
          <cell r="R2035" t="str">
            <v>-</v>
          </cell>
          <cell r="S2035" t="str">
            <v>-</v>
          </cell>
        </row>
        <row r="2036">
          <cell r="E2036" t="str">
            <v/>
          </cell>
          <cell r="N2036" t="str">
            <v>-</v>
          </cell>
          <cell r="R2036" t="str">
            <v>-</v>
          </cell>
          <cell r="S2036" t="str">
            <v>-</v>
          </cell>
        </row>
        <row r="2037">
          <cell r="E2037" t="str">
            <v/>
          </cell>
          <cell r="N2037" t="str">
            <v>-</v>
          </cell>
          <cell r="R2037" t="str">
            <v>-</v>
          </cell>
          <cell r="S2037" t="str">
            <v>-</v>
          </cell>
        </row>
        <row r="2038">
          <cell r="E2038" t="str">
            <v/>
          </cell>
          <cell r="N2038" t="str">
            <v>-</v>
          </cell>
          <cell r="R2038" t="str">
            <v>-</v>
          </cell>
          <cell r="S2038" t="str">
            <v>-</v>
          </cell>
        </row>
        <row r="2039">
          <cell r="E2039" t="str">
            <v/>
          </cell>
          <cell r="N2039" t="str">
            <v>-</v>
          </cell>
          <cell r="R2039" t="str">
            <v>-</v>
          </cell>
          <cell r="S2039" t="str">
            <v>-</v>
          </cell>
        </row>
        <row r="2040">
          <cell r="E2040" t="str">
            <v/>
          </cell>
          <cell r="N2040" t="str">
            <v>-</v>
          </cell>
          <cell r="R2040" t="str">
            <v>-</v>
          </cell>
          <cell r="S2040" t="str">
            <v>-</v>
          </cell>
        </row>
        <row r="2041">
          <cell r="E2041" t="str">
            <v/>
          </cell>
          <cell r="N2041" t="str">
            <v>-</v>
          </cell>
          <cell r="R2041" t="str">
            <v>-</v>
          </cell>
          <cell r="S2041" t="str">
            <v>-</v>
          </cell>
        </row>
        <row r="2042">
          <cell r="E2042" t="str">
            <v/>
          </cell>
          <cell r="N2042" t="str">
            <v>-</v>
          </cell>
          <cell r="R2042" t="str">
            <v>-</v>
          </cell>
          <cell r="S2042" t="str">
            <v>-</v>
          </cell>
        </row>
        <row r="2043">
          <cell r="E2043" t="str">
            <v/>
          </cell>
          <cell r="N2043" t="str">
            <v>-</v>
          </cell>
          <cell r="R2043" t="str">
            <v>-</v>
          </cell>
          <cell r="S2043" t="str">
            <v>-</v>
          </cell>
        </row>
        <row r="2044">
          <cell r="E2044" t="str">
            <v/>
          </cell>
          <cell r="N2044" t="str">
            <v>-</v>
          </cell>
          <cell r="R2044" t="str">
            <v>-</v>
          </cell>
          <cell r="S2044" t="str">
            <v>-</v>
          </cell>
        </row>
        <row r="2045">
          <cell r="E2045" t="str">
            <v/>
          </cell>
          <cell r="N2045" t="str">
            <v>-</v>
          </cell>
          <cell r="R2045" t="str">
            <v>-</v>
          </cell>
          <cell r="S2045" t="str">
            <v>-</v>
          </cell>
        </row>
        <row r="2046">
          <cell r="E2046" t="str">
            <v/>
          </cell>
          <cell r="N2046" t="str">
            <v>-</v>
          </cell>
          <cell r="R2046" t="str">
            <v>-</v>
          </cell>
          <cell r="S2046" t="str">
            <v>-</v>
          </cell>
        </row>
        <row r="2047">
          <cell r="E2047" t="str">
            <v/>
          </cell>
          <cell r="N2047" t="str">
            <v>-</v>
          </cell>
          <cell r="R2047" t="str">
            <v>-</v>
          </cell>
          <cell r="S2047" t="str">
            <v>-</v>
          </cell>
        </row>
        <row r="2048">
          <cell r="E2048" t="str">
            <v/>
          </cell>
          <cell r="N2048" t="str">
            <v>-</v>
          </cell>
          <cell r="R2048" t="str">
            <v>-</v>
          </cell>
          <cell r="S2048" t="str">
            <v>-</v>
          </cell>
        </row>
        <row r="2049">
          <cell r="E2049" t="str">
            <v/>
          </cell>
          <cell r="N2049" t="str">
            <v>-</v>
          </cell>
          <cell r="R2049" t="str">
            <v>-</v>
          </cell>
          <cell r="S2049" t="str">
            <v>-</v>
          </cell>
        </row>
        <row r="2050">
          <cell r="E2050" t="str">
            <v/>
          </cell>
          <cell r="N2050" t="str">
            <v>-</v>
          </cell>
          <cell r="R2050" t="str">
            <v>-</v>
          </cell>
          <cell r="S2050" t="str">
            <v>-</v>
          </cell>
        </row>
        <row r="2051">
          <cell r="E2051" t="str">
            <v/>
          </cell>
          <cell r="N2051" t="str">
            <v>-</v>
          </cell>
          <cell r="R2051" t="str">
            <v>-</v>
          </cell>
          <cell r="S2051" t="str">
            <v>-</v>
          </cell>
        </row>
        <row r="2052">
          <cell r="E2052" t="str">
            <v/>
          </cell>
          <cell r="N2052" t="str">
            <v>-</v>
          </cell>
          <cell r="R2052" t="str">
            <v>-</v>
          </cell>
          <cell r="S2052" t="str">
            <v>-</v>
          </cell>
        </row>
        <row r="2053">
          <cell r="E2053" t="str">
            <v/>
          </cell>
          <cell r="N2053" t="str">
            <v>-</v>
          </cell>
          <cell r="R2053" t="str">
            <v>-</v>
          </cell>
          <cell r="S2053" t="str">
            <v>-</v>
          </cell>
        </row>
        <row r="2054">
          <cell r="E2054" t="str">
            <v/>
          </cell>
          <cell r="N2054" t="str">
            <v>-</v>
          </cell>
          <cell r="R2054" t="str">
            <v>-</v>
          </cell>
          <cell r="S2054" t="str">
            <v>-</v>
          </cell>
        </row>
        <row r="2055">
          <cell r="E2055" t="str">
            <v/>
          </cell>
          <cell r="N2055" t="str">
            <v>-</v>
          </cell>
          <cell r="R2055" t="str">
            <v>-</v>
          </cell>
          <cell r="S2055" t="str">
            <v>-</v>
          </cell>
        </row>
        <row r="2056">
          <cell r="E2056" t="str">
            <v/>
          </cell>
          <cell r="N2056" t="str">
            <v>-</v>
          </cell>
          <cell r="R2056" t="str">
            <v>-</v>
          </cell>
          <cell r="S2056" t="str">
            <v>-</v>
          </cell>
        </row>
        <row r="2057">
          <cell r="E2057" t="str">
            <v/>
          </cell>
          <cell r="N2057" t="str">
            <v>-</v>
          </cell>
          <cell r="R2057" t="str">
            <v>-</v>
          </cell>
          <cell r="S2057" t="str">
            <v>-</v>
          </cell>
        </row>
        <row r="2058">
          <cell r="E2058" t="str">
            <v/>
          </cell>
          <cell r="N2058" t="str">
            <v>-</v>
          </cell>
          <cell r="R2058" t="str">
            <v>-</v>
          </cell>
          <cell r="S2058" t="str">
            <v>-</v>
          </cell>
        </row>
        <row r="2059">
          <cell r="E2059" t="str">
            <v/>
          </cell>
          <cell r="N2059" t="str">
            <v>-</v>
          </cell>
          <cell r="R2059" t="str">
            <v>-</v>
          </cell>
          <cell r="S2059" t="str">
            <v>-</v>
          </cell>
        </row>
        <row r="2060">
          <cell r="E2060" t="str">
            <v/>
          </cell>
          <cell r="N2060" t="str">
            <v>-</v>
          </cell>
          <cell r="R2060" t="str">
            <v>-</v>
          </cell>
          <cell r="S2060" t="str">
            <v>-</v>
          </cell>
        </row>
        <row r="2061">
          <cell r="E2061" t="str">
            <v/>
          </cell>
          <cell r="N2061" t="str">
            <v>-</v>
          </cell>
          <cell r="R2061" t="str">
            <v>-</v>
          </cell>
          <cell r="S2061" t="str">
            <v>-</v>
          </cell>
        </row>
        <row r="2062">
          <cell r="E2062" t="str">
            <v/>
          </cell>
          <cell r="N2062" t="str">
            <v>-</v>
          </cell>
          <cell r="R2062" t="str">
            <v>-</v>
          </cell>
          <cell r="S2062" t="str">
            <v>-</v>
          </cell>
        </row>
        <row r="2063">
          <cell r="E2063" t="str">
            <v/>
          </cell>
          <cell r="N2063" t="str">
            <v>-</v>
          </cell>
          <cell r="R2063" t="str">
            <v>-</v>
          </cell>
          <cell r="S2063" t="str">
            <v>-</v>
          </cell>
        </row>
        <row r="2064">
          <cell r="E2064" t="str">
            <v/>
          </cell>
          <cell r="N2064" t="str">
            <v>-</v>
          </cell>
          <cell r="R2064" t="str">
            <v>-</v>
          </cell>
          <cell r="S2064" t="str">
            <v>-</v>
          </cell>
        </row>
        <row r="2065">
          <cell r="E2065" t="str">
            <v/>
          </cell>
          <cell r="N2065" t="str">
            <v>-</v>
          </cell>
          <cell r="R2065" t="str">
            <v>-</v>
          </cell>
          <cell r="S2065" t="str">
            <v>-</v>
          </cell>
        </row>
        <row r="2066">
          <cell r="E2066" t="str">
            <v/>
          </cell>
          <cell r="N2066" t="str">
            <v>-</v>
          </cell>
          <cell r="R2066" t="str">
            <v>-</v>
          </cell>
          <cell r="S2066" t="str">
            <v>-</v>
          </cell>
        </row>
        <row r="2067">
          <cell r="E2067" t="str">
            <v/>
          </cell>
          <cell r="N2067" t="str">
            <v>-</v>
          </cell>
          <cell r="R2067" t="str">
            <v>-</v>
          </cell>
          <cell r="S2067" t="str">
            <v>-</v>
          </cell>
        </row>
        <row r="2068">
          <cell r="E2068" t="str">
            <v/>
          </cell>
          <cell r="N2068" t="str">
            <v>-</v>
          </cell>
          <cell r="R2068" t="str">
            <v>-</v>
          </cell>
          <cell r="S2068" t="str">
            <v>-</v>
          </cell>
        </row>
        <row r="2069">
          <cell r="E2069" t="str">
            <v/>
          </cell>
          <cell r="N2069" t="str">
            <v>-</v>
          </cell>
          <cell r="R2069" t="str">
            <v>-</v>
          </cell>
          <cell r="S2069" t="str">
            <v>-</v>
          </cell>
        </row>
        <row r="2070">
          <cell r="E2070" t="str">
            <v/>
          </cell>
          <cell r="N2070" t="str">
            <v>-</v>
          </cell>
          <cell r="R2070" t="str">
            <v>-</v>
          </cell>
          <cell r="S2070" t="str">
            <v>-</v>
          </cell>
        </row>
        <row r="2071">
          <cell r="E2071" t="str">
            <v/>
          </cell>
          <cell r="N2071" t="str">
            <v>-</v>
          </cell>
          <cell r="R2071" t="str">
            <v>-</v>
          </cell>
          <cell r="S2071" t="str">
            <v>-</v>
          </cell>
        </row>
        <row r="2072">
          <cell r="E2072" t="str">
            <v/>
          </cell>
          <cell r="N2072" t="str">
            <v>-</v>
          </cell>
          <cell r="R2072" t="str">
            <v>-</v>
          </cell>
          <cell r="S2072" t="str">
            <v>-</v>
          </cell>
        </row>
        <row r="2073">
          <cell r="E2073" t="str">
            <v/>
          </cell>
          <cell r="N2073" t="str">
            <v>-</v>
          </cell>
          <cell r="R2073" t="str">
            <v>-</v>
          </cell>
          <cell r="S2073" t="str">
            <v>-</v>
          </cell>
        </row>
        <row r="2074">
          <cell r="E2074" t="str">
            <v/>
          </cell>
          <cell r="N2074" t="str">
            <v>-</v>
          </cell>
          <cell r="R2074" t="str">
            <v>-</v>
          </cell>
          <cell r="S2074" t="str">
            <v>-</v>
          </cell>
        </row>
        <row r="2075">
          <cell r="E2075" t="str">
            <v/>
          </cell>
          <cell r="N2075" t="str">
            <v>-</v>
          </cell>
          <cell r="R2075" t="str">
            <v>-</v>
          </cell>
          <cell r="S2075" t="str">
            <v>-</v>
          </cell>
        </row>
        <row r="2076">
          <cell r="E2076" t="str">
            <v/>
          </cell>
          <cell r="N2076" t="str">
            <v>-</v>
          </cell>
          <cell r="R2076" t="str">
            <v>-</v>
          </cell>
          <cell r="S2076" t="str">
            <v>-</v>
          </cell>
        </row>
        <row r="2077">
          <cell r="E2077" t="str">
            <v/>
          </cell>
          <cell r="N2077" t="str">
            <v>-</v>
          </cell>
          <cell r="R2077" t="str">
            <v>-</v>
          </cell>
          <cell r="S2077" t="str">
            <v>-</v>
          </cell>
        </row>
        <row r="2078">
          <cell r="E2078" t="str">
            <v/>
          </cell>
          <cell r="N2078" t="str">
            <v>-</v>
          </cell>
          <cell r="R2078" t="str">
            <v>-</v>
          </cell>
          <cell r="S2078" t="str">
            <v>-</v>
          </cell>
        </row>
        <row r="2079">
          <cell r="E2079" t="str">
            <v/>
          </cell>
          <cell r="N2079" t="str">
            <v>-</v>
          </cell>
          <cell r="R2079" t="str">
            <v>-</v>
          </cell>
          <cell r="S2079" t="str">
            <v>-</v>
          </cell>
        </row>
        <row r="2080">
          <cell r="E2080" t="str">
            <v/>
          </cell>
          <cell r="N2080" t="str">
            <v>-</v>
          </cell>
          <cell r="R2080" t="str">
            <v>-</v>
          </cell>
          <cell r="S2080" t="str">
            <v>-</v>
          </cell>
        </row>
        <row r="2081">
          <cell r="E2081" t="str">
            <v/>
          </cell>
          <cell r="N2081" t="str">
            <v>-</v>
          </cell>
          <cell r="R2081" t="str">
            <v>-</v>
          </cell>
          <cell r="S2081" t="str">
            <v>-</v>
          </cell>
        </row>
        <row r="2082">
          <cell r="E2082" t="str">
            <v/>
          </cell>
          <cell r="N2082" t="str">
            <v>-</v>
          </cell>
          <cell r="R2082" t="str">
            <v>-</v>
          </cell>
          <cell r="S2082" t="str">
            <v>-</v>
          </cell>
        </row>
        <row r="2083">
          <cell r="E2083" t="str">
            <v/>
          </cell>
          <cell r="N2083" t="str">
            <v>-</v>
          </cell>
          <cell r="R2083" t="str">
            <v>-</v>
          </cell>
          <cell r="S2083" t="str">
            <v>-</v>
          </cell>
        </row>
        <row r="2084">
          <cell r="E2084" t="str">
            <v/>
          </cell>
          <cell r="N2084" t="str">
            <v>-</v>
          </cell>
          <cell r="R2084" t="str">
            <v>-</v>
          </cell>
          <cell r="S2084" t="str">
            <v>-</v>
          </cell>
        </row>
        <row r="2085">
          <cell r="E2085" t="str">
            <v/>
          </cell>
          <cell r="N2085" t="str">
            <v>-</v>
          </cell>
          <cell r="R2085" t="str">
            <v>-</v>
          </cell>
          <cell r="S2085" t="str">
            <v>-</v>
          </cell>
        </row>
        <row r="2086">
          <cell r="E2086" t="str">
            <v/>
          </cell>
          <cell r="N2086" t="str">
            <v>-</v>
          </cell>
          <cell r="R2086" t="str">
            <v>-</v>
          </cell>
          <cell r="S2086" t="str">
            <v>-</v>
          </cell>
        </row>
        <row r="2087">
          <cell r="E2087" t="str">
            <v/>
          </cell>
          <cell r="N2087" t="str">
            <v>-</v>
          </cell>
          <cell r="R2087" t="str">
            <v>-</v>
          </cell>
          <cell r="S2087" t="str">
            <v>-</v>
          </cell>
        </row>
        <row r="2088">
          <cell r="E2088" t="str">
            <v/>
          </cell>
          <cell r="N2088" t="str">
            <v>-</v>
          </cell>
          <cell r="R2088" t="str">
            <v>-</v>
          </cell>
          <cell r="S2088" t="str">
            <v>-</v>
          </cell>
        </row>
        <row r="2089">
          <cell r="E2089" t="str">
            <v/>
          </cell>
          <cell r="N2089" t="str">
            <v>-</v>
          </cell>
          <cell r="R2089" t="str">
            <v>-</v>
          </cell>
          <cell r="S2089" t="str">
            <v>-</v>
          </cell>
        </row>
        <row r="2090">
          <cell r="E2090" t="str">
            <v/>
          </cell>
          <cell r="N2090" t="str">
            <v>-</v>
          </cell>
          <cell r="R2090" t="str">
            <v>-</v>
          </cell>
          <cell r="S2090" t="str">
            <v>-</v>
          </cell>
        </row>
        <row r="2091">
          <cell r="E2091" t="str">
            <v/>
          </cell>
          <cell r="N2091" t="str">
            <v>-</v>
          </cell>
          <cell r="R2091" t="str">
            <v>-</v>
          </cell>
          <cell r="S2091" t="str">
            <v>-</v>
          </cell>
        </row>
        <row r="2092">
          <cell r="E2092" t="str">
            <v/>
          </cell>
          <cell r="N2092" t="str">
            <v>-</v>
          </cell>
          <cell r="R2092" t="str">
            <v>-</v>
          </cell>
          <cell r="S2092" t="str">
            <v>-</v>
          </cell>
        </row>
        <row r="2093">
          <cell r="E2093" t="str">
            <v/>
          </cell>
          <cell r="N2093" t="str">
            <v>-</v>
          </cell>
          <cell r="R2093" t="str">
            <v>-</v>
          </cell>
          <cell r="S2093" t="str">
            <v>-</v>
          </cell>
        </row>
        <row r="2094">
          <cell r="E2094" t="str">
            <v/>
          </cell>
          <cell r="N2094" t="str">
            <v>-</v>
          </cell>
          <cell r="R2094" t="str">
            <v>-</v>
          </cell>
          <cell r="S2094" t="str">
            <v>-</v>
          </cell>
        </row>
        <row r="2095">
          <cell r="E2095" t="str">
            <v/>
          </cell>
          <cell r="N2095" t="str">
            <v>-</v>
          </cell>
          <cell r="R2095" t="str">
            <v>-</v>
          </cell>
          <cell r="S2095" t="str">
            <v>-</v>
          </cell>
        </row>
        <row r="2096">
          <cell r="E2096" t="str">
            <v/>
          </cell>
          <cell r="N2096" t="str">
            <v>-</v>
          </cell>
          <cell r="R2096" t="str">
            <v>-</v>
          </cell>
          <cell r="S2096" t="str">
            <v>-</v>
          </cell>
        </row>
        <row r="2097">
          <cell r="E2097" t="str">
            <v/>
          </cell>
          <cell r="N2097" t="str">
            <v>-</v>
          </cell>
          <cell r="R2097" t="str">
            <v>-</v>
          </cell>
          <cell r="S2097" t="str">
            <v>-</v>
          </cell>
        </row>
        <row r="2098">
          <cell r="E2098" t="str">
            <v/>
          </cell>
          <cell r="N2098" t="str">
            <v>-</v>
          </cell>
          <cell r="R2098" t="str">
            <v>-</v>
          </cell>
          <cell r="S2098" t="str">
            <v>-</v>
          </cell>
        </row>
        <row r="2099">
          <cell r="E2099" t="str">
            <v/>
          </cell>
          <cell r="N2099" t="str">
            <v>-</v>
          </cell>
          <cell r="R2099" t="str">
            <v>-</v>
          </cell>
          <cell r="S2099" t="str">
            <v>-</v>
          </cell>
        </row>
        <row r="2100">
          <cell r="E2100" t="str">
            <v/>
          </cell>
          <cell r="N2100" t="str">
            <v>-</v>
          </cell>
          <cell r="R2100" t="str">
            <v>-</v>
          </cell>
          <cell r="S2100" t="str">
            <v>-</v>
          </cell>
        </row>
        <row r="2101">
          <cell r="E2101" t="str">
            <v/>
          </cell>
          <cell r="N2101" t="str">
            <v>-</v>
          </cell>
          <cell r="R2101" t="str">
            <v>-</v>
          </cell>
          <cell r="S2101" t="str">
            <v>-</v>
          </cell>
        </row>
        <row r="2102">
          <cell r="E2102" t="str">
            <v/>
          </cell>
          <cell r="N2102" t="str">
            <v>-</v>
          </cell>
          <cell r="R2102" t="str">
            <v>-</v>
          </cell>
          <cell r="S2102" t="str">
            <v>-</v>
          </cell>
        </row>
        <row r="2103">
          <cell r="E2103" t="str">
            <v/>
          </cell>
          <cell r="N2103" t="str">
            <v>-</v>
          </cell>
          <cell r="R2103" t="str">
            <v>-</v>
          </cell>
          <cell r="S2103" t="str">
            <v>-</v>
          </cell>
        </row>
        <row r="2104">
          <cell r="E2104" t="str">
            <v/>
          </cell>
          <cell r="N2104" t="str">
            <v>-</v>
          </cell>
          <cell r="R2104" t="str">
            <v>-</v>
          </cell>
          <cell r="S2104" t="str">
            <v>-</v>
          </cell>
        </row>
        <row r="2105">
          <cell r="E2105" t="str">
            <v/>
          </cell>
          <cell r="N2105" t="str">
            <v>-</v>
          </cell>
          <cell r="R2105" t="str">
            <v>-</v>
          </cell>
          <cell r="S2105" t="str">
            <v>-</v>
          </cell>
        </row>
        <row r="2106">
          <cell r="E2106" t="str">
            <v/>
          </cell>
          <cell r="N2106" t="str">
            <v>-</v>
          </cell>
          <cell r="R2106" t="str">
            <v>-</v>
          </cell>
          <cell r="S2106" t="str">
            <v>-</v>
          </cell>
        </row>
        <row r="2107">
          <cell r="E2107" t="str">
            <v/>
          </cell>
          <cell r="N2107" t="str">
            <v>-</v>
          </cell>
          <cell r="R2107" t="str">
            <v>-</v>
          </cell>
          <cell r="S2107" t="str">
            <v>-</v>
          </cell>
        </row>
        <row r="2108">
          <cell r="E2108" t="str">
            <v/>
          </cell>
          <cell r="N2108" t="str">
            <v>-</v>
          </cell>
          <cell r="R2108" t="str">
            <v>-</v>
          </cell>
          <cell r="S2108" t="str">
            <v>-</v>
          </cell>
        </row>
        <row r="2109">
          <cell r="E2109" t="str">
            <v/>
          </cell>
          <cell r="N2109" t="str">
            <v>-</v>
          </cell>
          <cell r="R2109" t="str">
            <v>-</v>
          </cell>
          <cell r="S2109" t="str">
            <v>-</v>
          </cell>
        </row>
        <row r="2110">
          <cell r="E2110" t="str">
            <v/>
          </cell>
          <cell r="N2110" t="str">
            <v>-</v>
          </cell>
          <cell r="R2110" t="str">
            <v>-</v>
          </cell>
          <cell r="S2110" t="str">
            <v>-</v>
          </cell>
        </row>
        <row r="2111">
          <cell r="E2111" t="str">
            <v/>
          </cell>
          <cell r="N2111" t="str">
            <v>-</v>
          </cell>
          <cell r="R2111" t="str">
            <v>-</v>
          </cell>
          <cell r="S2111" t="str">
            <v>-</v>
          </cell>
        </row>
        <row r="2112">
          <cell r="E2112" t="str">
            <v/>
          </cell>
          <cell r="N2112" t="str">
            <v>-</v>
          </cell>
          <cell r="R2112" t="str">
            <v>-</v>
          </cell>
          <cell r="S2112" t="str">
            <v>-</v>
          </cell>
        </row>
        <row r="2113">
          <cell r="E2113" t="str">
            <v/>
          </cell>
          <cell r="N2113" t="str">
            <v>-</v>
          </cell>
          <cell r="R2113" t="str">
            <v>-</v>
          </cell>
          <cell r="S2113" t="str">
            <v>-</v>
          </cell>
        </row>
        <row r="2114">
          <cell r="E2114" t="str">
            <v/>
          </cell>
          <cell r="N2114" t="str">
            <v>-</v>
          </cell>
          <cell r="R2114" t="str">
            <v>-</v>
          </cell>
          <cell r="S2114" t="str">
            <v>-</v>
          </cell>
        </row>
        <row r="2115">
          <cell r="E2115" t="str">
            <v/>
          </cell>
          <cell r="N2115" t="str">
            <v>-</v>
          </cell>
          <cell r="R2115" t="str">
            <v>-</v>
          </cell>
          <cell r="S2115" t="str">
            <v>-</v>
          </cell>
        </row>
        <row r="2116">
          <cell r="E2116" t="str">
            <v/>
          </cell>
          <cell r="N2116" t="str">
            <v>-</v>
          </cell>
          <cell r="R2116" t="str">
            <v>-</v>
          </cell>
          <cell r="S2116" t="str">
            <v>-</v>
          </cell>
        </row>
        <row r="2117">
          <cell r="E2117" t="str">
            <v/>
          </cell>
          <cell r="N2117" t="str">
            <v>-</v>
          </cell>
          <cell r="R2117" t="str">
            <v>-</v>
          </cell>
          <cell r="S2117" t="str">
            <v>-</v>
          </cell>
        </row>
        <row r="2118">
          <cell r="E2118" t="str">
            <v/>
          </cell>
          <cell r="N2118" t="str">
            <v>-</v>
          </cell>
          <cell r="R2118" t="str">
            <v>-</v>
          </cell>
          <cell r="S2118" t="str">
            <v>-</v>
          </cell>
        </row>
        <row r="2119">
          <cell r="E2119" t="str">
            <v/>
          </cell>
          <cell r="N2119" t="str">
            <v>-</v>
          </cell>
          <cell r="R2119" t="str">
            <v>-</v>
          </cell>
          <cell r="S2119" t="str">
            <v>-</v>
          </cell>
        </row>
        <row r="2120">
          <cell r="E2120" t="str">
            <v/>
          </cell>
          <cell r="N2120" t="str">
            <v>-</v>
          </cell>
          <cell r="R2120" t="str">
            <v>-</v>
          </cell>
          <cell r="S2120" t="str">
            <v>-</v>
          </cell>
        </row>
        <row r="2121">
          <cell r="E2121" t="str">
            <v/>
          </cell>
          <cell r="N2121" t="str">
            <v>-</v>
          </cell>
          <cell r="R2121" t="str">
            <v>-</v>
          </cell>
          <cell r="S2121" t="str">
            <v>-</v>
          </cell>
        </row>
        <row r="2122">
          <cell r="E2122" t="str">
            <v/>
          </cell>
          <cell r="N2122" t="str">
            <v>-</v>
          </cell>
          <cell r="R2122" t="str">
            <v>-</v>
          </cell>
          <cell r="S2122" t="str">
            <v>-</v>
          </cell>
        </row>
        <row r="2123">
          <cell r="E2123" t="str">
            <v/>
          </cell>
          <cell r="N2123" t="str">
            <v>-</v>
          </cell>
          <cell r="R2123" t="str">
            <v>-</v>
          </cell>
          <cell r="S2123" t="str">
            <v>-</v>
          </cell>
        </row>
        <row r="2124">
          <cell r="E2124" t="str">
            <v/>
          </cell>
          <cell r="N2124" t="str">
            <v>-</v>
          </cell>
          <cell r="R2124" t="str">
            <v>-</v>
          </cell>
          <cell r="S2124" t="str">
            <v>-</v>
          </cell>
        </row>
        <row r="2125">
          <cell r="E2125" t="str">
            <v/>
          </cell>
          <cell r="N2125" t="str">
            <v>-</v>
          </cell>
          <cell r="R2125" t="str">
            <v>-</v>
          </cell>
          <cell r="S2125" t="str">
            <v>-</v>
          </cell>
        </row>
        <row r="2126">
          <cell r="E2126" t="str">
            <v/>
          </cell>
          <cell r="N2126" t="str">
            <v>-</v>
          </cell>
          <cell r="R2126" t="str">
            <v>-</v>
          </cell>
          <cell r="S2126" t="str">
            <v>-</v>
          </cell>
        </row>
        <row r="2127">
          <cell r="E2127" t="str">
            <v/>
          </cell>
          <cell r="N2127" t="str">
            <v>-</v>
          </cell>
          <cell r="R2127" t="str">
            <v>-</v>
          </cell>
          <cell r="S2127" t="str">
            <v>-</v>
          </cell>
        </row>
        <row r="2128">
          <cell r="E2128" t="str">
            <v/>
          </cell>
          <cell r="N2128" t="str">
            <v>-</v>
          </cell>
          <cell r="R2128" t="str">
            <v>-</v>
          </cell>
          <cell r="S2128" t="str">
            <v>-</v>
          </cell>
        </row>
        <row r="2129">
          <cell r="E2129" t="str">
            <v/>
          </cell>
          <cell r="N2129" t="str">
            <v>-</v>
          </cell>
          <cell r="R2129" t="str">
            <v>-</v>
          </cell>
          <cell r="S2129" t="str">
            <v>-</v>
          </cell>
        </row>
        <row r="2130">
          <cell r="E2130" t="str">
            <v/>
          </cell>
          <cell r="N2130" t="str">
            <v>-</v>
          </cell>
          <cell r="R2130" t="str">
            <v>-</v>
          </cell>
          <cell r="S2130" t="str">
            <v>-</v>
          </cell>
        </row>
        <row r="2131">
          <cell r="E2131" t="str">
            <v/>
          </cell>
          <cell r="N2131" t="str">
            <v>-</v>
          </cell>
          <cell r="R2131" t="str">
            <v>-</v>
          </cell>
          <cell r="S2131" t="str">
            <v>-</v>
          </cell>
        </row>
        <row r="2132">
          <cell r="E2132" t="str">
            <v/>
          </cell>
          <cell r="N2132" t="str">
            <v>-</v>
          </cell>
          <cell r="R2132" t="str">
            <v>-</v>
          </cell>
          <cell r="S2132" t="str">
            <v>-</v>
          </cell>
        </row>
        <row r="2133">
          <cell r="E2133" t="str">
            <v/>
          </cell>
          <cell r="N2133" t="str">
            <v>-</v>
          </cell>
          <cell r="R2133" t="str">
            <v>-</v>
          </cell>
          <cell r="S2133" t="str">
            <v>-</v>
          </cell>
        </row>
        <row r="2134">
          <cell r="E2134" t="str">
            <v/>
          </cell>
          <cell r="N2134" t="str">
            <v>-</v>
          </cell>
          <cell r="R2134" t="str">
            <v>-</v>
          </cell>
          <cell r="S2134" t="str">
            <v>-</v>
          </cell>
        </row>
        <row r="2135">
          <cell r="E2135" t="str">
            <v/>
          </cell>
          <cell r="N2135" t="str">
            <v>-</v>
          </cell>
          <cell r="R2135" t="str">
            <v>-</v>
          </cell>
          <cell r="S2135" t="str">
            <v>-</v>
          </cell>
        </row>
        <row r="2136">
          <cell r="E2136" t="str">
            <v/>
          </cell>
          <cell r="N2136" t="str">
            <v>-</v>
          </cell>
          <cell r="R2136" t="str">
            <v>-</v>
          </cell>
          <cell r="S2136" t="str">
            <v>-</v>
          </cell>
        </row>
        <row r="2137">
          <cell r="E2137" t="str">
            <v/>
          </cell>
          <cell r="N2137" t="str">
            <v>-</v>
          </cell>
          <cell r="R2137" t="str">
            <v>-</v>
          </cell>
          <cell r="S2137" t="str">
            <v>-</v>
          </cell>
        </row>
        <row r="2138">
          <cell r="E2138" t="str">
            <v/>
          </cell>
          <cell r="N2138" t="str">
            <v>-</v>
          </cell>
          <cell r="R2138" t="str">
            <v>-</v>
          </cell>
          <cell r="S2138" t="str">
            <v>-</v>
          </cell>
        </row>
        <row r="2139">
          <cell r="E2139" t="str">
            <v/>
          </cell>
          <cell r="N2139" t="str">
            <v>-</v>
          </cell>
          <cell r="R2139" t="str">
            <v>-</v>
          </cell>
          <cell r="S2139" t="str">
            <v>-</v>
          </cell>
        </row>
        <row r="2140">
          <cell r="E2140" t="str">
            <v/>
          </cell>
          <cell r="N2140" t="str">
            <v>-</v>
          </cell>
          <cell r="R2140" t="str">
            <v>-</v>
          </cell>
          <cell r="S2140" t="str">
            <v>-</v>
          </cell>
        </row>
        <row r="2141">
          <cell r="E2141" t="str">
            <v/>
          </cell>
          <cell r="N2141" t="str">
            <v>-</v>
          </cell>
          <cell r="R2141" t="str">
            <v>-</v>
          </cell>
          <cell r="S2141" t="str">
            <v>-</v>
          </cell>
        </row>
        <row r="2142">
          <cell r="E2142" t="str">
            <v/>
          </cell>
          <cell r="N2142" t="str">
            <v>-</v>
          </cell>
          <cell r="R2142" t="str">
            <v>-</v>
          </cell>
          <cell r="S2142" t="str">
            <v>-</v>
          </cell>
        </row>
        <row r="2143">
          <cell r="E2143" t="str">
            <v/>
          </cell>
          <cell r="N2143" t="str">
            <v>-</v>
          </cell>
          <cell r="R2143" t="str">
            <v>-</v>
          </cell>
          <cell r="S2143" t="str">
            <v>-</v>
          </cell>
        </row>
        <row r="2144">
          <cell r="E2144" t="str">
            <v/>
          </cell>
          <cell r="N2144" t="str">
            <v>-</v>
          </cell>
          <cell r="R2144" t="str">
            <v>-</v>
          </cell>
          <cell r="S2144" t="str">
            <v>-</v>
          </cell>
        </row>
        <row r="2145">
          <cell r="E2145" t="str">
            <v/>
          </cell>
          <cell r="N2145" t="str">
            <v>-</v>
          </cell>
          <cell r="R2145" t="str">
            <v>-</v>
          </cell>
          <cell r="S2145" t="str">
            <v>-</v>
          </cell>
        </row>
        <row r="2146">
          <cell r="E2146" t="str">
            <v/>
          </cell>
          <cell r="N2146" t="str">
            <v>-</v>
          </cell>
          <cell r="R2146" t="str">
            <v>-</v>
          </cell>
          <cell r="S2146" t="str">
            <v>-</v>
          </cell>
        </row>
        <row r="2147">
          <cell r="E2147" t="str">
            <v/>
          </cell>
          <cell r="N2147" t="str">
            <v>-</v>
          </cell>
          <cell r="R2147" t="str">
            <v>-</v>
          </cell>
          <cell r="S2147" t="str">
            <v>-</v>
          </cell>
        </row>
        <row r="2148">
          <cell r="E2148" t="str">
            <v/>
          </cell>
          <cell r="N2148" t="str">
            <v>-</v>
          </cell>
          <cell r="R2148" t="str">
            <v>-</v>
          </cell>
          <cell r="S2148" t="str">
            <v>-</v>
          </cell>
        </row>
        <row r="2149">
          <cell r="E2149" t="str">
            <v/>
          </cell>
          <cell r="N2149" t="str">
            <v>-</v>
          </cell>
          <cell r="R2149" t="str">
            <v>-</v>
          </cell>
          <cell r="S2149" t="str">
            <v>-</v>
          </cell>
        </row>
        <row r="2150">
          <cell r="E2150" t="str">
            <v/>
          </cell>
          <cell r="N2150" t="str">
            <v>-</v>
          </cell>
          <cell r="R2150" t="str">
            <v>-</v>
          </cell>
          <cell r="S2150" t="str">
            <v>-</v>
          </cell>
        </row>
        <row r="2151">
          <cell r="E2151" t="str">
            <v/>
          </cell>
          <cell r="N2151" t="str">
            <v>-</v>
          </cell>
          <cell r="R2151" t="str">
            <v>-</v>
          </cell>
          <cell r="S2151" t="str">
            <v>-</v>
          </cell>
        </row>
        <row r="2152">
          <cell r="E2152" t="str">
            <v/>
          </cell>
          <cell r="N2152" t="str">
            <v>-</v>
          </cell>
          <cell r="R2152" t="str">
            <v>-</v>
          </cell>
          <cell r="S2152" t="str">
            <v>-</v>
          </cell>
        </row>
        <row r="2153">
          <cell r="E2153" t="str">
            <v/>
          </cell>
          <cell r="N2153" t="str">
            <v>-</v>
          </cell>
          <cell r="R2153" t="str">
            <v>-</v>
          </cell>
          <cell r="S2153" t="str">
            <v>-</v>
          </cell>
        </row>
        <row r="2154">
          <cell r="E2154" t="str">
            <v/>
          </cell>
          <cell r="N2154" t="str">
            <v>-</v>
          </cell>
          <cell r="R2154" t="str">
            <v>-</v>
          </cell>
          <cell r="S2154" t="str">
            <v>-</v>
          </cell>
        </row>
        <row r="2155">
          <cell r="E2155" t="str">
            <v/>
          </cell>
          <cell r="N2155" t="str">
            <v>-</v>
          </cell>
          <cell r="R2155" t="str">
            <v>-</v>
          </cell>
          <cell r="S2155" t="str">
            <v>-</v>
          </cell>
        </row>
        <row r="2156">
          <cell r="E2156" t="str">
            <v/>
          </cell>
          <cell r="N2156" t="str">
            <v>-</v>
          </cell>
          <cell r="R2156" t="str">
            <v>-</v>
          </cell>
          <cell r="S2156" t="str">
            <v>-</v>
          </cell>
        </row>
        <row r="2157">
          <cell r="E2157" t="str">
            <v/>
          </cell>
          <cell r="N2157" t="str">
            <v>-</v>
          </cell>
          <cell r="R2157" t="str">
            <v>-</v>
          </cell>
          <cell r="S2157" t="str">
            <v>-</v>
          </cell>
        </row>
        <row r="2158">
          <cell r="E2158" t="str">
            <v/>
          </cell>
          <cell r="N2158" t="str">
            <v>-</v>
          </cell>
          <cell r="R2158" t="str">
            <v>-</v>
          </cell>
          <cell r="S2158" t="str">
            <v>-</v>
          </cell>
        </row>
        <row r="2159">
          <cell r="E2159" t="str">
            <v/>
          </cell>
          <cell r="N2159" t="str">
            <v>-</v>
          </cell>
          <cell r="R2159" t="str">
            <v>-</v>
          </cell>
          <cell r="S2159" t="str">
            <v>-</v>
          </cell>
        </row>
        <row r="2160">
          <cell r="E2160" t="str">
            <v/>
          </cell>
          <cell r="N2160" t="str">
            <v>-</v>
          </cell>
          <cell r="R2160" t="str">
            <v>-</v>
          </cell>
          <cell r="S2160" t="str">
            <v>-</v>
          </cell>
        </row>
        <row r="2161">
          <cell r="E2161" t="str">
            <v/>
          </cell>
          <cell r="N2161" t="str">
            <v>-</v>
          </cell>
          <cell r="R2161" t="str">
            <v>-</v>
          </cell>
          <cell r="S2161" t="str">
            <v>-</v>
          </cell>
        </row>
        <row r="2162">
          <cell r="E2162" t="str">
            <v/>
          </cell>
          <cell r="N2162" t="str">
            <v>-</v>
          </cell>
          <cell r="R2162" t="str">
            <v>-</v>
          </cell>
          <cell r="S2162" t="str">
            <v>-</v>
          </cell>
        </row>
        <row r="2163">
          <cell r="E2163" t="str">
            <v/>
          </cell>
          <cell r="N2163" t="str">
            <v>-</v>
          </cell>
          <cell r="R2163" t="str">
            <v>-</v>
          </cell>
          <cell r="S2163" t="str">
            <v>-</v>
          </cell>
        </row>
        <row r="2164">
          <cell r="E2164" t="str">
            <v/>
          </cell>
          <cell r="N2164" t="str">
            <v>-</v>
          </cell>
          <cell r="R2164" t="str">
            <v>-</v>
          </cell>
          <cell r="S2164" t="str">
            <v>-</v>
          </cell>
        </row>
        <row r="2165">
          <cell r="E2165" t="str">
            <v/>
          </cell>
          <cell r="N2165" t="str">
            <v>-</v>
          </cell>
          <cell r="R2165" t="str">
            <v>-</v>
          </cell>
          <cell r="S2165" t="str">
            <v>-</v>
          </cell>
        </row>
        <row r="2166">
          <cell r="E2166" t="str">
            <v/>
          </cell>
          <cell r="N2166" t="str">
            <v>-</v>
          </cell>
          <cell r="R2166" t="str">
            <v>-</v>
          </cell>
          <cell r="S2166" t="str">
            <v>-</v>
          </cell>
        </row>
        <row r="2167">
          <cell r="E2167" t="str">
            <v/>
          </cell>
          <cell r="N2167" t="str">
            <v>-</v>
          </cell>
          <cell r="R2167" t="str">
            <v>-</v>
          </cell>
          <cell r="S2167" t="str">
            <v>-</v>
          </cell>
        </row>
        <row r="2168">
          <cell r="E2168" t="str">
            <v/>
          </cell>
          <cell r="N2168" t="str">
            <v>-</v>
          </cell>
          <cell r="R2168" t="str">
            <v>-</v>
          </cell>
          <cell r="S2168" t="str">
            <v>-</v>
          </cell>
        </row>
        <row r="2169">
          <cell r="E2169" t="str">
            <v/>
          </cell>
          <cell r="N2169" t="str">
            <v>-</v>
          </cell>
          <cell r="R2169" t="str">
            <v>-</v>
          </cell>
          <cell r="S2169" t="str">
            <v>-</v>
          </cell>
        </row>
        <row r="2170">
          <cell r="E2170" t="str">
            <v/>
          </cell>
          <cell r="N2170" t="str">
            <v>-</v>
          </cell>
          <cell r="R2170" t="str">
            <v>-</v>
          </cell>
          <cell r="S2170" t="str">
            <v>-</v>
          </cell>
        </row>
        <row r="2171">
          <cell r="E2171" t="str">
            <v/>
          </cell>
          <cell r="N2171" t="str">
            <v>-</v>
          </cell>
          <cell r="R2171" t="str">
            <v>-</v>
          </cell>
          <cell r="S2171" t="str">
            <v>-</v>
          </cell>
        </row>
        <row r="2172">
          <cell r="E2172" t="str">
            <v/>
          </cell>
          <cell r="N2172" t="str">
            <v>-</v>
          </cell>
          <cell r="R2172" t="str">
            <v>-</v>
          </cell>
          <cell r="S2172" t="str">
            <v>-</v>
          </cell>
        </row>
        <row r="2173">
          <cell r="E2173" t="str">
            <v/>
          </cell>
          <cell r="N2173" t="str">
            <v>-</v>
          </cell>
          <cell r="R2173" t="str">
            <v>-</v>
          </cell>
          <cell r="S2173" t="str">
            <v>-</v>
          </cell>
        </row>
        <row r="2174">
          <cell r="E2174" t="str">
            <v/>
          </cell>
          <cell r="N2174" t="str">
            <v>-</v>
          </cell>
          <cell r="R2174" t="str">
            <v>-</v>
          </cell>
          <cell r="S2174" t="str">
            <v>-</v>
          </cell>
        </row>
        <row r="2175">
          <cell r="E2175" t="str">
            <v/>
          </cell>
          <cell r="N2175" t="str">
            <v>-</v>
          </cell>
          <cell r="R2175" t="str">
            <v>-</v>
          </cell>
          <cell r="S2175" t="str">
            <v>-</v>
          </cell>
        </row>
        <row r="2176">
          <cell r="E2176" t="str">
            <v/>
          </cell>
          <cell r="N2176" t="str">
            <v>-</v>
          </cell>
          <cell r="R2176" t="str">
            <v>-</v>
          </cell>
          <cell r="S2176" t="str">
            <v>-</v>
          </cell>
        </row>
        <row r="2177">
          <cell r="E2177" t="str">
            <v/>
          </cell>
          <cell r="N2177" t="str">
            <v>-</v>
          </cell>
          <cell r="R2177" t="str">
            <v>-</v>
          </cell>
          <cell r="S2177" t="str">
            <v>-</v>
          </cell>
        </row>
        <row r="2178">
          <cell r="E2178" t="str">
            <v/>
          </cell>
          <cell r="N2178" t="str">
            <v>-</v>
          </cell>
          <cell r="R2178" t="str">
            <v>-</v>
          </cell>
          <cell r="S2178" t="str">
            <v>-</v>
          </cell>
        </row>
        <row r="2179">
          <cell r="E2179" t="str">
            <v/>
          </cell>
          <cell r="N2179" t="str">
            <v>-</v>
          </cell>
          <cell r="R2179" t="str">
            <v>-</v>
          </cell>
          <cell r="S2179" t="str">
            <v>-</v>
          </cell>
        </row>
        <row r="2180">
          <cell r="E2180" t="str">
            <v/>
          </cell>
          <cell r="N2180" t="str">
            <v>-</v>
          </cell>
          <cell r="R2180" t="str">
            <v>-</v>
          </cell>
          <cell r="S2180" t="str">
            <v>-</v>
          </cell>
        </row>
        <row r="2181">
          <cell r="E2181" t="str">
            <v/>
          </cell>
          <cell r="N2181" t="str">
            <v>-</v>
          </cell>
          <cell r="R2181" t="str">
            <v>-</v>
          </cell>
          <cell r="S2181" t="str">
            <v>-</v>
          </cell>
        </row>
        <row r="2182">
          <cell r="E2182" t="str">
            <v/>
          </cell>
          <cell r="N2182" t="str">
            <v>-</v>
          </cell>
          <cell r="R2182" t="str">
            <v>-</v>
          </cell>
          <cell r="S2182" t="str">
            <v>-</v>
          </cell>
        </row>
        <row r="2183">
          <cell r="E2183" t="str">
            <v/>
          </cell>
          <cell r="N2183" t="str">
            <v>-</v>
          </cell>
          <cell r="R2183" t="str">
            <v>-</v>
          </cell>
          <cell r="S2183" t="str">
            <v>-</v>
          </cell>
        </row>
        <row r="2184">
          <cell r="E2184" t="str">
            <v/>
          </cell>
          <cell r="N2184" t="str">
            <v>-</v>
          </cell>
          <cell r="R2184" t="str">
            <v>-</v>
          </cell>
          <cell r="S2184" t="str">
            <v>-</v>
          </cell>
        </row>
        <row r="2185">
          <cell r="E2185" t="str">
            <v/>
          </cell>
          <cell r="N2185" t="str">
            <v>-</v>
          </cell>
          <cell r="R2185" t="str">
            <v>-</v>
          </cell>
          <cell r="S2185" t="str">
            <v>-</v>
          </cell>
        </row>
        <row r="2186">
          <cell r="E2186" t="str">
            <v/>
          </cell>
          <cell r="N2186" t="str">
            <v>-</v>
          </cell>
          <cell r="R2186" t="str">
            <v>-</v>
          </cell>
          <cell r="S2186" t="str">
            <v>-</v>
          </cell>
        </row>
        <row r="2187">
          <cell r="E2187" t="str">
            <v/>
          </cell>
          <cell r="N2187" t="str">
            <v>-</v>
          </cell>
          <cell r="R2187" t="str">
            <v>-</v>
          </cell>
          <cell r="S2187" t="str">
            <v>-</v>
          </cell>
        </row>
        <row r="2188">
          <cell r="E2188" t="str">
            <v/>
          </cell>
          <cell r="N2188" t="str">
            <v>-</v>
          </cell>
          <cell r="R2188" t="str">
            <v>-</v>
          </cell>
          <cell r="S2188" t="str">
            <v>-</v>
          </cell>
        </row>
        <row r="2189">
          <cell r="E2189" t="str">
            <v/>
          </cell>
          <cell r="N2189" t="str">
            <v>-</v>
          </cell>
          <cell r="R2189" t="str">
            <v>-</v>
          </cell>
          <cell r="S2189" t="str">
            <v>-</v>
          </cell>
        </row>
        <row r="2190">
          <cell r="E2190" t="str">
            <v/>
          </cell>
          <cell r="N2190" t="str">
            <v>-</v>
          </cell>
          <cell r="R2190" t="str">
            <v>-</v>
          </cell>
          <cell r="S2190" t="str">
            <v>-</v>
          </cell>
        </row>
        <row r="2191">
          <cell r="E2191" t="str">
            <v/>
          </cell>
          <cell r="N2191" t="str">
            <v>-</v>
          </cell>
          <cell r="R2191" t="str">
            <v>-</v>
          </cell>
          <cell r="S2191" t="str">
            <v>-</v>
          </cell>
        </row>
        <row r="2192">
          <cell r="E2192" t="str">
            <v/>
          </cell>
          <cell r="N2192" t="str">
            <v>-</v>
          </cell>
          <cell r="R2192" t="str">
            <v>-</v>
          </cell>
          <cell r="S2192" t="str">
            <v>-</v>
          </cell>
        </row>
        <row r="2193">
          <cell r="E2193" t="str">
            <v/>
          </cell>
          <cell r="N2193" t="str">
            <v>-</v>
          </cell>
          <cell r="R2193" t="str">
            <v>-</v>
          </cell>
          <cell r="S2193" t="str">
            <v>-</v>
          </cell>
        </row>
        <row r="2194">
          <cell r="E2194" t="str">
            <v/>
          </cell>
          <cell r="N2194" t="str">
            <v>-</v>
          </cell>
          <cell r="R2194" t="str">
            <v>-</v>
          </cell>
          <cell r="S2194" t="str">
            <v>-</v>
          </cell>
        </row>
        <row r="2195">
          <cell r="E2195" t="str">
            <v/>
          </cell>
          <cell r="N2195" t="str">
            <v>-</v>
          </cell>
          <cell r="R2195" t="str">
            <v>-</v>
          </cell>
          <cell r="S2195" t="str">
            <v>-</v>
          </cell>
        </row>
        <row r="2196">
          <cell r="E2196" t="str">
            <v/>
          </cell>
          <cell r="N2196" t="str">
            <v>-</v>
          </cell>
          <cell r="R2196" t="str">
            <v>-</v>
          </cell>
          <cell r="S2196" t="str">
            <v>-</v>
          </cell>
        </row>
        <row r="2197">
          <cell r="E2197" t="str">
            <v/>
          </cell>
          <cell r="N2197" t="str">
            <v>-</v>
          </cell>
          <cell r="R2197" t="str">
            <v>-</v>
          </cell>
          <cell r="S2197" t="str">
            <v>-</v>
          </cell>
        </row>
        <row r="2198">
          <cell r="E2198" t="str">
            <v/>
          </cell>
          <cell r="N2198" t="str">
            <v>-</v>
          </cell>
          <cell r="R2198" t="str">
            <v>-</v>
          </cell>
          <cell r="S2198" t="str">
            <v>-</v>
          </cell>
        </row>
        <row r="2199">
          <cell r="E2199" t="str">
            <v/>
          </cell>
          <cell r="N2199" t="str">
            <v>-</v>
          </cell>
          <cell r="R2199" t="str">
            <v>-</v>
          </cell>
          <cell r="S2199" t="str">
            <v>-</v>
          </cell>
        </row>
        <row r="2200">
          <cell r="E2200" t="str">
            <v/>
          </cell>
          <cell r="N2200" t="str">
            <v>-</v>
          </cell>
          <cell r="R2200" t="str">
            <v>-</v>
          </cell>
          <cell r="S2200" t="str">
            <v>-</v>
          </cell>
        </row>
        <row r="2201">
          <cell r="E2201" t="str">
            <v/>
          </cell>
          <cell r="N2201" t="str">
            <v>-</v>
          </cell>
          <cell r="R2201" t="str">
            <v>-</v>
          </cell>
          <cell r="S2201" t="str">
            <v>-</v>
          </cell>
        </row>
        <row r="2202">
          <cell r="E2202" t="str">
            <v/>
          </cell>
          <cell r="N2202" t="str">
            <v>-</v>
          </cell>
          <cell r="R2202" t="str">
            <v>-</v>
          </cell>
          <cell r="S2202" t="str">
            <v>-</v>
          </cell>
        </row>
        <row r="2203">
          <cell r="E2203" t="str">
            <v/>
          </cell>
          <cell r="N2203" t="str">
            <v>-</v>
          </cell>
          <cell r="R2203" t="str">
            <v>-</v>
          </cell>
          <cell r="S2203" t="str">
            <v>-</v>
          </cell>
        </row>
        <row r="2204">
          <cell r="E2204" t="str">
            <v/>
          </cell>
          <cell r="N2204" t="str">
            <v>-</v>
          </cell>
          <cell r="R2204" t="str">
            <v>-</v>
          </cell>
          <cell r="S2204" t="str">
            <v>-</v>
          </cell>
        </row>
        <row r="2205">
          <cell r="E2205" t="str">
            <v/>
          </cell>
          <cell r="N2205" t="str">
            <v>-</v>
          </cell>
          <cell r="R2205" t="str">
            <v>-</v>
          </cell>
          <cell r="S2205" t="str">
            <v>-</v>
          </cell>
        </row>
        <row r="2206">
          <cell r="E2206" t="str">
            <v/>
          </cell>
          <cell r="N2206" t="str">
            <v>-</v>
          </cell>
          <cell r="R2206" t="str">
            <v>-</v>
          </cell>
          <cell r="S2206" t="str">
            <v>-</v>
          </cell>
        </row>
        <row r="2207">
          <cell r="E2207" t="str">
            <v/>
          </cell>
          <cell r="N2207" t="str">
            <v>-</v>
          </cell>
          <cell r="R2207" t="str">
            <v>-</v>
          </cell>
          <cell r="S2207" t="str">
            <v>-</v>
          </cell>
        </row>
        <row r="2208">
          <cell r="E2208" t="str">
            <v/>
          </cell>
          <cell r="N2208" t="str">
            <v>-</v>
          </cell>
          <cell r="R2208" t="str">
            <v>-</v>
          </cell>
          <cell r="S2208" t="str">
            <v>-</v>
          </cell>
        </row>
        <row r="2209">
          <cell r="E2209" t="str">
            <v/>
          </cell>
          <cell r="N2209" t="str">
            <v>-</v>
          </cell>
          <cell r="R2209" t="str">
            <v>-</v>
          </cell>
          <cell r="S2209" t="str">
            <v>-</v>
          </cell>
        </row>
        <row r="2210">
          <cell r="E2210" t="str">
            <v/>
          </cell>
          <cell r="N2210" t="str">
            <v>-</v>
          </cell>
          <cell r="R2210" t="str">
            <v>-</v>
          </cell>
          <cell r="S2210" t="str">
            <v>-</v>
          </cell>
        </row>
        <row r="2211">
          <cell r="E2211" t="str">
            <v/>
          </cell>
          <cell r="N2211" t="str">
            <v>-</v>
          </cell>
          <cell r="R2211" t="str">
            <v>-</v>
          </cell>
          <cell r="S2211" t="str">
            <v>-</v>
          </cell>
        </row>
        <row r="2212">
          <cell r="E2212" t="str">
            <v/>
          </cell>
          <cell r="N2212" t="str">
            <v>-</v>
          </cell>
          <cell r="R2212" t="str">
            <v>-</v>
          </cell>
          <cell r="S2212" t="str">
            <v>-</v>
          </cell>
        </row>
        <row r="2213">
          <cell r="E2213" t="str">
            <v/>
          </cell>
          <cell r="N2213" t="str">
            <v>-</v>
          </cell>
          <cell r="R2213" t="str">
            <v>-</v>
          </cell>
          <cell r="S2213" t="str">
            <v>-</v>
          </cell>
        </row>
        <row r="2214">
          <cell r="E2214" t="str">
            <v/>
          </cell>
          <cell r="N2214" t="str">
            <v>-</v>
          </cell>
          <cell r="R2214" t="str">
            <v>-</v>
          </cell>
          <cell r="S2214" t="str">
            <v>-</v>
          </cell>
        </row>
        <row r="2215">
          <cell r="E2215" t="str">
            <v/>
          </cell>
          <cell r="N2215" t="str">
            <v>-</v>
          </cell>
          <cell r="R2215" t="str">
            <v>-</v>
          </cell>
          <cell r="S2215" t="str">
            <v>-</v>
          </cell>
        </row>
        <row r="2216">
          <cell r="E2216" t="str">
            <v/>
          </cell>
          <cell r="N2216" t="str">
            <v>-</v>
          </cell>
          <cell r="R2216" t="str">
            <v>-</v>
          </cell>
          <cell r="S2216" t="str">
            <v>-</v>
          </cell>
        </row>
        <row r="2217">
          <cell r="E2217" t="str">
            <v/>
          </cell>
          <cell r="N2217" t="str">
            <v>-</v>
          </cell>
          <cell r="R2217" t="str">
            <v>-</v>
          </cell>
          <cell r="S2217" t="str">
            <v>-</v>
          </cell>
        </row>
        <row r="2218">
          <cell r="E2218" t="str">
            <v/>
          </cell>
          <cell r="N2218" t="str">
            <v>-</v>
          </cell>
          <cell r="R2218" t="str">
            <v>-</v>
          </cell>
          <cell r="S2218" t="str">
            <v>-</v>
          </cell>
        </row>
        <row r="2219">
          <cell r="E2219" t="str">
            <v/>
          </cell>
          <cell r="N2219" t="str">
            <v>-</v>
          </cell>
          <cell r="R2219" t="str">
            <v>-</v>
          </cell>
          <cell r="S2219" t="str">
            <v>-</v>
          </cell>
        </row>
        <row r="2220">
          <cell r="E2220" t="str">
            <v/>
          </cell>
          <cell r="N2220" t="str">
            <v>-</v>
          </cell>
          <cell r="R2220" t="str">
            <v>-</v>
          </cell>
          <cell r="S2220" t="str">
            <v>-</v>
          </cell>
        </row>
        <row r="2221">
          <cell r="E2221" t="str">
            <v/>
          </cell>
          <cell r="N2221" t="str">
            <v>-</v>
          </cell>
          <cell r="R2221" t="str">
            <v>-</v>
          </cell>
          <cell r="S2221" t="str">
            <v>-</v>
          </cell>
        </row>
        <row r="2222">
          <cell r="E2222" t="str">
            <v/>
          </cell>
          <cell r="N2222" t="str">
            <v>-</v>
          </cell>
          <cell r="R2222" t="str">
            <v>-</v>
          </cell>
          <cell r="S2222" t="str">
            <v>-</v>
          </cell>
        </row>
        <row r="2223">
          <cell r="E2223" t="str">
            <v/>
          </cell>
          <cell r="N2223" t="str">
            <v>-</v>
          </cell>
          <cell r="R2223" t="str">
            <v>-</v>
          </cell>
          <cell r="S2223" t="str">
            <v>-</v>
          </cell>
        </row>
        <row r="2224">
          <cell r="E2224" t="str">
            <v/>
          </cell>
          <cell r="N2224" t="str">
            <v>-</v>
          </cell>
          <cell r="R2224" t="str">
            <v>-</v>
          </cell>
          <cell r="S2224" t="str">
            <v>-</v>
          </cell>
        </row>
        <row r="2225">
          <cell r="E2225" t="str">
            <v/>
          </cell>
          <cell r="N2225" t="str">
            <v>-</v>
          </cell>
          <cell r="R2225" t="str">
            <v>-</v>
          </cell>
          <cell r="S2225" t="str">
            <v>-</v>
          </cell>
        </row>
        <row r="2226">
          <cell r="E2226" t="str">
            <v/>
          </cell>
          <cell r="N2226" t="str">
            <v>-</v>
          </cell>
          <cell r="R2226" t="str">
            <v>-</v>
          </cell>
          <cell r="S2226" t="str">
            <v>-</v>
          </cell>
        </row>
        <row r="2227">
          <cell r="E2227" t="str">
            <v/>
          </cell>
          <cell r="N2227" t="str">
            <v>-</v>
          </cell>
          <cell r="R2227" t="str">
            <v>-</v>
          </cell>
          <cell r="S2227" t="str">
            <v>-</v>
          </cell>
        </row>
        <row r="2228">
          <cell r="E2228" t="str">
            <v/>
          </cell>
          <cell r="N2228" t="str">
            <v>-</v>
          </cell>
          <cell r="R2228" t="str">
            <v>-</v>
          </cell>
          <cell r="S2228" t="str">
            <v>-</v>
          </cell>
        </row>
        <row r="2229">
          <cell r="E2229" t="str">
            <v/>
          </cell>
          <cell r="N2229" t="str">
            <v>-</v>
          </cell>
          <cell r="R2229" t="str">
            <v>-</v>
          </cell>
          <cell r="S2229" t="str">
            <v>-</v>
          </cell>
        </row>
        <row r="2230">
          <cell r="E2230" t="str">
            <v/>
          </cell>
          <cell r="N2230" t="str">
            <v>-</v>
          </cell>
          <cell r="R2230" t="str">
            <v>-</v>
          </cell>
          <cell r="S2230" t="str">
            <v>-</v>
          </cell>
        </row>
        <row r="2231">
          <cell r="E2231" t="str">
            <v/>
          </cell>
          <cell r="N2231" t="str">
            <v>-</v>
          </cell>
          <cell r="R2231" t="str">
            <v>-</v>
          </cell>
          <cell r="S2231" t="str">
            <v>-</v>
          </cell>
        </row>
        <row r="2232">
          <cell r="E2232" t="str">
            <v/>
          </cell>
          <cell r="N2232" t="str">
            <v>-</v>
          </cell>
          <cell r="R2232" t="str">
            <v>-</v>
          </cell>
          <cell r="S2232" t="str">
            <v>-</v>
          </cell>
        </row>
        <row r="2233">
          <cell r="E2233" t="str">
            <v/>
          </cell>
          <cell r="N2233" t="str">
            <v>-</v>
          </cell>
          <cell r="R2233" t="str">
            <v>-</v>
          </cell>
          <cell r="S2233" t="str">
            <v>-</v>
          </cell>
        </row>
        <row r="2234">
          <cell r="E2234" t="str">
            <v/>
          </cell>
          <cell r="N2234" t="str">
            <v>-</v>
          </cell>
          <cell r="R2234" t="str">
            <v>-</v>
          </cell>
          <cell r="S2234" t="str">
            <v>-</v>
          </cell>
        </row>
        <row r="2235">
          <cell r="E2235" t="str">
            <v/>
          </cell>
          <cell r="N2235" t="str">
            <v>-</v>
          </cell>
          <cell r="R2235" t="str">
            <v>-</v>
          </cell>
          <cell r="S2235" t="str">
            <v>-</v>
          </cell>
        </row>
        <row r="2236">
          <cell r="E2236" t="str">
            <v/>
          </cell>
          <cell r="N2236" t="str">
            <v>-</v>
          </cell>
          <cell r="R2236" t="str">
            <v>-</v>
          </cell>
          <cell r="S2236" t="str">
            <v>-</v>
          </cell>
        </row>
        <row r="2237">
          <cell r="E2237" t="str">
            <v/>
          </cell>
          <cell r="N2237" t="str">
            <v>-</v>
          </cell>
          <cell r="R2237" t="str">
            <v>-</v>
          </cell>
          <cell r="S2237" t="str">
            <v>-</v>
          </cell>
        </row>
        <row r="2238">
          <cell r="E2238" t="str">
            <v/>
          </cell>
          <cell r="N2238" t="str">
            <v>-</v>
          </cell>
          <cell r="R2238" t="str">
            <v>-</v>
          </cell>
          <cell r="S2238" t="str">
            <v>-</v>
          </cell>
        </row>
        <row r="2239">
          <cell r="E2239" t="str">
            <v/>
          </cell>
          <cell r="N2239" t="str">
            <v>-</v>
          </cell>
          <cell r="R2239" t="str">
            <v>-</v>
          </cell>
          <cell r="S2239" t="str">
            <v>-</v>
          </cell>
        </row>
        <row r="2240">
          <cell r="E2240" t="str">
            <v/>
          </cell>
          <cell r="N2240" t="str">
            <v>-</v>
          </cell>
          <cell r="R2240" t="str">
            <v>-</v>
          </cell>
          <cell r="S2240" t="str">
            <v>-</v>
          </cell>
        </row>
        <row r="2241">
          <cell r="E2241" t="str">
            <v/>
          </cell>
          <cell r="N2241" t="str">
            <v>-</v>
          </cell>
          <cell r="R2241" t="str">
            <v>-</v>
          </cell>
          <cell r="S2241" t="str">
            <v>-</v>
          </cell>
        </row>
        <row r="2242">
          <cell r="E2242" t="str">
            <v/>
          </cell>
          <cell r="N2242" t="str">
            <v>-</v>
          </cell>
          <cell r="R2242" t="str">
            <v>-</v>
          </cell>
          <cell r="S2242" t="str">
            <v>-</v>
          </cell>
        </row>
        <row r="2243">
          <cell r="E2243" t="str">
            <v/>
          </cell>
          <cell r="N2243" t="str">
            <v>-</v>
          </cell>
          <cell r="R2243" t="str">
            <v>-</v>
          </cell>
          <cell r="S2243" t="str">
            <v>-</v>
          </cell>
        </row>
        <row r="2244">
          <cell r="E2244" t="str">
            <v/>
          </cell>
          <cell r="N2244" t="str">
            <v>-</v>
          </cell>
          <cell r="R2244" t="str">
            <v>-</v>
          </cell>
          <cell r="S2244" t="str">
            <v>-</v>
          </cell>
        </row>
        <row r="2245">
          <cell r="E2245" t="str">
            <v/>
          </cell>
          <cell r="N2245" t="str">
            <v>-</v>
          </cell>
          <cell r="R2245" t="str">
            <v>-</v>
          </cell>
          <cell r="S2245" t="str">
            <v>-</v>
          </cell>
        </row>
        <row r="2246">
          <cell r="E2246" t="str">
            <v/>
          </cell>
          <cell r="N2246" t="str">
            <v>-</v>
          </cell>
          <cell r="R2246" t="str">
            <v>-</v>
          </cell>
          <cell r="S2246" t="str">
            <v>-</v>
          </cell>
        </row>
        <row r="2247">
          <cell r="E2247" t="str">
            <v/>
          </cell>
          <cell r="N2247" t="str">
            <v>-</v>
          </cell>
          <cell r="R2247" t="str">
            <v>-</v>
          </cell>
          <cell r="S2247" t="str">
            <v>-</v>
          </cell>
        </row>
        <row r="2248">
          <cell r="E2248" t="str">
            <v/>
          </cell>
          <cell r="N2248" t="str">
            <v>-</v>
          </cell>
          <cell r="R2248" t="str">
            <v>-</v>
          </cell>
          <cell r="S2248" t="str">
            <v>-</v>
          </cell>
        </row>
        <row r="2249">
          <cell r="E2249" t="str">
            <v/>
          </cell>
          <cell r="N2249" t="str">
            <v>-</v>
          </cell>
          <cell r="R2249" t="str">
            <v>-</v>
          </cell>
          <cell r="S2249" t="str">
            <v>-</v>
          </cell>
        </row>
        <row r="2250">
          <cell r="E2250" t="str">
            <v/>
          </cell>
          <cell r="N2250" t="str">
            <v>-</v>
          </cell>
          <cell r="R2250" t="str">
            <v>-</v>
          </cell>
          <cell r="S2250" t="str">
            <v>-</v>
          </cell>
        </row>
        <row r="2251">
          <cell r="E2251" t="str">
            <v/>
          </cell>
          <cell r="N2251" t="str">
            <v>-</v>
          </cell>
          <cell r="R2251" t="str">
            <v>-</v>
          </cell>
          <cell r="S2251" t="str">
            <v>-</v>
          </cell>
        </row>
        <row r="2252">
          <cell r="E2252" t="str">
            <v/>
          </cell>
          <cell r="N2252" t="str">
            <v>-</v>
          </cell>
          <cell r="R2252" t="str">
            <v>-</v>
          </cell>
          <cell r="S2252" t="str">
            <v>-</v>
          </cell>
        </row>
        <row r="2253">
          <cell r="E2253" t="str">
            <v/>
          </cell>
          <cell r="N2253" t="str">
            <v>-</v>
          </cell>
          <cell r="R2253" t="str">
            <v>-</v>
          </cell>
          <cell r="S2253" t="str">
            <v>-</v>
          </cell>
        </row>
        <row r="2254">
          <cell r="E2254" t="str">
            <v/>
          </cell>
          <cell r="N2254" t="str">
            <v>-</v>
          </cell>
          <cell r="R2254" t="str">
            <v>-</v>
          </cell>
          <cell r="S2254" t="str">
            <v>-</v>
          </cell>
        </row>
        <row r="2255">
          <cell r="E2255" t="str">
            <v/>
          </cell>
          <cell r="N2255" t="str">
            <v>-</v>
          </cell>
          <cell r="R2255" t="str">
            <v>-</v>
          </cell>
          <cell r="S2255" t="str">
            <v>-</v>
          </cell>
        </row>
        <row r="2256">
          <cell r="E2256" t="str">
            <v/>
          </cell>
          <cell r="N2256" t="str">
            <v>-</v>
          </cell>
          <cell r="R2256" t="str">
            <v>-</v>
          </cell>
          <cell r="S2256" t="str">
            <v>-</v>
          </cell>
        </row>
        <row r="2257">
          <cell r="E2257" t="str">
            <v/>
          </cell>
          <cell r="N2257" t="str">
            <v>-</v>
          </cell>
          <cell r="R2257" t="str">
            <v>-</v>
          </cell>
          <cell r="S2257" t="str">
            <v>-</v>
          </cell>
        </row>
        <row r="2258">
          <cell r="E2258" t="str">
            <v/>
          </cell>
          <cell r="N2258" t="str">
            <v>-</v>
          </cell>
          <cell r="R2258" t="str">
            <v>-</v>
          </cell>
          <cell r="S2258" t="str">
            <v>-</v>
          </cell>
        </row>
        <row r="2259">
          <cell r="E2259" t="str">
            <v/>
          </cell>
          <cell r="N2259" t="str">
            <v>-</v>
          </cell>
          <cell r="R2259" t="str">
            <v>-</v>
          </cell>
          <cell r="S2259" t="str">
            <v>-</v>
          </cell>
        </row>
        <row r="2260">
          <cell r="E2260" t="str">
            <v/>
          </cell>
          <cell r="N2260" t="str">
            <v>-</v>
          </cell>
          <cell r="R2260" t="str">
            <v>-</v>
          </cell>
          <cell r="S2260" t="str">
            <v>-</v>
          </cell>
        </row>
        <row r="2261">
          <cell r="E2261" t="str">
            <v/>
          </cell>
          <cell r="N2261" t="str">
            <v>-</v>
          </cell>
          <cell r="R2261" t="str">
            <v>-</v>
          </cell>
          <cell r="S2261" t="str">
            <v>-</v>
          </cell>
        </row>
        <row r="2262">
          <cell r="E2262" t="str">
            <v/>
          </cell>
          <cell r="N2262" t="str">
            <v>-</v>
          </cell>
          <cell r="R2262" t="str">
            <v>-</v>
          </cell>
          <cell r="S2262" t="str">
            <v>-</v>
          </cell>
        </row>
        <row r="2263">
          <cell r="E2263" t="str">
            <v/>
          </cell>
          <cell r="N2263" t="str">
            <v>-</v>
          </cell>
          <cell r="R2263" t="str">
            <v>-</v>
          </cell>
          <cell r="S2263" t="str">
            <v>-</v>
          </cell>
        </row>
        <row r="2264">
          <cell r="E2264" t="str">
            <v/>
          </cell>
          <cell r="N2264" t="str">
            <v>-</v>
          </cell>
          <cell r="R2264" t="str">
            <v>-</v>
          </cell>
          <cell r="S2264" t="str">
            <v>-</v>
          </cell>
        </row>
        <row r="2265">
          <cell r="E2265" t="str">
            <v/>
          </cell>
          <cell r="N2265" t="str">
            <v>-</v>
          </cell>
          <cell r="R2265" t="str">
            <v>-</v>
          </cell>
          <cell r="S2265" t="str">
            <v>-</v>
          </cell>
        </row>
        <row r="2266">
          <cell r="E2266" t="str">
            <v/>
          </cell>
          <cell r="N2266" t="str">
            <v>-</v>
          </cell>
          <cell r="R2266" t="str">
            <v>-</v>
          </cell>
          <cell r="S2266" t="str">
            <v>-</v>
          </cell>
        </row>
        <row r="2267">
          <cell r="E2267" t="str">
            <v/>
          </cell>
          <cell r="N2267" t="str">
            <v>-</v>
          </cell>
          <cell r="R2267" t="str">
            <v>-</v>
          </cell>
          <cell r="S2267" t="str">
            <v>-</v>
          </cell>
        </row>
        <row r="2268">
          <cell r="E2268" t="str">
            <v/>
          </cell>
          <cell r="N2268" t="str">
            <v>-</v>
          </cell>
          <cell r="R2268" t="str">
            <v>-</v>
          </cell>
          <cell r="S2268" t="str">
            <v>-</v>
          </cell>
        </row>
        <row r="2269">
          <cell r="E2269" t="str">
            <v/>
          </cell>
          <cell r="N2269" t="str">
            <v>-</v>
          </cell>
          <cell r="R2269" t="str">
            <v>-</v>
          </cell>
          <cell r="S2269" t="str">
            <v>-</v>
          </cell>
        </row>
        <row r="2270">
          <cell r="E2270" t="str">
            <v/>
          </cell>
          <cell r="N2270" t="str">
            <v>-</v>
          </cell>
          <cell r="R2270" t="str">
            <v>-</v>
          </cell>
          <cell r="S2270" t="str">
            <v>-</v>
          </cell>
        </row>
        <row r="2271">
          <cell r="E2271" t="str">
            <v/>
          </cell>
          <cell r="N2271" t="str">
            <v>-</v>
          </cell>
          <cell r="R2271" t="str">
            <v>-</v>
          </cell>
          <cell r="S2271" t="str">
            <v>-</v>
          </cell>
        </row>
        <row r="2272">
          <cell r="E2272" t="str">
            <v/>
          </cell>
          <cell r="N2272" t="str">
            <v>-</v>
          </cell>
          <cell r="R2272" t="str">
            <v>-</v>
          </cell>
          <cell r="S2272" t="str">
            <v>-</v>
          </cell>
        </row>
        <row r="2273">
          <cell r="E2273" t="str">
            <v/>
          </cell>
          <cell r="N2273" t="str">
            <v>-</v>
          </cell>
          <cell r="R2273" t="str">
            <v>-</v>
          </cell>
          <cell r="S2273" t="str">
            <v>-</v>
          </cell>
        </row>
        <row r="2274">
          <cell r="E2274" t="str">
            <v/>
          </cell>
          <cell r="N2274" t="str">
            <v>-</v>
          </cell>
          <cell r="R2274" t="str">
            <v>-</v>
          </cell>
          <cell r="S2274" t="str">
            <v>-</v>
          </cell>
        </row>
        <row r="2275">
          <cell r="E2275" t="str">
            <v/>
          </cell>
          <cell r="N2275" t="str">
            <v>-</v>
          </cell>
          <cell r="R2275" t="str">
            <v>-</v>
          </cell>
          <cell r="S2275" t="str">
            <v>-</v>
          </cell>
        </row>
        <row r="2276">
          <cell r="E2276" t="str">
            <v/>
          </cell>
          <cell r="N2276" t="str">
            <v>-</v>
          </cell>
          <cell r="R2276" t="str">
            <v>-</v>
          </cell>
          <cell r="S2276" t="str">
            <v>-</v>
          </cell>
        </row>
        <row r="2277">
          <cell r="E2277" t="str">
            <v/>
          </cell>
          <cell r="N2277" t="str">
            <v>-</v>
          </cell>
          <cell r="R2277" t="str">
            <v>-</v>
          </cell>
          <cell r="S2277" t="str">
            <v>-</v>
          </cell>
        </row>
        <row r="2278">
          <cell r="E2278" t="str">
            <v/>
          </cell>
          <cell r="N2278" t="str">
            <v>-</v>
          </cell>
          <cell r="R2278" t="str">
            <v>-</v>
          </cell>
          <cell r="S2278" t="str">
            <v>-</v>
          </cell>
        </row>
        <row r="2279">
          <cell r="E2279" t="str">
            <v/>
          </cell>
          <cell r="N2279" t="str">
            <v>-</v>
          </cell>
          <cell r="R2279" t="str">
            <v>-</v>
          </cell>
          <cell r="S2279" t="str">
            <v>-</v>
          </cell>
        </row>
        <row r="2280">
          <cell r="E2280" t="str">
            <v/>
          </cell>
          <cell r="N2280" t="str">
            <v>-</v>
          </cell>
          <cell r="R2280" t="str">
            <v>-</v>
          </cell>
          <cell r="S2280" t="str">
            <v>-</v>
          </cell>
        </row>
        <row r="2281">
          <cell r="E2281" t="str">
            <v/>
          </cell>
          <cell r="N2281" t="str">
            <v>-</v>
          </cell>
          <cell r="R2281" t="str">
            <v>-</v>
          </cell>
          <cell r="S2281" t="str">
            <v>-</v>
          </cell>
        </row>
        <row r="2282">
          <cell r="E2282" t="str">
            <v/>
          </cell>
          <cell r="N2282" t="str">
            <v>-</v>
          </cell>
          <cell r="R2282" t="str">
            <v>-</v>
          </cell>
          <cell r="S2282" t="str">
            <v>-</v>
          </cell>
        </row>
        <row r="2283">
          <cell r="E2283" t="str">
            <v/>
          </cell>
          <cell r="N2283" t="str">
            <v>-</v>
          </cell>
          <cell r="R2283" t="str">
            <v>-</v>
          </cell>
          <cell r="S2283" t="str">
            <v>-</v>
          </cell>
        </row>
        <row r="2284">
          <cell r="E2284" t="str">
            <v/>
          </cell>
          <cell r="N2284" t="str">
            <v>-</v>
          </cell>
          <cell r="R2284" t="str">
            <v>-</v>
          </cell>
          <cell r="S2284" t="str">
            <v>-</v>
          </cell>
        </row>
        <row r="2285">
          <cell r="E2285" t="str">
            <v/>
          </cell>
          <cell r="N2285" t="str">
            <v>-</v>
          </cell>
          <cell r="R2285" t="str">
            <v>-</v>
          </cell>
          <cell r="S2285" t="str">
            <v>-</v>
          </cell>
        </row>
        <row r="2286">
          <cell r="E2286" t="str">
            <v/>
          </cell>
          <cell r="N2286" t="str">
            <v>-</v>
          </cell>
          <cell r="R2286" t="str">
            <v>-</v>
          </cell>
          <cell r="S2286" t="str">
            <v>-</v>
          </cell>
        </row>
        <row r="2287">
          <cell r="E2287" t="str">
            <v/>
          </cell>
          <cell r="N2287" t="str">
            <v>-</v>
          </cell>
          <cell r="R2287" t="str">
            <v>-</v>
          </cell>
          <cell r="S2287" t="str">
            <v>-</v>
          </cell>
        </row>
        <row r="2288">
          <cell r="E2288" t="str">
            <v/>
          </cell>
          <cell r="N2288" t="str">
            <v>-</v>
          </cell>
          <cell r="R2288" t="str">
            <v>-</v>
          </cell>
          <cell r="S2288" t="str">
            <v>-</v>
          </cell>
        </row>
        <row r="2289">
          <cell r="E2289" t="str">
            <v/>
          </cell>
          <cell r="N2289" t="str">
            <v>-</v>
          </cell>
          <cell r="R2289" t="str">
            <v>-</v>
          </cell>
          <cell r="S2289" t="str">
            <v>-</v>
          </cell>
        </row>
        <row r="2290">
          <cell r="E2290" t="str">
            <v/>
          </cell>
          <cell r="N2290" t="str">
            <v>-</v>
          </cell>
          <cell r="R2290" t="str">
            <v>-</v>
          </cell>
          <cell r="S2290" t="str">
            <v>-</v>
          </cell>
        </row>
        <row r="2291">
          <cell r="E2291" t="str">
            <v/>
          </cell>
          <cell r="N2291" t="str">
            <v>-</v>
          </cell>
          <cell r="R2291" t="str">
            <v>-</v>
          </cell>
          <cell r="S2291" t="str">
            <v>-</v>
          </cell>
        </row>
        <row r="2292">
          <cell r="E2292" t="str">
            <v/>
          </cell>
          <cell r="N2292" t="str">
            <v>-</v>
          </cell>
          <cell r="R2292" t="str">
            <v>-</v>
          </cell>
          <cell r="S2292" t="str">
            <v>-</v>
          </cell>
        </row>
        <row r="2293">
          <cell r="E2293" t="str">
            <v/>
          </cell>
          <cell r="N2293" t="str">
            <v>-</v>
          </cell>
          <cell r="R2293" t="str">
            <v>-</v>
          </cell>
          <cell r="S2293" t="str">
            <v>-</v>
          </cell>
        </row>
        <row r="2294">
          <cell r="E2294" t="str">
            <v/>
          </cell>
          <cell r="N2294" t="str">
            <v>-</v>
          </cell>
          <cell r="R2294" t="str">
            <v>-</v>
          </cell>
          <cell r="S2294" t="str">
            <v>-</v>
          </cell>
        </row>
        <row r="2295">
          <cell r="E2295" t="str">
            <v/>
          </cell>
          <cell r="N2295" t="str">
            <v>-</v>
          </cell>
          <cell r="R2295" t="str">
            <v>-</v>
          </cell>
          <cell r="S2295" t="str">
            <v>-</v>
          </cell>
        </row>
        <row r="2296">
          <cell r="E2296" t="str">
            <v/>
          </cell>
          <cell r="N2296" t="str">
            <v>-</v>
          </cell>
          <cell r="R2296" t="str">
            <v>-</v>
          </cell>
          <cell r="S2296" t="str">
            <v>-</v>
          </cell>
        </row>
        <row r="2297">
          <cell r="E2297" t="str">
            <v/>
          </cell>
          <cell r="N2297" t="str">
            <v>-</v>
          </cell>
          <cell r="R2297" t="str">
            <v>-</v>
          </cell>
          <cell r="S2297" t="str">
            <v>-</v>
          </cell>
        </row>
        <row r="2298">
          <cell r="E2298" t="str">
            <v/>
          </cell>
          <cell r="N2298" t="str">
            <v>-</v>
          </cell>
          <cell r="R2298" t="str">
            <v>-</v>
          </cell>
          <cell r="S2298" t="str">
            <v>-</v>
          </cell>
        </row>
        <row r="2299">
          <cell r="E2299" t="str">
            <v/>
          </cell>
          <cell r="N2299" t="str">
            <v>-</v>
          </cell>
          <cell r="R2299" t="str">
            <v>-</v>
          </cell>
          <cell r="S2299" t="str">
            <v>-</v>
          </cell>
        </row>
        <row r="2300">
          <cell r="E2300" t="str">
            <v/>
          </cell>
          <cell r="N2300" t="str">
            <v>-</v>
          </cell>
          <cell r="R2300" t="str">
            <v>-</v>
          </cell>
          <cell r="S2300" t="str">
            <v>-</v>
          </cell>
        </row>
        <row r="2301">
          <cell r="E2301" t="str">
            <v/>
          </cell>
          <cell r="N2301" t="str">
            <v>-</v>
          </cell>
          <cell r="R2301" t="str">
            <v>-</v>
          </cell>
          <cell r="S2301" t="str">
            <v>-</v>
          </cell>
        </row>
        <row r="2302">
          <cell r="E2302" t="str">
            <v/>
          </cell>
          <cell r="N2302" t="str">
            <v>-</v>
          </cell>
          <cell r="R2302" t="str">
            <v>-</v>
          </cell>
          <cell r="S2302" t="str">
            <v>-</v>
          </cell>
        </row>
        <row r="2303">
          <cell r="E2303" t="str">
            <v/>
          </cell>
          <cell r="N2303" t="str">
            <v>-</v>
          </cell>
          <cell r="R2303" t="str">
            <v>-</v>
          </cell>
          <cell r="S2303" t="str">
            <v>-</v>
          </cell>
        </row>
        <row r="2304">
          <cell r="E2304" t="str">
            <v/>
          </cell>
          <cell r="N2304" t="str">
            <v>-</v>
          </cell>
          <cell r="R2304" t="str">
            <v>-</v>
          </cell>
          <cell r="S2304" t="str">
            <v>-</v>
          </cell>
        </row>
        <row r="2305">
          <cell r="E2305" t="str">
            <v/>
          </cell>
          <cell r="N2305" t="str">
            <v>-</v>
          </cell>
          <cell r="R2305" t="str">
            <v>-</v>
          </cell>
          <cell r="S2305" t="str">
            <v>-</v>
          </cell>
        </row>
        <row r="2306">
          <cell r="E2306" t="str">
            <v/>
          </cell>
          <cell r="N2306" t="str">
            <v>-</v>
          </cell>
          <cell r="R2306" t="str">
            <v>-</v>
          </cell>
          <cell r="S2306" t="str">
            <v>-</v>
          </cell>
        </row>
        <row r="2307">
          <cell r="E2307" t="str">
            <v/>
          </cell>
          <cell r="N2307" t="str">
            <v>-</v>
          </cell>
          <cell r="R2307" t="str">
            <v>-</v>
          </cell>
          <cell r="S2307" t="str">
            <v>-</v>
          </cell>
        </row>
        <row r="2308">
          <cell r="E2308" t="str">
            <v/>
          </cell>
          <cell r="N2308" t="str">
            <v>-</v>
          </cell>
          <cell r="R2308" t="str">
            <v>-</v>
          </cell>
          <cell r="S2308" t="str">
            <v>-</v>
          </cell>
        </row>
        <row r="2309">
          <cell r="E2309" t="str">
            <v/>
          </cell>
          <cell r="N2309" t="str">
            <v>-</v>
          </cell>
          <cell r="R2309" t="str">
            <v>-</v>
          </cell>
          <cell r="S2309" t="str">
            <v>-</v>
          </cell>
        </row>
        <row r="2310">
          <cell r="E2310" t="str">
            <v/>
          </cell>
          <cell r="N2310" t="str">
            <v>-</v>
          </cell>
          <cell r="R2310" t="str">
            <v>-</v>
          </cell>
          <cell r="S2310" t="str">
            <v>-</v>
          </cell>
        </row>
        <row r="2311">
          <cell r="E2311" t="str">
            <v/>
          </cell>
          <cell r="N2311" t="str">
            <v>-</v>
          </cell>
          <cell r="R2311" t="str">
            <v>-</v>
          </cell>
          <cell r="S2311" t="str">
            <v>-</v>
          </cell>
        </row>
        <row r="2312">
          <cell r="E2312" t="str">
            <v/>
          </cell>
          <cell r="N2312" t="str">
            <v>-</v>
          </cell>
          <cell r="R2312" t="str">
            <v>-</v>
          </cell>
          <cell r="S2312" t="str">
            <v>-</v>
          </cell>
        </row>
        <row r="2313">
          <cell r="E2313" t="str">
            <v/>
          </cell>
          <cell r="N2313" t="str">
            <v>-</v>
          </cell>
          <cell r="R2313" t="str">
            <v>-</v>
          </cell>
          <cell r="S2313" t="str">
            <v>-</v>
          </cell>
        </row>
        <row r="2314">
          <cell r="E2314" t="str">
            <v/>
          </cell>
          <cell r="N2314" t="str">
            <v>-</v>
          </cell>
          <cell r="R2314" t="str">
            <v>-</v>
          </cell>
          <cell r="S2314" t="str">
            <v>-</v>
          </cell>
        </row>
        <row r="2315">
          <cell r="E2315" t="str">
            <v/>
          </cell>
          <cell r="N2315" t="str">
            <v>-</v>
          </cell>
          <cell r="R2315" t="str">
            <v>-</v>
          </cell>
          <cell r="S2315" t="str">
            <v>-</v>
          </cell>
        </row>
        <row r="2316">
          <cell r="E2316" t="str">
            <v/>
          </cell>
          <cell r="N2316" t="str">
            <v>-</v>
          </cell>
          <cell r="R2316" t="str">
            <v>-</v>
          </cell>
          <cell r="S2316" t="str">
            <v>-</v>
          </cell>
        </row>
        <row r="2317">
          <cell r="E2317" t="str">
            <v/>
          </cell>
          <cell r="N2317" t="str">
            <v>-</v>
          </cell>
          <cell r="R2317" t="str">
            <v>-</v>
          </cell>
          <cell r="S2317" t="str">
            <v>-</v>
          </cell>
        </row>
        <row r="2318">
          <cell r="E2318" t="str">
            <v/>
          </cell>
          <cell r="N2318" t="str">
            <v>-</v>
          </cell>
          <cell r="R2318" t="str">
            <v>-</v>
          </cell>
          <cell r="S2318" t="str">
            <v>-</v>
          </cell>
        </row>
        <row r="2319">
          <cell r="E2319" t="str">
            <v/>
          </cell>
          <cell r="N2319" t="str">
            <v>-</v>
          </cell>
          <cell r="R2319" t="str">
            <v>-</v>
          </cell>
          <cell r="S2319" t="str">
            <v>-</v>
          </cell>
        </row>
        <row r="2320">
          <cell r="E2320" t="str">
            <v/>
          </cell>
          <cell r="N2320" t="str">
            <v>-</v>
          </cell>
          <cell r="R2320" t="str">
            <v>-</v>
          </cell>
          <cell r="S2320" t="str">
            <v>-</v>
          </cell>
        </row>
        <row r="2321">
          <cell r="E2321" t="str">
            <v/>
          </cell>
          <cell r="N2321" t="str">
            <v>-</v>
          </cell>
          <cell r="R2321" t="str">
            <v>-</v>
          </cell>
          <cell r="S2321" t="str">
            <v>-</v>
          </cell>
        </row>
        <row r="2322">
          <cell r="E2322" t="str">
            <v/>
          </cell>
          <cell r="N2322" t="str">
            <v>-</v>
          </cell>
          <cell r="R2322" t="str">
            <v>-</v>
          </cell>
          <cell r="S2322" t="str">
            <v>-</v>
          </cell>
        </row>
        <row r="2323">
          <cell r="E2323" t="str">
            <v/>
          </cell>
          <cell r="N2323" t="str">
            <v>-</v>
          </cell>
          <cell r="R2323" t="str">
            <v>-</v>
          </cell>
          <cell r="S2323" t="str">
            <v>-</v>
          </cell>
        </row>
        <row r="2324">
          <cell r="E2324" t="str">
            <v/>
          </cell>
          <cell r="N2324" t="str">
            <v>-</v>
          </cell>
          <cell r="R2324" t="str">
            <v>-</v>
          </cell>
          <cell r="S2324" t="str">
            <v>-</v>
          </cell>
        </row>
        <row r="2325">
          <cell r="E2325" t="str">
            <v/>
          </cell>
          <cell r="N2325" t="str">
            <v>-</v>
          </cell>
          <cell r="R2325" t="str">
            <v>-</v>
          </cell>
          <cell r="S2325" t="str">
            <v>-</v>
          </cell>
        </row>
        <row r="2326">
          <cell r="E2326" t="str">
            <v/>
          </cell>
          <cell r="N2326" t="str">
            <v>-</v>
          </cell>
          <cell r="R2326" t="str">
            <v>-</v>
          </cell>
          <cell r="S2326" t="str">
            <v>-</v>
          </cell>
        </row>
        <row r="2327">
          <cell r="E2327" t="str">
            <v/>
          </cell>
          <cell r="N2327" t="str">
            <v>-</v>
          </cell>
          <cell r="R2327" t="str">
            <v>-</v>
          </cell>
          <cell r="S2327" t="str">
            <v>-</v>
          </cell>
        </row>
        <row r="2328">
          <cell r="E2328" t="str">
            <v/>
          </cell>
          <cell r="N2328" t="str">
            <v>-</v>
          </cell>
          <cell r="R2328" t="str">
            <v>-</v>
          </cell>
          <cell r="S2328" t="str">
            <v>-</v>
          </cell>
        </row>
        <row r="2329">
          <cell r="E2329" t="str">
            <v/>
          </cell>
          <cell r="N2329" t="str">
            <v>-</v>
          </cell>
          <cell r="R2329" t="str">
            <v>-</v>
          </cell>
          <cell r="S2329" t="str">
            <v>-</v>
          </cell>
        </row>
        <row r="2330">
          <cell r="E2330" t="str">
            <v/>
          </cell>
          <cell r="N2330" t="str">
            <v>-</v>
          </cell>
          <cell r="R2330" t="str">
            <v>-</v>
          </cell>
          <cell r="S2330" t="str">
            <v>-</v>
          </cell>
        </row>
        <row r="2331">
          <cell r="E2331" t="str">
            <v/>
          </cell>
          <cell r="N2331" t="str">
            <v>-</v>
          </cell>
          <cell r="R2331" t="str">
            <v>-</v>
          </cell>
          <cell r="S2331" t="str">
            <v>-</v>
          </cell>
        </row>
        <row r="2332">
          <cell r="E2332" t="str">
            <v/>
          </cell>
          <cell r="N2332" t="str">
            <v>-</v>
          </cell>
          <cell r="R2332" t="str">
            <v>-</v>
          </cell>
          <cell r="S2332" t="str">
            <v>-</v>
          </cell>
        </row>
        <row r="2333">
          <cell r="E2333" t="str">
            <v/>
          </cell>
          <cell r="N2333" t="str">
            <v>-</v>
          </cell>
          <cell r="R2333" t="str">
            <v>-</v>
          </cell>
          <cell r="S2333" t="str">
            <v>-</v>
          </cell>
        </row>
        <row r="2334">
          <cell r="E2334" t="str">
            <v/>
          </cell>
          <cell r="N2334" t="str">
            <v>-</v>
          </cell>
          <cell r="R2334" t="str">
            <v>-</v>
          </cell>
          <cell r="S2334" t="str">
            <v>-</v>
          </cell>
        </row>
        <row r="2335">
          <cell r="E2335" t="str">
            <v/>
          </cell>
          <cell r="N2335" t="str">
            <v>-</v>
          </cell>
          <cell r="R2335" t="str">
            <v>-</v>
          </cell>
          <cell r="S2335" t="str">
            <v>-</v>
          </cell>
        </row>
        <row r="2336">
          <cell r="E2336" t="str">
            <v/>
          </cell>
          <cell r="N2336" t="str">
            <v>-</v>
          </cell>
          <cell r="R2336" t="str">
            <v>-</v>
          </cell>
          <cell r="S2336" t="str">
            <v>-</v>
          </cell>
        </row>
        <row r="2337">
          <cell r="E2337" t="str">
            <v/>
          </cell>
          <cell r="N2337" t="str">
            <v>-</v>
          </cell>
          <cell r="R2337" t="str">
            <v>-</v>
          </cell>
          <cell r="S2337" t="str">
            <v>-</v>
          </cell>
        </row>
        <row r="2338">
          <cell r="E2338" t="str">
            <v/>
          </cell>
          <cell r="N2338" t="str">
            <v>-</v>
          </cell>
          <cell r="R2338" t="str">
            <v>-</v>
          </cell>
          <cell r="S2338" t="str">
            <v>-</v>
          </cell>
        </row>
        <row r="2339">
          <cell r="E2339" t="str">
            <v/>
          </cell>
          <cell r="N2339" t="str">
            <v>-</v>
          </cell>
          <cell r="R2339" t="str">
            <v>-</v>
          </cell>
          <cell r="S2339" t="str">
            <v>-</v>
          </cell>
        </row>
        <row r="2340">
          <cell r="E2340" t="str">
            <v/>
          </cell>
          <cell r="N2340" t="str">
            <v>-</v>
          </cell>
          <cell r="R2340" t="str">
            <v>-</v>
          </cell>
          <cell r="S2340" t="str">
            <v>-</v>
          </cell>
        </row>
        <row r="2341">
          <cell r="E2341" t="str">
            <v/>
          </cell>
          <cell r="N2341" t="str">
            <v>-</v>
          </cell>
          <cell r="R2341" t="str">
            <v>-</v>
          </cell>
          <cell r="S2341" t="str">
            <v>-</v>
          </cell>
        </row>
        <row r="2342">
          <cell r="E2342" t="str">
            <v/>
          </cell>
          <cell r="N2342" t="str">
            <v>-</v>
          </cell>
          <cell r="R2342" t="str">
            <v>-</v>
          </cell>
          <cell r="S2342" t="str">
            <v>-</v>
          </cell>
        </row>
        <row r="2343">
          <cell r="E2343" t="str">
            <v/>
          </cell>
          <cell r="N2343" t="str">
            <v>-</v>
          </cell>
          <cell r="R2343" t="str">
            <v>-</v>
          </cell>
          <cell r="S2343" t="str">
            <v>-</v>
          </cell>
        </row>
        <row r="2344">
          <cell r="E2344" t="str">
            <v/>
          </cell>
          <cell r="N2344" t="str">
            <v>-</v>
          </cell>
          <cell r="R2344" t="str">
            <v>-</v>
          </cell>
          <cell r="S2344" t="str">
            <v>-</v>
          </cell>
        </row>
        <row r="2345">
          <cell r="E2345" t="str">
            <v/>
          </cell>
          <cell r="N2345" t="str">
            <v>-</v>
          </cell>
          <cell r="R2345" t="str">
            <v>-</v>
          </cell>
          <cell r="S2345" t="str">
            <v>-</v>
          </cell>
        </row>
        <row r="2346">
          <cell r="E2346" t="str">
            <v/>
          </cell>
          <cell r="N2346" t="str">
            <v>-</v>
          </cell>
          <cell r="R2346" t="str">
            <v>-</v>
          </cell>
          <cell r="S2346" t="str">
            <v>-</v>
          </cell>
        </row>
        <row r="2347">
          <cell r="E2347" t="str">
            <v/>
          </cell>
          <cell r="N2347" t="str">
            <v>-</v>
          </cell>
          <cell r="R2347" t="str">
            <v>-</v>
          </cell>
          <cell r="S2347" t="str">
            <v>-</v>
          </cell>
        </row>
        <row r="2348">
          <cell r="E2348" t="str">
            <v/>
          </cell>
          <cell r="N2348" t="str">
            <v>-</v>
          </cell>
          <cell r="R2348" t="str">
            <v>-</v>
          </cell>
          <cell r="S2348" t="str">
            <v>-</v>
          </cell>
        </row>
        <row r="2349">
          <cell r="E2349" t="str">
            <v/>
          </cell>
          <cell r="N2349" t="str">
            <v>-</v>
          </cell>
          <cell r="R2349" t="str">
            <v>-</v>
          </cell>
          <cell r="S2349" t="str">
            <v>-</v>
          </cell>
        </row>
        <row r="2350">
          <cell r="E2350" t="str">
            <v/>
          </cell>
          <cell r="N2350" t="str">
            <v>-</v>
          </cell>
          <cell r="R2350" t="str">
            <v>-</v>
          </cell>
          <cell r="S2350" t="str">
            <v>-</v>
          </cell>
        </row>
        <row r="2351">
          <cell r="E2351" t="str">
            <v/>
          </cell>
          <cell r="N2351" t="str">
            <v>-</v>
          </cell>
          <cell r="R2351" t="str">
            <v>-</v>
          </cell>
          <cell r="S2351" t="str">
            <v>-</v>
          </cell>
        </row>
        <row r="2352">
          <cell r="E2352" t="str">
            <v/>
          </cell>
          <cell r="N2352" t="str">
            <v>-</v>
          </cell>
          <cell r="R2352" t="str">
            <v>-</v>
          </cell>
          <cell r="S2352" t="str">
            <v>-</v>
          </cell>
        </row>
        <row r="2353">
          <cell r="E2353" t="str">
            <v/>
          </cell>
          <cell r="N2353" t="str">
            <v>-</v>
          </cell>
          <cell r="R2353" t="str">
            <v>-</v>
          </cell>
          <cell r="S2353" t="str">
            <v>-</v>
          </cell>
        </row>
        <row r="2354">
          <cell r="E2354" t="str">
            <v/>
          </cell>
          <cell r="N2354" t="str">
            <v>-</v>
          </cell>
          <cell r="R2354" t="str">
            <v>-</v>
          </cell>
          <cell r="S2354" t="str">
            <v>-</v>
          </cell>
        </row>
        <row r="2355">
          <cell r="E2355" t="str">
            <v/>
          </cell>
          <cell r="N2355" t="str">
            <v>-</v>
          </cell>
          <cell r="R2355" t="str">
            <v>-</v>
          </cell>
          <cell r="S2355" t="str">
            <v>-</v>
          </cell>
        </row>
        <row r="2356">
          <cell r="E2356" t="str">
            <v/>
          </cell>
          <cell r="N2356" t="str">
            <v>-</v>
          </cell>
          <cell r="R2356" t="str">
            <v>-</v>
          </cell>
          <cell r="S2356" t="str">
            <v>-</v>
          </cell>
        </row>
        <row r="2357">
          <cell r="E2357" t="str">
            <v/>
          </cell>
          <cell r="N2357" t="str">
            <v>-</v>
          </cell>
          <cell r="R2357" t="str">
            <v>-</v>
          </cell>
          <cell r="S2357" t="str">
            <v>-</v>
          </cell>
        </row>
        <row r="2358">
          <cell r="E2358" t="str">
            <v/>
          </cell>
          <cell r="N2358" t="str">
            <v>-</v>
          </cell>
          <cell r="R2358" t="str">
            <v>-</v>
          </cell>
          <cell r="S2358" t="str">
            <v>-</v>
          </cell>
        </row>
        <row r="2359">
          <cell r="E2359" t="str">
            <v/>
          </cell>
          <cell r="N2359" t="str">
            <v>-</v>
          </cell>
          <cell r="R2359" t="str">
            <v>-</v>
          </cell>
          <cell r="S2359" t="str">
            <v>-</v>
          </cell>
        </row>
        <row r="2360">
          <cell r="E2360" t="str">
            <v/>
          </cell>
          <cell r="N2360" t="str">
            <v>-</v>
          </cell>
          <cell r="R2360" t="str">
            <v>-</v>
          </cell>
          <cell r="S2360" t="str">
            <v>-</v>
          </cell>
        </row>
        <row r="2361">
          <cell r="E2361" t="str">
            <v/>
          </cell>
          <cell r="N2361" t="str">
            <v>-</v>
          </cell>
          <cell r="R2361" t="str">
            <v>-</v>
          </cell>
          <cell r="S2361" t="str">
            <v>-</v>
          </cell>
        </row>
        <row r="2362">
          <cell r="E2362" t="str">
            <v/>
          </cell>
          <cell r="N2362" t="str">
            <v>-</v>
          </cell>
          <cell r="R2362" t="str">
            <v>-</v>
          </cell>
          <cell r="S2362" t="str">
            <v>-</v>
          </cell>
        </row>
        <row r="2363">
          <cell r="E2363" t="str">
            <v/>
          </cell>
          <cell r="N2363" t="str">
            <v>-</v>
          </cell>
          <cell r="R2363" t="str">
            <v>-</v>
          </cell>
          <cell r="S2363" t="str">
            <v>-</v>
          </cell>
        </row>
        <row r="2364">
          <cell r="E2364" t="str">
            <v/>
          </cell>
          <cell r="N2364" t="str">
            <v>-</v>
          </cell>
          <cell r="R2364" t="str">
            <v>-</v>
          </cell>
          <cell r="S2364" t="str">
            <v>-</v>
          </cell>
        </row>
        <row r="2365">
          <cell r="E2365" t="str">
            <v/>
          </cell>
          <cell r="N2365" t="str">
            <v>-</v>
          </cell>
          <cell r="R2365" t="str">
            <v>-</v>
          </cell>
          <cell r="S2365" t="str">
            <v>-</v>
          </cell>
        </row>
        <row r="2366">
          <cell r="E2366" t="str">
            <v/>
          </cell>
          <cell r="N2366" t="str">
            <v>-</v>
          </cell>
          <cell r="R2366" t="str">
            <v>-</v>
          </cell>
          <cell r="S2366" t="str">
            <v>-</v>
          </cell>
        </row>
        <row r="2367">
          <cell r="E2367" t="str">
            <v/>
          </cell>
          <cell r="N2367" t="str">
            <v>-</v>
          </cell>
          <cell r="R2367" t="str">
            <v>-</v>
          </cell>
          <cell r="S2367" t="str">
            <v>-</v>
          </cell>
        </row>
        <row r="2368">
          <cell r="E2368" t="str">
            <v/>
          </cell>
          <cell r="N2368" t="str">
            <v>-</v>
          </cell>
          <cell r="R2368" t="str">
            <v>-</v>
          </cell>
          <cell r="S2368" t="str">
            <v>-</v>
          </cell>
        </row>
        <row r="2369">
          <cell r="E2369" t="str">
            <v/>
          </cell>
          <cell r="N2369" t="str">
            <v>-</v>
          </cell>
          <cell r="R2369" t="str">
            <v>-</v>
          </cell>
          <cell r="S2369" t="str">
            <v>-</v>
          </cell>
        </row>
        <row r="2370">
          <cell r="E2370" t="str">
            <v/>
          </cell>
          <cell r="N2370" t="str">
            <v>-</v>
          </cell>
          <cell r="R2370" t="str">
            <v>-</v>
          </cell>
          <cell r="S2370" t="str">
            <v>-</v>
          </cell>
        </row>
        <row r="2371">
          <cell r="E2371" t="str">
            <v/>
          </cell>
          <cell r="N2371" t="str">
            <v>-</v>
          </cell>
          <cell r="R2371" t="str">
            <v>-</v>
          </cell>
          <cell r="S2371" t="str">
            <v>-</v>
          </cell>
        </row>
        <row r="2372">
          <cell r="E2372" t="str">
            <v/>
          </cell>
          <cell r="N2372" t="str">
            <v>-</v>
          </cell>
          <cell r="R2372" t="str">
            <v>-</v>
          </cell>
          <cell r="S2372" t="str">
            <v>-</v>
          </cell>
        </row>
        <row r="2373">
          <cell r="E2373" t="str">
            <v/>
          </cell>
          <cell r="N2373" t="str">
            <v>-</v>
          </cell>
          <cell r="R2373" t="str">
            <v>-</v>
          </cell>
          <cell r="S2373" t="str">
            <v>-</v>
          </cell>
        </row>
        <row r="2374">
          <cell r="E2374" t="str">
            <v/>
          </cell>
          <cell r="N2374" t="str">
            <v>-</v>
          </cell>
          <cell r="R2374" t="str">
            <v>-</v>
          </cell>
          <cell r="S2374" t="str">
            <v>-</v>
          </cell>
        </row>
        <row r="2375">
          <cell r="E2375" t="str">
            <v/>
          </cell>
          <cell r="N2375" t="str">
            <v>-</v>
          </cell>
          <cell r="R2375" t="str">
            <v>-</v>
          </cell>
          <cell r="S2375" t="str">
            <v>-</v>
          </cell>
        </row>
        <row r="2376">
          <cell r="E2376" t="str">
            <v/>
          </cell>
          <cell r="N2376" t="str">
            <v>-</v>
          </cell>
          <cell r="R2376" t="str">
            <v>-</v>
          </cell>
          <cell r="S2376" t="str">
            <v>-</v>
          </cell>
        </row>
        <row r="2377">
          <cell r="E2377" t="str">
            <v/>
          </cell>
          <cell r="N2377" t="str">
            <v>-</v>
          </cell>
          <cell r="R2377" t="str">
            <v>-</v>
          </cell>
          <cell r="S2377" t="str">
            <v>-</v>
          </cell>
        </row>
        <row r="2378">
          <cell r="E2378" t="str">
            <v/>
          </cell>
          <cell r="N2378" t="str">
            <v>-</v>
          </cell>
          <cell r="R2378" t="str">
            <v>-</v>
          </cell>
          <cell r="S2378" t="str">
            <v>-</v>
          </cell>
        </row>
        <row r="2379">
          <cell r="E2379" t="str">
            <v/>
          </cell>
          <cell r="N2379" t="str">
            <v>-</v>
          </cell>
          <cell r="R2379" t="str">
            <v>-</v>
          </cell>
          <cell r="S2379" t="str">
            <v>-</v>
          </cell>
        </row>
        <row r="2380">
          <cell r="E2380" t="str">
            <v/>
          </cell>
          <cell r="N2380" t="str">
            <v>-</v>
          </cell>
          <cell r="R2380" t="str">
            <v>-</v>
          </cell>
          <cell r="S2380" t="str">
            <v>-</v>
          </cell>
        </row>
        <row r="2381">
          <cell r="E2381" t="str">
            <v/>
          </cell>
          <cell r="N2381" t="str">
            <v>-</v>
          </cell>
          <cell r="R2381" t="str">
            <v>-</v>
          </cell>
          <cell r="S2381" t="str">
            <v>-</v>
          </cell>
        </row>
        <row r="2382">
          <cell r="E2382" t="str">
            <v/>
          </cell>
          <cell r="N2382" t="str">
            <v>-</v>
          </cell>
          <cell r="R2382" t="str">
            <v>-</v>
          </cell>
          <cell r="S2382" t="str">
            <v>-</v>
          </cell>
        </row>
        <row r="2383">
          <cell r="E2383" t="str">
            <v/>
          </cell>
          <cell r="N2383" t="str">
            <v>-</v>
          </cell>
          <cell r="R2383" t="str">
            <v>-</v>
          </cell>
          <cell r="S2383" t="str">
            <v>-</v>
          </cell>
        </row>
        <row r="2384">
          <cell r="E2384" t="str">
            <v/>
          </cell>
          <cell r="N2384" t="str">
            <v>-</v>
          </cell>
          <cell r="R2384" t="str">
            <v>-</v>
          </cell>
          <cell r="S2384" t="str">
            <v>-</v>
          </cell>
        </row>
        <row r="2385">
          <cell r="E2385" t="str">
            <v/>
          </cell>
          <cell r="N2385" t="str">
            <v>-</v>
          </cell>
          <cell r="R2385" t="str">
            <v>-</v>
          </cell>
          <cell r="S2385" t="str">
            <v>-</v>
          </cell>
        </row>
        <row r="2386">
          <cell r="E2386" t="str">
            <v/>
          </cell>
          <cell r="N2386" t="str">
            <v>-</v>
          </cell>
          <cell r="R2386" t="str">
            <v>-</v>
          </cell>
          <cell r="S2386" t="str">
            <v>-</v>
          </cell>
        </row>
        <row r="2387">
          <cell r="E2387" t="str">
            <v/>
          </cell>
          <cell r="N2387" t="str">
            <v>-</v>
          </cell>
          <cell r="R2387" t="str">
            <v>-</v>
          </cell>
          <cell r="S2387" t="str">
            <v>-</v>
          </cell>
        </row>
        <row r="2388">
          <cell r="E2388" t="str">
            <v/>
          </cell>
          <cell r="N2388" t="str">
            <v>-</v>
          </cell>
          <cell r="R2388" t="str">
            <v>-</v>
          </cell>
          <cell r="S2388" t="str">
            <v>-</v>
          </cell>
        </row>
        <row r="2389">
          <cell r="E2389" t="str">
            <v/>
          </cell>
          <cell r="N2389" t="str">
            <v>-</v>
          </cell>
          <cell r="R2389" t="str">
            <v>-</v>
          </cell>
          <cell r="S2389" t="str">
            <v>-</v>
          </cell>
        </row>
        <row r="2390">
          <cell r="E2390" t="str">
            <v/>
          </cell>
          <cell r="N2390" t="str">
            <v>-</v>
          </cell>
          <cell r="R2390" t="str">
            <v>-</v>
          </cell>
          <cell r="S2390" t="str">
            <v>-</v>
          </cell>
        </row>
        <row r="2391">
          <cell r="E2391" t="str">
            <v/>
          </cell>
          <cell r="N2391" t="str">
            <v>-</v>
          </cell>
          <cell r="R2391" t="str">
            <v>-</v>
          </cell>
          <cell r="S2391" t="str">
            <v>-</v>
          </cell>
        </row>
        <row r="2392">
          <cell r="E2392" t="str">
            <v/>
          </cell>
          <cell r="N2392" t="str">
            <v>-</v>
          </cell>
          <cell r="R2392" t="str">
            <v>-</v>
          </cell>
          <cell r="S2392" t="str">
            <v>-</v>
          </cell>
        </row>
        <row r="2393">
          <cell r="E2393" t="str">
            <v/>
          </cell>
          <cell r="N2393" t="str">
            <v>-</v>
          </cell>
          <cell r="R2393" t="str">
            <v>-</v>
          </cell>
          <cell r="S2393" t="str">
            <v>-</v>
          </cell>
        </row>
        <row r="2394">
          <cell r="E2394" t="str">
            <v/>
          </cell>
          <cell r="N2394" t="str">
            <v>-</v>
          </cell>
          <cell r="R2394" t="str">
            <v>-</v>
          </cell>
          <cell r="S2394" t="str">
            <v>-</v>
          </cell>
        </row>
        <row r="2395">
          <cell r="E2395" t="str">
            <v/>
          </cell>
          <cell r="N2395" t="str">
            <v>-</v>
          </cell>
          <cell r="R2395" t="str">
            <v>-</v>
          </cell>
          <cell r="S2395" t="str">
            <v>-</v>
          </cell>
        </row>
        <row r="2396">
          <cell r="E2396" t="str">
            <v/>
          </cell>
          <cell r="N2396" t="str">
            <v>-</v>
          </cell>
          <cell r="R2396" t="str">
            <v>-</v>
          </cell>
          <cell r="S2396" t="str">
            <v>-</v>
          </cell>
        </row>
        <row r="2397">
          <cell r="E2397" t="str">
            <v/>
          </cell>
          <cell r="N2397" t="str">
            <v>-</v>
          </cell>
          <cell r="R2397" t="str">
            <v>-</v>
          </cell>
          <cell r="S2397" t="str">
            <v>-</v>
          </cell>
        </row>
        <row r="2398">
          <cell r="E2398" t="str">
            <v/>
          </cell>
          <cell r="N2398" t="str">
            <v>-</v>
          </cell>
          <cell r="R2398" t="str">
            <v>-</v>
          </cell>
          <cell r="S2398" t="str">
            <v>-</v>
          </cell>
        </row>
        <row r="2399">
          <cell r="E2399" t="str">
            <v/>
          </cell>
          <cell r="N2399" t="str">
            <v>-</v>
          </cell>
          <cell r="R2399" t="str">
            <v>-</v>
          </cell>
          <cell r="S2399" t="str">
            <v>-</v>
          </cell>
        </row>
        <row r="2400">
          <cell r="E2400" t="str">
            <v/>
          </cell>
          <cell r="N2400" t="str">
            <v>-</v>
          </cell>
          <cell r="R2400" t="str">
            <v>-</v>
          </cell>
          <cell r="S2400" t="str">
            <v>-</v>
          </cell>
        </row>
        <row r="2401">
          <cell r="E2401" t="str">
            <v/>
          </cell>
          <cell r="N2401" t="str">
            <v>-</v>
          </cell>
          <cell r="R2401" t="str">
            <v>-</v>
          </cell>
          <cell r="S2401" t="str">
            <v>-</v>
          </cell>
        </row>
        <row r="2402">
          <cell r="E2402" t="str">
            <v/>
          </cell>
          <cell r="N2402" t="str">
            <v>-</v>
          </cell>
          <cell r="R2402" t="str">
            <v>-</v>
          </cell>
          <cell r="S2402" t="str">
            <v>-</v>
          </cell>
        </row>
        <row r="2403">
          <cell r="E2403" t="str">
            <v/>
          </cell>
          <cell r="N2403" t="str">
            <v>-</v>
          </cell>
          <cell r="R2403" t="str">
            <v>-</v>
          </cell>
          <cell r="S2403" t="str">
            <v>-</v>
          </cell>
        </row>
        <row r="2404">
          <cell r="E2404" t="str">
            <v/>
          </cell>
          <cell r="N2404" t="str">
            <v>-</v>
          </cell>
          <cell r="R2404" t="str">
            <v>-</v>
          </cell>
          <cell r="S2404" t="str">
            <v>-</v>
          </cell>
        </row>
        <row r="2405">
          <cell r="E2405" t="str">
            <v/>
          </cell>
          <cell r="N2405" t="str">
            <v>-</v>
          </cell>
          <cell r="R2405" t="str">
            <v>-</v>
          </cell>
          <cell r="S2405" t="str">
            <v>-</v>
          </cell>
        </row>
        <row r="2406">
          <cell r="E2406" t="str">
            <v/>
          </cell>
          <cell r="N2406" t="str">
            <v>-</v>
          </cell>
          <cell r="R2406" t="str">
            <v>-</v>
          </cell>
          <cell r="S2406" t="str">
            <v>-</v>
          </cell>
        </row>
        <row r="2407">
          <cell r="E2407" t="str">
            <v/>
          </cell>
          <cell r="N2407" t="str">
            <v>-</v>
          </cell>
          <cell r="R2407" t="str">
            <v>-</v>
          </cell>
          <cell r="S2407" t="str">
            <v>-</v>
          </cell>
        </row>
        <row r="2408">
          <cell r="E2408" t="str">
            <v/>
          </cell>
          <cell r="N2408" t="str">
            <v>-</v>
          </cell>
          <cell r="R2408" t="str">
            <v>-</v>
          </cell>
          <cell r="S2408" t="str">
            <v>-</v>
          </cell>
        </row>
        <row r="2409">
          <cell r="E2409" t="str">
            <v/>
          </cell>
          <cell r="N2409" t="str">
            <v>-</v>
          </cell>
          <cell r="R2409" t="str">
            <v>-</v>
          </cell>
          <cell r="S2409" t="str">
            <v>-</v>
          </cell>
        </row>
        <row r="2410">
          <cell r="E2410" t="str">
            <v/>
          </cell>
          <cell r="N2410" t="str">
            <v>-</v>
          </cell>
          <cell r="R2410" t="str">
            <v>-</v>
          </cell>
          <cell r="S2410" t="str">
            <v>-</v>
          </cell>
        </row>
        <row r="2411">
          <cell r="E2411" t="str">
            <v/>
          </cell>
          <cell r="N2411" t="str">
            <v>-</v>
          </cell>
          <cell r="R2411" t="str">
            <v>-</v>
          </cell>
          <cell r="S2411" t="str">
            <v>-</v>
          </cell>
        </row>
        <row r="2412">
          <cell r="E2412" t="str">
            <v/>
          </cell>
          <cell r="N2412" t="str">
            <v>-</v>
          </cell>
          <cell r="R2412" t="str">
            <v>-</v>
          </cell>
          <cell r="S2412" t="str">
            <v>-</v>
          </cell>
        </row>
        <row r="2413">
          <cell r="E2413" t="str">
            <v/>
          </cell>
          <cell r="N2413" t="str">
            <v>-</v>
          </cell>
          <cell r="R2413" t="str">
            <v>-</v>
          </cell>
          <cell r="S2413" t="str">
            <v>-</v>
          </cell>
        </row>
        <row r="2414">
          <cell r="E2414" t="str">
            <v/>
          </cell>
          <cell r="N2414" t="str">
            <v>-</v>
          </cell>
          <cell r="R2414" t="str">
            <v>-</v>
          </cell>
          <cell r="S2414" t="str">
            <v>-</v>
          </cell>
        </row>
        <row r="2415">
          <cell r="E2415" t="str">
            <v/>
          </cell>
          <cell r="N2415" t="str">
            <v>-</v>
          </cell>
          <cell r="R2415" t="str">
            <v>-</v>
          </cell>
          <cell r="S2415" t="str">
            <v>-</v>
          </cell>
        </row>
        <row r="2416">
          <cell r="E2416" t="str">
            <v/>
          </cell>
          <cell r="N2416" t="str">
            <v>-</v>
          </cell>
          <cell r="R2416" t="str">
            <v>-</v>
          </cell>
          <cell r="S2416" t="str">
            <v>-</v>
          </cell>
        </row>
        <row r="2417">
          <cell r="E2417" t="str">
            <v/>
          </cell>
          <cell r="N2417" t="str">
            <v>-</v>
          </cell>
          <cell r="R2417" t="str">
            <v>-</v>
          </cell>
          <cell r="S2417" t="str">
            <v>-</v>
          </cell>
        </row>
        <row r="2418">
          <cell r="E2418" t="str">
            <v/>
          </cell>
          <cell r="N2418" t="str">
            <v>-</v>
          </cell>
          <cell r="R2418" t="str">
            <v>-</v>
          </cell>
          <cell r="S2418" t="str">
            <v>-</v>
          </cell>
        </row>
        <row r="2419">
          <cell r="E2419" t="str">
            <v/>
          </cell>
          <cell r="N2419" t="str">
            <v>-</v>
          </cell>
          <cell r="R2419" t="str">
            <v>-</v>
          </cell>
          <cell r="S2419" t="str">
            <v>-</v>
          </cell>
        </row>
        <row r="2420">
          <cell r="E2420" t="str">
            <v/>
          </cell>
          <cell r="N2420" t="str">
            <v>-</v>
          </cell>
          <cell r="R2420" t="str">
            <v>-</v>
          </cell>
          <cell r="S2420" t="str">
            <v>-</v>
          </cell>
        </row>
        <row r="2421">
          <cell r="E2421" t="str">
            <v/>
          </cell>
          <cell r="N2421" t="str">
            <v>-</v>
          </cell>
          <cell r="R2421" t="str">
            <v>-</v>
          </cell>
          <cell r="S2421" t="str">
            <v>-</v>
          </cell>
        </row>
        <row r="2422">
          <cell r="E2422" t="str">
            <v/>
          </cell>
          <cell r="N2422" t="str">
            <v>-</v>
          </cell>
          <cell r="R2422" t="str">
            <v>-</v>
          </cell>
          <cell r="S2422" t="str">
            <v>-</v>
          </cell>
        </row>
        <row r="2423">
          <cell r="E2423" t="str">
            <v/>
          </cell>
          <cell r="N2423" t="str">
            <v>-</v>
          </cell>
          <cell r="R2423" t="str">
            <v>-</v>
          </cell>
          <cell r="S2423" t="str">
            <v>-</v>
          </cell>
        </row>
        <row r="2424">
          <cell r="E2424" t="str">
            <v/>
          </cell>
          <cell r="N2424" t="str">
            <v>-</v>
          </cell>
          <cell r="R2424" t="str">
            <v>-</v>
          </cell>
          <cell r="S2424" t="str">
            <v>-</v>
          </cell>
        </row>
        <row r="2425">
          <cell r="E2425" t="str">
            <v/>
          </cell>
          <cell r="N2425" t="str">
            <v>-</v>
          </cell>
          <cell r="R2425" t="str">
            <v>-</v>
          </cell>
          <cell r="S2425" t="str">
            <v>-</v>
          </cell>
        </row>
        <row r="2426">
          <cell r="E2426" t="str">
            <v/>
          </cell>
          <cell r="N2426" t="str">
            <v>-</v>
          </cell>
          <cell r="R2426" t="str">
            <v>-</v>
          </cell>
          <cell r="S2426" t="str">
            <v>-</v>
          </cell>
        </row>
        <row r="2427">
          <cell r="E2427" t="str">
            <v/>
          </cell>
          <cell r="N2427" t="str">
            <v>-</v>
          </cell>
          <cell r="R2427" t="str">
            <v>-</v>
          </cell>
          <cell r="S2427" t="str">
            <v>-</v>
          </cell>
        </row>
        <row r="2428">
          <cell r="E2428" t="str">
            <v/>
          </cell>
          <cell r="N2428" t="str">
            <v>-</v>
          </cell>
          <cell r="R2428" t="str">
            <v>-</v>
          </cell>
          <cell r="S2428" t="str">
            <v>-</v>
          </cell>
        </row>
        <row r="2429">
          <cell r="E2429" t="str">
            <v/>
          </cell>
          <cell r="N2429" t="str">
            <v>-</v>
          </cell>
          <cell r="R2429" t="str">
            <v>-</v>
          </cell>
          <cell r="S2429" t="str">
            <v>-</v>
          </cell>
        </row>
        <row r="2430">
          <cell r="E2430" t="str">
            <v/>
          </cell>
          <cell r="N2430" t="str">
            <v>-</v>
          </cell>
          <cell r="R2430" t="str">
            <v>-</v>
          </cell>
          <cell r="S2430" t="str">
            <v>-</v>
          </cell>
        </row>
        <row r="2431">
          <cell r="E2431" t="str">
            <v/>
          </cell>
          <cell r="N2431" t="str">
            <v>-</v>
          </cell>
          <cell r="R2431" t="str">
            <v>-</v>
          </cell>
          <cell r="S2431" t="str">
            <v>-</v>
          </cell>
        </row>
        <row r="2432">
          <cell r="E2432" t="str">
            <v/>
          </cell>
          <cell r="N2432" t="str">
            <v>-</v>
          </cell>
          <cell r="R2432" t="str">
            <v>-</v>
          </cell>
          <cell r="S2432" t="str">
            <v>-</v>
          </cell>
        </row>
        <row r="2433">
          <cell r="E2433" t="str">
            <v/>
          </cell>
          <cell r="N2433" t="str">
            <v>-</v>
          </cell>
          <cell r="R2433" t="str">
            <v>-</v>
          </cell>
          <cell r="S2433" t="str">
            <v>-</v>
          </cell>
        </row>
        <row r="2434">
          <cell r="E2434" t="str">
            <v/>
          </cell>
          <cell r="N2434" t="str">
            <v>-</v>
          </cell>
          <cell r="R2434" t="str">
            <v>-</v>
          </cell>
          <cell r="S2434" t="str">
            <v>-</v>
          </cell>
        </row>
        <row r="2435">
          <cell r="E2435" t="str">
            <v/>
          </cell>
          <cell r="N2435" t="str">
            <v>-</v>
          </cell>
          <cell r="R2435" t="str">
            <v>-</v>
          </cell>
          <cell r="S2435" t="str">
            <v>-</v>
          </cell>
        </row>
        <row r="2436">
          <cell r="E2436" t="str">
            <v/>
          </cell>
          <cell r="N2436" t="str">
            <v>-</v>
          </cell>
          <cell r="R2436" t="str">
            <v>-</v>
          </cell>
          <cell r="S2436" t="str">
            <v>-</v>
          </cell>
        </row>
        <row r="2437">
          <cell r="E2437" t="str">
            <v/>
          </cell>
          <cell r="N2437" t="str">
            <v>-</v>
          </cell>
          <cell r="R2437" t="str">
            <v>-</v>
          </cell>
          <cell r="S2437" t="str">
            <v>-</v>
          </cell>
        </row>
        <row r="2438">
          <cell r="E2438" t="str">
            <v/>
          </cell>
          <cell r="N2438" t="str">
            <v>-</v>
          </cell>
          <cell r="R2438" t="str">
            <v>-</v>
          </cell>
          <cell r="S2438" t="str">
            <v>-</v>
          </cell>
        </row>
        <row r="2439">
          <cell r="E2439" t="str">
            <v/>
          </cell>
          <cell r="N2439" t="str">
            <v>-</v>
          </cell>
          <cell r="R2439" t="str">
            <v>-</v>
          </cell>
          <cell r="S2439" t="str">
            <v>-</v>
          </cell>
        </row>
        <row r="2440">
          <cell r="E2440" t="str">
            <v/>
          </cell>
          <cell r="N2440" t="str">
            <v>-</v>
          </cell>
          <cell r="R2440" t="str">
            <v>-</v>
          </cell>
          <cell r="S2440" t="str">
            <v>-</v>
          </cell>
        </row>
        <row r="2441">
          <cell r="E2441" t="str">
            <v/>
          </cell>
          <cell r="N2441" t="str">
            <v>-</v>
          </cell>
          <cell r="R2441" t="str">
            <v>-</v>
          </cell>
          <cell r="S2441" t="str">
            <v>-</v>
          </cell>
        </row>
        <row r="2442">
          <cell r="E2442" t="str">
            <v/>
          </cell>
          <cell r="N2442" t="str">
            <v>-</v>
          </cell>
          <cell r="R2442" t="str">
            <v>-</v>
          </cell>
          <cell r="S2442" t="str">
            <v>-</v>
          </cell>
        </row>
        <row r="2443">
          <cell r="E2443" t="str">
            <v/>
          </cell>
          <cell r="N2443" t="str">
            <v>-</v>
          </cell>
          <cell r="R2443" t="str">
            <v>-</v>
          </cell>
          <cell r="S2443" t="str">
            <v>-</v>
          </cell>
        </row>
        <row r="2444">
          <cell r="E2444" t="str">
            <v/>
          </cell>
          <cell r="N2444" t="str">
            <v>-</v>
          </cell>
          <cell r="R2444" t="str">
            <v>-</v>
          </cell>
          <cell r="S2444" t="str">
            <v>-</v>
          </cell>
        </row>
        <row r="2445">
          <cell r="E2445" t="str">
            <v/>
          </cell>
          <cell r="N2445" t="str">
            <v>-</v>
          </cell>
          <cell r="R2445" t="str">
            <v>-</v>
          </cell>
          <cell r="S2445" t="str">
            <v>-</v>
          </cell>
        </row>
        <row r="2446">
          <cell r="E2446" t="str">
            <v/>
          </cell>
          <cell r="N2446" t="str">
            <v>-</v>
          </cell>
          <cell r="R2446" t="str">
            <v>-</v>
          </cell>
          <cell r="S2446" t="str">
            <v>-</v>
          </cell>
        </row>
        <row r="2447">
          <cell r="E2447" t="str">
            <v/>
          </cell>
          <cell r="N2447" t="str">
            <v>-</v>
          </cell>
          <cell r="R2447" t="str">
            <v>-</v>
          </cell>
          <cell r="S2447" t="str">
            <v>-</v>
          </cell>
        </row>
        <row r="2448">
          <cell r="E2448" t="str">
            <v/>
          </cell>
          <cell r="N2448" t="str">
            <v>-</v>
          </cell>
          <cell r="R2448" t="str">
            <v>-</v>
          </cell>
          <cell r="S2448" t="str">
            <v>-</v>
          </cell>
        </row>
        <row r="2449">
          <cell r="E2449" t="str">
            <v/>
          </cell>
          <cell r="N2449" t="str">
            <v>-</v>
          </cell>
          <cell r="R2449" t="str">
            <v>-</v>
          </cell>
          <cell r="S2449" t="str">
            <v>-</v>
          </cell>
        </row>
        <row r="2450">
          <cell r="E2450" t="str">
            <v/>
          </cell>
          <cell r="N2450" t="str">
            <v>-</v>
          </cell>
          <cell r="R2450" t="str">
            <v>-</v>
          </cell>
          <cell r="S2450" t="str">
            <v>-</v>
          </cell>
        </row>
        <row r="2451">
          <cell r="E2451" t="str">
            <v/>
          </cell>
          <cell r="N2451" t="str">
            <v>-</v>
          </cell>
          <cell r="R2451" t="str">
            <v>-</v>
          </cell>
          <cell r="S2451" t="str">
            <v>-</v>
          </cell>
        </row>
        <row r="2452">
          <cell r="E2452" t="str">
            <v/>
          </cell>
          <cell r="N2452" t="str">
            <v>-</v>
          </cell>
          <cell r="R2452" t="str">
            <v>-</v>
          </cell>
          <cell r="S2452" t="str">
            <v>-</v>
          </cell>
        </row>
        <row r="2453">
          <cell r="E2453" t="str">
            <v/>
          </cell>
          <cell r="N2453" t="str">
            <v>-</v>
          </cell>
          <cell r="R2453" t="str">
            <v>-</v>
          </cell>
          <cell r="S2453" t="str">
            <v>-</v>
          </cell>
        </row>
        <row r="2454">
          <cell r="E2454" t="str">
            <v/>
          </cell>
          <cell r="N2454" t="str">
            <v>-</v>
          </cell>
          <cell r="R2454" t="str">
            <v>-</v>
          </cell>
          <cell r="S2454" t="str">
            <v>-</v>
          </cell>
        </row>
        <row r="2455">
          <cell r="E2455" t="str">
            <v/>
          </cell>
          <cell r="N2455" t="str">
            <v>-</v>
          </cell>
          <cell r="R2455" t="str">
            <v>-</v>
          </cell>
          <cell r="S2455" t="str">
            <v>-</v>
          </cell>
        </row>
        <row r="2456">
          <cell r="E2456" t="str">
            <v/>
          </cell>
          <cell r="N2456" t="str">
            <v>-</v>
          </cell>
          <cell r="R2456" t="str">
            <v>-</v>
          </cell>
          <cell r="S2456" t="str">
            <v>-</v>
          </cell>
        </row>
        <row r="2457">
          <cell r="E2457" t="str">
            <v/>
          </cell>
          <cell r="N2457" t="str">
            <v>-</v>
          </cell>
          <cell r="R2457" t="str">
            <v>-</v>
          </cell>
          <cell r="S2457" t="str">
            <v>-</v>
          </cell>
        </row>
        <row r="2458">
          <cell r="E2458" t="str">
            <v/>
          </cell>
          <cell r="N2458" t="str">
            <v>-</v>
          </cell>
          <cell r="R2458" t="str">
            <v>-</v>
          </cell>
          <cell r="S2458" t="str">
            <v>-</v>
          </cell>
        </row>
        <row r="2459">
          <cell r="E2459" t="str">
            <v/>
          </cell>
          <cell r="N2459" t="str">
            <v>-</v>
          </cell>
          <cell r="R2459" t="str">
            <v>-</v>
          </cell>
          <cell r="S2459" t="str">
            <v>-</v>
          </cell>
        </row>
        <row r="2460">
          <cell r="E2460" t="str">
            <v/>
          </cell>
          <cell r="N2460" t="str">
            <v>-</v>
          </cell>
          <cell r="R2460" t="str">
            <v>-</v>
          </cell>
          <cell r="S2460" t="str">
            <v>-</v>
          </cell>
        </row>
        <row r="2461">
          <cell r="E2461" t="str">
            <v/>
          </cell>
          <cell r="N2461" t="str">
            <v>-</v>
          </cell>
          <cell r="R2461" t="str">
            <v>-</v>
          </cell>
          <cell r="S2461" t="str">
            <v>-</v>
          </cell>
        </row>
        <row r="2462">
          <cell r="E2462" t="str">
            <v/>
          </cell>
          <cell r="N2462" t="str">
            <v>-</v>
          </cell>
          <cell r="R2462" t="str">
            <v>-</v>
          </cell>
          <cell r="S2462" t="str">
            <v>-</v>
          </cell>
        </row>
        <row r="2463">
          <cell r="E2463" t="str">
            <v/>
          </cell>
          <cell r="N2463" t="str">
            <v>-</v>
          </cell>
          <cell r="R2463" t="str">
            <v>-</v>
          </cell>
          <cell r="S2463" t="str">
            <v>-</v>
          </cell>
        </row>
        <row r="2464">
          <cell r="E2464" t="str">
            <v/>
          </cell>
          <cell r="N2464" t="str">
            <v>-</v>
          </cell>
          <cell r="R2464" t="str">
            <v>-</v>
          </cell>
          <cell r="S2464" t="str">
            <v>-</v>
          </cell>
        </row>
        <row r="2465">
          <cell r="E2465" t="str">
            <v/>
          </cell>
          <cell r="N2465" t="str">
            <v>-</v>
          </cell>
          <cell r="R2465" t="str">
            <v>-</v>
          </cell>
          <cell r="S2465" t="str">
            <v>-</v>
          </cell>
        </row>
        <row r="2466">
          <cell r="E2466" t="str">
            <v/>
          </cell>
          <cell r="N2466" t="str">
            <v>-</v>
          </cell>
          <cell r="R2466" t="str">
            <v>-</v>
          </cell>
          <cell r="S2466" t="str">
            <v>-</v>
          </cell>
        </row>
        <row r="2467">
          <cell r="E2467" t="str">
            <v/>
          </cell>
          <cell r="N2467" t="str">
            <v>-</v>
          </cell>
          <cell r="R2467" t="str">
            <v>-</v>
          </cell>
          <cell r="S2467" t="str">
            <v>-</v>
          </cell>
        </row>
        <row r="2468">
          <cell r="E2468" t="str">
            <v/>
          </cell>
          <cell r="N2468" t="str">
            <v>-</v>
          </cell>
          <cell r="R2468" t="str">
            <v>-</v>
          </cell>
          <cell r="S2468" t="str">
            <v>-</v>
          </cell>
        </row>
        <row r="2469">
          <cell r="E2469" t="str">
            <v/>
          </cell>
          <cell r="N2469" t="str">
            <v>-</v>
          </cell>
          <cell r="R2469" t="str">
            <v>-</v>
          </cell>
          <cell r="S2469" t="str">
            <v>-</v>
          </cell>
        </row>
        <row r="2470">
          <cell r="E2470" t="str">
            <v/>
          </cell>
          <cell r="N2470" t="str">
            <v>-</v>
          </cell>
          <cell r="R2470" t="str">
            <v>-</v>
          </cell>
          <cell r="S2470" t="str">
            <v>-</v>
          </cell>
        </row>
        <row r="2471">
          <cell r="E2471" t="str">
            <v/>
          </cell>
          <cell r="N2471" t="str">
            <v>-</v>
          </cell>
          <cell r="R2471" t="str">
            <v>-</v>
          </cell>
          <cell r="S2471" t="str">
            <v>-</v>
          </cell>
        </row>
        <row r="2472">
          <cell r="E2472" t="str">
            <v/>
          </cell>
          <cell r="N2472" t="str">
            <v>-</v>
          </cell>
          <cell r="R2472" t="str">
            <v>-</v>
          </cell>
          <cell r="S2472" t="str">
            <v>-</v>
          </cell>
        </row>
        <row r="2473">
          <cell r="E2473" t="str">
            <v/>
          </cell>
          <cell r="N2473" t="str">
            <v>-</v>
          </cell>
          <cell r="R2473" t="str">
            <v>-</v>
          </cell>
          <cell r="S2473" t="str">
            <v>-</v>
          </cell>
        </row>
        <row r="2474">
          <cell r="E2474" t="str">
            <v/>
          </cell>
          <cell r="N2474" t="str">
            <v>-</v>
          </cell>
          <cell r="R2474" t="str">
            <v>-</v>
          </cell>
          <cell r="S2474" t="str">
            <v>-</v>
          </cell>
        </row>
        <row r="2475">
          <cell r="E2475" t="str">
            <v/>
          </cell>
          <cell r="N2475" t="str">
            <v>-</v>
          </cell>
          <cell r="R2475" t="str">
            <v>-</v>
          </cell>
          <cell r="S2475" t="str">
            <v>-</v>
          </cell>
        </row>
        <row r="2476">
          <cell r="E2476" t="str">
            <v/>
          </cell>
          <cell r="N2476" t="str">
            <v>-</v>
          </cell>
          <cell r="R2476" t="str">
            <v>-</v>
          </cell>
          <cell r="S2476" t="str">
            <v>-</v>
          </cell>
        </row>
        <row r="2477">
          <cell r="E2477" t="str">
            <v/>
          </cell>
          <cell r="N2477" t="str">
            <v>-</v>
          </cell>
          <cell r="R2477" t="str">
            <v>-</v>
          </cell>
          <cell r="S2477" t="str">
            <v>-</v>
          </cell>
        </row>
        <row r="2478">
          <cell r="E2478" t="str">
            <v/>
          </cell>
          <cell r="N2478" t="str">
            <v>-</v>
          </cell>
          <cell r="R2478" t="str">
            <v>-</v>
          </cell>
          <cell r="S2478" t="str">
            <v>-</v>
          </cell>
        </row>
        <row r="2479">
          <cell r="E2479" t="str">
            <v/>
          </cell>
          <cell r="N2479" t="str">
            <v>-</v>
          </cell>
          <cell r="R2479" t="str">
            <v>-</v>
          </cell>
          <cell r="S2479" t="str">
            <v>-</v>
          </cell>
        </row>
        <row r="2480">
          <cell r="E2480" t="str">
            <v/>
          </cell>
          <cell r="N2480" t="str">
            <v>-</v>
          </cell>
          <cell r="R2480" t="str">
            <v>-</v>
          </cell>
          <cell r="S2480" t="str">
            <v>-</v>
          </cell>
        </row>
        <row r="2481">
          <cell r="E2481" t="str">
            <v/>
          </cell>
          <cell r="N2481" t="str">
            <v>-</v>
          </cell>
          <cell r="R2481" t="str">
            <v>-</v>
          </cell>
          <cell r="S2481" t="str">
            <v>-</v>
          </cell>
        </row>
        <row r="2482">
          <cell r="E2482" t="str">
            <v/>
          </cell>
          <cell r="N2482" t="str">
            <v>-</v>
          </cell>
          <cell r="R2482" t="str">
            <v>-</v>
          </cell>
          <cell r="S2482" t="str">
            <v>-</v>
          </cell>
        </row>
        <row r="2483">
          <cell r="E2483" t="str">
            <v/>
          </cell>
          <cell r="N2483" t="str">
            <v>-</v>
          </cell>
          <cell r="R2483" t="str">
            <v>-</v>
          </cell>
          <cell r="S2483" t="str">
            <v>-</v>
          </cell>
        </row>
        <row r="2484">
          <cell r="E2484" t="str">
            <v/>
          </cell>
          <cell r="N2484" t="str">
            <v>-</v>
          </cell>
          <cell r="R2484" t="str">
            <v>-</v>
          </cell>
          <cell r="S2484" t="str">
            <v>-</v>
          </cell>
        </row>
        <row r="2485">
          <cell r="E2485" t="str">
            <v/>
          </cell>
          <cell r="N2485" t="str">
            <v>-</v>
          </cell>
          <cell r="R2485" t="str">
            <v>-</v>
          </cell>
          <cell r="S2485" t="str">
            <v>-</v>
          </cell>
        </row>
        <row r="2486">
          <cell r="E2486" t="str">
            <v/>
          </cell>
          <cell r="N2486" t="str">
            <v>-</v>
          </cell>
          <cell r="R2486" t="str">
            <v>-</v>
          </cell>
          <cell r="S2486" t="str">
            <v>-</v>
          </cell>
        </row>
        <row r="2487">
          <cell r="E2487" t="str">
            <v/>
          </cell>
          <cell r="N2487" t="str">
            <v>-</v>
          </cell>
          <cell r="R2487" t="str">
            <v>-</v>
          </cell>
          <cell r="S2487" t="str">
            <v>-</v>
          </cell>
        </row>
        <row r="2488">
          <cell r="E2488" t="str">
            <v/>
          </cell>
          <cell r="N2488" t="str">
            <v>-</v>
          </cell>
          <cell r="R2488" t="str">
            <v>-</v>
          </cell>
          <cell r="S2488" t="str">
            <v>-</v>
          </cell>
        </row>
        <row r="2489">
          <cell r="E2489" t="str">
            <v/>
          </cell>
          <cell r="N2489" t="str">
            <v>-</v>
          </cell>
          <cell r="R2489" t="str">
            <v>-</v>
          </cell>
          <cell r="S2489" t="str">
            <v>-</v>
          </cell>
        </row>
        <row r="2490">
          <cell r="E2490" t="str">
            <v/>
          </cell>
          <cell r="N2490" t="str">
            <v>-</v>
          </cell>
          <cell r="R2490" t="str">
            <v>-</v>
          </cell>
          <cell r="S2490" t="str">
            <v>-</v>
          </cell>
        </row>
        <row r="2491">
          <cell r="E2491" t="str">
            <v/>
          </cell>
          <cell r="N2491" t="str">
            <v>-</v>
          </cell>
          <cell r="R2491" t="str">
            <v>-</v>
          </cell>
          <cell r="S2491" t="str">
            <v>-</v>
          </cell>
        </row>
        <row r="2492">
          <cell r="E2492" t="str">
            <v/>
          </cell>
          <cell r="N2492" t="str">
            <v>-</v>
          </cell>
          <cell r="R2492" t="str">
            <v>-</v>
          </cell>
          <cell r="S2492" t="str">
            <v>-</v>
          </cell>
        </row>
        <row r="2493">
          <cell r="E2493" t="str">
            <v/>
          </cell>
          <cell r="N2493" t="str">
            <v>-</v>
          </cell>
          <cell r="R2493" t="str">
            <v>-</v>
          </cell>
          <cell r="S2493" t="str">
            <v>-</v>
          </cell>
        </row>
        <row r="2494">
          <cell r="E2494" t="str">
            <v/>
          </cell>
          <cell r="N2494" t="str">
            <v>-</v>
          </cell>
          <cell r="R2494" t="str">
            <v>-</v>
          </cell>
          <cell r="S2494" t="str">
            <v>-</v>
          </cell>
        </row>
        <row r="2495">
          <cell r="E2495" t="str">
            <v/>
          </cell>
          <cell r="N2495" t="str">
            <v>-</v>
          </cell>
          <cell r="R2495" t="str">
            <v>-</v>
          </cell>
          <cell r="S2495" t="str">
            <v>-</v>
          </cell>
        </row>
        <row r="2496">
          <cell r="E2496" t="str">
            <v/>
          </cell>
          <cell r="N2496" t="str">
            <v>-</v>
          </cell>
          <cell r="R2496" t="str">
            <v>-</v>
          </cell>
          <cell r="S2496" t="str">
            <v>-</v>
          </cell>
        </row>
        <row r="2497">
          <cell r="E2497" t="str">
            <v/>
          </cell>
          <cell r="N2497" t="str">
            <v>-</v>
          </cell>
          <cell r="R2497" t="str">
            <v>-</v>
          </cell>
          <cell r="S2497" t="str">
            <v>-</v>
          </cell>
        </row>
        <row r="2498">
          <cell r="E2498" t="str">
            <v/>
          </cell>
          <cell r="N2498" t="str">
            <v>-</v>
          </cell>
          <cell r="R2498" t="str">
            <v>-</v>
          </cell>
          <cell r="S2498" t="str">
            <v>-</v>
          </cell>
        </row>
        <row r="2499">
          <cell r="E2499" t="str">
            <v/>
          </cell>
          <cell r="N2499" t="str">
            <v>-</v>
          </cell>
          <cell r="R2499" t="str">
            <v>-</v>
          </cell>
          <cell r="S2499" t="str">
            <v>-</v>
          </cell>
        </row>
        <row r="2500">
          <cell r="E2500" t="str">
            <v/>
          </cell>
          <cell r="N2500" t="str">
            <v>-</v>
          </cell>
          <cell r="R2500" t="str">
            <v>-</v>
          </cell>
          <cell r="S2500" t="str">
            <v>-</v>
          </cell>
        </row>
        <row r="2501">
          <cell r="E2501" t="str">
            <v/>
          </cell>
          <cell r="N2501" t="str">
            <v>-</v>
          </cell>
          <cell r="R2501" t="str">
            <v>-</v>
          </cell>
          <cell r="S2501" t="str">
            <v>-</v>
          </cell>
        </row>
        <row r="2502">
          <cell r="E2502" t="str">
            <v/>
          </cell>
          <cell r="N2502" t="str">
            <v>-</v>
          </cell>
          <cell r="R2502" t="str">
            <v>-</v>
          </cell>
          <cell r="S2502" t="str">
            <v>-</v>
          </cell>
        </row>
        <row r="2503">
          <cell r="E2503" t="str">
            <v/>
          </cell>
          <cell r="N2503" t="str">
            <v>-</v>
          </cell>
          <cell r="R2503" t="str">
            <v>-</v>
          </cell>
          <cell r="S2503" t="str">
            <v>-</v>
          </cell>
        </row>
        <row r="2504">
          <cell r="E2504" t="str">
            <v/>
          </cell>
          <cell r="N2504" t="str">
            <v>-</v>
          </cell>
          <cell r="R2504" t="str">
            <v>-</v>
          </cell>
          <cell r="S2504" t="str">
            <v>-</v>
          </cell>
        </row>
        <row r="2505">
          <cell r="E2505" t="str">
            <v/>
          </cell>
          <cell r="N2505" t="str">
            <v>-</v>
          </cell>
          <cell r="R2505" t="str">
            <v>-</v>
          </cell>
          <cell r="S2505" t="str">
            <v>-</v>
          </cell>
        </row>
        <row r="2506">
          <cell r="E2506" t="str">
            <v/>
          </cell>
          <cell r="N2506" t="str">
            <v>-</v>
          </cell>
          <cell r="R2506" t="str">
            <v>-</v>
          </cell>
          <cell r="S2506" t="str">
            <v>-</v>
          </cell>
        </row>
        <row r="2507">
          <cell r="E2507" t="str">
            <v/>
          </cell>
          <cell r="N2507" t="str">
            <v>-</v>
          </cell>
          <cell r="R2507" t="str">
            <v>-</v>
          </cell>
          <cell r="S2507" t="str">
            <v>-</v>
          </cell>
        </row>
        <row r="2508">
          <cell r="E2508" t="str">
            <v/>
          </cell>
          <cell r="N2508" t="str">
            <v>-</v>
          </cell>
          <cell r="R2508" t="str">
            <v>-</v>
          </cell>
          <cell r="S2508" t="str">
            <v>-</v>
          </cell>
        </row>
        <row r="2509">
          <cell r="E2509" t="str">
            <v/>
          </cell>
          <cell r="N2509" t="str">
            <v>-</v>
          </cell>
          <cell r="R2509" t="str">
            <v>-</v>
          </cell>
          <cell r="S2509" t="str">
            <v>-</v>
          </cell>
        </row>
        <row r="2510">
          <cell r="E2510" t="str">
            <v/>
          </cell>
          <cell r="N2510" t="str">
            <v>-</v>
          </cell>
          <cell r="R2510" t="str">
            <v>-</v>
          </cell>
          <cell r="S2510" t="str">
            <v>-</v>
          </cell>
        </row>
        <row r="2511">
          <cell r="E2511" t="str">
            <v/>
          </cell>
          <cell r="N2511" t="str">
            <v>-</v>
          </cell>
          <cell r="R2511" t="str">
            <v>-</v>
          </cell>
          <cell r="S2511" t="str">
            <v>-</v>
          </cell>
        </row>
        <row r="2512">
          <cell r="E2512" t="str">
            <v/>
          </cell>
          <cell r="N2512" t="str">
            <v>-</v>
          </cell>
          <cell r="R2512" t="str">
            <v>-</v>
          </cell>
          <cell r="S2512" t="str">
            <v>-</v>
          </cell>
        </row>
        <row r="2513">
          <cell r="E2513" t="str">
            <v/>
          </cell>
          <cell r="N2513" t="str">
            <v>-</v>
          </cell>
          <cell r="R2513" t="str">
            <v>-</v>
          </cell>
          <cell r="S2513" t="str">
            <v>-</v>
          </cell>
        </row>
        <row r="2514">
          <cell r="E2514" t="str">
            <v/>
          </cell>
          <cell r="N2514" t="str">
            <v>-</v>
          </cell>
          <cell r="R2514" t="str">
            <v>-</v>
          </cell>
          <cell r="S2514" t="str">
            <v>-</v>
          </cell>
        </row>
        <row r="2515">
          <cell r="E2515" t="str">
            <v/>
          </cell>
          <cell r="N2515" t="str">
            <v>-</v>
          </cell>
          <cell r="R2515" t="str">
            <v>-</v>
          </cell>
          <cell r="S2515" t="str">
            <v>-</v>
          </cell>
        </row>
        <row r="2516">
          <cell r="E2516" t="str">
            <v/>
          </cell>
          <cell r="N2516" t="str">
            <v>-</v>
          </cell>
          <cell r="R2516" t="str">
            <v>-</v>
          </cell>
          <cell r="S2516" t="str">
            <v>-</v>
          </cell>
        </row>
        <row r="2517">
          <cell r="E2517" t="str">
            <v/>
          </cell>
          <cell r="N2517" t="str">
            <v>-</v>
          </cell>
          <cell r="R2517" t="str">
            <v>-</v>
          </cell>
          <cell r="S2517" t="str">
            <v>-</v>
          </cell>
        </row>
        <row r="2518">
          <cell r="E2518" t="str">
            <v/>
          </cell>
          <cell r="N2518" t="str">
            <v>-</v>
          </cell>
          <cell r="R2518" t="str">
            <v>-</v>
          </cell>
          <cell r="S2518" t="str">
            <v>-</v>
          </cell>
        </row>
        <row r="2519">
          <cell r="E2519" t="str">
            <v/>
          </cell>
          <cell r="N2519" t="str">
            <v>-</v>
          </cell>
          <cell r="R2519" t="str">
            <v>-</v>
          </cell>
          <cell r="S2519" t="str">
            <v>-</v>
          </cell>
        </row>
        <row r="2520">
          <cell r="E2520" t="str">
            <v/>
          </cell>
          <cell r="N2520" t="str">
            <v>-</v>
          </cell>
          <cell r="R2520" t="str">
            <v>-</v>
          </cell>
          <cell r="S2520" t="str">
            <v>-</v>
          </cell>
        </row>
        <row r="2521">
          <cell r="E2521" t="str">
            <v/>
          </cell>
          <cell r="N2521" t="str">
            <v>-</v>
          </cell>
          <cell r="R2521" t="str">
            <v>-</v>
          </cell>
          <cell r="S2521" t="str">
            <v>-</v>
          </cell>
        </row>
        <row r="2522">
          <cell r="E2522" t="str">
            <v/>
          </cell>
          <cell r="N2522" t="str">
            <v>-</v>
          </cell>
          <cell r="R2522" t="str">
            <v>-</v>
          </cell>
          <cell r="S2522" t="str">
            <v>-</v>
          </cell>
        </row>
        <row r="2523">
          <cell r="E2523" t="str">
            <v/>
          </cell>
          <cell r="N2523" t="str">
            <v>-</v>
          </cell>
          <cell r="R2523" t="str">
            <v>-</v>
          </cell>
          <cell r="S2523" t="str">
            <v>-</v>
          </cell>
        </row>
        <row r="2524">
          <cell r="E2524" t="str">
            <v/>
          </cell>
          <cell r="N2524" t="str">
            <v>-</v>
          </cell>
          <cell r="R2524" t="str">
            <v>-</v>
          </cell>
          <cell r="S2524" t="str">
            <v>-</v>
          </cell>
        </row>
        <row r="2525">
          <cell r="E2525" t="str">
            <v/>
          </cell>
          <cell r="N2525" t="str">
            <v>-</v>
          </cell>
          <cell r="R2525" t="str">
            <v>-</v>
          </cell>
          <cell r="S2525" t="str">
            <v>-</v>
          </cell>
        </row>
        <row r="2526">
          <cell r="E2526" t="str">
            <v/>
          </cell>
          <cell r="N2526" t="str">
            <v>-</v>
          </cell>
          <cell r="R2526" t="str">
            <v>-</v>
          </cell>
          <cell r="S2526" t="str">
            <v>-</v>
          </cell>
        </row>
        <row r="2527">
          <cell r="E2527" t="str">
            <v/>
          </cell>
          <cell r="N2527" t="str">
            <v>-</v>
          </cell>
          <cell r="R2527" t="str">
            <v>-</v>
          </cell>
          <cell r="S2527" t="str">
            <v>-</v>
          </cell>
        </row>
        <row r="2528">
          <cell r="E2528" t="str">
            <v/>
          </cell>
          <cell r="N2528" t="str">
            <v>-</v>
          </cell>
          <cell r="R2528" t="str">
            <v>-</v>
          </cell>
          <cell r="S2528" t="str">
            <v>-</v>
          </cell>
        </row>
        <row r="2529">
          <cell r="E2529" t="str">
            <v/>
          </cell>
          <cell r="N2529" t="str">
            <v>-</v>
          </cell>
          <cell r="R2529" t="str">
            <v>-</v>
          </cell>
          <cell r="S2529" t="str">
            <v>-</v>
          </cell>
        </row>
        <row r="2530">
          <cell r="E2530" t="str">
            <v/>
          </cell>
          <cell r="N2530" t="str">
            <v>-</v>
          </cell>
          <cell r="R2530" t="str">
            <v>-</v>
          </cell>
          <cell r="S2530" t="str">
            <v>-</v>
          </cell>
        </row>
        <row r="2531">
          <cell r="E2531" t="str">
            <v/>
          </cell>
          <cell r="N2531" t="str">
            <v>-</v>
          </cell>
          <cell r="R2531" t="str">
            <v>-</v>
          </cell>
          <cell r="S2531" t="str">
            <v>-</v>
          </cell>
        </row>
        <row r="2532">
          <cell r="E2532" t="str">
            <v/>
          </cell>
          <cell r="N2532" t="str">
            <v>-</v>
          </cell>
          <cell r="R2532" t="str">
            <v>-</v>
          </cell>
          <cell r="S2532" t="str">
            <v>-</v>
          </cell>
        </row>
        <row r="2533">
          <cell r="E2533" t="str">
            <v/>
          </cell>
          <cell r="N2533" t="str">
            <v>-</v>
          </cell>
          <cell r="R2533" t="str">
            <v>-</v>
          </cell>
          <cell r="S2533" t="str">
            <v>-</v>
          </cell>
        </row>
        <row r="2534">
          <cell r="E2534" t="str">
            <v/>
          </cell>
          <cell r="N2534" t="str">
            <v>-</v>
          </cell>
          <cell r="R2534" t="str">
            <v>-</v>
          </cell>
          <cell r="S2534" t="str">
            <v>-</v>
          </cell>
        </row>
        <row r="2535">
          <cell r="E2535" t="str">
            <v/>
          </cell>
          <cell r="N2535" t="str">
            <v>-</v>
          </cell>
          <cell r="R2535" t="str">
            <v>-</v>
          </cell>
          <cell r="S2535" t="str">
            <v>-</v>
          </cell>
        </row>
        <row r="2536">
          <cell r="E2536" t="str">
            <v/>
          </cell>
          <cell r="N2536" t="str">
            <v>-</v>
          </cell>
          <cell r="R2536" t="str">
            <v>-</v>
          </cell>
          <cell r="S2536" t="str">
            <v>-</v>
          </cell>
        </row>
        <row r="2537">
          <cell r="E2537" t="str">
            <v/>
          </cell>
          <cell r="N2537" t="str">
            <v>-</v>
          </cell>
          <cell r="R2537" t="str">
            <v>-</v>
          </cell>
          <cell r="S2537" t="str">
            <v>-</v>
          </cell>
        </row>
        <row r="2538">
          <cell r="E2538" t="str">
            <v/>
          </cell>
          <cell r="N2538" t="str">
            <v>-</v>
          </cell>
          <cell r="R2538" t="str">
            <v>-</v>
          </cell>
          <cell r="S2538" t="str">
            <v>-</v>
          </cell>
        </row>
        <row r="2539">
          <cell r="E2539" t="str">
            <v/>
          </cell>
          <cell r="N2539" t="str">
            <v>-</v>
          </cell>
          <cell r="R2539" t="str">
            <v>-</v>
          </cell>
          <cell r="S2539" t="str">
            <v>-</v>
          </cell>
        </row>
        <row r="2540">
          <cell r="E2540" t="str">
            <v/>
          </cell>
          <cell r="N2540" t="str">
            <v>-</v>
          </cell>
          <cell r="R2540" t="str">
            <v>-</v>
          </cell>
          <cell r="S2540" t="str">
            <v>-</v>
          </cell>
        </row>
        <row r="2541">
          <cell r="E2541" t="str">
            <v/>
          </cell>
          <cell r="N2541" t="str">
            <v>-</v>
          </cell>
          <cell r="R2541" t="str">
            <v>-</v>
          </cell>
          <cell r="S2541" t="str">
            <v>-</v>
          </cell>
        </row>
        <row r="2542">
          <cell r="E2542" t="str">
            <v/>
          </cell>
          <cell r="N2542" t="str">
            <v>-</v>
          </cell>
          <cell r="R2542" t="str">
            <v>-</v>
          </cell>
          <cell r="S2542" t="str">
            <v>-</v>
          </cell>
        </row>
        <row r="2543">
          <cell r="E2543" t="str">
            <v/>
          </cell>
          <cell r="N2543" t="str">
            <v>-</v>
          </cell>
          <cell r="R2543" t="str">
            <v>-</v>
          </cell>
          <cell r="S2543" t="str">
            <v>-</v>
          </cell>
        </row>
        <row r="2544">
          <cell r="E2544" t="str">
            <v/>
          </cell>
          <cell r="N2544" t="str">
            <v>-</v>
          </cell>
          <cell r="R2544" t="str">
            <v>-</v>
          </cell>
          <cell r="S2544" t="str">
            <v>-</v>
          </cell>
        </row>
        <row r="2545">
          <cell r="E2545" t="str">
            <v/>
          </cell>
          <cell r="N2545" t="str">
            <v>-</v>
          </cell>
          <cell r="R2545" t="str">
            <v>-</v>
          </cell>
          <cell r="S2545" t="str">
            <v>-</v>
          </cell>
        </row>
        <row r="2546">
          <cell r="E2546" t="str">
            <v/>
          </cell>
          <cell r="N2546" t="str">
            <v>-</v>
          </cell>
          <cell r="R2546" t="str">
            <v>-</v>
          </cell>
          <cell r="S2546" t="str">
            <v>-</v>
          </cell>
        </row>
        <row r="2547">
          <cell r="E2547" t="str">
            <v/>
          </cell>
          <cell r="N2547" t="str">
            <v>-</v>
          </cell>
          <cell r="R2547" t="str">
            <v>-</v>
          </cell>
          <cell r="S2547" t="str">
            <v>-</v>
          </cell>
        </row>
        <row r="2548">
          <cell r="E2548" t="str">
            <v/>
          </cell>
          <cell r="N2548" t="str">
            <v>-</v>
          </cell>
          <cell r="R2548" t="str">
            <v>-</v>
          </cell>
          <cell r="S2548" t="str">
            <v>-</v>
          </cell>
        </row>
        <row r="2549">
          <cell r="E2549" t="str">
            <v/>
          </cell>
          <cell r="N2549" t="str">
            <v>-</v>
          </cell>
          <cell r="R2549" t="str">
            <v>-</v>
          </cell>
          <cell r="S2549" t="str">
            <v>-</v>
          </cell>
        </row>
        <row r="2550">
          <cell r="E2550" t="str">
            <v/>
          </cell>
          <cell r="N2550" t="str">
            <v>-</v>
          </cell>
          <cell r="R2550" t="str">
            <v>-</v>
          </cell>
          <cell r="S2550" t="str">
            <v>-</v>
          </cell>
        </row>
        <row r="2551">
          <cell r="E2551" t="str">
            <v/>
          </cell>
          <cell r="N2551" t="str">
            <v>-</v>
          </cell>
          <cell r="R2551" t="str">
            <v>-</v>
          </cell>
          <cell r="S2551" t="str">
            <v>-</v>
          </cell>
        </row>
        <row r="2552">
          <cell r="E2552" t="str">
            <v/>
          </cell>
          <cell r="N2552" t="str">
            <v>-</v>
          </cell>
          <cell r="R2552" t="str">
            <v>-</v>
          </cell>
          <cell r="S2552" t="str">
            <v>-</v>
          </cell>
        </row>
        <row r="2553">
          <cell r="E2553" t="str">
            <v/>
          </cell>
          <cell r="N2553" t="str">
            <v>-</v>
          </cell>
          <cell r="R2553" t="str">
            <v>-</v>
          </cell>
          <cell r="S2553" t="str">
            <v>-</v>
          </cell>
        </row>
        <row r="2554">
          <cell r="E2554" t="str">
            <v/>
          </cell>
          <cell r="N2554" t="str">
            <v>-</v>
          </cell>
          <cell r="R2554" t="str">
            <v>-</v>
          </cell>
          <cell r="S2554" t="str">
            <v>-</v>
          </cell>
        </row>
        <row r="2555">
          <cell r="E2555" t="str">
            <v/>
          </cell>
          <cell r="N2555" t="str">
            <v>-</v>
          </cell>
          <cell r="R2555" t="str">
            <v>-</v>
          </cell>
          <cell r="S2555" t="str">
            <v>-</v>
          </cell>
        </row>
        <row r="2556">
          <cell r="E2556" t="str">
            <v/>
          </cell>
          <cell r="N2556" t="str">
            <v>-</v>
          </cell>
          <cell r="R2556" t="str">
            <v>-</v>
          </cell>
          <cell r="S2556" t="str">
            <v>-</v>
          </cell>
        </row>
        <row r="2557">
          <cell r="E2557" t="str">
            <v/>
          </cell>
          <cell r="N2557" t="str">
            <v>-</v>
          </cell>
          <cell r="R2557" t="str">
            <v>-</v>
          </cell>
          <cell r="S2557" t="str">
            <v>-</v>
          </cell>
        </row>
        <row r="2558">
          <cell r="E2558" t="str">
            <v/>
          </cell>
          <cell r="N2558" t="str">
            <v>-</v>
          </cell>
          <cell r="R2558" t="str">
            <v>-</v>
          </cell>
          <cell r="S2558" t="str">
            <v>-</v>
          </cell>
        </row>
        <row r="2559">
          <cell r="E2559" t="str">
            <v/>
          </cell>
          <cell r="N2559" t="str">
            <v>-</v>
          </cell>
          <cell r="R2559" t="str">
            <v>-</v>
          </cell>
          <cell r="S2559" t="str">
            <v>-</v>
          </cell>
        </row>
        <row r="2560">
          <cell r="E2560" t="str">
            <v/>
          </cell>
          <cell r="N2560" t="str">
            <v>-</v>
          </cell>
          <cell r="R2560" t="str">
            <v>-</v>
          </cell>
          <cell r="S2560" t="str">
            <v>-</v>
          </cell>
        </row>
        <row r="2561">
          <cell r="E2561" t="str">
            <v/>
          </cell>
          <cell r="N2561" t="str">
            <v>-</v>
          </cell>
          <cell r="R2561" t="str">
            <v>-</v>
          </cell>
          <cell r="S2561" t="str">
            <v>-</v>
          </cell>
        </row>
        <row r="2562">
          <cell r="E2562" t="str">
            <v/>
          </cell>
          <cell r="N2562" t="str">
            <v>-</v>
          </cell>
          <cell r="R2562" t="str">
            <v>-</v>
          </cell>
          <cell r="S2562" t="str">
            <v>-</v>
          </cell>
        </row>
        <row r="2563">
          <cell r="E2563" t="str">
            <v/>
          </cell>
          <cell r="N2563" t="str">
            <v>-</v>
          </cell>
          <cell r="R2563" t="str">
            <v>-</v>
          </cell>
          <cell r="S2563" t="str">
            <v>-</v>
          </cell>
        </row>
        <row r="2564">
          <cell r="E2564" t="str">
            <v/>
          </cell>
          <cell r="N2564" t="str">
            <v>-</v>
          </cell>
          <cell r="R2564" t="str">
            <v>-</v>
          </cell>
          <cell r="S2564" t="str">
            <v>-</v>
          </cell>
        </row>
        <row r="2565">
          <cell r="E2565" t="str">
            <v/>
          </cell>
          <cell r="N2565" t="str">
            <v>-</v>
          </cell>
          <cell r="R2565" t="str">
            <v>-</v>
          </cell>
          <cell r="S2565" t="str">
            <v>-</v>
          </cell>
        </row>
        <row r="2566">
          <cell r="E2566" t="str">
            <v/>
          </cell>
          <cell r="N2566" t="str">
            <v>-</v>
          </cell>
          <cell r="R2566" t="str">
            <v>-</v>
          </cell>
          <cell r="S2566" t="str">
            <v>-</v>
          </cell>
        </row>
        <row r="2567">
          <cell r="E2567" t="str">
            <v/>
          </cell>
          <cell r="N2567" t="str">
            <v>-</v>
          </cell>
          <cell r="R2567" t="str">
            <v>-</v>
          </cell>
          <cell r="S2567" t="str">
            <v>-</v>
          </cell>
        </row>
        <row r="2568">
          <cell r="E2568" t="str">
            <v/>
          </cell>
          <cell r="N2568" t="str">
            <v>-</v>
          </cell>
          <cell r="R2568" t="str">
            <v>-</v>
          </cell>
          <cell r="S2568" t="str">
            <v>-</v>
          </cell>
        </row>
        <row r="2569">
          <cell r="E2569" t="str">
            <v/>
          </cell>
          <cell r="N2569" t="str">
            <v>-</v>
          </cell>
          <cell r="R2569" t="str">
            <v>-</v>
          </cell>
          <cell r="S2569" t="str">
            <v>-</v>
          </cell>
        </row>
        <row r="2570">
          <cell r="E2570" t="str">
            <v/>
          </cell>
          <cell r="N2570" t="str">
            <v>-</v>
          </cell>
          <cell r="R2570" t="str">
            <v>-</v>
          </cell>
          <cell r="S2570" t="str">
            <v>-</v>
          </cell>
        </row>
        <row r="2571">
          <cell r="E2571" t="str">
            <v/>
          </cell>
          <cell r="N2571" t="str">
            <v>-</v>
          </cell>
          <cell r="R2571" t="str">
            <v>-</v>
          </cell>
          <cell r="S2571" t="str">
            <v>-</v>
          </cell>
        </row>
        <row r="2572">
          <cell r="E2572" t="str">
            <v/>
          </cell>
          <cell r="N2572" t="str">
            <v>-</v>
          </cell>
          <cell r="R2572" t="str">
            <v>-</v>
          </cell>
          <cell r="S2572" t="str">
            <v>-</v>
          </cell>
        </row>
        <row r="2573">
          <cell r="E2573" t="str">
            <v/>
          </cell>
          <cell r="N2573" t="str">
            <v>-</v>
          </cell>
          <cell r="R2573" t="str">
            <v>-</v>
          </cell>
          <cell r="S2573" t="str">
            <v>-</v>
          </cell>
        </row>
        <row r="2574">
          <cell r="E2574" t="str">
            <v/>
          </cell>
          <cell r="N2574" t="str">
            <v>-</v>
          </cell>
          <cell r="R2574" t="str">
            <v>-</v>
          </cell>
          <cell r="S2574" t="str">
            <v>-</v>
          </cell>
        </row>
        <row r="2575">
          <cell r="E2575" t="str">
            <v/>
          </cell>
          <cell r="N2575" t="str">
            <v>-</v>
          </cell>
          <cell r="R2575" t="str">
            <v>-</v>
          </cell>
          <cell r="S2575" t="str">
            <v>-</v>
          </cell>
        </row>
        <row r="2576">
          <cell r="E2576" t="str">
            <v/>
          </cell>
          <cell r="N2576" t="str">
            <v>-</v>
          </cell>
          <cell r="R2576" t="str">
            <v>-</v>
          </cell>
          <cell r="S2576" t="str">
            <v>-</v>
          </cell>
        </row>
        <row r="2577">
          <cell r="E2577" t="str">
            <v/>
          </cell>
          <cell r="N2577" t="str">
            <v>-</v>
          </cell>
          <cell r="R2577" t="str">
            <v>-</v>
          </cell>
          <cell r="S2577" t="str">
            <v>-</v>
          </cell>
        </row>
        <row r="2578">
          <cell r="E2578" t="str">
            <v/>
          </cell>
          <cell r="N2578" t="str">
            <v>-</v>
          </cell>
          <cell r="R2578" t="str">
            <v>-</v>
          </cell>
          <cell r="S2578" t="str">
            <v>-</v>
          </cell>
        </row>
        <row r="2579">
          <cell r="E2579" t="str">
            <v/>
          </cell>
          <cell r="N2579" t="str">
            <v>-</v>
          </cell>
          <cell r="R2579" t="str">
            <v>-</v>
          </cell>
          <cell r="S2579" t="str">
            <v>-</v>
          </cell>
        </row>
        <row r="2580">
          <cell r="E2580" t="str">
            <v/>
          </cell>
          <cell r="N2580" t="str">
            <v>-</v>
          </cell>
          <cell r="R2580" t="str">
            <v>-</v>
          </cell>
          <cell r="S2580" t="str">
            <v>-</v>
          </cell>
        </row>
        <row r="2581">
          <cell r="E2581" t="str">
            <v/>
          </cell>
          <cell r="N2581" t="str">
            <v>-</v>
          </cell>
          <cell r="R2581" t="str">
            <v>-</v>
          </cell>
          <cell r="S2581" t="str">
            <v>-</v>
          </cell>
        </row>
        <row r="2582">
          <cell r="E2582" t="str">
            <v/>
          </cell>
          <cell r="N2582" t="str">
            <v>-</v>
          </cell>
          <cell r="R2582" t="str">
            <v>-</v>
          </cell>
          <cell r="S2582" t="str">
            <v>-</v>
          </cell>
        </row>
        <row r="2583">
          <cell r="E2583" t="str">
            <v/>
          </cell>
          <cell r="N2583" t="str">
            <v>-</v>
          </cell>
          <cell r="R2583" t="str">
            <v>-</v>
          </cell>
          <cell r="S2583" t="str">
            <v>-</v>
          </cell>
        </row>
        <row r="2584">
          <cell r="E2584" t="str">
            <v/>
          </cell>
          <cell r="N2584" t="str">
            <v>-</v>
          </cell>
          <cell r="R2584" t="str">
            <v>-</v>
          </cell>
          <cell r="S2584" t="str">
            <v>-</v>
          </cell>
        </row>
        <row r="2585">
          <cell r="E2585" t="str">
            <v/>
          </cell>
          <cell r="N2585" t="str">
            <v>-</v>
          </cell>
          <cell r="R2585" t="str">
            <v>-</v>
          </cell>
          <cell r="S2585" t="str">
            <v>-</v>
          </cell>
        </row>
        <row r="2586">
          <cell r="E2586" t="str">
            <v/>
          </cell>
          <cell r="N2586" t="str">
            <v>-</v>
          </cell>
          <cell r="R2586" t="str">
            <v>-</v>
          </cell>
          <cell r="S2586" t="str">
            <v>-</v>
          </cell>
        </row>
        <row r="2587">
          <cell r="E2587" t="str">
            <v/>
          </cell>
          <cell r="N2587" t="str">
            <v>-</v>
          </cell>
          <cell r="R2587" t="str">
            <v>-</v>
          </cell>
          <cell r="S2587" t="str">
            <v>-</v>
          </cell>
        </row>
        <row r="2588">
          <cell r="E2588" t="str">
            <v/>
          </cell>
          <cell r="N2588" t="str">
            <v>-</v>
          </cell>
          <cell r="R2588" t="str">
            <v>-</v>
          </cell>
          <cell r="S2588" t="str">
            <v>-</v>
          </cell>
        </row>
        <row r="2589">
          <cell r="E2589" t="str">
            <v/>
          </cell>
          <cell r="N2589" t="str">
            <v>-</v>
          </cell>
          <cell r="R2589" t="str">
            <v>-</v>
          </cell>
          <cell r="S2589" t="str">
            <v>-</v>
          </cell>
        </row>
        <row r="2590">
          <cell r="E2590" t="str">
            <v/>
          </cell>
          <cell r="N2590" t="str">
            <v>-</v>
          </cell>
          <cell r="R2590" t="str">
            <v>-</v>
          </cell>
          <cell r="S2590" t="str">
            <v>-</v>
          </cell>
        </row>
        <row r="2591">
          <cell r="E2591" t="str">
            <v/>
          </cell>
          <cell r="N2591" t="str">
            <v>-</v>
          </cell>
          <cell r="R2591" t="str">
            <v>-</v>
          </cell>
          <cell r="S2591" t="str">
            <v>-</v>
          </cell>
        </row>
        <row r="2592">
          <cell r="E2592" t="str">
            <v/>
          </cell>
          <cell r="N2592" t="str">
            <v>-</v>
          </cell>
          <cell r="R2592" t="str">
            <v>-</v>
          </cell>
          <cell r="S2592" t="str">
            <v>-</v>
          </cell>
        </row>
        <row r="2593">
          <cell r="E2593" t="str">
            <v/>
          </cell>
          <cell r="N2593" t="str">
            <v>-</v>
          </cell>
          <cell r="R2593" t="str">
            <v>-</v>
          </cell>
          <cell r="S2593" t="str">
            <v>-</v>
          </cell>
        </row>
        <row r="2594">
          <cell r="E2594" t="str">
            <v/>
          </cell>
          <cell r="N2594" t="str">
            <v>-</v>
          </cell>
          <cell r="R2594" t="str">
            <v>-</v>
          </cell>
          <cell r="S2594" t="str">
            <v>-</v>
          </cell>
        </row>
        <row r="2595">
          <cell r="E2595" t="str">
            <v/>
          </cell>
          <cell r="N2595" t="str">
            <v>-</v>
          </cell>
          <cell r="R2595" t="str">
            <v>-</v>
          </cell>
          <cell r="S2595" t="str">
            <v>-</v>
          </cell>
        </row>
        <row r="2596">
          <cell r="E2596" t="str">
            <v/>
          </cell>
          <cell r="N2596" t="str">
            <v>-</v>
          </cell>
          <cell r="R2596" t="str">
            <v>-</v>
          </cell>
          <cell r="S2596" t="str">
            <v>-</v>
          </cell>
        </row>
        <row r="2597">
          <cell r="E2597" t="str">
            <v/>
          </cell>
          <cell r="N2597" t="str">
            <v>-</v>
          </cell>
          <cell r="R2597" t="str">
            <v>-</v>
          </cell>
          <cell r="S2597" t="str">
            <v>-</v>
          </cell>
        </row>
        <row r="2598">
          <cell r="E2598" t="str">
            <v/>
          </cell>
          <cell r="N2598" t="str">
            <v>-</v>
          </cell>
          <cell r="R2598" t="str">
            <v>-</v>
          </cell>
          <cell r="S2598" t="str">
            <v>-</v>
          </cell>
        </row>
        <row r="2599">
          <cell r="E2599" t="str">
            <v/>
          </cell>
          <cell r="N2599" t="str">
            <v>-</v>
          </cell>
          <cell r="R2599" t="str">
            <v>-</v>
          </cell>
          <cell r="S2599" t="str">
            <v>-</v>
          </cell>
        </row>
        <row r="2600">
          <cell r="E2600" t="str">
            <v/>
          </cell>
          <cell r="N2600" t="str">
            <v>-</v>
          </cell>
          <cell r="R2600" t="str">
            <v>-</v>
          </cell>
          <cell r="S2600" t="str">
            <v>-</v>
          </cell>
        </row>
        <row r="2601">
          <cell r="E2601" t="str">
            <v/>
          </cell>
          <cell r="N2601" t="str">
            <v>-</v>
          </cell>
          <cell r="R2601" t="str">
            <v>-</v>
          </cell>
          <cell r="S2601" t="str">
            <v>-</v>
          </cell>
        </row>
        <row r="2602">
          <cell r="E2602" t="str">
            <v/>
          </cell>
          <cell r="N2602" t="str">
            <v>-</v>
          </cell>
          <cell r="R2602" t="str">
            <v>-</v>
          </cell>
          <cell r="S2602" t="str">
            <v>-</v>
          </cell>
        </row>
        <row r="2603">
          <cell r="E2603" t="str">
            <v/>
          </cell>
          <cell r="N2603" t="str">
            <v>-</v>
          </cell>
          <cell r="R2603" t="str">
            <v>-</v>
          </cell>
          <cell r="S2603" t="str">
            <v>-</v>
          </cell>
        </row>
        <row r="2604">
          <cell r="E2604" t="str">
            <v/>
          </cell>
          <cell r="N2604" t="str">
            <v>-</v>
          </cell>
          <cell r="R2604" t="str">
            <v>-</v>
          </cell>
          <cell r="S2604" t="str">
            <v>-</v>
          </cell>
        </row>
        <row r="2605">
          <cell r="E2605" t="str">
            <v/>
          </cell>
          <cell r="N2605" t="str">
            <v>-</v>
          </cell>
          <cell r="R2605" t="str">
            <v>-</v>
          </cell>
          <cell r="S2605" t="str">
            <v>-</v>
          </cell>
        </row>
        <row r="2606">
          <cell r="E2606" t="str">
            <v/>
          </cell>
          <cell r="N2606" t="str">
            <v>-</v>
          </cell>
          <cell r="R2606" t="str">
            <v>-</v>
          </cell>
          <cell r="S2606" t="str">
            <v>-</v>
          </cell>
        </row>
        <row r="2607">
          <cell r="E2607" t="str">
            <v/>
          </cell>
          <cell r="N2607" t="str">
            <v>-</v>
          </cell>
          <cell r="R2607" t="str">
            <v>-</v>
          </cell>
          <cell r="S2607" t="str">
            <v>-</v>
          </cell>
        </row>
        <row r="2608">
          <cell r="E2608" t="str">
            <v/>
          </cell>
          <cell r="N2608" t="str">
            <v>-</v>
          </cell>
          <cell r="R2608" t="str">
            <v>-</v>
          </cell>
          <cell r="S2608" t="str">
            <v>-</v>
          </cell>
        </row>
        <row r="2609">
          <cell r="E2609" t="str">
            <v/>
          </cell>
          <cell r="N2609" t="str">
            <v>-</v>
          </cell>
          <cell r="R2609" t="str">
            <v>-</v>
          </cell>
          <cell r="S2609" t="str">
            <v>-</v>
          </cell>
        </row>
        <row r="2610">
          <cell r="E2610" t="str">
            <v/>
          </cell>
          <cell r="N2610" t="str">
            <v>-</v>
          </cell>
          <cell r="R2610" t="str">
            <v>-</v>
          </cell>
          <cell r="S2610" t="str">
            <v>-</v>
          </cell>
        </row>
        <row r="2611">
          <cell r="E2611" t="str">
            <v/>
          </cell>
          <cell r="N2611" t="str">
            <v>-</v>
          </cell>
          <cell r="R2611" t="str">
            <v>-</v>
          </cell>
          <cell r="S2611" t="str">
            <v>-</v>
          </cell>
        </row>
        <row r="2612">
          <cell r="E2612" t="str">
            <v/>
          </cell>
          <cell r="N2612" t="str">
            <v>-</v>
          </cell>
          <cell r="R2612" t="str">
            <v>-</v>
          </cell>
          <cell r="S2612" t="str">
            <v>-</v>
          </cell>
        </row>
        <row r="2613">
          <cell r="E2613" t="str">
            <v/>
          </cell>
          <cell r="N2613" t="str">
            <v>-</v>
          </cell>
          <cell r="R2613" t="str">
            <v>-</v>
          </cell>
          <cell r="S2613" t="str">
            <v>-</v>
          </cell>
        </row>
        <row r="2614">
          <cell r="E2614" t="str">
            <v/>
          </cell>
          <cell r="N2614" t="str">
            <v>-</v>
          </cell>
          <cell r="R2614" t="str">
            <v>-</v>
          </cell>
          <cell r="S2614" t="str">
            <v>-</v>
          </cell>
        </row>
        <row r="2615">
          <cell r="E2615" t="str">
            <v/>
          </cell>
          <cell r="N2615" t="str">
            <v>-</v>
          </cell>
          <cell r="R2615" t="str">
            <v>-</v>
          </cell>
          <cell r="S2615" t="str">
            <v>-</v>
          </cell>
        </row>
        <row r="2616">
          <cell r="E2616" t="str">
            <v/>
          </cell>
          <cell r="N2616" t="str">
            <v>-</v>
          </cell>
          <cell r="R2616" t="str">
            <v>-</v>
          </cell>
          <cell r="S2616" t="str">
            <v>-</v>
          </cell>
        </row>
        <row r="2617">
          <cell r="E2617" t="str">
            <v/>
          </cell>
          <cell r="N2617" t="str">
            <v>-</v>
          </cell>
          <cell r="R2617" t="str">
            <v>-</v>
          </cell>
          <cell r="S2617" t="str">
            <v>-</v>
          </cell>
        </row>
        <row r="2618">
          <cell r="E2618" t="str">
            <v/>
          </cell>
          <cell r="N2618" t="str">
            <v>-</v>
          </cell>
          <cell r="R2618" t="str">
            <v>-</v>
          </cell>
          <cell r="S2618" t="str">
            <v>-</v>
          </cell>
        </row>
        <row r="2619">
          <cell r="E2619" t="str">
            <v/>
          </cell>
          <cell r="N2619" t="str">
            <v>-</v>
          </cell>
          <cell r="R2619" t="str">
            <v>-</v>
          </cell>
          <cell r="S2619" t="str">
            <v>-</v>
          </cell>
        </row>
        <row r="2620">
          <cell r="E2620" t="str">
            <v/>
          </cell>
          <cell r="N2620" t="str">
            <v>-</v>
          </cell>
          <cell r="R2620" t="str">
            <v>-</v>
          </cell>
          <cell r="S2620" t="str">
            <v>-</v>
          </cell>
        </row>
        <row r="2621">
          <cell r="E2621" t="str">
            <v/>
          </cell>
          <cell r="N2621" t="str">
            <v>-</v>
          </cell>
          <cell r="R2621" t="str">
            <v>-</v>
          </cell>
          <cell r="S2621" t="str">
            <v>-</v>
          </cell>
        </row>
        <row r="2622">
          <cell r="E2622" t="str">
            <v/>
          </cell>
          <cell r="N2622" t="str">
            <v>-</v>
          </cell>
          <cell r="R2622" t="str">
            <v>-</v>
          </cell>
          <cell r="S2622" t="str">
            <v>-</v>
          </cell>
        </row>
        <row r="2623">
          <cell r="E2623" t="str">
            <v/>
          </cell>
          <cell r="N2623" t="str">
            <v>-</v>
          </cell>
          <cell r="R2623" t="str">
            <v>-</v>
          </cell>
          <cell r="S2623" t="str">
            <v>-</v>
          </cell>
        </row>
        <row r="2624">
          <cell r="E2624" t="str">
            <v/>
          </cell>
          <cell r="N2624" t="str">
            <v>-</v>
          </cell>
          <cell r="R2624" t="str">
            <v>-</v>
          </cell>
          <cell r="S2624" t="str">
            <v>-</v>
          </cell>
        </row>
        <row r="2625">
          <cell r="E2625" t="str">
            <v/>
          </cell>
          <cell r="N2625" t="str">
            <v>-</v>
          </cell>
          <cell r="R2625" t="str">
            <v>-</v>
          </cell>
          <cell r="S2625" t="str">
            <v>-</v>
          </cell>
        </row>
        <row r="2626">
          <cell r="E2626" t="str">
            <v/>
          </cell>
          <cell r="N2626" t="str">
            <v>-</v>
          </cell>
          <cell r="R2626" t="str">
            <v>-</v>
          </cell>
          <cell r="S2626" t="str">
            <v>-</v>
          </cell>
        </row>
        <row r="2627">
          <cell r="E2627" t="str">
            <v/>
          </cell>
          <cell r="N2627" t="str">
            <v>-</v>
          </cell>
          <cell r="R2627" t="str">
            <v>-</v>
          </cell>
          <cell r="S2627" t="str">
            <v>-</v>
          </cell>
        </row>
        <row r="2628">
          <cell r="E2628" t="str">
            <v/>
          </cell>
          <cell r="N2628" t="str">
            <v>-</v>
          </cell>
          <cell r="R2628" t="str">
            <v>-</v>
          </cell>
          <cell r="S2628" t="str">
            <v>-</v>
          </cell>
        </row>
        <row r="2629">
          <cell r="E2629" t="str">
            <v/>
          </cell>
          <cell r="N2629" t="str">
            <v>-</v>
          </cell>
          <cell r="R2629" t="str">
            <v>-</v>
          </cell>
          <cell r="S2629" t="str">
            <v>-</v>
          </cell>
        </row>
        <row r="2630">
          <cell r="E2630" t="str">
            <v/>
          </cell>
          <cell r="N2630" t="str">
            <v>-</v>
          </cell>
          <cell r="R2630" t="str">
            <v>-</v>
          </cell>
          <cell r="S2630" t="str">
            <v>-</v>
          </cell>
        </row>
        <row r="2631">
          <cell r="E2631" t="str">
            <v/>
          </cell>
          <cell r="N2631" t="str">
            <v>-</v>
          </cell>
          <cell r="R2631" t="str">
            <v>-</v>
          </cell>
          <cell r="S2631" t="str">
            <v>-</v>
          </cell>
        </row>
        <row r="2632">
          <cell r="E2632" t="str">
            <v/>
          </cell>
          <cell r="N2632" t="str">
            <v>-</v>
          </cell>
          <cell r="R2632" t="str">
            <v>-</v>
          </cell>
          <cell r="S2632" t="str">
            <v>-</v>
          </cell>
        </row>
        <row r="2633">
          <cell r="E2633" t="str">
            <v/>
          </cell>
          <cell r="N2633" t="str">
            <v>-</v>
          </cell>
          <cell r="R2633" t="str">
            <v>-</v>
          </cell>
          <cell r="S2633" t="str">
            <v>-</v>
          </cell>
        </row>
        <row r="2634">
          <cell r="E2634" t="str">
            <v/>
          </cell>
          <cell r="N2634" t="str">
            <v>-</v>
          </cell>
          <cell r="R2634" t="str">
            <v>-</v>
          </cell>
          <cell r="S2634" t="str">
            <v>-</v>
          </cell>
        </row>
        <row r="2635">
          <cell r="E2635" t="str">
            <v/>
          </cell>
          <cell r="N2635" t="str">
            <v>-</v>
          </cell>
          <cell r="R2635" t="str">
            <v>-</v>
          </cell>
          <cell r="S2635" t="str">
            <v>-</v>
          </cell>
        </row>
        <row r="2636">
          <cell r="E2636" t="str">
            <v/>
          </cell>
          <cell r="N2636" t="str">
            <v>-</v>
          </cell>
          <cell r="R2636" t="str">
            <v>-</v>
          </cell>
          <cell r="S2636" t="str">
            <v>-</v>
          </cell>
        </row>
        <row r="2637">
          <cell r="E2637" t="str">
            <v/>
          </cell>
          <cell r="N2637" t="str">
            <v>-</v>
          </cell>
          <cell r="R2637" t="str">
            <v>-</v>
          </cell>
          <cell r="S2637" t="str">
            <v>-</v>
          </cell>
        </row>
        <row r="2638">
          <cell r="E2638" t="str">
            <v/>
          </cell>
          <cell r="N2638" t="str">
            <v>-</v>
          </cell>
          <cell r="R2638" t="str">
            <v>-</v>
          </cell>
          <cell r="S2638" t="str">
            <v>-</v>
          </cell>
        </row>
        <row r="2639">
          <cell r="E2639" t="str">
            <v/>
          </cell>
          <cell r="N2639" t="str">
            <v>-</v>
          </cell>
          <cell r="R2639" t="str">
            <v>-</v>
          </cell>
          <cell r="S2639" t="str">
            <v>-</v>
          </cell>
        </row>
        <row r="2640">
          <cell r="E2640" t="str">
            <v/>
          </cell>
          <cell r="N2640" t="str">
            <v>-</v>
          </cell>
          <cell r="R2640" t="str">
            <v>-</v>
          </cell>
          <cell r="S2640" t="str">
            <v>-</v>
          </cell>
        </row>
        <row r="2641">
          <cell r="E2641" t="str">
            <v/>
          </cell>
          <cell r="N2641" t="str">
            <v>-</v>
          </cell>
          <cell r="R2641" t="str">
            <v>-</v>
          </cell>
          <cell r="S2641" t="str">
            <v>-</v>
          </cell>
        </row>
        <row r="2642">
          <cell r="E2642" t="str">
            <v/>
          </cell>
          <cell r="N2642" t="str">
            <v>-</v>
          </cell>
          <cell r="R2642" t="str">
            <v>-</v>
          </cell>
          <cell r="S2642" t="str">
            <v>-</v>
          </cell>
        </row>
        <row r="2643">
          <cell r="E2643" t="str">
            <v/>
          </cell>
          <cell r="N2643" t="str">
            <v>-</v>
          </cell>
          <cell r="R2643" t="str">
            <v>-</v>
          </cell>
          <cell r="S2643" t="str">
            <v>-</v>
          </cell>
        </row>
        <row r="2644">
          <cell r="E2644" t="str">
            <v/>
          </cell>
          <cell r="N2644" t="str">
            <v>-</v>
          </cell>
          <cell r="R2644" t="str">
            <v>-</v>
          </cell>
          <cell r="S2644" t="str">
            <v>-</v>
          </cell>
        </row>
        <row r="2645">
          <cell r="E2645" t="str">
            <v/>
          </cell>
          <cell r="N2645" t="str">
            <v>-</v>
          </cell>
          <cell r="R2645" t="str">
            <v>-</v>
          </cell>
          <cell r="S2645" t="str">
            <v>-</v>
          </cell>
        </row>
        <row r="2646">
          <cell r="E2646" t="str">
            <v/>
          </cell>
          <cell r="N2646" t="str">
            <v>-</v>
          </cell>
          <cell r="R2646" t="str">
            <v>-</v>
          </cell>
          <cell r="S2646" t="str">
            <v>-</v>
          </cell>
        </row>
        <row r="2647">
          <cell r="E2647" t="str">
            <v/>
          </cell>
          <cell r="N2647" t="str">
            <v>-</v>
          </cell>
          <cell r="R2647" t="str">
            <v>-</v>
          </cell>
          <cell r="S2647" t="str">
            <v>-</v>
          </cell>
        </row>
        <row r="2648">
          <cell r="E2648" t="str">
            <v/>
          </cell>
          <cell r="N2648" t="str">
            <v>-</v>
          </cell>
          <cell r="R2648" t="str">
            <v>-</v>
          </cell>
          <cell r="S2648" t="str">
            <v>-</v>
          </cell>
        </row>
        <row r="2649">
          <cell r="E2649" t="str">
            <v/>
          </cell>
          <cell r="N2649" t="str">
            <v>-</v>
          </cell>
          <cell r="R2649" t="str">
            <v>-</v>
          </cell>
          <cell r="S2649" t="str">
            <v>-</v>
          </cell>
        </row>
        <row r="2650">
          <cell r="E2650" t="str">
            <v/>
          </cell>
          <cell r="N2650" t="str">
            <v>-</v>
          </cell>
          <cell r="R2650" t="str">
            <v>-</v>
          </cell>
          <cell r="S2650" t="str">
            <v>-</v>
          </cell>
        </row>
        <row r="2651">
          <cell r="E2651" t="str">
            <v/>
          </cell>
          <cell r="N2651" t="str">
            <v>-</v>
          </cell>
          <cell r="R2651" t="str">
            <v>-</v>
          </cell>
          <cell r="S2651" t="str">
            <v>-</v>
          </cell>
        </row>
        <row r="2652">
          <cell r="E2652" t="str">
            <v/>
          </cell>
          <cell r="N2652" t="str">
            <v>-</v>
          </cell>
          <cell r="R2652" t="str">
            <v>-</v>
          </cell>
          <cell r="S2652" t="str">
            <v>-</v>
          </cell>
        </row>
        <row r="2653">
          <cell r="E2653" t="str">
            <v/>
          </cell>
          <cell r="N2653" t="str">
            <v>-</v>
          </cell>
          <cell r="R2653" t="str">
            <v>-</v>
          </cell>
          <cell r="S2653" t="str">
            <v>-</v>
          </cell>
        </row>
        <row r="2654">
          <cell r="E2654" t="str">
            <v/>
          </cell>
          <cell r="N2654" t="str">
            <v>-</v>
          </cell>
          <cell r="R2654" t="str">
            <v>-</v>
          </cell>
          <cell r="S2654" t="str">
            <v>-</v>
          </cell>
        </row>
        <row r="2655">
          <cell r="E2655" t="str">
            <v/>
          </cell>
          <cell r="N2655" t="str">
            <v>-</v>
          </cell>
          <cell r="R2655" t="str">
            <v>-</v>
          </cell>
          <cell r="S2655" t="str">
            <v>-</v>
          </cell>
        </row>
        <row r="2656">
          <cell r="E2656" t="str">
            <v/>
          </cell>
          <cell r="N2656" t="str">
            <v>-</v>
          </cell>
          <cell r="R2656" t="str">
            <v>-</v>
          </cell>
          <cell r="S2656" t="str">
            <v>-</v>
          </cell>
        </row>
        <row r="2657">
          <cell r="E2657" t="str">
            <v/>
          </cell>
          <cell r="N2657" t="str">
            <v>-</v>
          </cell>
          <cell r="R2657" t="str">
            <v>-</v>
          </cell>
          <cell r="S2657" t="str">
            <v>-</v>
          </cell>
        </row>
        <row r="2658">
          <cell r="E2658" t="str">
            <v/>
          </cell>
          <cell r="N2658" t="str">
            <v>-</v>
          </cell>
          <cell r="R2658" t="str">
            <v>-</v>
          </cell>
          <cell r="S2658" t="str">
            <v>-</v>
          </cell>
        </row>
        <row r="2659">
          <cell r="E2659" t="str">
            <v/>
          </cell>
          <cell r="N2659" t="str">
            <v>-</v>
          </cell>
          <cell r="R2659" t="str">
            <v>-</v>
          </cell>
          <cell r="S2659" t="str">
            <v>-</v>
          </cell>
        </row>
        <row r="2660">
          <cell r="E2660" t="str">
            <v/>
          </cell>
          <cell r="N2660" t="str">
            <v>-</v>
          </cell>
          <cell r="R2660" t="str">
            <v>-</v>
          </cell>
          <cell r="S2660" t="str">
            <v>-</v>
          </cell>
        </row>
        <row r="2661">
          <cell r="E2661" t="str">
            <v/>
          </cell>
          <cell r="N2661" t="str">
            <v>-</v>
          </cell>
          <cell r="R2661" t="str">
            <v>-</v>
          </cell>
          <cell r="S2661" t="str">
            <v>-</v>
          </cell>
        </row>
        <row r="2662">
          <cell r="E2662" t="str">
            <v/>
          </cell>
          <cell r="N2662" t="str">
            <v>-</v>
          </cell>
          <cell r="R2662" t="str">
            <v>-</v>
          </cell>
          <cell r="S2662" t="str">
            <v>-</v>
          </cell>
        </row>
        <row r="2663">
          <cell r="E2663" t="str">
            <v/>
          </cell>
          <cell r="N2663" t="str">
            <v>-</v>
          </cell>
          <cell r="R2663" t="str">
            <v>-</v>
          </cell>
          <cell r="S2663" t="str">
            <v>-</v>
          </cell>
        </row>
        <row r="2664">
          <cell r="E2664" t="str">
            <v/>
          </cell>
          <cell r="N2664" t="str">
            <v>-</v>
          </cell>
          <cell r="R2664" t="str">
            <v>-</v>
          </cell>
          <cell r="S2664" t="str">
            <v>-</v>
          </cell>
        </row>
        <row r="2665">
          <cell r="E2665" t="str">
            <v/>
          </cell>
          <cell r="N2665" t="str">
            <v>-</v>
          </cell>
          <cell r="R2665" t="str">
            <v>-</v>
          </cell>
          <cell r="S2665" t="str">
            <v>-</v>
          </cell>
        </row>
        <row r="2666">
          <cell r="E2666" t="str">
            <v/>
          </cell>
          <cell r="N2666" t="str">
            <v>-</v>
          </cell>
          <cell r="R2666" t="str">
            <v>-</v>
          </cell>
          <cell r="S2666" t="str">
            <v>-</v>
          </cell>
        </row>
        <row r="2667">
          <cell r="E2667" t="str">
            <v/>
          </cell>
          <cell r="N2667" t="str">
            <v>-</v>
          </cell>
          <cell r="R2667" t="str">
            <v>-</v>
          </cell>
          <cell r="S2667" t="str">
            <v>-</v>
          </cell>
        </row>
        <row r="2668">
          <cell r="E2668" t="str">
            <v/>
          </cell>
          <cell r="N2668" t="str">
            <v>-</v>
          </cell>
          <cell r="R2668" t="str">
            <v>-</v>
          </cell>
          <cell r="S2668" t="str">
            <v>-</v>
          </cell>
        </row>
        <row r="2669">
          <cell r="E2669" t="str">
            <v/>
          </cell>
          <cell r="N2669" t="str">
            <v>-</v>
          </cell>
          <cell r="R2669" t="str">
            <v>-</v>
          </cell>
          <cell r="S2669" t="str">
            <v>-</v>
          </cell>
        </row>
        <row r="2670">
          <cell r="E2670" t="str">
            <v/>
          </cell>
          <cell r="N2670" t="str">
            <v>-</v>
          </cell>
          <cell r="R2670" t="str">
            <v>-</v>
          </cell>
          <cell r="S2670" t="str">
            <v>-</v>
          </cell>
        </row>
        <row r="2671">
          <cell r="E2671" t="str">
            <v/>
          </cell>
          <cell r="N2671" t="str">
            <v>-</v>
          </cell>
          <cell r="R2671" t="str">
            <v>-</v>
          </cell>
          <cell r="S2671" t="str">
            <v>-</v>
          </cell>
        </row>
        <row r="2672">
          <cell r="E2672" t="str">
            <v/>
          </cell>
          <cell r="N2672" t="str">
            <v>-</v>
          </cell>
          <cell r="R2672" t="str">
            <v>-</v>
          </cell>
          <cell r="S2672" t="str">
            <v>-</v>
          </cell>
        </row>
        <row r="2673">
          <cell r="E2673" t="str">
            <v/>
          </cell>
          <cell r="N2673" t="str">
            <v>-</v>
          </cell>
          <cell r="R2673" t="str">
            <v>-</v>
          </cell>
          <cell r="S2673" t="str">
            <v>-</v>
          </cell>
        </row>
        <row r="2674">
          <cell r="E2674" t="str">
            <v/>
          </cell>
          <cell r="N2674" t="str">
            <v>-</v>
          </cell>
          <cell r="R2674" t="str">
            <v>-</v>
          </cell>
          <cell r="S2674" t="str">
            <v>-</v>
          </cell>
        </row>
        <row r="2675">
          <cell r="E2675" t="str">
            <v/>
          </cell>
          <cell r="N2675" t="str">
            <v>-</v>
          </cell>
          <cell r="R2675" t="str">
            <v>-</v>
          </cell>
          <cell r="S2675" t="str">
            <v>-</v>
          </cell>
        </row>
        <row r="2676">
          <cell r="E2676" t="str">
            <v/>
          </cell>
          <cell r="N2676" t="str">
            <v>-</v>
          </cell>
          <cell r="R2676" t="str">
            <v>-</v>
          </cell>
          <cell r="S2676" t="str">
            <v>-</v>
          </cell>
        </row>
        <row r="2677">
          <cell r="E2677" t="str">
            <v/>
          </cell>
          <cell r="N2677" t="str">
            <v>-</v>
          </cell>
          <cell r="R2677" t="str">
            <v>-</v>
          </cell>
          <cell r="S2677" t="str">
            <v>-</v>
          </cell>
        </row>
        <row r="2678">
          <cell r="E2678" t="str">
            <v/>
          </cell>
          <cell r="N2678" t="str">
            <v>-</v>
          </cell>
          <cell r="R2678" t="str">
            <v>-</v>
          </cell>
          <cell r="S2678" t="str">
            <v>-</v>
          </cell>
        </row>
        <row r="2679">
          <cell r="E2679" t="str">
            <v/>
          </cell>
          <cell r="N2679" t="str">
            <v>-</v>
          </cell>
          <cell r="R2679" t="str">
            <v>-</v>
          </cell>
          <cell r="S2679" t="str">
            <v>-</v>
          </cell>
        </row>
        <row r="2680">
          <cell r="E2680" t="str">
            <v/>
          </cell>
          <cell r="N2680" t="str">
            <v>-</v>
          </cell>
          <cell r="R2680" t="str">
            <v>-</v>
          </cell>
          <cell r="S2680" t="str">
            <v>-</v>
          </cell>
        </row>
        <row r="2681">
          <cell r="E2681" t="str">
            <v/>
          </cell>
          <cell r="N2681" t="str">
            <v>-</v>
          </cell>
          <cell r="R2681" t="str">
            <v>-</v>
          </cell>
          <cell r="S2681" t="str">
            <v>-</v>
          </cell>
        </row>
        <row r="2682">
          <cell r="E2682" t="str">
            <v/>
          </cell>
          <cell r="N2682" t="str">
            <v>-</v>
          </cell>
          <cell r="R2682" t="str">
            <v>-</v>
          </cell>
          <cell r="S2682" t="str">
            <v>-</v>
          </cell>
        </row>
        <row r="2683">
          <cell r="E2683" t="str">
            <v/>
          </cell>
          <cell r="N2683" t="str">
            <v>-</v>
          </cell>
          <cell r="R2683" t="str">
            <v>-</v>
          </cell>
          <cell r="S2683" t="str">
            <v>-</v>
          </cell>
        </row>
        <row r="2684">
          <cell r="E2684" t="str">
            <v/>
          </cell>
          <cell r="N2684" t="str">
            <v>-</v>
          </cell>
          <cell r="R2684" t="str">
            <v>-</v>
          </cell>
          <cell r="S2684" t="str">
            <v>-</v>
          </cell>
        </row>
        <row r="2685">
          <cell r="E2685" t="str">
            <v/>
          </cell>
          <cell r="N2685" t="str">
            <v>-</v>
          </cell>
          <cell r="R2685" t="str">
            <v>-</v>
          </cell>
          <cell r="S2685" t="str">
            <v>-</v>
          </cell>
        </row>
        <row r="2686">
          <cell r="E2686" t="str">
            <v/>
          </cell>
          <cell r="N2686" t="str">
            <v>-</v>
          </cell>
          <cell r="R2686" t="str">
            <v>-</v>
          </cell>
          <cell r="S2686" t="str">
            <v>-</v>
          </cell>
        </row>
        <row r="2687">
          <cell r="E2687" t="str">
            <v/>
          </cell>
          <cell r="N2687" t="str">
            <v>-</v>
          </cell>
          <cell r="R2687" t="str">
            <v>-</v>
          </cell>
          <cell r="S2687" t="str">
            <v>-</v>
          </cell>
        </row>
        <row r="2688">
          <cell r="E2688" t="str">
            <v/>
          </cell>
          <cell r="N2688" t="str">
            <v>-</v>
          </cell>
          <cell r="R2688" t="str">
            <v>-</v>
          </cell>
          <cell r="S2688" t="str">
            <v>-</v>
          </cell>
        </row>
        <row r="2689">
          <cell r="E2689" t="str">
            <v/>
          </cell>
          <cell r="N2689" t="str">
            <v>-</v>
          </cell>
          <cell r="R2689" t="str">
            <v>-</v>
          </cell>
          <cell r="S2689" t="str">
            <v>-</v>
          </cell>
        </row>
        <row r="2690">
          <cell r="E2690" t="str">
            <v/>
          </cell>
          <cell r="N2690" t="str">
            <v>-</v>
          </cell>
          <cell r="R2690" t="str">
            <v>-</v>
          </cell>
          <cell r="S2690" t="str">
            <v>-</v>
          </cell>
        </row>
        <row r="2691">
          <cell r="E2691" t="str">
            <v/>
          </cell>
          <cell r="N2691" t="str">
            <v>-</v>
          </cell>
          <cell r="R2691" t="str">
            <v>-</v>
          </cell>
          <cell r="S2691" t="str">
            <v>-</v>
          </cell>
        </row>
        <row r="2692">
          <cell r="E2692" t="str">
            <v/>
          </cell>
          <cell r="N2692" t="str">
            <v>-</v>
          </cell>
          <cell r="R2692" t="str">
            <v>-</v>
          </cell>
          <cell r="S2692" t="str">
            <v>-</v>
          </cell>
        </row>
        <row r="2693">
          <cell r="E2693" t="str">
            <v/>
          </cell>
          <cell r="N2693" t="str">
            <v>-</v>
          </cell>
          <cell r="R2693" t="str">
            <v>-</v>
          </cell>
          <cell r="S2693" t="str">
            <v>-</v>
          </cell>
        </row>
        <row r="2694">
          <cell r="E2694" t="str">
            <v/>
          </cell>
          <cell r="N2694" t="str">
            <v>-</v>
          </cell>
          <cell r="R2694" t="str">
            <v>-</v>
          </cell>
          <cell r="S2694" t="str">
            <v>-</v>
          </cell>
        </row>
        <row r="2695">
          <cell r="E2695" t="str">
            <v/>
          </cell>
          <cell r="N2695" t="str">
            <v>-</v>
          </cell>
          <cell r="R2695" t="str">
            <v>-</v>
          </cell>
          <cell r="S2695" t="str">
            <v>-</v>
          </cell>
        </row>
        <row r="2696">
          <cell r="E2696" t="str">
            <v/>
          </cell>
          <cell r="N2696" t="str">
            <v>-</v>
          </cell>
          <cell r="R2696" t="str">
            <v>-</v>
          </cell>
          <cell r="S2696" t="str">
            <v>-</v>
          </cell>
        </row>
        <row r="2697">
          <cell r="E2697" t="str">
            <v/>
          </cell>
          <cell r="N2697" t="str">
            <v>-</v>
          </cell>
          <cell r="R2697" t="str">
            <v>-</v>
          </cell>
          <cell r="S2697" t="str">
            <v>-</v>
          </cell>
        </row>
        <row r="2698">
          <cell r="E2698" t="str">
            <v/>
          </cell>
          <cell r="N2698" t="str">
            <v>-</v>
          </cell>
          <cell r="R2698" t="str">
            <v>-</v>
          </cell>
          <cell r="S2698" t="str">
            <v>-</v>
          </cell>
        </row>
        <row r="2699">
          <cell r="E2699" t="str">
            <v/>
          </cell>
          <cell r="N2699" t="str">
            <v>-</v>
          </cell>
          <cell r="R2699" t="str">
            <v>-</v>
          </cell>
          <cell r="S2699" t="str">
            <v>-</v>
          </cell>
        </row>
        <row r="2700">
          <cell r="E2700" t="str">
            <v/>
          </cell>
          <cell r="N2700" t="str">
            <v>-</v>
          </cell>
          <cell r="R2700" t="str">
            <v>-</v>
          </cell>
          <cell r="S2700" t="str">
            <v>-</v>
          </cell>
        </row>
        <row r="2701">
          <cell r="E2701" t="str">
            <v/>
          </cell>
          <cell r="N2701" t="str">
            <v>-</v>
          </cell>
          <cell r="R2701" t="str">
            <v>-</v>
          </cell>
          <cell r="S2701" t="str">
            <v>-</v>
          </cell>
        </row>
        <row r="2702">
          <cell r="E2702" t="str">
            <v/>
          </cell>
          <cell r="N2702" t="str">
            <v>-</v>
          </cell>
          <cell r="R2702" t="str">
            <v>-</v>
          </cell>
          <cell r="S2702" t="str">
            <v>-</v>
          </cell>
        </row>
        <row r="2703">
          <cell r="E2703" t="str">
            <v/>
          </cell>
          <cell r="N2703" t="str">
            <v>-</v>
          </cell>
          <cell r="R2703" t="str">
            <v>-</v>
          </cell>
          <cell r="S2703" t="str">
            <v>-</v>
          </cell>
        </row>
        <row r="2704">
          <cell r="E2704" t="str">
            <v/>
          </cell>
          <cell r="N2704" t="str">
            <v>-</v>
          </cell>
          <cell r="R2704" t="str">
            <v>-</v>
          </cell>
          <cell r="S2704" t="str">
            <v>-</v>
          </cell>
        </row>
        <row r="2705">
          <cell r="E2705" t="str">
            <v/>
          </cell>
          <cell r="N2705" t="str">
            <v>-</v>
          </cell>
          <cell r="R2705" t="str">
            <v>-</v>
          </cell>
          <cell r="S2705" t="str">
            <v>-</v>
          </cell>
        </row>
        <row r="2706">
          <cell r="E2706" t="str">
            <v/>
          </cell>
          <cell r="N2706" t="str">
            <v>-</v>
          </cell>
          <cell r="R2706" t="str">
            <v>-</v>
          </cell>
          <cell r="S2706" t="str">
            <v>-</v>
          </cell>
        </row>
        <row r="2707">
          <cell r="E2707" t="str">
            <v/>
          </cell>
          <cell r="N2707" t="str">
            <v>-</v>
          </cell>
          <cell r="R2707" t="str">
            <v>-</v>
          </cell>
          <cell r="S2707" t="str">
            <v>-</v>
          </cell>
        </row>
        <row r="2708">
          <cell r="E2708" t="str">
            <v/>
          </cell>
          <cell r="N2708" t="str">
            <v>-</v>
          </cell>
          <cell r="R2708" t="str">
            <v>-</v>
          </cell>
          <cell r="S2708" t="str">
            <v>-</v>
          </cell>
        </row>
        <row r="2709">
          <cell r="E2709" t="str">
            <v/>
          </cell>
          <cell r="N2709" t="str">
            <v>-</v>
          </cell>
          <cell r="R2709" t="str">
            <v>-</v>
          </cell>
          <cell r="S2709" t="str">
            <v>-</v>
          </cell>
        </row>
        <row r="2710">
          <cell r="E2710" t="str">
            <v/>
          </cell>
          <cell r="N2710" t="str">
            <v>-</v>
          </cell>
          <cell r="R2710" t="str">
            <v>-</v>
          </cell>
          <cell r="S2710" t="str">
            <v>-</v>
          </cell>
        </row>
        <row r="2711">
          <cell r="E2711" t="str">
            <v/>
          </cell>
          <cell r="N2711" t="str">
            <v>-</v>
          </cell>
          <cell r="R2711" t="str">
            <v>-</v>
          </cell>
          <cell r="S2711" t="str">
            <v>-</v>
          </cell>
        </row>
        <row r="2712">
          <cell r="E2712" t="str">
            <v/>
          </cell>
          <cell r="N2712" t="str">
            <v>-</v>
          </cell>
          <cell r="R2712" t="str">
            <v>-</v>
          </cell>
          <cell r="S2712" t="str">
            <v>-</v>
          </cell>
        </row>
        <row r="2713">
          <cell r="E2713" t="str">
            <v/>
          </cell>
          <cell r="N2713" t="str">
            <v>-</v>
          </cell>
          <cell r="R2713" t="str">
            <v>-</v>
          </cell>
          <cell r="S2713" t="str">
            <v>-</v>
          </cell>
        </row>
        <row r="2714">
          <cell r="E2714" t="str">
            <v/>
          </cell>
          <cell r="N2714" t="str">
            <v>-</v>
          </cell>
          <cell r="R2714" t="str">
            <v>-</v>
          </cell>
          <cell r="S2714" t="str">
            <v>-</v>
          </cell>
        </row>
        <row r="2715">
          <cell r="E2715" t="str">
            <v/>
          </cell>
          <cell r="N2715" t="str">
            <v>-</v>
          </cell>
          <cell r="R2715" t="str">
            <v>-</v>
          </cell>
          <cell r="S2715" t="str">
            <v>-</v>
          </cell>
        </row>
        <row r="2716">
          <cell r="E2716" t="str">
            <v/>
          </cell>
          <cell r="N2716" t="str">
            <v>-</v>
          </cell>
          <cell r="R2716" t="str">
            <v>-</v>
          </cell>
          <cell r="S2716" t="str">
            <v>-</v>
          </cell>
        </row>
        <row r="2717">
          <cell r="E2717" t="str">
            <v/>
          </cell>
          <cell r="N2717" t="str">
            <v>-</v>
          </cell>
          <cell r="R2717" t="str">
            <v>-</v>
          </cell>
          <cell r="S2717" t="str">
            <v>-</v>
          </cell>
        </row>
        <row r="2718">
          <cell r="E2718" t="str">
            <v/>
          </cell>
          <cell r="N2718" t="str">
            <v>-</v>
          </cell>
          <cell r="R2718" t="str">
            <v>-</v>
          </cell>
          <cell r="S2718" t="str">
            <v>-</v>
          </cell>
        </row>
        <row r="2719">
          <cell r="E2719" t="str">
            <v/>
          </cell>
          <cell r="N2719" t="str">
            <v>-</v>
          </cell>
          <cell r="R2719" t="str">
            <v>-</v>
          </cell>
          <cell r="S2719" t="str">
            <v>-</v>
          </cell>
        </row>
        <row r="2720">
          <cell r="E2720" t="str">
            <v/>
          </cell>
          <cell r="N2720" t="str">
            <v>-</v>
          </cell>
          <cell r="R2720" t="str">
            <v>-</v>
          </cell>
          <cell r="S2720" t="str">
            <v>-</v>
          </cell>
        </row>
        <row r="2721">
          <cell r="E2721" t="str">
            <v/>
          </cell>
          <cell r="N2721" t="str">
            <v>-</v>
          </cell>
          <cell r="R2721" t="str">
            <v>-</v>
          </cell>
          <cell r="S2721" t="str">
            <v>-</v>
          </cell>
        </row>
        <row r="2722">
          <cell r="E2722" t="str">
            <v/>
          </cell>
          <cell r="N2722" t="str">
            <v>-</v>
          </cell>
          <cell r="R2722" t="str">
            <v>-</v>
          </cell>
          <cell r="S2722" t="str">
            <v>-</v>
          </cell>
        </row>
        <row r="2723">
          <cell r="E2723" t="str">
            <v/>
          </cell>
          <cell r="N2723" t="str">
            <v>-</v>
          </cell>
          <cell r="R2723" t="str">
            <v>-</v>
          </cell>
          <cell r="S2723" t="str">
            <v>-</v>
          </cell>
        </row>
        <row r="2724">
          <cell r="E2724" t="str">
            <v/>
          </cell>
          <cell r="N2724" t="str">
            <v>-</v>
          </cell>
          <cell r="R2724" t="str">
            <v>-</v>
          </cell>
          <cell r="S2724" t="str">
            <v>-</v>
          </cell>
        </row>
        <row r="2725">
          <cell r="E2725" t="str">
            <v/>
          </cell>
          <cell r="N2725" t="str">
            <v>-</v>
          </cell>
          <cell r="R2725" t="str">
            <v>-</v>
          </cell>
          <cell r="S2725" t="str">
            <v>-</v>
          </cell>
        </row>
        <row r="2726">
          <cell r="E2726" t="str">
            <v/>
          </cell>
          <cell r="N2726" t="str">
            <v>-</v>
          </cell>
          <cell r="R2726" t="str">
            <v>-</v>
          </cell>
          <cell r="S2726" t="str">
            <v>-</v>
          </cell>
        </row>
        <row r="2727">
          <cell r="E2727" t="str">
            <v/>
          </cell>
          <cell r="N2727" t="str">
            <v>-</v>
          </cell>
          <cell r="R2727" t="str">
            <v>-</v>
          </cell>
          <cell r="S2727" t="str">
            <v>-</v>
          </cell>
        </row>
        <row r="2728">
          <cell r="E2728" t="str">
            <v/>
          </cell>
          <cell r="N2728" t="str">
            <v>-</v>
          </cell>
          <cell r="R2728" t="str">
            <v>-</v>
          </cell>
          <cell r="S2728" t="str">
            <v>-</v>
          </cell>
        </row>
        <row r="2729">
          <cell r="E2729" t="str">
            <v/>
          </cell>
          <cell r="N2729" t="str">
            <v>-</v>
          </cell>
          <cell r="R2729" t="str">
            <v>-</v>
          </cell>
          <cell r="S2729" t="str">
            <v>-</v>
          </cell>
        </row>
        <row r="2730">
          <cell r="E2730" t="str">
            <v/>
          </cell>
          <cell r="N2730" t="str">
            <v>-</v>
          </cell>
          <cell r="R2730" t="str">
            <v>-</v>
          </cell>
          <cell r="S2730" t="str">
            <v>-</v>
          </cell>
        </row>
        <row r="2731">
          <cell r="E2731" t="str">
            <v/>
          </cell>
          <cell r="N2731" t="str">
            <v>-</v>
          </cell>
          <cell r="R2731" t="str">
            <v>-</v>
          </cell>
          <cell r="S2731" t="str">
            <v>-</v>
          </cell>
        </row>
        <row r="2732">
          <cell r="E2732" t="str">
            <v/>
          </cell>
          <cell r="N2732" t="str">
            <v>-</v>
          </cell>
          <cell r="R2732" t="str">
            <v>-</v>
          </cell>
          <cell r="S2732" t="str">
            <v>-</v>
          </cell>
        </row>
        <row r="2733">
          <cell r="E2733" t="str">
            <v/>
          </cell>
          <cell r="N2733" t="str">
            <v>-</v>
          </cell>
          <cell r="R2733" t="str">
            <v>-</v>
          </cell>
          <cell r="S2733" t="str">
            <v>-</v>
          </cell>
        </row>
        <row r="2734">
          <cell r="E2734" t="str">
            <v/>
          </cell>
          <cell r="N2734" t="str">
            <v>-</v>
          </cell>
          <cell r="R2734" t="str">
            <v>-</v>
          </cell>
          <cell r="S2734" t="str">
            <v>-</v>
          </cell>
        </row>
        <row r="2735">
          <cell r="E2735" t="str">
            <v/>
          </cell>
          <cell r="N2735" t="str">
            <v>-</v>
          </cell>
          <cell r="R2735" t="str">
            <v>-</v>
          </cell>
          <cell r="S2735" t="str">
            <v>-</v>
          </cell>
        </row>
        <row r="2736">
          <cell r="E2736" t="str">
            <v/>
          </cell>
          <cell r="N2736" t="str">
            <v>-</v>
          </cell>
          <cell r="R2736" t="str">
            <v>-</v>
          </cell>
          <cell r="S2736" t="str">
            <v>-</v>
          </cell>
        </row>
        <row r="2737">
          <cell r="E2737" t="str">
            <v/>
          </cell>
          <cell r="N2737" t="str">
            <v>-</v>
          </cell>
          <cell r="R2737" t="str">
            <v>-</v>
          </cell>
          <cell r="S2737" t="str">
            <v>-</v>
          </cell>
        </row>
        <row r="2738">
          <cell r="E2738" t="str">
            <v/>
          </cell>
          <cell r="N2738" t="str">
            <v>-</v>
          </cell>
          <cell r="R2738" t="str">
            <v>-</v>
          </cell>
          <cell r="S2738" t="str">
            <v>-</v>
          </cell>
        </row>
        <row r="2739">
          <cell r="E2739" t="str">
            <v/>
          </cell>
          <cell r="N2739" t="str">
            <v>-</v>
          </cell>
          <cell r="R2739" t="str">
            <v>-</v>
          </cell>
          <cell r="S2739" t="str">
            <v>-</v>
          </cell>
        </row>
        <row r="2740">
          <cell r="E2740" t="str">
            <v/>
          </cell>
          <cell r="N2740" t="str">
            <v>-</v>
          </cell>
          <cell r="R2740" t="str">
            <v>-</v>
          </cell>
          <cell r="S2740" t="str">
            <v>-</v>
          </cell>
        </row>
        <row r="2741">
          <cell r="E2741" t="str">
            <v/>
          </cell>
          <cell r="N2741" t="str">
            <v>-</v>
          </cell>
          <cell r="R2741" t="str">
            <v>-</v>
          </cell>
          <cell r="S2741" t="str">
            <v>-</v>
          </cell>
        </row>
        <row r="2742">
          <cell r="E2742" t="str">
            <v/>
          </cell>
          <cell r="N2742" t="str">
            <v>-</v>
          </cell>
          <cell r="R2742" t="str">
            <v>-</v>
          </cell>
          <cell r="S2742" t="str">
            <v>-</v>
          </cell>
        </row>
        <row r="2743">
          <cell r="E2743" t="str">
            <v/>
          </cell>
          <cell r="N2743" t="str">
            <v>-</v>
          </cell>
          <cell r="R2743" t="str">
            <v>-</v>
          </cell>
          <cell r="S2743" t="str">
            <v>-</v>
          </cell>
        </row>
        <row r="2744">
          <cell r="E2744" t="str">
            <v/>
          </cell>
          <cell r="N2744" t="str">
            <v>-</v>
          </cell>
          <cell r="R2744" t="str">
            <v>-</v>
          </cell>
          <cell r="S2744" t="str">
            <v>-</v>
          </cell>
        </row>
        <row r="2745">
          <cell r="E2745" t="str">
            <v/>
          </cell>
          <cell r="N2745" t="str">
            <v>-</v>
          </cell>
          <cell r="R2745" t="str">
            <v>-</v>
          </cell>
          <cell r="S2745" t="str">
            <v>-</v>
          </cell>
        </row>
        <row r="2746">
          <cell r="E2746" t="str">
            <v/>
          </cell>
          <cell r="N2746" t="str">
            <v>-</v>
          </cell>
          <cell r="R2746" t="str">
            <v>-</v>
          </cell>
          <cell r="S2746" t="str">
            <v>-</v>
          </cell>
        </row>
        <row r="2747">
          <cell r="E2747" t="str">
            <v/>
          </cell>
          <cell r="N2747" t="str">
            <v>-</v>
          </cell>
          <cell r="R2747" t="str">
            <v>-</v>
          </cell>
          <cell r="S2747" t="str">
            <v>-</v>
          </cell>
        </row>
        <row r="2748">
          <cell r="E2748" t="str">
            <v/>
          </cell>
          <cell r="N2748" t="str">
            <v>-</v>
          </cell>
          <cell r="R2748" t="str">
            <v>-</v>
          </cell>
          <cell r="S2748" t="str">
            <v>-</v>
          </cell>
        </row>
        <row r="2749">
          <cell r="E2749" t="str">
            <v/>
          </cell>
          <cell r="N2749" t="str">
            <v>-</v>
          </cell>
          <cell r="R2749" t="str">
            <v>-</v>
          </cell>
          <cell r="S2749" t="str">
            <v>-</v>
          </cell>
        </row>
        <row r="2750">
          <cell r="E2750" t="str">
            <v/>
          </cell>
          <cell r="N2750" t="str">
            <v>-</v>
          </cell>
          <cell r="R2750" t="str">
            <v>-</v>
          </cell>
          <cell r="S2750" t="str">
            <v>-</v>
          </cell>
        </row>
        <row r="2751">
          <cell r="E2751" t="str">
            <v/>
          </cell>
          <cell r="N2751" t="str">
            <v>-</v>
          </cell>
          <cell r="R2751" t="str">
            <v>-</v>
          </cell>
          <cell r="S2751" t="str">
            <v>-</v>
          </cell>
        </row>
        <row r="2752">
          <cell r="E2752" t="str">
            <v/>
          </cell>
          <cell r="N2752" t="str">
            <v>-</v>
          </cell>
          <cell r="R2752" t="str">
            <v>-</v>
          </cell>
          <cell r="S2752" t="str">
            <v>-</v>
          </cell>
        </row>
        <row r="2753">
          <cell r="E2753" t="str">
            <v/>
          </cell>
          <cell r="N2753" t="str">
            <v>-</v>
          </cell>
          <cell r="R2753" t="str">
            <v>-</v>
          </cell>
          <cell r="S2753" t="str">
            <v>-</v>
          </cell>
        </row>
        <row r="2754">
          <cell r="E2754" t="str">
            <v/>
          </cell>
          <cell r="N2754" t="str">
            <v>-</v>
          </cell>
          <cell r="R2754" t="str">
            <v>-</v>
          </cell>
          <cell r="S2754" t="str">
            <v>-</v>
          </cell>
        </row>
        <row r="2755">
          <cell r="E2755" t="str">
            <v/>
          </cell>
          <cell r="N2755" t="str">
            <v>-</v>
          </cell>
          <cell r="R2755" t="str">
            <v>-</v>
          </cell>
          <cell r="S2755" t="str">
            <v>-</v>
          </cell>
        </row>
        <row r="2756">
          <cell r="E2756" t="str">
            <v/>
          </cell>
          <cell r="N2756" t="str">
            <v>-</v>
          </cell>
          <cell r="R2756" t="str">
            <v>-</v>
          </cell>
          <cell r="S2756" t="str">
            <v>-</v>
          </cell>
        </row>
        <row r="2757">
          <cell r="E2757" t="str">
            <v/>
          </cell>
          <cell r="N2757" t="str">
            <v>-</v>
          </cell>
          <cell r="R2757" t="str">
            <v>-</v>
          </cell>
          <cell r="S2757" t="str">
            <v>-</v>
          </cell>
        </row>
        <row r="2758">
          <cell r="E2758" t="str">
            <v/>
          </cell>
          <cell r="N2758" t="str">
            <v>-</v>
          </cell>
          <cell r="R2758" t="str">
            <v>-</v>
          </cell>
          <cell r="S2758" t="str">
            <v>-</v>
          </cell>
        </row>
        <row r="2759">
          <cell r="E2759" t="str">
            <v/>
          </cell>
          <cell r="N2759" t="str">
            <v>-</v>
          </cell>
          <cell r="R2759" t="str">
            <v>-</v>
          </cell>
          <cell r="S2759" t="str">
            <v>-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88E008-5D24-4F48-8BAE-474D8D2E9475}" name="tblFormas" displayName="tblFormas" ref="A1:C22" totalsRowShown="0" headerRowDxfId="14">
  <autoFilter ref="A1:C22" xr:uid="{1088E008-5D24-4F48-8BAE-474D8D2E9475}"/>
  <tableColumns count="3">
    <tableColumn id="1" xr3:uid="{A84D2FF9-E165-49CB-8D3E-D83BCD21C0C0}" name="CAT3"/>
    <tableColumn id="2" xr3:uid="{FAB66C13-8DAD-4DA9-8C4E-3FD2FF5833A9}" name="Forma"/>
    <tableColumn id="3" xr3:uid="{15FE8876-85F0-4DBD-9C34-19A8E766EA20}" name="PalavrasCha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DC3F85-5C01-4DEF-B2AD-CA53E2CF333A}" name="tblClientes" displayName="tblClientes" ref="A1:B30" totalsRowShown="0" headerRowDxfId="13">
  <autoFilter ref="A1:B30" xr:uid="{6FDC3F85-5C01-4DEF-B2AD-CA53E2CF333A}"/>
  <tableColumns count="2">
    <tableColumn id="1" xr3:uid="{8484EB09-87C8-4C05-8750-F8B65D5CAA15}" name="Cliente"/>
    <tableColumn id="2" xr3:uid="{839C4DD1-83E5-4E70-90E9-3656AA065053}" name="CLI4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DB360A-B603-49AC-8926-124B9405B5A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b5d3c82-6798-4109-acf2-9011ca1087d3&quot;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305D-F049-48BF-BBCE-812AAE9AB56D}">
  <dimension ref="A1:N103"/>
  <sheetViews>
    <sheetView workbookViewId="0">
      <pane ySplit="3" topLeftCell="A4" activePane="bottomLeft" state="frozen"/>
      <selection pane="bottomLeft"/>
    </sheetView>
  </sheetViews>
  <sheetFormatPr defaultRowHeight="15" outlineLevelCol="1" x14ac:dyDescent="0.25"/>
  <cols>
    <col min="1" max="1" width="43.85546875" customWidth="1"/>
    <col min="2" max="2" width="24.7109375" customWidth="1"/>
    <col min="3" max="3" width="10.42578125" customWidth="1"/>
    <col min="4" max="4" width="11.42578125" customWidth="1"/>
    <col min="5" max="7" width="17.140625" customWidth="1"/>
    <col min="8" max="8" width="24.7109375" customWidth="1"/>
    <col min="9" max="10" width="10.42578125" customWidth="1"/>
    <col min="11" max="11" width="28.5703125" customWidth="1"/>
    <col min="12" max="12" width="24.7109375" customWidth="1"/>
    <col min="13" max="14" width="38.140625" customWidth="1" outlineLevel="1"/>
  </cols>
  <sheetData>
    <row r="1" spans="1:14" ht="18.75" x14ac:dyDescent="0.3">
      <c r="A1" s="54" t="s">
        <v>1425</v>
      </c>
    </row>
    <row r="2" spans="1:14" x14ac:dyDescent="0.25">
      <c r="A2" s="58" t="s">
        <v>1426</v>
      </c>
      <c r="B2" s="58"/>
      <c r="C2" s="58"/>
      <c r="D2" s="58"/>
      <c r="E2" s="58"/>
      <c r="F2" s="59" t="s">
        <v>1427</v>
      </c>
      <c r="G2" s="59"/>
      <c r="H2" s="59"/>
      <c r="I2" s="59"/>
      <c r="J2" s="59"/>
      <c r="K2" s="59"/>
      <c r="L2" s="55" t="s">
        <v>1428</v>
      </c>
    </row>
    <row r="3" spans="1:14" ht="60" x14ac:dyDescent="0.25">
      <c r="A3" s="56" t="s">
        <v>1429</v>
      </c>
      <c r="B3" s="56" t="s">
        <v>3</v>
      </c>
      <c r="C3" s="56" t="s">
        <v>1430</v>
      </c>
      <c r="D3" s="56" t="s">
        <v>1431</v>
      </c>
      <c r="E3" s="56" t="s">
        <v>1432</v>
      </c>
      <c r="F3" s="56" t="s">
        <v>1433</v>
      </c>
      <c r="G3" s="56" t="s">
        <v>1434</v>
      </c>
      <c r="H3" s="56" t="s">
        <v>1435</v>
      </c>
      <c r="I3" s="56" t="s">
        <v>1417</v>
      </c>
      <c r="J3" s="56" t="s">
        <v>1436</v>
      </c>
      <c r="K3" s="56" t="s">
        <v>1437</v>
      </c>
      <c r="L3" s="56" t="s">
        <v>1438</v>
      </c>
      <c r="M3" s="57" t="s">
        <v>1439</v>
      </c>
      <c r="N3" s="57" t="s">
        <v>1440</v>
      </c>
    </row>
    <row r="4" spans="1:14" x14ac:dyDescent="0.25">
      <c r="F4" s="1" t="str">
        <f>IF($A4="","",IF($E4&lt;&gt;"",UPPER($E4),$N4))</f>
        <v/>
      </c>
      <c r="G4" s="1" t="str" cm="1">
        <f t="array" ref="G4">IF($M4="","",SUM(_xlfn.BYROW(tblFormas[PalavrasChave],_xlfn.LAMBDA(_xlpm.k,IF(_xlpm.k="",0,--OR(ISNUMBER(SEARCH(_xlfn.TEXTSPLIT(_xlpm.k,";"),$M4))))))))</f>
        <v/>
      </c>
      <c r="H4" s="1" t="str">
        <f>IF($A4="","",IF($E4&lt;&gt;"","ALTA",IF($G4=1,"ALTA",IF($G4&gt;=2,"REVISAR - MULTIPLAS","REVISAR - NENHUMA"))))</f>
        <v/>
      </c>
      <c r="I4" s="1" t="str">
        <f>IF($B4="","",_xlfn.LET(_xlpm.v,IFERROR(_xlfn.XLOOKUP($B4,tblClientes[Cliente],tblClientes[CLI4],""),""),IF(_xlpm.v=0,"",_xlpm.v)))</f>
        <v/>
      </c>
      <c r="J4" s="1" t="str">
        <f>IF(OR($F4="",$I4=""),"",TEXT(COUNTIF(Produtos!$B:$B,$F4&amp;"-"&amp;$I4&amp;"-*")+COUNTIFS($F$3:F3,$F4,$I$3:I3,$I4)+1,"0000"))</f>
        <v/>
      </c>
      <c r="K4" s="26" t="str">
        <f>IF($A4="","",IF($I4="","CLIENTE SEM CLI4",IF($H4="ALTA",$F4&amp;"-"&amp;$I4&amp;"-"&amp;$J4,$H4)))</f>
        <v/>
      </c>
      <c r="L4" t="str">
        <f>IF($C4="","",TRIM($C4&amp;" "&amp;$D4))</f>
        <v/>
      </c>
      <c r="M4" t="str">
        <f>IF($A4="","",SUBSTITUTE(SUBSTITUTE(SUBSTITUTE(SUBSTITUTE(SUBSTITUTE(SUBSTITUTE(SUBSTITUTE(SUBSTITUTE(SUBSTITUTE(SUBSTITUTE(SUBSTITUTE(SUBSTITUTE(SUBSTITUTE(SUBSTITUTE(SUBSTITUTE(SUBSTITUTE(SUBSTITUTE(LOWER($A4),"á","a"),"à","a"),"â","a"),"ã","a"),"ä","a"),"é","e"),"ê","e"),"è","e"),"í","i"),"ï","i"),"ó","o"),"ô","o"),"õ","o"),"ò","o"),"ú","u"),"ü","u"),"ç","c"))</f>
        <v/>
      </c>
      <c r="N4" t="str" cm="1">
        <f t="array" ref="N4">IF($M4="","",IFERROR(INDEX(tblFormas[CAT3],MATCH(TRUE,_xlfn.BYROW(tblFormas[PalavrasChave],_xlfn.LAMBDA(_xlpm.k,IF(_xlpm.k="",FALSE,OR(ISNUMBER(SEARCH(_xlfn.TEXTSPLIT(_xlpm.k,";"),$M4)))))),0)),""))</f>
        <v/>
      </c>
    </row>
    <row r="5" spans="1:14" x14ac:dyDescent="0.25">
      <c r="F5" s="1" t="str">
        <f t="shared" ref="F5:F68" si="0">IF($A5="","",IF($E5&lt;&gt;"",UPPER($E5),$N5))</f>
        <v/>
      </c>
      <c r="G5" s="1" t="str" cm="1">
        <f t="array" ref="G5">IF($M5="","",SUM(_xlfn.BYROW(tblFormas[PalavrasChave],_xlfn.LAMBDA(_xlpm.k,IF(_xlpm.k="",0,--OR(ISNUMBER(SEARCH(_xlfn.TEXTSPLIT(_xlpm.k,";"),$M5))))))))</f>
        <v/>
      </c>
      <c r="H5" s="1" t="str">
        <f t="shared" ref="H5:H68" si="1">IF($A5="","",IF($E5&lt;&gt;"","ALTA",IF($G5=1,"ALTA",IF($G5&gt;=2,"REVISAR - MULTIPLAS","REVISAR - NENHUMA"))))</f>
        <v/>
      </c>
      <c r="I5" s="1" t="str">
        <f>IF($B5="","",_xlfn.LET(_xlpm.v,IFERROR(_xlfn.XLOOKUP($B5,tblClientes[Cliente],tblClientes[CLI4],""),""),IF(_xlpm.v=0,"",_xlpm.v)))</f>
        <v/>
      </c>
      <c r="J5" s="1" t="str">
        <f>IF(OR($F5="",$I5=""),"",TEXT(COUNTIF(Produtos!$B:$B,$F5&amp;"-"&amp;$I5&amp;"-*")+COUNTIFS($F$3:F4,$F5,$I$3:I4,$I5)+1,"0000"))</f>
        <v/>
      </c>
      <c r="K5" s="26" t="str">
        <f t="shared" ref="K5:K68" si="2">IF($A5="","",IF($I5="","CLIENTE SEM CLI4",IF($H5="ALTA",$F5&amp;"-"&amp;$I5&amp;"-"&amp;$J5,$H5)))</f>
        <v/>
      </c>
      <c r="L5" t="str">
        <f t="shared" ref="L5:L68" si="3">IF($C5="","",TRIM($C5&amp;" "&amp;$D5))</f>
        <v/>
      </c>
      <c r="M5" t="str">
        <f t="shared" ref="M5:M68" si="4">IF($A5="","",SUBSTITUTE(SUBSTITUTE(SUBSTITUTE(SUBSTITUTE(SUBSTITUTE(SUBSTITUTE(SUBSTITUTE(SUBSTITUTE(SUBSTITUTE(SUBSTITUTE(SUBSTITUTE(SUBSTITUTE(SUBSTITUTE(SUBSTITUTE(SUBSTITUTE(SUBSTITUTE(SUBSTITUTE(LOWER($A5),"á","a"),"à","a"),"â","a"),"ã","a"),"ä","a"),"é","e"),"ê","e"),"è","e"),"í","i"),"ï","i"),"ó","o"),"ô","o"),"õ","o"),"ò","o"),"ú","u"),"ü","u"),"ç","c"))</f>
        <v/>
      </c>
      <c r="N5" t="str" cm="1">
        <f t="array" ref="N5">IF($M5="","",IFERROR(INDEX(tblFormas[CAT3],MATCH(TRUE,_xlfn.BYROW(tblFormas[PalavrasChave],_xlfn.LAMBDA(_xlpm.k,IF(_xlpm.k="",FALSE,OR(ISNUMBER(SEARCH(_xlfn.TEXTSPLIT(_xlpm.k,";"),$M5)))))),0)),""))</f>
        <v/>
      </c>
    </row>
    <row r="6" spans="1:14" x14ac:dyDescent="0.25">
      <c r="F6" s="1" t="str">
        <f t="shared" si="0"/>
        <v/>
      </c>
      <c r="G6" s="1" t="str" cm="1">
        <f t="array" ref="G6">IF($M6="","",SUM(_xlfn.BYROW(tblFormas[PalavrasChave],_xlfn.LAMBDA(_xlpm.k,IF(_xlpm.k="",0,--OR(ISNUMBER(SEARCH(_xlfn.TEXTSPLIT(_xlpm.k,";"),$M6))))))))</f>
        <v/>
      </c>
      <c r="H6" s="1" t="str">
        <f t="shared" si="1"/>
        <v/>
      </c>
      <c r="I6" s="1" t="str">
        <f>IF($B6="","",_xlfn.LET(_xlpm.v,IFERROR(_xlfn.XLOOKUP($B6,tblClientes[Cliente],tblClientes[CLI4],""),""),IF(_xlpm.v=0,"",_xlpm.v)))</f>
        <v/>
      </c>
      <c r="J6" s="1" t="str">
        <f>IF(OR($F6="",$I6=""),"",TEXT(COUNTIF(Produtos!$B:$B,$F6&amp;"-"&amp;$I6&amp;"-*")+COUNTIFS($F$3:F5,$F6,$I$3:I5,$I6)+1,"0000"))</f>
        <v/>
      </c>
      <c r="K6" s="26" t="str">
        <f t="shared" si="2"/>
        <v/>
      </c>
      <c r="L6" t="str">
        <f t="shared" si="3"/>
        <v/>
      </c>
      <c r="M6" t="str">
        <f t="shared" si="4"/>
        <v/>
      </c>
      <c r="N6" t="str" cm="1">
        <f t="array" ref="N6">IF($M6="","",IFERROR(INDEX(tblFormas[CAT3],MATCH(TRUE,_xlfn.BYROW(tblFormas[PalavrasChave],_xlfn.LAMBDA(_xlpm.k,IF(_xlpm.k="",FALSE,OR(ISNUMBER(SEARCH(_xlfn.TEXTSPLIT(_xlpm.k,";"),$M6)))))),0)),""))</f>
        <v/>
      </c>
    </row>
    <row r="7" spans="1:14" x14ac:dyDescent="0.25">
      <c r="F7" s="1" t="str">
        <f t="shared" si="0"/>
        <v/>
      </c>
      <c r="G7" s="1" t="str" cm="1">
        <f t="array" ref="G7">IF($M7="","",SUM(_xlfn.BYROW(tblFormas[PalavrasChave],_xlfn.LAMBDA(_xlpm.k,IF(_xlpm.k="",0,--OR(ISNUMBER(SEARCH(_xlfn.TEXTSPLIT(_xlpm.k,";"),$M7))))))))</f>
        <v/>
      </c>
      <c r="H7" s="1" t="str">
        <f t="shared" si="1"/>
        <v/>
      </c>
      <c r="I7" s="1" t="str">
        <f>IF($B7="","",_xlfn.LET(_xlpm.v,IFERROR(_xlfn.XLOOKUP($B7,tblClientes[Cliente],tblClientes[CLI4],""),""),IF(_xlpm.v=0,"",_xlpm.v)))</f>
        <v/>
      </c>
      <c r="J7" s="1" t="str">
        <f>IF(OR($F7="",$I7=""),"",TEXT(COUNTIF(Produtos!$B:$B,$F7&amp;"-"&amp;$I7&amp;"-*")+COUNTIFS($F$3:F6,$F7,$I$3:I6,$I7)+1,"0000"))</f>
        <v/>
      </c>
      <c r="K7" s="26" t="str">
        <f t="shared" si="2"/>
        <v/>
      </c>
      <c r="L7" t="str">
        <f t="shared" si="3"/>
        <v/>
      </c>
      <c r="M7" t="str">
        <f t="shared" si="4"/>
        <v/>
      </c>
      <c r="N7" t="str" cm="1">
        <f t="array" ref="N7">IF($M7="","",IFERROR(INDEX(tblFormas[CAT3],MATCH(TRUE,_xlfn.BYROW(tblFormas[PalavrasChave],_xlfn.LAMBDA(_xlpm.k,IF(_xlpm.k="",FALSE,OR(ISNUMBER(SEARCH(_xlfn.TEXTSPLIT(_xlpm.k,";"),$M7)))))),0)),""))</f>
        <v/>
      </c>
    </row>
    <row r="8" spans="1:14" x14ac:dyDescent="0.25">
      <c r="F8" s="1" t="str">
        <f t="shared" si="0"/>
        <v/>
      </c>
      <c r="G8" s="1" t="str" cm="1">
        <f t="array" ref="G8">IF($M8="","",SUM(_xlfn.BYROW(tblFormas[PalavrasChave],_xlfn.LAMBDA(_xlpm.k,IF(_xlpm.k="",0,--OR(ISNUMBER(SEARCH(_xlfn.TEXTSPLIT(_xlpm.k,";"),$M8))))))))</f>
        <v/>
      </c>
      <c r="H8" s="1" t="str">
        <f t="shared" si="1"/>
        <v/>
      </c>
      <c r="I8" s="1" t="str">
        <f>IF($B8="","",_xlfn.LET(_xlpm.v,IFERROR(_xlfn.XLOOKUP($B8,tblClientes[Cliente],tblClientes[CLI4],""),""),IF(_xlpm.v=0,"",_xlpm.v)))</f>
        <v/>
      </c>
      <c r="J8" s="1" t="str">
        <f>IF(OR($F8="",$I8=""),"",TEXT(COUNTIF(Produtos!$B:$B,$F8&amp;"-"&amp;$I8&amp;"-*")+COUNTIFS($F$3:F7,$F8,$I$3:I7,$I8)+1,"0000"))</f>
        <v/>
      </c>
      <c r="K8" s="26" t="str">
        <f t="shared" si="2"/>
        <v/>
      </c>
      <c r="L8" t="str">
        <f t="shared" si="3"/>
        <v/>
      </c>
      <c r="M8" t="str">
        <f t="shared" si="4"/>
        <v/>
      </c>
      <c r="N8" t="str" cm="1">
        <f t="array" ref="N8">IF($M8="","",IFERROR(INDEX(tblFormas[CAT3],MATCH(TRUE,_xlfn.BYROW(tblFormas[PalavrasChave],_xlfn.LAMBDA(_xlpm.k,IF(_xlpm.k="",FALSE,OR(ISNUMBER(SEARCH(_xlfn.TEXTSPLIT(_xlpm.k,";"),$M8)))))),0)),""))</f>
        <v/>
      </c>
    </row>
    <row r="9" spans="1:14" x14ac:dyDescent="0.25">
      <c r="F9" s="1" t="str">
        <f t="shared" si="0"/>
        <v/>
      </c>
      <c r="G9" s="1" t="str" cm="1">
        <f t="array" ref="G9">IF($M9="","",SUM(_xlfn.BYROW(tblFormas[PalavrasChave],_xlfn.LAMBDA(_xlpm.k,IF(_xlpm.k="",0,--OR(ISNUMBER(SEARCH(_xlfn.TEXTSPLIT(_xlpm.k,";"),$M9))))))))</f>
        <v/>
      </c>
      <c r="H9" s="1" t="str">
        <f t="shared" si="1"/>
        <v/>
      </c>
      <c r="I9" s="1" t="str">
        <f>IF($B9="","",_xlfn.LET(_xlpm.v,IFERROR(_xlfn.XLOOKUP($B9,tblClientes[Cliente],tblClientes[CLI4],""),""),IF(_xlpm.v=0,"",_xlpm.v)))</f>
        <v/>
      </c>
      <c r="J9" s="1" t="str">
        <f>IF(OR($F9="",$I9=""),"",TEXT(COUNTIF(Produtos!$B:$B,$F9&amp;"-"&amp;$I9&amp;"-*")+COUNTIFS($F$3:F8,$F9,$I$3:I8,$I9)+1,"0000"))</f>
        <v/>
      </c>
      <c r="K9" s="26" t="str">
        <f t="shared" si="2"/>
        <v/>
      </c>
      <c r="L9" t="str">
        <f t="shared" si="3"/>
        <v/>
      </c>
      <c r="M9" t="str">
        <f t="shared" si="4"/>
        <v/>
      </c>
      <c r="N9" t="str" cm="1">
        <f t="array" ref="N9">IF($M9="","",IFERROR(INDEX(tblFormas[CAT3],MATCH(TRUE,_xlfn.BYROW(tblFormas[PalavrasChave],_xlfn.LAMBDA(_xlpm.k,IF(_xlpm.k="",FALSE,OR(ISNUMBER(SEARCH(_xlfn.TEXTSPLIT(_xlpm.k,";"),$M9)))))),0)),""))</f>
        <v/>
      </c>
    </row>
    <row r="10" spans="1:14" x14ac:dyDescent="0.25">
      <c r="F10" s="1" t="str">
        <f t="shared" si="0"/>
        <v/>
      </c>
      <c r="G10" s="1" t="str" cm="1">
        <f t="array" ref="G10">IF($M10="","",SUM(_xlfn.BYROW(tblFormas[PalavrasChave],_xlfn.LAMBDA(_xlpm.k,IF(_xlpm.k="",0,--OR(ISNUMBER(SEARCH(_xlfn.TEXTSPLIT(_xlpm.k,";"),$M10))))))))</f>
        <v/>
      </c>
      <c r="H10" s="1" t="str">
        <f t="shared" si="1"/>
        <v/>
      </c>
      <c r="I10" s="1" t="str">
        <f>IF($B10="","",_xlfn.LET(_xlpm.v,IFERROR(_xlfn.XLOOKUP($B10,tblClientes[Cliente],tblClientes[CLI4],""),""),IF(_xlpm.v=0,"",_xlpm.v)))</f>
        <v/>
      </c>
      <c r="J10" s="1" t="str">
        <f>IF(OR($F10="",$I10=""),"",TEXT(COUNTIF(Produtos!$B:$B,$F10&amp;"-"&amp;$I10&amp;"-*")+COUNTIFS($F$3:F9,$F10,$I$3:I9,$I10)+1,"0000"))</f>
        <v/>
      </c>
      <c r="K10" s="26" t="str">
        <f t="shared" si="2"/>
        <v/>
      </c>
      <c r="L10" t="str">
        <f t="shared" si="3"/>
        <v/>
      </c>
      <c r="M10" t="str">
        <f t="shared" si="4"/>
        <v/>
      </c>
      <c r="N10" t="str" cm="1">
        <f t="array" ref="N10">IF($M10="","",IFERROR(INDEX(tblFormas[CAT3],MATCH(TRUE,_xlfn.BYROW(tblFormas[PalavrasChave],_xlfn.LAMBDA(_xlpm.k,IF(_xlpm.k="",FALSE,OR(ISNUMBER(SEARCH(_xlfn.TEXTSPLIT(_xlpm.k,";"),$M10)))))),0)),""))</f>
        <v/>
      </c>
    </row>
    <row r="11" spans="1:14" x14ac:dyDescent="0.25">
      <c r="F11" s="1" t="str">
        <f t="shared" si="0"/>
        <v/>
      </c>
      <c r="G11" s="1" t="str" cm="1">
        <f t="array" ref="G11">IF($M11="","",SUM(_xlfn.BYROW(tblFormas[PalavrasChave],_xlfn.LAMBDA(_xlpm.k,IF(_xlpm.k="",0,--OR(ISNUMBER(SEARCH(_xlfn.TEXTSPLIT(_xlpm.k,";"),$M11))))))))</f>
        <v/>
      </c>
      <c r="H11" s="1" t="str">
        <f t="shared" si="1"/>
        <v/>
      </c>
      <c r="I11" s="1" t="str">
        <f>IF($B11="","",_xlfn.LET(_xlpm.v,IFERROR(_xlfn.XLOOKUP($B11,tblClientes[Cliente],tblClientes[CLI4],""),""),IF(_xlpm.v=0,"",_xlpm.v)))</f>
        <v/>
      </c>
      <c r="J11" s="1" t="str">
        <f>IF(OR($F11="",$I11=""),"",TEXT(COUNTIF(Produtos!$B:$B,$F11&amp;"-"&amp;$I11&amp;"-*")+COUNTIFS($F$3:F10,$F11,$I$3:I10,$I11)+1,"0000"))</f>
        <v/>
      </c>
      <c r="K11" s="26" t="str">
        <f t="shared" si="2"/>
        <v/>
      </c>
      <c r="L11" t="str">
        <f t="shared" si="3"/>
        <v/>
      </c>
      <c r="M11" t="str">
        <f t="shared" si="4"/>
        <v/>
      </c>
      <c r="N11" t="str" cm="1">
        <f t="array" ref="N11">IF($M11="","",IFERROR(INDEX(tblFormas[CAT3],MATCH(TRUE,_xlfn.BYROW(tblFormas[PalavrasChave],_xlfn.LAMBDA(_xlpm.k,IF(_xlpm.k="",FALSE,OR(ISNUMBER(SEARCH(_xlfn.TEXTSPLIT(_xlpm.k,";"),$M11)))))),0)),""))</f>
        <v/>
      </c>
    </row>
    <row r="12" spans="1:14" x14ac:dyDescent="0.25">
      <c r="F12" s="1" t="str">
        <f t="shared" si="0"/>
        <v/>
      </c>
      <c r="G12" s="1" t="str" cm="1">
        <f t="array" ref="G12">IF($M12="","",SUM(_xlfn.BYROW(tblFormas[PalavrasChave],_xlfn.LAMBDA(_xlpm.k,IF(_xlpm.k="",0,--OR(ISNUMBER(SEARCH(_xlfn.TEXTSPLIT(_xlpm.k,";"),$M12))))))))</f>
        <v/>
      </c>
      <c r="H12" s="1" t="str">
        <f t="shared" si="1"/>
        <v/>
      </c>
      <c r="I12" s="1" t="str">
        <f>IF($B12="","",_xlfn.LET(_xlpm.v,IFERROR(_xlfn.XLOOKUP($B12,tblClientes[Cliente],tblClientes[CLI4],""),""),IF(_xlpm.v=0,"",_xlpm.v)))</f>
        <v/>
      </c>
      <c r="J12" s="1" t="str">
        <f>IF(OR($F12="",$I12=""),"",TEXT(COUNTIF(Produtos!$B:$B,$F12&amp;"-"&amp;$I12&amp;"-*")+COUNTIFS($F$3:F11,$F12,$I$3:I11,$I12)+1,"0000"))</f>
        <v/>
      </c>
      <c r="K12" s="26" t="str">
        <f t="shared" si="2"/>
        <v/>
      </c>
      <c r="L12" t="str">
        <f t="shared" si="3"/>
        <v/>
      </c>
      <c r="M12" t="str">
        <f t="shared" si="4"/>
        <v/>
      </c>
      <c r="N12" t="str" cm="1">
        <f t="array" ref="N12">IF($M12="","",IFERROR(INDEX(tblFormas[CAT3],MATCH(TRUE,_xlfn.BYROW(tblFormas[PalavrasChave],_xlfn.LAMBDA(_xlpm.k,IF(_xlpm.k="",FALSE,OR(ISNUMBER(SEARCH(_xlfn.TEXTSPLIT(_xlpm.k,";"),$M12)))))),0)),""))</f>
        <v/>
      </c>
    </row>
    <row r="13" spans="1:14" x14ac:dyDescent="0.25">
      <c r="F13" s="1" t="str">
        <f t="shared" si="0"/>
        <v/>
      </c>
      <c r="G13" s="1" t="str" cm="1">
        <f t="array" ref="G13">IF($M13="","",SUM(_xlfn.BYROW(tblFormas[PalavrasChave],_xlfn.LAMBDA(_xlpm.k,IF(_xlpm.k="",0,--OR(ISNUMBER(SEARCH(_xlfn.TEXTSPLIT(_xlpm.k,";"),$M13))))))))</f>
        <v/>
      </c>
      <c r="H13" s="1" t="str">
        <f t="shared" si="1"/>
        <v/>
      </c>
      <c r="I13" s="1" t="str">
        <f>IF($B13="","",_xlfn.LET(_xlpm.v,IFERROR(_xlfn.XLOOKUP($B13,tblClientes[Cliente],tblClientes[CLI4],""),""),IF(_xlpm.v=0,"",_xlpm.v)))</f>
        <v/>
      </c>
      <c r="J13" s="1" t="str">
        <f>IF(OR($F13="",$I13=""),"",TEXT(COUNTIF(Produtos!$B:$B,$F13&amp;"-"&amp;$I13&amp;"-*")+COUNTIFS($F$3:F12,$F13,$I$3:I12,$I13)+1,"0000"))</f>
        <v/>
      </c>
      <c r="K13" s="26" t="str">
        <f t="shared" si="2"/>
        <v/>
      </c>
      <c r="L13" t="str">
        <f t="shared" si="3"/>
        <v/>
      </c>
      <c r="M13" t="str">
        <f t="shared" si="4"/>
        <v/>
      </c>
      <c r="N13" t="str" cm="1">
        <f t="array" ref="N13">IF($M13="","",IFERROR(INDEX(tblFormas[CAT3],MATCH(TRUE,_xlfn.BYROW(tblFormas[PalavrasChave],_xlfn.LAMBDA(_xlpm.k,IF(_xlpm.k="",FALSE,OR(ISNUMBER(SEARCH(_xlfn.TEXTSPLIT(_xlpm.k,";"),$M13)))))),0)),""))</f>
        <v/>
      </c>
    </row>
    <row r="14" spans="1:14" x14ac:dyDescent="0.25">
      <c r="F14" s="1" t="str">
        <f t="shared" si="0"/>
        <v/>
      </c>
      <c r="G14" s="1" t="str" cm="1">
        <f t="array" ref="G14">IF($M14="","",SUM(_xlfn.BYROW(tblFormas[PalavrasChave],_xlfn.LAMBDA(_xlpm.k,IF(_xlpm.k="",0,--OR(ISNUMBER(SEARCH(_xlfn.TEXTSPLIT(_xlpm.k,";"),$M14))))))))</f>
        <v/>
      </c>
      <c r="H14" s="1" t="str">
        <f t="shared" si="1"/>
        <v/>
      </c>
      <c r="I14" s="1" t="str">
        <f>IF($B14="","",_xlfn.LET(_xlpm.v,IFERROR(_xlfn.XLOOKUP($B14,tblClientes[Cliente],tblClientes[CLI4],""),""),IF(_xlpm.v=0,"",_xlpm.v)))</f>
        <v/>
      </c>
      <c r="J14" s="1" t="str">
        <f>IF(OR($F14="",$I14=""),"",TEXT(COUNTIF(Produtos!$B:$B,$F14&amp;"-"&amp;$I14&amp;"-*")+COUNTIFS($F$3:F13,$F14,$I$3:I13,$I14)+1,"0000"))</f>
        <v/>
      </c>
      <c r="K14" s="26" t="str">
        <f t="shared" si="2"/>
        <v/>
      </c>
      <c r="L14" t="str">
        <f t="shared" si="3"/>
        <v/>
      </c>
      <c r="M14" t="str">
        <f t="shared" si="4"/>
        <v/>
      </c>
      <c r="N14" t="str" cm="1">
        <f t="array" ref="N14">IF($M14="","",IFERROR(INDEX(tblFormas[CAT3],MATCH(TRUE,_xlfn.BYROW(tblFormas[PalavrasChave],_xlfn.LAMBDA(_xlpm.k,IF(_xlpm.k="",FALSE,OR(ISNUMBER(SEARCH(_xlfn.TEXTSPLIT(_xlpm.k,";"),$M14)))))),0)),""))</f>
        <v/>
      </c>
    </row>
    <row r="15" spans="1:14" x14ac:dyDescent="0.25">
      <c r="F15" s="1" t="str">
        <f t="shared" si="0"/>
        <v/>
      </c>
      <c r="G15" s="1" t="str" cm="1">
        <f t="array" ref="G15">IF($M15="","",SUM(_xlfn.BYROW(tblFormas[PalavrasChave],_xlfn.LAMBDA(_xlpm.k,IF(_xlpm.k="",0,--OR(ISNUMBER(SEARCH(_xlfn.TEXTSPLIT(_xlpm.k,";"),$M15))))))))</f>
        <v/>
      </c>
      <c r="H15" s="1" t="str">
        <f t="shared" si="1"/>
        <v/>
      </c>
      <c r="I15" s="1" t="str">
        <f>IF($B15="","",_xlfn.LET(_xlpm.v,IFERROR(_xlfn.XLOOKUP($B15,tblClientes[Cliente],tblClientes[CLI4],""),""),IF(_xlpm.v=0,"",_xlpm.v)))</f>
        <v/>
      </c>
      <c r="J15" s="1" t="str">
        <f>IF(OR($F15="",$I15=""),"",TEXT(COUNTIF(Produtos!$B:$B,$F15&amp;"-"&amp;$I15&amp;"-*")+COUNTIFS($F$3:F14,$F15,$I$3:I14,$I15)+1,"0000"))</f>
        <v/>
      </c>
      <c r="K15" s="26" t="str">
        <f t="shared" si="2"/>
        <v/>
      </c>
      <c r="L15" t="str">
        <f t="shared" si="3"/>
        <v/>
      </c>
      <c r="M15" t="str">
        <f t="shared" si="4"/>
        <v/>
      </c>
      <c r="N15" t="str" cm="1">
        <f t="array" ref="N15">IF($M15="","",IFERROR(INDEX(tblFormas[CAT3],MATCH(TRUE,_xlfn.BYROW(tblFormas[PalavrasChave],_xlfn.LAMBDA(_xlpm.k,IF(_xlpm.k="",FALSE,OR(ISNUMBER(SEARCH(_xlfn.TEXTSPLIT(_xlpm.k,";"),$M15)))))),0)),""))</f>
        <v/>
      </c>
    </row>
    <row r="16" spans="1:14" x14ac:dyDescent="0.25">
      <c r="F16" s="1" t="str">
        <f t="shared" si="0"/>
        <v/>
      </c>
      <c r="G16" s="1" t="str" cm="1">
        <f t="array" ref="G16">IF($M16="","",SUM(_xlfn.BYROW(tblFormas[PalavrasChave],_xlfn.LAMBDA(_xlpm.k,IF(_xlpm.k="",0,--OR(ISNUMBER(SEARCH(_xlfn.TEXTSPLIT(_xlpm.k,";"),$M16))))))))</f>
        <v/>
      </c>
      <c r="H16" s="1" t="str">
        <f t="shared" si="1"/>
        <v/>
      </c>
      <c r="I16" s="1" t="str">
        <f>IF($B16="","",_xlfn.LET(_xlpm.v,IFERROR(_xlfn.XLOOKUP($B16,tblClientes[Cliente],tblClientes[CLI4],""),""),IF(_xlpm.v=0,"",_xlpm.v)))</f>
        <v/>
      </c>
      <c r="J16" s="1" t="str">
        <f>IF(OR($F16="",$I16=""),"",TEXT(COUNTIF(Produtos!$B:$B,$F16&amp;"-"&amp;$I16&amp;"-*")+COUNTIFS($F$3:F15,$F16,$I$3:I15,$I16)+1,"0000"))</f>
        <v/>
      </c>
      <c r="K16" s="26" t="str">
        <f t="shared" si="2"/>
        <v/>
      </c>
      <c r="L16" t="str">
        <f t="shared" si="3"/>
        <v/>
      </c>
      <c r="M16" t="str">
        <f t="shared" si="4"/>
        <v/>
      </c>
      <c r="N16" t="str" cm="1">
        <f t="array" ref="N16">IF($M16="","",IFERROR(INDEX(tblFormas[CAT3],MATCH(TRUE,_xlfn.BYROW(tblFormas[PalavrasChave],_xlfn.LAMBDA(_xlpm.k,IF(_xlpm.k="",FALSE,OR(ISNUMBER(SEARCH(_xlfn.TEXTSPLIT(_xlpm.k,";"),$M16)))))),0)),""))</f>
        <v/>
      </c>
    </row>
    <row r="17" spans="6:14" x14ac:dyDescent="0.25">
      <c r="F17" s="1" t="str">
        <f t="shared" si="0"/>
        <v/>
      </c>
      <c r="G17" s="1" t="str" cm="1">
        <f t="array" ref="G17">IF($M17="","",SUM(_xlfn.BYROW(tblFormas[PalavrasChave],_xlfn.LAMBDA(_xlpm.k,IF(_xlpm.k="",0,--OR(ISNUMBER(SEARCH(_xlfn.TEXTSPLIT(_xlpm.k,";"),$M17))))))))</f>
        <v/>
      </c>
      <c r="H17" s="1" t="str">
        <f t="shared" si="1"/>
        <v/>
      </c>
      <c r="I17" s="1" t="str">
        <f>IF($B17="","",_xlfn.LET(_xlpm.v,IFERROR(_xlfn.XLOOKUP($B17,tblClientes[Cliente],tblClientes[CLI4],""),""),IF(_xlpm.v=0,"",_xlpm.v)))</f>
        <v/>
      </c>
      <c r="J17" s="1" t="str">
        <f>IF(OR($F17="",$I17=""),"",TEXT(COUNTIF(Produtos!$B:$B,$F17&amp;"-"&amp;$I17&amp;"-*")+COUNTIFS($F$3:F16,$F17,$I$3:I16,$I17)+1,"0000"))</f>
        <v/>
      </c>
      <c r="K17" s="26" t="str">
        <f t="shared" si="2"/>
        <v/>
      </c>
      <c r="L17" t="str">
        <f t="shared" si="3"/>
        <v/>
      </c>
      <c r="M17" t="str">
        <f t="shared" si="4"/>
        <v/>
      </c>
      <c r="N17" t="str" cm="1">
        <f t="array" ref="N17">IF($M17="","",IFERROR(INDEX(tblFormas[CAT3],MATCH(TRUE,_xlfn.BYROW(tblFormas[PalavrasChave],_xlfn.LAMBDA(_xlpm.k,IF(_xlpm.k="",FALSE,OR(ISNUMBER(SEARCH(_xlfn.TEXTSPLIT(_xlpm.k,";"),$M17)))))),0)),""))</f>
        <v/>
      </c>
    </row>
    <row r="18" spans="6:14" x14ac:dyDescent="0.25">
      <c r="F18" s="1" t="str">
        <f t="shared" si="0"/>
        <v/>
      </c>
      <c r="G18" s="1" t="str" cm="1">
        <f t="array" ref="G18">IF($M18="","",SUM(_xlfn.BYROW(tblFormas[PalavrasChave],_xlfn.LAMBDA(_xlpm.k,IF(_xlpm.k="",0,--OR(ISNUMBER(SEARCH(_xlfn.TEXTSPLIT(_xlpm.k,";"),$M18))))))))</f>
        <v/>
      </c>
      <c r="H18" s="1" t="str">
        <f t="shared" si="1"/>
        <v/>
      </c>
      <c r="I18" s="1" t="str">
        <f>IF($B18="","",_xlfn.LET(_xlpm.v,IFERROR(_xlfn.XLOOKUP($B18,tblClientes[Cliente],tblClientes[CLI4],""),""),IF(_xlpm.v=0,"",_xlpm.v)))</f>
        <v/>
      </c>
      <c r="J18" s="1" t="str">
        <f>IF(OR($F18="",$I18=""),"",TEXT(COUNTIF(Produtos!$B:$B,$F18&amp;"-"&amp;$I18&amp;"-*")+COUNTIFS($F$3:F17,$F18,$I$3:I17,$I18)+1,"0000"))</f>
        <v/>
      </c>
      <c r="K18" s="26" t="str">
        <f t="shared" si="2"/>
        <v/>
      </c>
      <c r="L18" t="str">
        <f t="shared" si="3"/>
        <v/>
      </c>
      <c r="M18" t="str">
        <f t="shared" si="4"/>
        <v/>
      </c>
      <c r="N18" t="str" cm="1">
        <f t="array" ref="N18">IF($M18="","",IFERROR(INDEX(tblFormas[CAT3],MATCH(TRUE,_xlfn.BYROW(tblFormas[PalavrasChave],_xlfn.LAMBDA(_xlpm.k,IF(_xlpm.k="",FALSE,OR(ISNUMBER(SEARCH(_xlfn.TEXTSPLIT(_xlpm.k,";"),$M18)))))),0)),""))</f>
        <v/>
      </c>
    </row>
    <row r="19" spans="6:14" x14ac:dyDescent="0.25">
      <c r="F19" s="1" t="str">
        <f t="shared" si="0"/>
        <v/>
      </c>
      <c r="G19" s="1" t="str" cm="1">
        <f t="array" ref="G19">IF($M19="","",SUM(_xlfn.BYROW(tblFormas[PalavrasChave],_xlfn.LAMBDA(_xlpm.k,IF(_xlpm.k="",0,--OR(ISNUMBER(SEARCH(_xlfn.TEXTSPLIT(_xlpm.k,";"),$M19))))))))</f>
        <v/>
      </c>
      <c r="H19" s="1" t="str">
        <f t="shared" si="1"/>
        <v/>
      </c>
      <c r="I19" s="1" t="str">
        <f>IF($B19="","",_xlfn.LET(_xlpm.v,IFERROR(_xlfn.XLOOKUP($B19,tblClientes[Cliente],tblClientes[CLI4],""),""),IF(_xlpm.v=0,"",_xlpm.v)))</f>
        <v/>
      </c>
      <c r="J19" s="1" t="str">
        <f>IF(OR($F19="",$I19=""),"",TEXT(COUNTIF(Produtos!$B:$B,$F19&amp;"-"&amp;$I19&amp;"-*")+COUNTIFS($F$3:F18,$F19,$I$3:I18,$I19)+1,"0000"))</f>
        <v/>
      </c>
      <c r="K19" s="26" t="str">
        <f t="shared" si="2"/>
        <v/>
      </c>
      <c r="L19" t="str">
        <f t="shared" si="3"/>
        <v/>
      </c>
      <c r="M19" t="str">
        <f t="shared" si="4"/>
        <v/>
      </c>
      <c r="N19" t="str" cm="1">
        <f t="array" ref="N19">IF($M19="","",IFERROR(INDEX(tblFormas[CAT3],MATCH(TRUE,_xlfn.BYROW(tblFormas[PalavrasChave],_xlfn.LAMBDA(_xlpm.k,IF(_xlpm.k="",FALSE,OR(ISNUMBER(SEARCH(_xlfn.TEXTSPLIT(_xlpm.k,";"),$M19)))))),0)),""))</f>
        <v/>
      </c>
    </row>
    <row r="20" spans="6:14" x14ac:dyDescent="0.25">
      <c r="F20" s="1" t="str">
        <f t="shared" si="0"/>
        <v/>
      </c>
      <c r="G20" s="1" t="str" cm="1">
        <f t="array" ref="G20">IF($M20="","",SUM(_xlfn.BYROW(tblFormas[PalavrasChave],_xlfn.LAMBDA(_xlpm.k,IF(_xlpm.k="",0,--OR(ISNUMBER(SEARCH(_xlfn.TEXTSPLIT(_xlpm.k,";"),$M20))))))))</f>
        <v/>
      </c>
      <c r="H20" s="1" t="str">
        <f t="shared" si="1"/>
        <v/>
      </c>
      <c r="I20" s="1" t="str">
        <f>IF($B20="","",_xlfn.LET(_xlpm.v,IFERROR(_xlfn.XLOOKUP($B20,tblClientes[Cliente],tblClientes[CLI4],""),""),IF(_xlpm.v=0,"",_xlpm.v)))</f>
        <v/>
      </c>
      <c r="J20" s="1" t="str">
        <f>IF(OR($F20="",$I20=""),"",TEXT(COUNTIF(Produtos!$B:$B,$F20&amp;"-"&amp;$I20&amp;"-*")+COUNTIFS($F$3:F19,$F20,$I$3:I19,$I20)+1,"0000"))</f>
        <v/>
      </c>
      <c r="K20" s="26" t="str">
        <f t="shared" si="2"/>
        <v/>
      </c>
      <c r="L20" t="str">
        <f t="shared" si="3"/>
        <v/>
      </c>
      <c r="M20" t="str">
        <f t="shared" si="4"/>
        <v/>
      </c>
      <c r="N20" t="str" cm="1">
        <f t="array" ref="N20">IF($M20="","",IFERROR(INDEX(tblFormas[CAT3],MATCH(TRUE,_xlfn.BYROW(tblFormas[PalavrasChave],_xlfn.LAMBDA(_xlpm.k,IF(_xlpm.k="",FALSE,OR(ISNUMBER(SEARCH(_xlfn.TEXTSPLIT(_xlpm.k,";"),$M20)))))),0)),""))</f>
        <v/>
      </c>
    </row>
    <row r="21" spans="6:14" x14ac:dyDescent="0.25">
      <c r="F21" s="1" t="str">
        <f t="shared" si="0"/>
        <v/>
      </c>
      <c r="G21" s="1" t="str" cm="1">
        <f t="array" ref="G21">IF($M21="","",SUM(_xlfn.BYROW(tblFormas[PalavrasChave],_xlfn.LAMBDA(_xlpm.k,IF(_xlpm.k="",0,--OR(ISNUMBER(SEARCH(_xlfn.TEXTSPLIT(_xlpm.k,";"),$M21))))))))</f>
        <v/>
      </c>
      <c r="H21" s="1" t="str">
        <f t="shared" si="1"/>
        <v/>
      </c>
      <c r="I21" s="1" t="str">
        <f>IF($B21="","",_xlfn.LET(_xlpm.v,IFERROR(_xlfn.XLOOKUP($B21,tblClientes[Cliente],tblClientes[CLI4],""),""),IF(_xlpm.v=0,"",_xlpm.v)))</f>
        <v/>
      </c>
      <c r="J21" s="1" t="str">
        <f>IF(OR($F21="",$I21=""),"",TEXT(COUNTIF(Produtos!$B:$B,$F21&amp;"-"&amp;$I21&amp;"-*")+COUNTIFS($F$3:F20,$F21,$I$3:I20,$I21)+1,"0000"))</f>
        <v/>
      </c>
      <c r="K21" s="26" t="str">
        <f t="shared" si="2"/>
        <v/>
      </c>
      <c r="L21" t="str">
        <f t="shared" si="3"/>
        <v/>
      </c>
      <c r="M21" t="str">
        <f t="shared" si="4"/>
        <v/>
      </c>
      <c r="N21" t="str" cm="1">
        <f t="array" ref="N21">IF($M21="","",IFERROR(INDEX(tblFormas[CAT3],MATCH(TRUE,_xlfn.BYROW(tblFormas[PalavrasChave],_xlfn.LAMBDA(_xlpm.k,IF(_xlpm.k="",FALSE,OR(ISNUMBER(SEARCH(_xlfn.TEXTSPLIT(_xlpm.k,";"),$M21)))))),0)),""))</f>
        <v/>
      </c>
    </row>
    <row r="22" spans="6:14" x14ac:dyDescent="0.25">
      <c r="F22" s="1" t="str">
        <f t="shared" si="0"/>
        <v/>
      </c>
      <c r="G22" s="1" t="str" cm="1">
        <f t="array" ref="G22">IF($M22="","",SUM(_xlfn.BYROW(tblFormas[PalavrasChave],_xlfn.LAMBDA(_xlpm.k,IF(_xlpm.k="",0,--OR(ISNUMBER(SEARCH(_xlfn.TEXTSPLIT(_xlpm.k,";"),$M22))))))))</f>
        <v/>
      </c>
      <c r="H22" s="1" t="str">
        <f t="shared" si="1"/>
        <v/>
      </c>
      <c r="I22" s="1" t="str">
        <f>IF($B22="","",_xlfn.LET(_xlpm.v,IFERROR(_xlfn.XLOOKUP($B22,tblClientes[Cliente],tblClientes[CLI4],""),""),IF(_xlpm.v=0,"",_xlpm.v)))</f>
        <v/>
      </c>
      <c r="J22" s="1" t="str">
        <f>IF(OR($F22="",$I22=""),"",TEXT(COUNTIF(Produtos!$B:$B,$F22&amp;"-"&amp;$I22&amp;"-*")+COUNTIFS($F$3:F21,$F22,$I$3:I21,$I22)+1,"0000"))</f>
        <v/>
      </c>
      <c r="K22" s="26" t="str">
        <f t="shared" si="2"/>
        <v/>
      </c>
      <c r="L22" t="str">
        <f t="shared" si="3"/>
        <v/>
      </c>
      <c r="M22" t="str">
        <f t="shared" si="4"/>
        <v/>
      </c>
      <c r="N22" t="str" cm="1">
        <f t="array" ref="N22">IF($M22="","",IFERROR(INDEX(tblFormas[CAT3],MATCH(TRUE,_xlfn.BYROW(tblFormas[PalavrasChave],_xlfn.LAMBDA(_xlpm.k,IF(_xlpm.k="",FALSE,OR(ISNUMBER(SEARCH(_xlfn.TEXTSPLIT(_xlpm.k,";"),$M22)))))),0)),""))</f>
        <v/>
      </c>
    </row>
    <row r="23" spans="6:14" x14ac:dyDescent="0.25">
      <c r="F23" s="1" t="str">
        <f t="shared" si="0"/>
        <v/>
      </c>
      <c r="G23" s="1" t="str" cm="1">
        <f t="array" ref="G23">IF($M23="","",SUM(_xlfn.BYROW(tblFormas[PalavrasChave],_xlfn.LAMBDA(_xlpm.k,IF(_xlpm.k="",0,--OR(ISNUMBER(SEARCH(_xlfn.TEXTSPLIT(_xlpm.k,";"),$M23))))))))</f>
        <v/>
      </c>
      <c r="H23" s="1" t="str">
        <f t="shared" si="1"/>
        <v/>
      </c>
      <c r="I23" s="1" t="str">
        <f>IF($B23="","",_xlfn.LET(_xlpm.v,IFERROR(_xlfn.XLOOKUP($B23,tblClientes[Cliente],tblClientes[CLI4],""),""),IF(_xlpm.v=0,"",_xlpm.v)))</f>
        <v/>
      </c>
      <c r="J23" s="1" t="str">
        <f>IF(OR($F23="",$I23=""),"",TEXT(COUNTIF(Produtos!$B:$B,$F23&amp;"-"&amp;$I23&amp;"-*")+COUNTIFS($F$3:F22,$F23,$I$3:I22,$I23)+1,"0000"))</f>
        <v/>
      </c>
      <c r="K23" s="26" t="str">
        <f t="shared" si="2"/>
        <v/>
      </c>
      <c r="L23" t="str">
        <f t="shared" si="3"/>
        <v/>
      </c>
      <c r="M23" t="str">
        <f t="shared" si="4"/>
        <v/>
      </c>
      <c r="N23" t="str" cm="1">
        <f t="array" ref="N23">IF($M23="","",IFERROR(INDEX(tblFormas[CAT3],MATCH(TRUE,_xlfn.BYROW(tblFormas[PalavrasChave],_xlfn.LAMBDA(_xlpm.k,IF(_xlpm.k="",FALSE,OR(ISNUMBER(SEARCH(_xlfn.TEXTSPLIT(_xlpm.k,";"),$M23)))))),0)),""))</f>
        <v/>
      </c>
    </row>
    <row r="24" spans="6:14" x14ac:dyDescent="0.25">
      <c r="F24" s="1" t="str">
        <f t="shared" si="0"/>
        <v/>
      </c>
      <c r="G24" s="1" t="str" cm="1">
        <f t="array" ref="G24">IF($M24="","",SUM(_xlfn.BYROW(tblFormas[PalavrasChave],_xlfn.LAMBDA(_xlpm.k,IF(_xlpm.k="",0,--OR(ISNUMBER(SEARCH(_xlfn.TEXTSPLIT(_xlpm.k,";"),$M24))))))))</f>
        <v/>
      </c>
      <c r="H24" s="1" t="str">
        <f t="shared" si="1"/>
        <v/>
      </c>
      <c r="I24" s="1" t="str">
        <f>IF($B24="","",_xlfn.LET(_xlpm.v,IFERROR(_xlfn.XLOOKUP($B24,tblClientes[Cliente],tblClientes[CLI4],""),""),IF(_xlpm.v=0,"",_xlpm.v)))</f>
        <v/>
      </c>
      <c r="J24" s="1" t="str">
        <f>IF(OR($F24="",$I24=""),"",TEXT(COUNTIF(Produtos!$B:$B,$F24&amp;"-"&amp;$I24&amp;"-*")+COUNTIFS($F$3:F23,$F24,$I$3:I23,$I24)+1,"0000"))</f>
        <v/>
      </c>
      <c r="K24" s="26" t="str">
        <f t="shared" si="2"/>
        <v/>
      </c>
      <c r="L24" t="str">
        <f t="shared" si="3"/>
        <v/>
      </c>
      <c r="M24" t="str">
        <f t="shared" si="4"/>
        <v/>
      </c>
      <c r="N24" t="str" cm="1">
        <f t="array" ref="N24">IF($M24="","",IFERROR(INDEX(tblFormas[CAT3],MATCH(TRUE,_xlfn.BYROW(tblFormas[PalavrasChave],_xlfn.LAMBDA(_xlpm.k,IF(_xlpm.k="",FALSE,OR(ISNUMBER(SEARCH(_xlfn.TEXTSPLIT(_xlpm.k,";"),$M24)))))),0)),""))</f>
        <v/>
      </c>
    </row>
    <row r="25" spans="6:14" x14ac:dyDescent="0.25">
      <c r="F25" s="1" t="str">
        <f t="shared" si="0"/>
        <v/>
      </c>
      <c r="G25" s="1" t="str" cm="1">
        <f t="array" ref="G25">IF($M25="","",SUM(_xlfn.BYROW(tblFormas[PalavrasChave],_xlfn.LAMBDA(_xlpm.k,IF(_xlpm.k="",0,--OR(ISNUMBER(SEARCH(_xlfn.TEXTSPLIT(_xlpm.k,";"),$M25))))))))</f>
        <v/>
      </c>
      <c r="H25" s="1" t="str">
        <f t="shared" si="1"/>
        <v/>
      </c>
      <c r="I25" s="1" t="str">
        <f>IF($B25="","",_xlfn.LET(_xlpm.v,IFERROR(_xlfn.XLOOKUP($B25,tblClientes[Cliente],tblClientes[CLI4],""),""),IF(_xlpm.v=0,"",_xlpm.v)))</f>
        <v/>
      </c>
      <c r="J25" s="1" t="str">
        <f>IF(OR($F25="",$I25=""),"",TEXT(COUNTIF(Produtos!$B:$B,$F25&amp;"-"&amp;$I25&amp;"-*")+COUNTIFS($F$3:F24,$F25,$I$3:I24,$I25)+1,"0000"))</f>
        <v/>
      </c>
      <c r="K25" s="26" t="str">
        <f t="shared" si="2"/>
        <v/>
      </c>
      <c r="L25" t="str">
        <f t="shared" si="3"/>
        <v/>
      </c>
      <c r="M25" t="str">
        <f t="shared" si="4"/>
        <v/>
      </c>
      <c r="N25" t="str" cm="1">
        <f t="array" ref="N25">IF($M25="","",IFERROR(INDEX(tblFormas[CAT3],MATCH(TRUE,_xlfn.BYROW(tblFormas[PalavrasChave],_xlfn.LAMBDA(_xlpm.k,IF(_xlpm.k="",FALSE,OR(ISNUMBER(SEARCH(_xlfn.TEXTSPLIT(_xlpm.k,";"),$M25)))))),0)),""))</f>
        <v/>
      </c>
    </row>
    <row r="26" spans="6:14" x14ac:dyDescent="0.25">
      <c r="F26" s="1" t="str">
        <f t="shared" si="0"/>
        <v/>
      </c>
      <c r="G26" s="1" t="str" cm="1">
        <f t="array" ref="G26">IF($M26="","",SUM(_xlfn.BYROW(tblFormas[PalavrasChave],_xlfn.LAMBDA(_xlpm.k,IF(_xlpm.k="",0,--OR(ISNUMBER(SEARCH(_xlfn.TEXTSPLIT(_xlpm.k,";"),$M26))))))))</f>
        <v/>
      </c>
      <c r="H26" s="1" t="str">
        <f t="shared" si="1"/>
        <v/>
      </c>
      <c r="I26" s="1" t="str">
        <f>IF($B26="","",_xlfn.LET(_xlpm.v,IFERROR(_xlfn.XLOOKUP($B26,tblClientes[Cliente],tblClientes[CLI4],""),""),IF(_xlpm.v=0,"",_xlpm.v)))</f>
        <v/>
      </c>
      <c r="J26" s="1" t="str">
        <f>IF(OR($F26="",$I26=""),"",TEXT(COUNTIF(Produtos!$B:$B,$F26&amp;"-"&amp;$I26&amp;"-*")+COUNTIFS($F$3:F25,$F26,$I$3:I25,$I26)+1,"0000"))</f>
        <v/>
      </c>
      <c r="K26" s="26" t="str">
        <f t="shared" si="2"/>
        <v/>
      </c>
      <c r="L26" t="str">
        <f t="shared" si="3"/>
        <v/>
      </c>
      <c r="M26" t="str">
        <f t="shared" si="4"/>
        <v/>
      </c>
      <c r="N26" t="str" cm="1">
        <f t="array" ref="N26">IF($M26="","",IFERROR(INDEX(tblFormas[CAT3],MATCH(TRUE,_xlfn.BYROW(tblFormas[PalavrasChave],_xlfn.LAMBDA(_xlpm.k,IF(_xlpm.k="",FALSE,OR(ISNUMBER(SEARCH(_xlfn.TEXTSPLIT(_xlpm.k,";"),$M26)))))),0)),""))</f>
        <v/>
      </c>
    </row>
    <row r="27" spans="6:14" x14ac:dyDescent="0.25">
      <c r="F27" s="1" t="str">
        <f t="shared" si="0"/>
        <v/>
      </c>
      <c r="G27" s="1" t="str" cm="1">
        <f t="array" ref="G27">IF($M27="","",SUM(_xlfn.BYROW(tblFormas[PalavrasChave],_xlfn.LAMBDA(_xlpm.k,IF(_xlpm.k="",0,--OR(ISNUMBER(SEARCH(_xlfn.TEXTSPLIT(_xlpm.k,";"),$M27))))))))</f>
        <v/>
      </c>
      <c r="H27" s="1" t="str">
        <f t="shared" si="1"/>
        <v/>
      </c>
      <c r="I27" s="1" t="str">
        <f>IF($B27="","",_xlfn.LET(_xlpm.v,IFERROR(_xlfn.XLOOKUP($B27,tblClientes[Cliente],tblClientes[CLI4],""),""),IF(_xlpm.v=0,"",_xlpm.v)))</f>
        <v/>
      </c>
      <c r="J27" s="1" t="str">
        <f>IF(OR($F27="",$I27=""),"",TEXT(COUNTIF(Produtos!$B:$B,$F27&amp;"-"&amp;$I27&amp;"-*")+COUNTIFS($F$3:F26,$F27,$I$3:I26,$I27)+1,"0000"))</f>
        <v/>
      </c>
      <c r="K27" s="26" t="str">
        <f t="shared" si="2"/>
        <v/>
      </c>
      <c r="L27" t="str">
        <f t="shared" si="3"/>
        <v/>
      </c>
      <c r="M27" t="str">
        <f t="shared" si="4"/>
        <v/>
      </c>
      <c r="N27" t="str" cm="1">
        <f t="array" ref="N27">IF($M27="","",IFERROR(INDEX(tblFormas[CAT3],MATCH(TRUE,_xlfn.BYROW(tblFormas[PalavrasChave],_xlfn.LAMBDA(_xlpm.k,IF(_xlpm.k="",FALSE,OR(ISNUMBER(SEARCH(_xlfn.TEXTSPLIT(_xlpm.k,";"),$M27)))))),0)),""))</f>
        <v/>
      </c>
    </row>
    <row r="28" spans="6:14" x14ac:dyDescent="0.25">
      <c r="F28" s="1" t="str">
        <f t="shared" si="0"/>
        <v/>
      </c>
      <c r="G28" s="1" t="str" cm="1">
        <f t="array" ref="G28">IF($M28="","",SUM(_xlfn.BYROW(tblFormas[PalavrasChave],_xlfn.LAMBDA(_xlpm.k,IF(_xlpm.k="",0,--OR(ISNUMBER(SEARCH(_xlfn.TEXTSPLIT(_xlpm.k,";"),$M28))))))))</f>
        <v/>
      </c>
      <c r="H28" s="1" t="str">
        <f t="shared" si="1"/>
        <v/>
      </c>
      <c r="I28" s="1" t="str">
        <f>IF($B28="","",_xlfn.LET(_xlpm.v,IFERROR(_xlfn.XLOOKUP($B28,tblClientes[Cliente],tblClientes[CLI4],""),""),IF(_xlpm.v=0,"",_xlpm.v)))</f>
        <v/>
      </c>
      <c r="J28" s="1" t="str">
        <f>IF(OR($F28="",$I28=""),"",TEXT(COUNTIF(Produtos!$B:$B,$F28&amp;"-"&amp;$I28&amp;"-*")+COUNTIFS($F$3:F27,$F28,$I$3:I27,$I28)+1,"0000"))</f>
        <v/>
      </c>
      <c r="K28" s="26" t="str">
        <f t="shared" si="2"/>
        <v/>
      </c>
      <c r="L28" t="str">
        <f t="shared" si="3"/>
        <v/>
      </c>
      <c r="M28" t="str">
        <f t="shared" si="4"/>
        <v/>
      </c>
      <c r="N28" t="str" cm="1">
        <f t="array" ref="N28">IF($M28="","",IFERROR(INDEX(tblFormas[CAT3],MATCH(TRUE,_xlfn.BYROW(tblFormas[PalavrasChave],_xlfn.LAMBDA(_xlpm.k,IF(_xlpm.k="",FALSE,OR(ISNUMBER(SEARCH(_xlfn.TEXTSPLIT(_xlpm.k,";"),$M28)))))),0)),""))</f>
        <v/>
      </c>
    </row>
    <row r="29" spans="6:14" x14ac:dyDescent="0.25">
      <c r="F29" s="1" t="str">
        <f t="shared" si="0"/>
        <v/>
      </c>
      <c r="G29" s="1" t="str" cm="1">
        <f t="array" ref="G29">IF($M29="","",SUM(_xlfn.BYROW(tblFormas[PalavrasChave],_xlfn.LAMBDA(_xlpm.k,IF(_xlpm.k="",0,--OR(ISNUMBER(SEARCH(_xlfn.TEXTSPLIT(_xlpm.k,";"),$M29))))))))</f>
        <v/>
      </c>
      <c r="H29" s="1" t="str">
        <f t="shared" si="1"/>
        <v/>
      </c>
      <c r="I29" s="1" t="str">
        <f>IF($B29="","",_xlfn.LET(_xlpm.v,IFERROR(_xlfn.XLOOKUP($B29,tblClientes[Cliente],tblClientes[CLI4],""),""),IF(_xlpm.v=0,"",_xlpm.v)))</f>
        <v/>
      </c>
      <c r="J29" s="1" t="str">
        <f>IF(OR($F29="",$I29=""),"",TEXT(COUNTIF(Produtos!$B:$B,$F29&amp;"-"&amp;$I29&amp;"-*")+COUNTIFS($F$3:F28,$F29,$I$3:I28,$I29)+1,"0000"))</f>
        <v/>
      </c>
      <c r="K29" s="26" t="str">
        <f t="shared" si="2"/>
        <v/>
      </c>
      <c r="L29" t="str">
        <f t="shared" si="3"/>
        <v/>
      </c>
      <c r="M29" t="str">
        <f t="shared" si="4"/>
        <v/>
      </c>
      <c r="N29" t="str" cm="1">
        <f t="array" ref="N29">IF($M29="","",IFERROR(INDEX(tblFormas[CAT3],MATCH(TRUE,_xlfn.BYROW(tblFormas[PalavrasChave],_xlfn.LAMBDA(_xlpm.k,IF(_xlpm.k="",FALSE,OR(ISNUMBER(SEARCH(_xlfn.TEXTSPLIT(_xlpm.k,";"),$M29)))))),0)),""))</f>
        <v/>
      </c>
    </row>
    <row r="30" spans="6:14" x14ac:dyDescent="0.25">
      <c r="F30" s="1" t="str">
        <f t="shared" si="0"/>
        <v/>
      </c>
      <c r="G30" s="1" t="str" cm="1">
        <f t="array" ref="G30">IF($M30="","",SUM(_xlfn.BYROW(tblFormas[PalavrasChave],_xlfn.LAMBDA(_xlpm.k,IF(_xlpm.k="",0,--OR(ISNUMBER(SEARCH(_xlfn.TEXTSPLIT(_xlpm.k,";"),$M30))))))))</f>
        <v/>
      </c>
      <c r="H30" s="1" t="str">
        <f t="shared" si="1"/>
        <v/>
      </c>
      <c r="I30" s="1" t="str">
        <f>IF($B30="","",_xlfn.LET(_xlpm.v,IFERROR(_xlfn.XLOOKUP($B30,tblClientes[Cliente],tblClientes[CLI4],""),""),IF(_xlpm.v=0,"",_xlpm.v)))</f>
        <v/>
      </c>
      <c r="J30" s="1" t="str">
        <f>IF(OR($F30="",$I30=""),"",TEXT(COUNTIF(Produtos!$B:$B,$F30&amp;"-"&amp;$I30&amp;"-*")+COUNTIFS($F$3:F29,$F30,$I$3:I29,$I30)+1,"0000"))</f>
        <v/>
      </c>
      <c r="K30" s="26" t="str">
        <f t="shared" si="2"/>
        <v/>
      </c>
      <c r="L30" t="str">
        <f t="shared" si="3"/>
        <v/>
      </c>
      <c r="M30" t="str">
        <f t="shared" si="4"/>
        <v/>
      </c>
      <c r="N30" t="str" cm="1">
        <f t="array" ref="N30">IF($M30="","",IFERROR(INDEX(tblFormas[CAT3],MATCH(TRUE,_xlfn.BYROW(tblFormas[PalavrasChave],_xlfn.LAMBDA(_xlpm.k,IF(_xlpm.k="",FALSE,OR(ISNUMBER(SEARCH(_xlfn.TEXTSPLIT(_xlpm.k,";"),$M30)))))),0)),""))</f>
        <v/>
      </c>
    </row>
    <row r="31" spans="6:14" x14ac:dyDescent="0.25">
      <c r="F31" s="1" t="str">
        <f t="shared" si="0"/>
        <v/>
      </c>
      <c r="G31" s="1" t="str" cm="1">
        <f t="array" ref="G31">IF($M31="","",SUM(_xlfn.BYROW(tblFormas[PalavrasChave],_xlfn.LAMBDA(_xlpm.k,IF(_xlpm.k="",0,--OR(ISNUMBER(SEARCH(_xlfn.TEXTSPLIT(_xlpm.k,";"),$M31))))))))</f>
        <v/>
      </c>
      <c r="H31" s="1" t="str">
        <f t="shared" si="1"/>
        <v/>
      </c>
      <c r="I31" s="1" t="str">
        <f>IF($B31="","",_xlfn.LET(_xlpm.v,IFERROR(_xlfn.XLOOKUP($B31,tblClientes[Cliente],tblClientes[CLI4],""),""),IF(_xlpm.v=0,"",_xlpm.v)))</f>
        <v/>
      </c>
      <c r="J31" s="1" t="str">
        <f>IF(OR($F31="",$I31=""),"",TEXT(COUNTIF(Produtos!$B:$B,$F31&amp;"-"&amp;$I31&amp;"-*")+COUNTIFS($F$3:F30,$F31,$I$3:I30,$I31)+1,"0000"))</f>
        <v/>
      </c>
      <c r="K31" s="26" t="str">
        <f t="shared" si="2"/>
        <v/>
      </c>
      <c r="L31" t="str">
        <f t="shared" si="3"/>
        <v/>
      </c>
      <c r="M31" t="str">
        <f t="shared" si="4"/>
        <v/>
      </c>
      <c r="N31" t="str" cm="1">
        <f t="array" ref="N31">IF($M31="","",IFERROR(INDEX(tblFormas[CAT3],MATCH(TRUE,_xlfn.BYROW(tblFormas[PalavrasChave],_xlfn.LAMBDA(_xlpm.k,IF(_xlpm.k="",FALSE,OR(ISNUMBER(SEARCH(_xlfn.TEXTSPLIT(_xlpm.k,";"),$M31)))))),0)),""))</f>
        <v/>
      </c>
    </row>
    <row r="32" spans="6:14" x14ac:dyDescent="0.25">
      <c r="F32" s="1" t="str">
        <f t="shared" si="0"/>
        <v/>
      </c>
      <c r="G32" s="1" t="str" cm="1">
        <f t="array" ref="G32">IF($M32="","",SUM(_xlfn.BYROW(tblFormas[PalavrasChave],_xlfn.LAMBDA(_xlpm.k,IF(_xlpm.k="",0,--OR(ISNUMBER(SEARCH(_xlfn.TEXTSPLIT(_xlpm.k,";"),$M32))))))))</f>
        <v/>
      </c>
      <c r="H32" s="1" t="str">
        <f t="shared" si="1"/>
        <v/>
      </c>
      <c r="I32" s="1" t="str">
        <f>IF($B32="","",_xlfn.LET(_xlpm.v,IFERROR(_xlfn.XLOOKUP($B32,tblClientes[Cliente],tblClientes[CLI4],""),""),IF(_xlpm.v=0,"",_xlpm.v)))</f>
        <v/>
      </c>
      <c r="J32" s="1" t="str">
        <f>IF(OR($F32="",$I32=""),"",TEXT(COUNTIF(Produtos!$B:$B,$F32&amp;"-"&amp;$I32&amp;"-*")+COUNTIFS($F$3:F31,$F32,$I$3:I31,$I32)+1,"0000"))</f>
        <v/>
      </c>
      <c r="K32" s="26" t="str">
        <f t="shared" si="2"/>
        <v/>
      </c>
      <c r="L32" t="str">
        <f t="shared" si="3"/>
        <v/>
      </c>
      <c r="M32" t="str">
        <f t="shared" si="4"/>
        <v/>
      </c>
      <c r="N32" t="str" cm="1">
        <f t="array" ref="N32">IF($M32="","",IFERROR(INDEX(tblFormas[CAT3],MATCH(TRUE,_xlfn.BYROW(tblFormas[PalavrasChave],_xlfn.LAMBDA(_xlpm.k,IF(_xlpm.k="",FALSE,OR(ISNUMBER(SEARCH(_xlfn.TEXTSPLIT(_xlpm.k,";"),$M32)))))),0)),""))</f>
        <v/>
      </c>
    </row>
    <row r="33" spans="6:14" x14ac:dyDescent="0.25">
      <c r="F33" s="1" t="str">
        <f t="shared" si="0"/>
        <v/>
      </c>
      <c r="G33" s="1" t="str" cm="1">
        <f t="array" ref="G33">IF($M33="","",SUM(_xlfn.BYROW(tblFormas[PalavrasChave],_xlfn.LAMBDA(_xlpm.k,IF(_xlpm.k="",0,--OR(ISNUMBER(SEARCH(_xlfn.TEXTSPLIT(_xlpm.k,";"),$M33))))))))</f>
        <v/>
      </c>
      <c r="H33" s="1" t="str">
        <f t="shared" si="1"/>
        <v/>
      </c>
      <c r="I33" s="1" t="str">
        <f>IF($B33="","",_xlfn.LET(_xlpm.v,IFERROR(_xlfn.XLOOKUP($B33,tblClientes[Cliente],tblClientes[CLI4],""),""),IF(_xlpm.v=0,"",_xlpm.v)))</f>
        <v/>
      </c>
      <c r="J33" s="1" t="str">
        <f>IF(OR($F33="",$I33=""),"",TEXT(COUNTIF(Produtos!$B:$B,$F33&amp;"-"&amp;$I33&amp;"-*")+COUNTIFS($F$3:F32,$F33,$I$3:I32,$I33)+1,"0000"))</f>
        <v/>
      </c>
      <c r="K33" s="26" t="str">
        <f t="shared" si="2"/>
        <v/>
      </c>
      <c r="L33" t="str">
        <f t="shared" si="3"/>
        <v/>
      </c>
      <c r="M33" t="str">
        <f t="shared" si="4"/>
        <v/>
      </c>
      <c r="N33" t="str" cm="1">
        <f t="array" ref="N33">IF($M33="","",IFERROR(INDEX(tblFormas[CAT3],MATCH(TRUE,_xlfn.BYROW(tblFormas[PalavrasChave],_xlfn.LAMBDA(_xlpm.k,IF(_xlpm.k="",FALSE,OR(ISNUMBER(SEARCH(_xlfn.TEXTSPLIT(_xlpm.k,";"),$M33)))))),0)),""))</f>
        <v/>
      </c>
    </row>
    <row r="34" spans="6:14" x14ac:dyDescent="0.25">
      <c r="F34" s="1" t="str">
        <f t="shared" si="0"/>
        <v/>
      </c>
      <c r="G34" s="1" t="str" cm="1">
        <f t="array" ref="G34">IF($M34="","",SUM(_xlfn.BYROW(tblFormas[PalavrasChave],_xlfn.LAMBDA(_xlpm.k,IF(_xlpm.k="",0,--OR(ISNUMBER(SEARCH(_xlfn.TEXTSPLIT(_xlpm.k,";"),$M34))))))))</f>
        <v/>
      </c>
      <c r="H34" s="1" t="str">
        <f t="shared" si="1"/>
        <v/>
      </c>
      <c r="I34" s="1" t="str">
        <f>IF($B34="","",_xlfn.LET(_xlpm.v,IFERROR(_xlfn.XLOOKUP($B34,tblClientes[Cliente],tblClientes[CLI4],""),""),IF(_xlpm.v=0,"",_xlpm.v)))</f>
        <v/>
      </c>
      <c r="J34" s="1" t="str">
        <f>IF(OR($F34="",$I34=""),"",TEXT(COUNTIF(Produtos!$B:$B,$F34&amp;"-"&amp;$I34&amp;"-*")+COUNTIFS($F$3:F33,$F34,$I$3:I33,$I34)+1,"0000"))</f>
        <v/>
      </c>
      <c r="K34" s="26" t="str">
        <f t="shared" si="2"/>
        <v/>
      </c>
      <c r="L34" t="str">
        <f t="shared" si="3"/>
        <v/>
      </c>
      <c r="M34" t="str">
        <f t="shared" si="4"/>
        <v/>
      </c>
      <c r="N34" t="str" cm="1">
        <f t="array" ref="N34">IF($M34="","",IFERROR(INDEX(tblFormas[CAT3],MATCH(TRUE,_xlfn.BYROW(tblFormas[PalavrasChave],_xlfn.LAMBDA(_xlpm.k,IF(_xlpm.k="",FALSE,OR(ISNUMBER(SEARCH(_xlfn.TEXTSPLIT(_xlpm.k,";"),$M34)))))),0)),""))</f>
        <v/>
      </c>
    </row>
    <row r="35" spans="6:14" x14ac:dyDescent="0.25">
      <c r="F35" s="1" t="str">
        <f t="shared" si="0"/>
        <v/>
      </c>
      <c r="G35" s="1" t="str" cm="1">
        <f t="array" ref="G35">IF($M35="","",SUM(_xlfn.BYROW(tblFormas[PalavrasChave],_xlfn.LAMBDA(_xlpm.k,IF(_xlpm.k="",0,--OR(ISNUMBER(SEARCH(_xlfn.TEXTSPLIT(_xlpm.k,";"),$M35))))))))</f>
        <v/>
      </c>
      <c r="H35" s="1" t="str">
        <f t="shared" si="1"/>
        <v/>
      </c>
      <c r="I35" s="1" t="str">
        <f>IF($B35="","",_xlfn.LET(_xlpm.v,IFERROR(_xlfn.XLOOKUP($B35,tblClientes[Cliente],tblClientes[CLI4],""),""),IF(_xlpm.v=0,"",_xlpm.v)))</f>
        <v/>
      </c>
      <c r="J35" s="1" t="str">
        <f>IF(OR($F35="",$I35=""),"",TEXT(COUNTIF(Produtos!$B:$B,$F35&amp;"-"&amp;$I35&amp;"-*")+COUNTIFS($F$3:F34,$F35,$I$3:I34,$I35)+1,"0000"))</f>
        <v/>
      </c>
      <c r="K35" s="26" t="str">
        <f t="shared" si="2"/>
        <v/>
      </c>
      <c r="L35" t="str">
        <f t="shared" si="3"/>
        <v/>
      </c>
      <c r="M35" t="str">
        <f t="shared" si="4"/>
        <v/>
      </c>
      <c r="N35" t="str" cm="1">
        <f t="array" ref="N35">IF($M35="","",IFERROR(INDEX(tblFormas[CAT3],MATCH(TRUE,_xlfn.BYROW(tblFormas[PalavrasChave],_xlfn.LAMBDA(_xlpm.k,IF(_xlpm.k="",FALSE,OR(ISNUMBER(SEARCH(_xlfn.TEXTSPLIT(_xlpm.k,";"),$M35)))))),0)),""))</f>
        <v/>
      </c>
    </row>
    <row r="36" spans="6:14" x14ac:dyDescent="0.25">
      <c r="F36" s="1" t="str">
        <f t="shared" si="0"/>
        <v/>
      </c>
      <c r="G36" s="1" t="str" cm="1">
        <f t="array" ref="G36">IF($M36="","",SUM(_xlfn.BYROW(tblFormas[PalavrasChave],_xlfn.LAMBDA(_xlpm.k,IF(_xlpm.k="",0,--OR(ISNUMBER(SEARCH(_xlfn.TEXTSPLIT(_xlpm.k,";"),$M36))))))))</f>
        <v/>
      </c>
      <c r="H36" s="1" t="str">
        <f t="shared" si="1"/>
        <v/>
      </c>
      <c r="I36" s="1" t="str">
        <f>IF($B36="","",_xlfn.LET(_xlpm.v,IFERROR(_xlfn.XLOOKUP($B36,tblClientes[Cliente],tblClientes[CLI4],""),""),IF(_xlpm.v=0,"",_xlpm.v)))</f>
        <v/>
      </c>
      <c r="J36" s="1" t="str">
        <f>IF(OR($F36="",$I36=""),"",TEXT(COUNTIF(Produtos!$B:$B,$F36&amp;"-"&amp;$I36&amp;"-*")+COUNTIFS($F$3:F35,$F36,$I$3:I35,$I36)+1,"0000"))</f>
        <v/>
      </c>
      <c r="K36" s="26" t="str">
        <f t="shared" si="2"/>
        <v/>
      </c>
      <c r="L36" t="str">
        <f t="shared" si="3"/>
        <v/>
      </c>
      <c r="M36" t="str">
        <f t="shared" si="4"/>
        <v/>
      </c>
      <c r="N36" t="str" cm="1">
        <f t="array" ref="N36">IF($M36="","",IFERROR(INDEX(tblFormas[CAT3],MATCH(TRUE,_xlfn.BYROW(tblFormas[PalavrasChave],_xlfn.LAMBDA(_xlpm.k,IF(_xlpm.k="",FALSE,OR(ISNUMBER(SEARCH(_xlfn.TEXTSPLIT(_xlpm.k,";"),$M36)))))),0)),""))</f>
        <v/>
      </c>
    </row>
    <row r="37" spans="6:14" x14ac:dyDescent="0.25">
      <c r="F37" s="1" t="str">
        <f t="shared" si="0"/>
        <v/>
      </c>
      <c r="G37" s="1" t="str" cm="1">
        <f t="array" ref="G37">IF($M37="","",SUM(_xlfn.BYROW(tblFormas[PalavrasChave],_xlfn.LAMBDA(_xlpm.k,IF(_xlpm.k="",0,--OR(ISNUMBER(SEARCH(_xlfn.TEXTSPLIT(_xlpm.k,";"),$M37))))))))</f>
        <v/>
      </c>
      <c r="H37" s="1" t="str">
        <f t="shared" si="1"/>
        <v/>
      </c>
      <c r="I37" s="1" t="str">
        <f>IF($B37="","",_xlfn.LET(_xlpm.v,IFERROR(_xlfn.XLOOKUP($B37,tblClientes[Cliente],tblClientes[CLI4],""),""),IF(_xlpm.v=0,"",_xlpm.v)))</f>
        <v/>
      </c>
      <c r="J37" s="1" t="str">
        <f>IF(OR($F37="",$I37=""),"",TEXT(COUNTIF(Produtos!$B:$B,$F37&amp;"-"&amp;$I37&amp;"-*")+COUNTIFS($F$3:F36,$F37,$I$3:I36,$I37)+1,"0000"))</f>
        <v/>
      </c>
      <c r="K37" s="26" t="str">
        <f t="shared" si="2"/>
        <v/>
      </c>
      <c r="L37" t="str">
        <f t="shared" si="3"/>
        <v/>
      </c>
      <c r="M37" t="str">
        <f t="shared" si="4"/>
        <v/>
      </c>
      <c r="N37" t="str" cm="1">
        <f t="array" ref="N37">IF($M37="","",IFERROR(INDEX(tblFormas[CAT3],MATCH(TRUE,_xlfn.BYROW(tblFormas[PalavrasChave],_xlfn.LAMBDA(_xlpm.k,IF(_xlpm.k="",FALSE,OR(ISNUMBER(SEARCH(_xlfn.TEXTSPLIT(_xlpm.k,";"),$M37)))))),0)),""))</f>
        <v/>
      </c>
    </row>
    <row r="38" spans="6:14" x14ac:dyDescent="0.25">
      <c r="F38" s="1" t="str">
        <f t="shared" si="0"/>
        <v/>
      </c>
      <c r="G38" s="1" t="str" cm="1">
        <f t="array" ref="G38">IF($M38="","",SUM(_xlfn.BYROW(tblFormas[PalavrasChave],_xlfn.LAMBDA(_xlpm.k,IF(_xlpm.k="",0,--OR(ISNUMBER(SEARCH(_xlfn.TEXTSPLIT(_xlpm.k,";"),$M38))))))))</f>
        <v/>
      </c>
      <c r="H38" s="1" t="str">
        <f t="shared" si="1"/>
        <v/>
      </c>
      <c r="I38" s="1" t="str">
        <f>IF($B38="","",_xlfn.LET(_xlpm.v,IFERROR(_xlfn.XLOOKUP($B38,tblClientes[Cliente],tblClientes[CLI4],""),""),IF(_xlpm.v=0,"",_xlpm.v)))</f>
        <v/>
      </c>
      <c r="J38" s="1" t="str">
        <f>IF(OR($F38="",$I38=""),"",TEXT(COUNTIF(Produtos!$B:$B,$F38&amp;"-"&amp;$I38&amp;"-*")+COUNTIFS($F$3:F37,$F38,$I$3:I37,$I38)+1,"0000"))</f>
        <v/>
      </c>
      <c r="K38" s="26" t="str">
        <f t="shared" si="2"/>
        <v/>
      </c>
      <c r="L38" t="str">
        <f t="shared" si="3"/>
        <v/>
      </c>
      <c r="M38" t="str">
        <f t="shared" si="4"/>
        <v/>
      </c>
      <c r="N38" t="str" cm="1">
        <f t="array" ref="N38">IF($M38="","",IFERROR(INDEX(tblFormas[CAT3],MATCH(TRUE,_xlfn.BYROW(tblFormas[PalavrasChave],_xlfn.LAMBDA(_xlpm.k,IF(_xlpm.k="",FALSE,OR(ISNUMBER(SEARCH(_xlfn.TEXTSPLIT(_xlpm.k,";"),$M38)))))),0)),""))</f>
        <v/>
      </c>
    </row>
    <row r="39" spans="6:14" x14ac:dyDescent="0.25">
      <c r="F39" s="1" t="str">
        <f t="shared" si="0"/>
        <v/>
      </c>
      <c r="G39" s="1" t="str" cm="1">
        <f t="array" ref="G39">IF($M39="","",SUM(_xlfn.BYROW(tblFormas[PalavrasChave],_xlfn.LAMBDA(_xlpm.k,IF(_xlpm.k="",0,--OR(ISNUMBER(SEARCH(_xlfn.TEXTSPLIT(_xlpm.k,";"),$M39))))))))</f>
        <v/>
      </c>
      <c r="H39" s="1" t="str">
        <f t="shared" si="1"/>
        <v/>
      </c>
      <c r="I39" s="1" t="str">
        <f>IF($B39="","",_xlfn.LET(_xlpm.v,IFERROR(_xlfn.XLOOKUP($B39,tblClientes[Cliente],tblClientes[CLI4],""),""),IF(_xlpm.v=0,"",_xlpm.v)))</f>
        <v/>
      </c>
      <c r="J39" s="1" t="str">
        <f>IF(OR($F39="",$I39=""),"",TEXT(COUNTIF(Produtos!$B:$B,$F39&amp;"-"&amp;$I39&amp;"-*")+COUNTIFS($F$3:F38,$F39,$I$3:I38,$I39)+1,"0000"))</f>
        <v/>
      </c>
      <c r="K39" s="26" t="str">
        <f t="shared" si="2"/>
        <v/>
      </c>
      <c r="L39" t="str">
        <f t="shared" si="3"/>
        <v/>
      </c>
      <c r="M39" t="str">
        <f t="shared" si="4"/>
        <v/>
      </c>
      <c r="N39" t="str" cm="1">
        <f t="array" ref="N39">IF($M39="","",IFERROR(INDEX(tblFormas[CAT3],MATCH(TRUE,_xlfn.BYROW(tblFormas[PalavrasChave],_xlfn.LAMBDA(_xlpm.k,IF(_xlpm.k="",FALSE,OR(ISNUMBER(SEARCH(_xlfn.TEXTSPLIT(_xlpm.k,";"),$M39)))))),0)),""))</f>
        <v/>
      </c>
    </row>
    <row r="40" spans="6:14" x14ac:dyDescent="0.25">
      <c r="F40" s="1" t="str">
        <f t="shared" si="0"/>
        <v/>
      </c>
      <c r="G40" s="1" t="str" cm="1">
        <f t="array" ref="G40">IF($M40="","",SUM(_xlfn.BYROW(tblFormas[PalavrasChave],_xlfn.LAMBDA(_xlpm.k,IF(_xlpm.k="",0,--OR(ISNUMBER(SEARCH(_xlfn.TEXTSPLIT(_xlpm.k,";"),$M40))))))))</f>
        <v/>
      </c>
      <c r="H40" s="1" t="str">
        <f t="shared" si="1"/>
        <v/>
      </c>
      <c r="I40" s="1" t="str">
        <f>IF($B40="","",_xlfn.LET(_xlpm.v,IFERROR(_xlfn.XLOOKUP($B40,tblClientes[Cliente],tblClientes[CLI4],""),""),IF(_xlpm.v=0,"",_xlpm.v)))</f>
        <v/>
      </c>
      <c r="J40" s="1" t="str">
        <f>IF(OR($F40="",$I40=""),"",TEXT(COUNTIF(Produtos!$B:$B,$F40&amp;"-"&amp;$I40&amp;"-*")+COUNTIFS($F$3:F39,$F40,$I$3:I39,$I40)+1,"0000"))</f>
        <v/>
      </c>
      <c r="K40" s="26" t="str">
        <f t="shared" si="2"/>
        <v/>
      </c>
      <c r="L40" t="str">
        <f t="shared" si="3"/>
        <v/>
      </c>
      <c r="M40" t="str">
        <f t="shared" si="4"/>
        <v/>
      </c>
      <c r="N40" t="str" cm="1">
        <f t="array" ref="N40">IF($M40="","",IFERROR(INDEX(tblFormas[CAT3],MATCH(TRUE,_xlfn.BYROW(tblFormas[PalavrasChave],_xlfn.LAMBDA(_xlpm.k,IF(_xlpm.k="",FALSE,OR(ISNUMBER(SEARCH(_xlfn.TEXTSPLIT(_xlpm.k,";"),$M40)))))),0)),""))</f>
        <v/>
      </c>
    </row>
    <row r="41" spans="6:14" x14ac:dyDescent="0.25">
      <c r="F41" s="1" t="str">
        <f t="shared" si="0"/>
        <v/>
      </c>
      <c r="G41" s="1" t="str" cm="1">
        <f t="array" ref="G41">IF($M41="","",SUM(_xlfn.BYROW(tblFormas[PalavrasChave],_xlfn.LAMBDA(_xlpm.k,IF(_xlpm.k="",0,--OR(ISNUMBER(SEARCH(_xlfn.TEXTSPLIT(_xlpm.k,";"),$M41))))))))</f>
        <v/>
      </c>
      <c r="H41" s="1" t="str">
        <f t="shared" si="1"/>
        <v/>
      </c>
      <c r="I41" s="1" t="str">
        <f>IF($B41="","",_xlfn.LET(_xlpm.v,IFERROR(_xlfn.XLOOKUP($B41,tblClientes[Cliente],tblClientes[CLI4],""),""),IF(_xlpm.v=0,"",_xlpm.v)))</f>
        <v/>
      </c>
      <c r="J41" s="1" t="str">
        <f>IF(OR($F41="",$I41=""),"",TEXT(COUNTIF(Produtos!$B:$B,$F41&amp;"-"&amp;$I41&amp;"-*")+COUNTIFS($F$3:F40,$F41,$I$3:I40,$I41)+1,"0000"))</f>
        <v/>
      </c>
      <c r="K41" s="26" t="str">
        <f t="shared" si="2"/>
        <v/>
      </c>
      <c r="L41" t="str">
        <f t="shared" si="3"/>
        <v/>
      </c>
      <c r="M41" t="str">
        <f t="shared" si="4"/>
        <v/>
      </c>
      <c r="N41" t="str" cm="1">
        <f t="array" ref="N41">IF($M41="","",IFERROR(INDEX(tblFormas[CAT3],MATCH(TRUE,_xlfn.BYROW(tblFormas[PalavrasChave],_xlfn.LAMBDA(_xlpm.k,IF(_xlpm.k="",FALSE,OR(ISNUMBER(SEARCH(_xlfn.TEXTSPLIT(_xlpm.k,";"),$M41)))))),0)),""))</f>
        <v/>
      </c>
    </row>
    <row r="42" spans="6:14" x14ac:dyDescent="0.25">
      <c r="F42" s="1" t="str">
        <f t="shared" si="0"/>
        <v/>
      </c>
      <c r="G42" s="1" t="str" cm="1">
        <f t="array" ref="G42">IF($M42="","",SUM(_xlfn.BYROW(tblFormas[PalavrasChave],_xlfn.LAMBDA(_xlpm.k,IF(_xlpm.k="",0,--OR(ISNUMBER(SEARCH(_xlfn.TEXTSPLIT(_xlpm.k,";"),$M42))))))))</f>
        <v/>
      </c>
      <c r="H42" s="1" t="str">
        <f t="shared" si="1"/>
        <v/>
      </c>
      <c r="I42" s="1" t="str">
        <f>IF($B42="","",_xlfn.LET(_xlpm.v,IFERROR(_xlfn.XLOOKUP($B42,tblClientes[Cliente],tblClientes[CLI4],""),""),IF(_xlpm.v=0,"",_xlpm.v)))</f>
        <v/>
      </c>
      <c r="J42" s="1" t="str">
        <f>IF(OR($F42="",$I42=""),"",TEXT(COUNTIF(Produtos!$B:$B,$F42&amp;"-"&amp;$I42&amp;"-*")+COUNTIFS($F$3:F41,$F42,$I$3:I41,$I42)+1,"0000"))</f>
        <v/>
      </c>
      <c r="K42" s="26" t="str">
        <f t="shared" si="2"/>
        <v/>
      </c>
      <c r="L42" t="str">
        <f t="shared" si="3"/>
        <v/>
      </c>
      <c r="M42" t="str">
        <f t="shared" si="4"/>
        <v/>
      </c>
      <c r="N42" t="str" cm="1">
        <f t="array" ref="N42">IF($M42="","",IFERROR(INDEX(tblFormas[CAT3],MATCH(TRUE,_xlfn.BYROW(tblFormas[PalavrasChave],_xlfn.LAMBDA(_xlpm.k,IF(_xlpm.k="",FALSE,OR(ISNUMBER(SEARCH(_xlfn.TEXTSPLIT(_xlpm.k,";"),$M42)))))),0)),""))</f>
        <v/>
      </c>
    </row>
    <row r="43" spans="6:14" x14ac:dyDescent="0.25">
      <c r="F43" s="1" t="str">
        <f t="shared" si="0"/>
        <v/>
      </c>
      <c r="G43" s="1" t="str" cm="1">
        <f t="array" ref="G43">IF($M43="","",SUM(_xlfn.BYROW(tblFormas[PalavrasChave],_xlfn.LAMBDA(_xlpm.k,IF(_xlpm.k="",0,--OR(ISNUMBER(SEARCH(_xlfn.TEXTSPLIT(_xlpm.k,";"),$M43))))))))</f>
        <v/>
      </c>
      <c r="H43" s="1" t="str">
        <f t="shared" si="1"/>
        <v/>
      </c>
      <c r="I43" s="1" t="str">
        <f>IF($B43="","",_xlfn.LET(_xlpm.v,IFERROR(_xlfn.XLOOKUP($B43,tblClientes[Cliente],tblClientes[CLI4],""),""),IF(_xlpm.v=0,"",_xlpm.v)))</f>
        <v/>
      </c>
      <c r="J43" s="1" t="str">
        <f>IF(OR($F43="",$I43=""),"",TEXT(COUNTIF(Produtos!$B:$B,$F43&amp;"-"&amp;$I43&amp;"-*")+COUNTIFS($F$3:F42,$F43,$I$3:I42,$I43)+1,"0000"))</f>
        <v/>
      </c>
      <c r="K43" s="26" t="str">
        <f t="shared" si="2"/>
        <v/>
      </c>
      <c r="L43" t="str">
        <f t="shared" si="3"/>
        <v/>
      </c>
      <c r="M43" t="str">
        <f t="shared" si="4"/>
        <v/>
      </c>
      <c r="N43" t="str" cm="1">
        <f t="array" ref="N43">IF($M43="","",IFERROR(INDEX(tblFormas[CAT3],MATCH(TRUE,_xlfn.BYROW(tblFormas[PalavrasChave],_xlfn.LAMBDA(_xlpm.k,IF(_xlpm.k="",FALSE,OR(ISNUMBER(SEARCH(_xlfn.TEXTSPLIT(_xlpm.k,";"),$M43)))))),0)),""))</f>
        <v/>
      </c>
    </row>
    <row r="44" spans="6:14" x14ac:dyDescent="0.25">
      <c r="F44" s="1" t="str">
        <f t="shared" si="0"/>
        <v/>
      </c>
      <c r="G44" s="1" t="str" cm="1">
        <f t="array" ref="G44">IF($M44="","",SUM(_xlfn.BYROW(tblFormas[PalavrasChave],_xlfn.LAMBDA(_xlpm.k,IF(_xlpm.k="",0,--OR(ISNUMBER(SEARCH(_xlfn.TEXTSPLIT(_xlpm.k,";"),$M44))))))))</f>
        <v/>
      </c>
      <c r="H44" s="1" t="str">
        <f t="shared" si="1"/>
        <v/>
      </c>
      <c r="I44" s="1" t="str">
        <f>IF($B44="","",_xlfn.LET(_xlpm.v,IFERROR(_xlfn.XLOOKUP($B44,tblClientes[Cliente],tblClientes[CLI4],""),""),IF(_xlpm.v=0,"",_xlpm.v)))</f>
        <v/>
      </c>
      <c r="J44" s="1" t="str">
        <f>IF(OR($F44="",$I44=""),"",TEXT(COUNTIF(Produtos!$B:$B,$F44&amp;"-"&amp;$I44&amp;"-*")+COUNTIFS($F$3:F43,$F44,$I$3:I43,$I44)+1,"0000"))</f>
        <v/>
      </c>
      <c r="K44" s="26" t="str">
        <f t="shared" si="2"/>
        <v/>
      </c>
      <c r="L44" t="str">
        <f t="shared" si="3"/>
        <v/>
      </c>
      <c r="M44" t="str">
        <f t="shared" si="4"/>
        <v/>
      </c>
      <c r="N44" t="str" cm="1">
        <f t="array" ref="N44">IF($M44="","",IFERROR(INDEX(tblFormas[CAT3],MATCH(TRUE,_xlfn.BYROW(tblFormas[PalavrasChave],_xlfn.LAMBDA(_xlpm.k,IF(_xlpm.k="",FALSE,OR(ISNUMBER(SEARCH(_xlfn.TEXTSPLIT(_xlpm.k,";"),$M44)))))),0)),""))</f>
        <v/>
      </c>
    </row>
    <row r="45" spans="6:14" x14ac:dyDescent="0.25">
      <c r="F45" s="1" t="str">
        <f t="shared" si="0"/>
        <v/>
      </c>
      <c r="G45" s="1" t="str" cm="1">
        <f t="array" ref="G45">IF($M45="","",SUM(_xlfn.BYROW(tblFormas[PalavrasChave],_xlfn.LAMBDA(_xlpm.k,IF(_xlpm.k="",0,--OR(ISNUMBER(SEARCH(_xlfn.TEXTSPLIT(_xlpm.k,";"),$M45))))))))</f>
        <v/>
      </c>
      <c r="H45" s="1" t="str">
        <f t="shared" si="1"/>
        <v/>
      </c>
      <c r="I45" s="1" t="str">
        <f>IF($B45="","",_xlfn.LET(_xlpm.v,IFERROR(_xlfn.XLOOKUP($B45,tblClientes[Cliente],tblClientes[CLI4],""),""),IF(_xlpm.v=0,"",_xlpm.v)))</f>
        <v/>
      </c>
      <c r="J45" s="1" t="str">
        <f>IF(OR($F45="",$I45=""),"",TEXT(COUNTIF(Produtos!$B:$B,$F45&amp;"-"&amp;$I45&amp;"-*")+COUNTIFS($F$3:F44,$F45,$I$3:I44,$I45)+1,"0000"))</f>
        <v/>
      </c>
      <c r="K45" s="26" t="str">
        <f t="shared" si="2"/>
        <v/>
      </c>
      <c r="L45" t="str">
        <f t="shared" si="3"/>
        <v/>
      </c>
      <c r="M45" t="str">
        <f t="shared" si="4"/>
        <v/>
      </c>
      <c r="N45" t="str" cm="1">
        <f t="array" ref="N45">IF($M45="","",IFERROR(INDEX(tblFormas[CAT3],MATCH(TRUE,_xlfn.BYROW(tblFormas[PalavrasChave],_xlfn.LAMBDA(_xlpm.k,IF(_xlpm.k="",FALSE,OR(ISNUMBER(SEARCH(_xlfn.TEXTSPLIT(_xlpm.k,";"),$M45)))))),0)),""))</f>
        <v/>
      </c>
    </row>
    <row r="46" spans="6:14" x14ac:dyDescent="0.25">
      <c r="F46" s="1" t="str">
        <f t="shared" si="0"/>
        <v/>
      </c>
      <c r="G46" s="1" t="str" cm="1">
        <f t="array" ref="G46">IF($M46="","",SUM(_xlfn.BYROW(tblFormas[PalavrasChave],_xlfn.LAMBDA(_xlpm.k,IF(_xlpm.k="",0,--OR(ISNUMBER(SEARCH(_xlfn.TEXTSPLIT(_xlpm.k,";"),$M46))))))))</f>
        <v/>
      </c>
      <c r="H46" s="1" t="str">
        <f t="shared" si="1"/>
        <v/>
      </c>
      <c r="I46" s="1" t="str">
        <f>IF($B46="","",_xlfn.LET(_xlpm.v,IFERROR(_xlfn.XLOOKUP($B46,tblClientes[Cliente],tblClientes[CLI4],""),""),IF(_xlpm.v=0,"",_xlpm.v)))</f>
        <v/>
      </c>
      <c r="J46" s="1" t="str">
        <f>IF(OR($F46="",$I46=""),"",TEXT(COUNTIF(Produtos!$B:$B,$F46&amp;"-"&amp;$I46&amp;"-*")+COUNTIFS($F$3:F45,$F46,$I$3:I45,$I46)+1,"0000"))</f>
        <v/>
      </c>
      <c r="K46" s="26" t="str">
        <f t="shared" si="2"/>
        <v/>
      </c>
      <c r="L46" t="str">
        <f t="shared" si="3"/>
        <v/>
      </c>
      <c r="M46" t="str">
        <f t="shared" si="4"/>
        <v/>
      </c>
      <c r="N46" t="str" cm="1">
        <f t="array" ref="N46">IF($M46="","",IFERROR(INDEX(tblFormas[CAT3],MATCH(TRUE,_xlfn.BYROW(tblFormas[PalavrasChave],_xlfn.LAMBDA(_xlpm.k,IF(_xlpm.k="",FALSE,OR(ISNUMBER(SEARCH(_xlfn.TEXTSPLIT(_xlpm.k,";"),$M46)))))),0)),""))</f>
        <v/>
      </c>
    </row>
    <row r="47" spans="6:14" x14ac:dyDescent="0.25">
      <c r="F47" s="1" t="str">
        <f t="shared" si="0"/>
        <v/>
      </c>
      <c r="G47" s="1" t="str" cm="1">
        <f t="array" ref="G47">IF($M47="","",SUM(_xlfn.BYROW(tblFormas[PalavrasChave],_xlfn.LAMBDA(_xlpm.k,IF(_xlpm.k="",0,--OR(ISNUMBER(SEARCH(_xlfn.TEXTSPLIT(_xlpm.k,";"),$M47))))))))</f>
        <v/>
      </c>
      <c r="H47" s="1" t="str">
        <f t="shared" si="1"/>
        <v/>
      </c>
      <c r="I47" s="1" t="str">
        <f>IF($B47="","",_xlfn.LET(_xlpm.v,IFERROR(_xlfn.XLOOKUP($B47,tblClientes[Cliente],tblClientes[CLI4],""),""),IF(_xlpm.v=0,"",_xlpm.v)))</f>
        <v/>
      </c>
      <c r="J47" s="1" t="str">
        <f>IF(OR($F47="",$I47=""),"",TEXT(COUNTIF(Produtos!$B:$B,$F47&amp;"-"&amp;$I47&amp;"-*")+COUNTIFS($F$3:F46,$F47,$I$3:I46,$I47)+1,"0000"))</f>
        <v/>
      </c>
      <c r="K47" s="26" t="str">
        <f t="shared" si="2"/>
        <v/>
      </c>
      <c r="L47" t="str">
        <f t="shared" si="3"/>
        <v/>
      </c>
      <c r="M47" t="str">
        <f t="shared" si="4"/>
        <v/>
      </c>
      <c r="N47" t="str" cm="1">
        <f t="array" ref="N47">IF($M47="","",IFERROR(INDEX(tblFormas[CAT3],MATCH(TRUE,_xlfn.BYROW(tblFormas[PalavrasChave],_xlfn.LAMBDA(_xlpm.k,IF(_xlpm.k="",FALSE,OR(ISNUMBER(SEARCH(_xlfn.TEXTSPLIT(_xlpm.k,";"),$M47)))))),0)),""))</f>
        <v/>
      </c>
    </row>
    <row r="48" spans="6:14" x14ac:dyDescent="0.25">
      <c r="F48" s="1" t="str">
        <f t="shared" si="0"/>
        <v/>
      </c>
      <c r="G48" s="1" t="str" cm="1">
        <f t="array" ref="G48">IF($M48="","",SUM(_xlfn.BYROW(tblFormas[PalavrasChave],_xlfn.LAMBDA(_xlpm.k,IF(_xlpm.k="",0,--OR(ISNUMBER(SEARCH(_xlfn.TEXTSPLIT(_xlpm.k,";"),$M48))))))))</f>
        <v/>
      </c>
      <c r="H48" s="1" t="str">
        <f t="shared" si="1"/>
        <v/>
      </c>
      <c r="I48" s="1" t="str">
        <f>IF($B48="","",_xlfn.LET(_xlpm.v,IFERROR(_xlfn.XLOOKUP($B48,tblClientes[Cliente],tblClientes[CLI4],""),""),IF(_xlpm.v=0,"",_xlpm.v)))</f>
        <v/>
      </c>
      <c r="J48" s="1" t="str">
        <f>IF(OR($F48="",$I48=""),"",TEXT(COUNTIF(Produtos!$B:$B,$F48&amp;"-"&amp;$I48&amp;"-*")+COUNTIFS($F$3:F47,$F48,$I$3:I47,$I48)+1,"0000"))</f>
        <v/>
      </c>
      <c r="K48" s="26" t="str">
        <f t="shared" si="2"/>
        <v/>
      </c>
      <c r="L48" t="str">
        <f t="shared" si="3"/>
        <v/>
      </c>
      <c r="M48" t="str">
        <f t="shared" si="4"/>
        <v/>
      </c>
      <c r="N48" t="str" cm="1">
        <f t="array" ref="N48">IF($M48="","",IFERROR(INDEX(tblFormas[CAT3],MATCH(TRUE,_xlfn.BYROW(tblFormas[PalavrasChave],_xlfn.LAMBDA(_xlpm.k,IF(_xlpm.k="",FALSE,OR(ISNUMBER(SEARCH(_xlfn.TEXTSPLIT(_xlpm.k,";"),$M48)))))),0)),""))</f>
        <v/>
      </c>
    </row>
    <row r="49" spans="6:14" x14ac:dyDescent="0.25">
      <c r="F49" s="1" t="str">
        <f t="shared" si="0"/>
        <v/>
      </c>
      <c r="G49" s="1" t="str" cm="1">
        <f t="array" ref="G49">IF($M49="","",SUM(_xlfn.BYROW(tblFormas[PalavrasChave],_xlfn.LAMBDA(_xlpm.k,IF(_xlpm.k="",0,--OR(ISNUMBER(SEARCH(_xlfn.TEXTSPLIT(_xlpm.k,";"),$M49))))))))</f>
        <v/>
      </c>
      <c r="H49" s="1" t="str">
        <f t="shared" si="1"/>
        <v/>
      </c>
      <c r="I49" s="1" t="str">
        <f>IF($B49="","",_xlfn.LET(_xlpm.v,IFERROR(_xlfn.XLOOKUP($B49,tblClientes[Cliente],tblClientes[CLI4],""),""),IF(_xlpm.v=0,"",_xlpm.v)))</f>
        <v/>
      </c>
      <c r="J49" s="1" t="str">
        <f>IF(OR($F49="",$I49=""),"",TEXT(COUNTIF(Produtos!$B:$B,$F49&amp;"-"&amp;$I49&amp;"-*")+COUNTIFS($F$3:F48,$F49,$I$3:I48,$I49)+1,"0000"))</f>
        <v/>
      </c>
      <c r="K49" s="26" t="str">
        <f t="shared" si="2"/>
        <v/>
      </c>
      <c r="L49" t="str">
        <f t="shared" si="3"/>
        <v/>
      </c>
      <c r="M49" t="str">
        <f t="shared" si="4"/>
        <v/>
      </c>
      <c r="N49" t="str" cm="1">
        <f t="array" ref="N49">IF($M49="","",IFERROR(INDEX(tblFormas[CAT3],MATCH(TRUE,_xlfn.BYROW(tblFormas[PalavrasChave],_xlfn.LAMBDA(_xlpm.k,IF(_xlpm.k="",FALSE,OR(ISNUMBER(SEARCH(_xlfn.TEXTSPLIT(_xlpm.k,";"),$M49)))))),0)),""))</f>
        <v/>
      </c>
    </row>
    <row r="50" spans="6:14" x14ac:dyDescent="0.25">
      <c r="F50" s="1" t="str">
        <f t="shared" si="0"/>
        <v/>
      </c>
      <c r="G50" s="1" t="str" cm="1">
        <f t="array" ref="G50">IF($M50="","",SUM(_xlfn.BYROW(tblFormas[PalavrasChave],_xlfn.LAMBDA(_xlpm.k,IF(_xlpm.k="",0,--OR(ISNUMBER(SEARCH(_xlfn.TEXTSPLIT(_xlpm.k,";"),$M50))))))))</f>
        <v/>
      </c>
      <c r="H50" s="1" t="str">
        <f t="shared" si="1"/>
        <v/>
      </c>
      <c r="I50" s="1" t="str">
        <f>IF($B50="","",_xlfn.LET(_xlpm.v,IFERROR(_xlfn.XLOOKUP($B50,tblClientes[Cliente],tblClientes[CLI4],""),""),IF(_xlpm.v=0,"",_xlpm.v)))</f>
        <v/>
      </c>
      <c r="J50" s="1" t="str">
        <f>IF(OR($F50="",$I50=""),"",TEXT(COUNTIF(Produtos!$B:$B,$F50&amp;"-"&amp;$I50&amp;"-*")+COUNTIFS($F$3:F49,$F50,$I$3:I49,$I50)+1,"0000"))</f>
        <v/>
      </c>
      <c r="K50" s="26" t="str">
        <f t="shared" si="2"/>
        <v/>
      </c>
      <c r="L50" t="str">
        <f t="shared" si="3"/>
        <v/>
      </c>
      <c r="M50" t="str">
        <f t="shared" si="4"/>
        <v/>
      </c>
      <c r="N50" t="str" cm="1">
        <f t="array" ref="N50">IF($M50="","",IFERROR(INDEX(tblFormas[CAT3],MATCH(TRUE,_xlfn.BYROW(tblFormas[PalavrasChave],_xlfn.LAMBDA(_xlpm.k,IF(_xlpm.k="",FALSE,OR(ISNUMBER(SEARCH(_xlfn.TEXTSPLIT(_xlpm.k,";"),$M50)))))),0)),""))</f>
        <v/>
      </c>
    </row>
    <row r="51" spans="6:14" x14ac:dyDescent="0.25">
      <c r="F51" s="1" t="str">
        <f t="shared" si="0"/>
        <v/>
      </c>
      <c r="G51" s="1" t="str" cm="1">
        <f t="array" ref="G51">IF($M51="","",SUM(_xlfn.BYROW(tblFormas[PalavrasChave],_xlfn.LAMBDA(_xlpm.k,IF(_xlpm.k="",0,--OR(ISNUMBER(SEARCH(_xlfn.TEXTSPLIT(_xlpm.k,";"),$M51))))))))</f>
        <v/>
      </c>
      <c r="H51" s="1" t="str">
        <f t="shared" si="1"/>
        <v/>
      </c>
      <c r="I51" s="1" t="str">
        <f>IF($B51="","",_xlfn.LET(_xlpm.v,IFERROR(_xlfn.XLOOKUP($B51,tblClientes[Cliente],tblClientes[CLI4],""),""),IF(_xlpm.v=0,"",_xlpm.v)))</f>
        <v/>
      </c>
      <c r="J51" s="1" t="str">
        <f>IF(OR($F51="",$I51=""),"",TEXT(COUNTIF(Produtos!$B:$B,$F51&amp;"-"&amp;$I51&amp;"-*")+COUNTIFS($F$3:F50,$F51,$I$3:I50,$I51)+1,"0000"))</f>
        <v/>
      </c>
      <c r="K51" s="26" t="str">
        <f t="shared" si="2"/>
        <v/>
      </c>
      <c r="L51" t="str">
        <f t="shared" si="3"/>
        <v/>
      </c>
      <c r="M51" t="str">
        <f t="shared" si="4"/>
        <v/>
      </c>
      <c r="N51" t="str" cm="1">
        <f t="array" ref="N51">IF($M51="","",IFERROR(INDEX(tblFormas[CAT3],MATCH(TRUE,_xlfn.BYROW(tblFormas[PalavrasChave],_xlfn.LAMBDA(_xlpm.k,IF(_xlpm.k="",FALSE,OR(ISNUMBER(SEARCH(_xlfn.TEXTSPLIT(_xlpm.k,";"),$M51)))))),0)),""))</f>
        <v/>
      </c>
    </row>
    <row r="52" spans="6:14" x14ac:dyDescent="0.25">
      <c r="F52" s="1" t="str">
        <f t="shared" si="0"/>
        <v/>
      </c>
      <c r="G52" s="1" t="str" cm="1">
        <f t="array" ref="G52">IF($M52="","",SUM(_xlfn.BYROW(tblFormas[PalavrasChave],_xlfn.LAMBDA(_xlpm.k,IF(_xlpm.k="",0,--OR(ISNUMBER(SEARCH(_xlfn.TEXTSPLIT(_xlpm.k,";"),$M52))))))))</f>
        <v/>
      </c>
      <c r="H52" s="1" t="str">
        <f t="shared" si="1"/>
        <v/>
      </c>
      <c r="I52" s="1" t="str">
        <f>IF($B52="","",_xlfn.LET(_xlpm.v,IFERROR(_xlfn.XLOOKUP($B52,tblClientes[Cliente],tblClientes[CLI4],""),""),IF(_xlpm.v=0,"",_xlpm.v)))</f>
        <v/>
      </c>
      <c r="J52" s="1" t="str">
        <f>IF(OR($F52="",$I52=""),"",TEXT(COUNTIF(Produtos!$B:$B,$F52&amp;"-"&amp;$I52&amp;"-*")+COUNTIFS($F$3:F51,$F52,$I$3:I51,$I52)+1,"0000"))</f>
        <v/>
      </c>
      <c r="K52" s="26" t="str">
        <f t="shared" si="2"/>
        <v/>
      </c>
      <c r="L52" t="str">
        <f t="shared" si="3"/>
        <v/>
      </c>
      <c r="M52" t="str">
        <f t="shared" si="4"/>
        <v/>
      </c>
      <c r="N52" t="str" cm="1">
        <f t="array" ref="N52">IF($M52="","",IFERROR(INDEX(tblFormas[CAT3],MATCH(TRUE,_xlfn.BYROW(tblFormas[PalavrasChave],_xlfn.LAMBDA(_xlpm.k,IF(_xlpm.k="",FALSE,OR(ISNUMBER(SEARCH(_xlfn.TEXTSPLIT(_xlpm.k,";"),$M52)))))),0)),""))</f>
        <v/>
      </c>
    </row>
    <row r="53" spans="6:14" x14ac:dyDescent="0.25">
      <c r="F53" s="1" t="str">
        <f t="shared" si="0"/>
        <v/>
      </c>
      <c r="G53" s="1" t="str" cm="1">
        <f t="array" ref="G53">IF($M53="","",SUM(_xlfn.BYROW(tblFormas[PalavrasChave],_xlfn.LAMBDA(_xlpm.k,IF(_xlpm.k="",0,--OR(ISNUMBER(SEARCH(_xlfn.TEXTSPLIT(_xlpm.k,";"),$M53))))))))</f>
        <v/>
      </c>
      <c r="H53" s="1" t="str">
        <f t="shared" si="1"/>
        <v/>
      </c>
      <c r="I53" s="1" t="str">
        <f>IF($B53="","",_xlfn.LET(_xlpm.v,IFERROR(_xlfn.XLOOKUP($B53,tblClientes[Cliente],tblClientes[CLI4],""),""),IF(_xlpm.v=0,"",_xlpm.v)))</f>
        <v/>
      </c>
      <c r="J53" s="1" t="str">
        <f>IF(OR($F53="",$I53=""),"",TEXT(COUNTIF(Produtos!$B:$B,$F53&amp;"-"&amp;$I53&amp;"-*")+COUNTIFS($F$3:F52,$F53,$I$3:I52,$I53)+1,"0000"))</f>
        <v/>
      </c>
      <c r="K53" s="26" t="str">
        <f t="shared" si="2"/>
        <v/>
      </c>
      <c r="L53" t="str">
        <f t="shared" si="3"/>
        <v/>
      </c>
      <c r="M53" t="str">
        <f t="shared" si="4"/>
        <v/>
      </c>
      <c r="N53" t="str" cm="1">
        <f t="array" ref="N53">IF($M53="","",IFERROR(INDEX(tblFormas[CAT3],MATCH(TRUE,_xlfn.BYROW(tblFormas[PalavrasChave],_xlfn.LAMBDA(_xlpm.k,IF(_xlpm.k="",FALSE,OR(ISNUMBER(SEARCH(_xlfn.TEXTSPLIT(_xlpm.k,";"),$M53)))))),0)),""))</f>
        <v/>
      </c>
    </row>
    <row r="54" spans="6:14" x14ac:dyDescent="0.25">
      <c r="F54" s="1" t="str">
        <f t="shared" si="0"/>
        <v/>
      </c>
      <c r="G54" s="1" t="str" cm="1">
        <f t="array" ref="G54">IF($M54="","",SUM(_xlfn.BYROW(tblFormas[PalavrasChave],_xlfn.LAMBDA(_xlpm.k,IF(_xlpm.k="",0,--OR(ISNUMBER(SEARCH(_xlfn.TEXTSPLIT(_xlpm.k,";"),$M54))))))))</f>
        <v/>
      </c>
      <c r="H54" s="1" t="str">
        <f t="shared" si="1"/>
        <v/>
      </c>
      <c r="I54" s="1" t="str">
        <f>IF($B54="","",_xlfn.LET(_xlpm.v,IFERROR(_xlfn.XLOOKUP($B54,tblClientes[Cliente],tblClientes[CLI4],""),""),IF(_xlpm.v=0,"",_xlpm.v)))</f>
        <v/>
      </c>
      <c r="J54" s="1" t="str">
        <f>IF(OR($F54="",$I54=""),"",TEXT(COUNTIF(Produtos!$B:$B,$F54&amp;"-"&amp;$I54&amp;"-*")+COUNTIFS($F$3:F53,$F54,$I$3:I53,$I54)+1,"0000"))</f>
        <v/>
      </c>
      <c r="K54" s="26" t="str">
        <f t="shared" si="2"/>
        <v/>
      </c>
      <c r="L54" t="str">
        <f t="shared" si="3"/>
        <v/>
      </c>
      <c r="M54" t="str">
        <f t="shared" si="4"/>
        <v/>
      </c>
      <c r="N54" t="str" cm="1">
        <f t="array" ref="N54">IF($M54="","",IFERROR(INDEX(tblFormas[CAT3],MATCH(TRUE,_xlfn.BYROW(tblFormas[PalavrasChave],_xlfn.LAMBDA(_xlpm.k,IF(_xlpm.k="",FALSE,OR(ISNUMBER(SEARCH(_xlfn.TEXTSPLIT(_xlpm.k,";"),$M54)))))),0)),""))</f>
        <v/>
      </c>
    </row>
    <row r="55" spans="6:14" x14ac:dyDescent="0.25">
      <c r="F55" s="1" t="str">
        <f t="shared" si="0"/>
        <v/>
      </c>
      <c r="G55" s="1" t="str" cm="1">
        <f t="array" ref="G55">IF($M55="","",SUM(_xlfn.BYROW(tblFormas[PalavrasChave],_xlfn.LAMBDA(_xlpm.k,IF(_xlpm.k="",0,--OR(ISNUMBER(SEARCH(_xlfn.TEXTSPLIT(_xlpm.k,";"),$M55))))))))</f>
        <v/>
      </c>
      <c r="H55" s="1" t="str">
        <f t="shared" si="1"/>
        <v/>
      </c>
      <c r="I55" s="1" t="str">
        <f>IF($B55="","",_xlfn.LET(_xlpm.v,IFERROR(_xlfn.XLOOKUP($B55,tblClientes[Cliente],tblClientes[CLI4],""),""),IF(_xlpm.v=0,"",_xlpm.v)))</f>
        <v/>
      </c>
      <c r="J55" s="1" t="str">
        <f>IF(OR($F55="",$I55=""),"",TEXT(COUNTIF(Produtos!$B:$B,$F55&amp;"-"&amp;$I55&amp;"-*")+COUNTIFS($F$3:F54,$F55,$I$3:I54,$I55)+1,"0000"))</f>
        <v/>
      </c>
      <c r="K55" s="26" t="str">
        <f t="shared" si="2"/>
        <v/>
      </c>
      <c r="L55" t="str">
        <f t="shared" si="3"/>
        <v/>
      </c>
      <c r="M55" t="str">
        <f t="shared" si="4"/>
        <v/>
      </c>
      <c r="N55" t="str" cm="1">
        <f t="array" ref="N55">IF($M55="","",IFERROR(INDEX(tblFormas[CAT3],MATCH(TRUE,_xlfn.BYROW(tblFormas[PalavrasChave],_xlfn.LAMBDA(_xlpm.k,IF(_xlpm.k="",FALSE,OR(ISNUMBER(SEARCH(_xlfn.TEXTSPLIT(_xlpm.k,";"),$M55)))))),0)),""))</f>
        <v/>
      </c>
    </row>
    <row r="56" spans="6:14" x14ac:dyDescent="0.25">
      <c r="F56" s="1" t="str">
        <f t="shared" si="0"/>
        <v/>
      </c>
      <c r="G56" s="1" t="str" cm="1">
        <f t="array" ref="G56">IF($M56="","",SUM(_xlfn.BYROW(tblFormas[PalavrasChave],_xlfn.LAMBDA(_xlpm.k,IF(_xlpm.k="",0,--OR(ISNUMBER(SEARCH(_xlfn.TEXTSPLIT(_xlpm.k,";"),$M56))))))))</f>
        <v/>
      </c>
      <c r="H56" s="1" t="str">
        <f t="shared" si="1"/>
        <v/>
      </c>
      <c r="I56" s="1" t="str">
        <f>IF($B56="","",_xlfn.LET(_xlpm.v,IFERROR(_xlfn.XLOOKUP($B56,tblClientes[Cliente],tblClientes[CLI4],""),""),IF(_xlpm.v=0,"",_xlpm.v)))</f>
        <v/>
      </c>
      <c r="J56" s="1" t="str">
        <f>IF(OR($F56="",$I56=""),"",TEXT(COUNTIF(Produtos!$B:$B,$F56&amp;"-"&amp;$I56&amp;"-*")+COUNTIFS($F$3:F55,$F56,$I$3:I55,$I56)+1,"0000"))</f>
        <v/>
      </c>
      <c r="K56" s="26" t="str">
        <f t="shared" si="2"/>
        <v/>
      </c>
      <c r="L56" t="str">
        <f t="shared" si="3"/>
        <v/>
      </c>
      <c r="M56" t="str">
        <f t="shared" si="4"/>
        <v/>
      </c>
      <c r="N56" t="str" cm="1">
        <f t="array" ref="N56">IF($M56="","",IFERROR(INDEX(tblFormas[CAT3],MATCH(TRUE,_xlfn.BYROW(tblFormas[PalavrasChave],_xlfn.LAMBDA(_xlpm.k,IF(_xlpm.k="",FALSE,OR(ISNUMBER(SEARCH(_xlfn.TEXTSPLIT(_xlpm.k,";"),$M56)))))),0)),""))</f>
        <v/>
      </c>
    </row>
    <row r="57" spans="6:14" x14ac:dyDescent="0.25">
      <c r="F57" s="1" t="str">
        <f t="shared" si="0"/>
        <v/>
      </c>
      <c r="G57" s="1" t="str" cm="1">
        <f t="array" ref="G57">IF($M57="","",SUM(_xlfn.BYROW(tblFormas[PalavrasChave],_xlfn.LAMBDA(_xlpm.k,IF(_xlpm.k="",0,--OR(ISNUMBER(SEARCH(_xlfn.TEXTSPLIT(_xlpm.k,";"),$M57))))))))</f>
        <v/>
      </c>
      <c r="H57" s="1" t="str">
        <f t="shared" si="1"/>
        <v/>
      </c>
      <c r="I57" s="1" t="str">
        <f>IF($B57="","",_xlfn.LET(_xlpm.v,IFERROR(_xlfn.XLOOKUP($B57,tblClientes[Cliente],tblClientes[CLI4],""),""),IF(_xlpm.v=0,"",_xlpm.v)))</f>
        <v/>
      </c>
      <c r="J57" s="1" t="str">
        <f>IF(OR($F57="",$I57=""),"",TEXT(COUNTIF(Produtos!$B:$B,$F57&amp;"-"&amp;$I57&amp;"-*")+COUNTIFS($F$3:F56,$F57,$I$3:I56,$I57)+1,"0000"))</f>
        <v/>
      </c>
      <c r="K57" s="26" t="str">
        <f t="shared" si="2"/>
        <v/>
      </c>
      <c r="L57" t="str">
        <f t="shared" si="3"/>
        <v/>
      </c>
      <c r="M57" t="str">
        <f t="shared" si="4"/>
        <v/>
      </c>
      <c r="N57" t="str" cm="1">
        <f t="array" ref="N57">IF($M57="","",IFERROR(INDEX(tblFormas[CAT3],MATCH(TRUE,_xlfn.BYROW(tblFormas[PalavrasChave],_xlfn.LAMBDA(_xlpm.k,IF(_xlpm.k="",FALSE,OR(ISNUMBER(SEARCH(_xlfn.TEXTSPLIT(_xlpm.k,";"),$M57)))))),0)),""))</f>
        <v/>
      </c>
    </row>
    <row r="58" spans="6:14" x14ac:dyDescent="0.25">
      <c r="F58" s="1" t="str">
        <f t="shared" si="0"/>
        <v/>
      </c>
      <c r="G58" s="1" t="str" cm="1">
        <f t="array" ref="G58">IF($M58="","",SUM(_xlfn.BYROW(tblFormas[PalavrasChave],_xlfn.LAMBDA(_xlpm.k,IF(_xlpm.k="",0,--OR(ISNUMBER(SEARCH(_xlfn.TEXTSPLIT(_xlpm.k,";"),$M58))))))))</f>
        <v/>
      </c>
      <c r="H58" s="1" t="str">
        <f t="shared" si="1"/>
        <v/>
      </c>
      <c r="I58" s="1" t="str">
        <f>IF($B58="","",_xlfn.LET(_xlpm.v,IFERROR(_xlfn.XLOOKUP($B58,tblClientes[Cliente],tblClientes[CLI4],""),""),IF(_xlpm.v=0,"",_xlpm.v)))</f>
        <v/>
      </c>
      <c r="J58" s="1" t="str">
        <f>IF(OR($F58="",$I58=""),"",TEXT(COUNTIF(Produtos!$B:$B,$F58&amp;"-"&amp;$I58&amp;"-*")+COUNTIFS($F$3:F57,$F58,$I$3:I57,$I58)+1,"0000"))</f>
        <v/>
      </c>
      <c r="K58" s="26" t="str">
        <f t="shared" si="2"/>
        <v/>
      </c>
      <c r="L58" t="str">
        <f t="shared" si="3"/>
        <v/>
      </c>
      <c r="M58" t="str">
        <f t="shared" si="4"/>
        <v/>
      </c>
      <c r="N58" t="str" cm="1">
        <f t="array" ref="N58">IF($M58="","",IFERROR(INDEX(tblFormas[CAT3],MATCH(TRUE,_xlfn.BYROW(tblFormas[PalavrasChave],_xlfn.LAMBDA(_xlpm.k,IF(_xlpm.k="",FALSE,OR(ISNUMBER(SEARCH(_xlfn.TEXTSPLIT(_xlpm.k,";"),$M58)))))),0)),""))</f>
        <v/>
      </c>
    </row>
    <row r="59" spans="6:14" x14ac:dyDescent="0.25">
      <c r="F59" s="1" t="str">
        <f t="shared" si="0"/>
        <v/>
      </c>
      <c r="G59" s="1" t="str" cm="1">
        <f t="array" ref="G59">IF($M59="","",SUM(_xlfn.BYROW(tblFormas[PalavrasChave],_xlfn.LAMBDA(_xlpm.k,IF(_xlpm.k="",0,--OR(ISNUMBER(SEARCH(_xlfn.TEXTSPLIT(_xlpm.k,";"),$M59))))))))</f>
        <v/>
      </c>
      <c r="H59" s="1" t="str">
        <f t="shared" si="1"/>
        <v/>
      </c>
      <c r="I59" s="1" t="str">
        <f>IF($B59="","",_xlfn.LET(_xlpm.v,IFERROR(_xlfn.XLOOKUP($B59,tblClientes[Cliente],tblClientes[CLI4],""),""),IF(_xlpm.v=0,"",_xlpm.v)))</f>
        <v/>
      </c>
      <c r="J59" s="1" t="str">
        <f>IF(OR($F59="",$I59=""),"",TEXT(COUNTIF(Produtos!$B:$B,$F59&amp;"-"&amp;$I59&amp;"-*")+COUNTIFS($F$3:F58,$F59,$I$3:I58,$I59)+1,"0000"))</f>
        <v/>
      </c>
      <c r="K59" s="26" t="str">
        <f t="shared" si="2"/>
        <v/>
      </c>
      <c r="L59" t="str">
        <f t="shared" si="3"/>
        <v/>
      </c>
      <c r="M59" t="str">
        <f t="shared" si="4"/>
        <v/>
      </c>
      <c r="N59" t="str" cm="1">
        <f t="array" ref="N59">IF($M59="","",IFERROR(INDEX(tblFormas[CAT3],MATCH(TRUE,_xlfn.BYROW(tblFormas[PalavrasChave],_xlfn.LAMBDA(_xlpm.k,IF(_xlpm.k="",FALSE,OR(ISNUMBER(SEARCH(_xlfn.TEXTSPLIT(_xlpm.k,";"),$M59)))))),0)),""))</f>
        <v/>
      </c>
    </row>
    <row r="60" spans="6:14" x14ac:dyDescent="0.25">
      <c r="F60" s="1" t="str">
        <f t="shared" si="0"/>
        <v/>
      </c>
      <c r="G60" s="1" t="str" cm="1">
        <f t="array" ref="G60">IF($M60="","",SUM(_xlfn.BYROW(tblFormas[PalavrasChave],_xlfn.LAMBDA(_xlpm.k,IF(_xlpm.k="",0,--OR(ISNUMBER(SEARCH(_xlfn.TEXTSPLIT(_xlpm.k,";"),$M60))))))))</f>
        <v/>
      </c>
      <c r="H60" s="1" t="str">
        <f t="shared" si="1"/>
        <v/>
      </c>
      <c r="I60" s="1" t="str">
        <f>IF($B60="","",_xlfn.LET(_xlpm.v,IFERROR(_xlfn.XLOOKUP($B60,tblClientes[Cliente],tblClientes[CLI4],""),""),IF(_xlpm.v=0,"",_xlpm.v)))</f>
        <v/>
      </c>
      <c r="J60" s="1" t="str">
        <f>IF(OR($F60="",$I60=""),"",TEXT(COUNTIF(Produtos!$B:$B,$F60&amp;"-"&amp;$I60&amp;"-*")+COUNTIFS($F$3:F59,$F60,$I$3:I59,$I60)+1,"0000"))</f>
        <v/>
      </c>
      <c r="K60" s="26" t="str">
        <f t="shared" si="2"/>
        <v/>
      </c>
      <c r="L60" t="str">
        <f t="shared" si="3"/>
        <v/>
      </c>
      <c r="M60" t="str">
        <f t="shared" si="4"/>
        <v/>
      </c>
      <c r="N60" t="str" cm="1">
        <f t="array" ref="N60">IF($M60="","",IFERROR(INDEX(tblFormas[CAT3],MATCH(TRUE,_xlfn.BYROW(tblFormas[PalavrasChave],_xlfn.LAMBDA(_xlpm.k,IF(_xlpm.k="",FALSE,OR(ISNUMBER(SEARCH(_xlfn.TEXTSPLIT(_xlpm.k,";"),$M60)))))),0)),""))</f>
        <v/>
      </c>
    </row>
    <row r="61" spans="6:14" x14ac:dyDescent="0.25">
      <c r="F61" s="1" t="str">
        <f t="shared" si="0"/>
        <v/>
      </c>
      <c r="G61" s="1" t="str" cm="1">
        <f t="array" ref="G61">IF($M61="","",SUM(_xlfn.BYROW(tblFormas[PalavrasChave],_xlfn.LAMBDA(_xlpm.k,IF(_xlpm.k="",0,--OR(ISNUMBER(SEARCH(_xlfn.TEXTSPLIT(_xlpm.k,";"),$M61))))))))</f>
        <v/>
      </c>
      <c r="H61" s="1" t="str">
        <f t="shared" si="1"/>
        <v/>
      </c>
      <c r="I61" s="1" t="str">
        <f>IF($B61="","",_xlfn.LET(_xlpm.v,IFERROR(_xlfn.XLOOKUP($B61,tblClientes[Cliente],tblClientes[CLI4],""),""),IF(_xlpm.v=0,"",_xlpm.v)))</f>
        <v/>
      </c>
      <c r="J61" s="1" t="str">
        <f>IF(OR($F61="",$I61=""),"",TEXT(COUNTIF(Produtos!$B:$B,$F61&amp;"-"&amp;$I61&amp;"-*")+COUNTIFS($F$3:F60,$F61,$I$3:I60,$I61)+1,"0000"))</f>
        <v/>
      </c>
      <c r="K61" s="26" t="str">
        <f t="shared" si="2"/>
        <v/>
      </c>
      <c r="L61" t="str">
        <f t="shared" si="3"/>
        <v/>
      </c>
      <c r="M61" t="str">
        <f t="shared" si="4"/>
        <v/>
      </c>
      <c r="N61" t="str" cm="1">
        <f t="array" ref="N61">IF($M61="","",IFERROR(INDEX(tblFormas[CAT3],MATCH(TRUE,_xlfn.BYROW(tblFormas[PalavrasChave],_xlfn.LAMBDA(_xlpm.k,IF(_xlpm.k="",FALSE,OR(ISNUMBER(SEARCH(_xlfn.TEXTSPLIT(_xlpm.k,";"),$M61)))))),0)),""))</f>
        <v/>
      </c>
    </row>
    <row r="62" spans="6:14" x14ac:dyDescent="0.25">
      <c r="F62" s="1" t="str">
        <f t="shared" si="0"/>
        <v/>
      </c>
      <c r="G62" s="1" t="str" cm="1">
        <f t="array" ref="G62">IF($M62="","",SUM(_xlfn.BYROW(tblFormas[PalavrasChave],_xlfn.LAMBDA(_xlpm.k,IF(_xlpm.k="",0,--OR(ISNUMBER(SEARCH(_xlfn.TEXTSPLIT(_xlpm.k,";"),$M62))))))))</f>
        <v/>
      </c>
      <c r="H62" s="1" t="str">
        <f t="shared" si="1"/>
        <v/>
      </c>
      <c r="I62" s="1" t="str">
        <f>IF($B62="","",_xlfn.LET(_xlpm.v,IFERROR(_xlfn.XLOOKUP($B62,tblClientes[Cliente],tblClientes[CLI4],""),""),IF(_xlpm.v=0,"",_xlpm.v)))</f>
        <v/>
      </c>
      <c r="J62" s="1" t="str">
        <f>IF(OR($F62="",$I62=""),"",TEXT(COUNTIF(Produtos!$B:$B,$F62&amp;"-"&amp;$I62&amp;"-*")+COUNTIFS($F$3:F61,$F62,$I$3:I61,$I62)+1,"0000"))</f>
        <v/>
      </c>
      <c r="K62" s="26" t="str">
        <f t="shared" si="2"/>
        <v/>
      </c>
      <c r="L62" t="str">
        <f t="shared" si="3"/>
        <v/>
      </c>
      <c r="M62" t="str">
        <f t="shared" si="4"/>
        <v/>
      </c>
      <c r="N62" t="str" cm="1">
        <f t="array" ref="N62">IF($M62="","",IFERROR(INDEX(tblFormas[CAT3],MATCH(TRUE,_xlfn.BYROW(tblFormas[PalavrasChave],_xlfn.LAMBDA(_xlpm.k,IF(_xlpm.k="",FALSE,OR(ISNUMBER(SEARCH(_xlfn.TEXTSPLIT(_xlpm.k,";"),$M62)))))),0)),""))</f>
        <v/>
      </c>
    </row>
    <row r="63" spans="6:14" x14ac:dyDescent="0.25">
      <c r="F63" s="1" t="str">
        <f t="shared" si="0"/>
        <v/>
      </c>
      <c r="G63" s="1" t="str" cm="1">
        <f t="array" ref="G63">IF($M63="","",SUM(_xlfn.BYROW(tblFormas[PalavrasChave],_xlfn.LAMBDA(_xlpm.k,IF(_xlpm.k="",0,--OR(ISNUMBER(SEARCH(_xlfn.TEXTSPLIT(_xlpm.k,";"),$M63))))))))</f>
        <v/>
      </c>
      <c r="H63" s="1" t="str">
        <f t="shared" si="1"/>
        <v/>
      </c>
      <c r="I63" s="1" t="str">
        <f>IF($B63="","",_xlfn.LET(_xlpm.v,IFERROR(_xlfn.XLOOKUP($B63,tblClientes[Cliente],tblClientes[CLI4],""),""),IF(_xlpm.v=0,"",_xlpm.v)))</f>
        <v/>
      </c>
      <c r="J63" s="1" t="str">
        <f>IF(OR($F63="",$I63=""),"",TEXT(COUNTIF(Produtos!$B:$B,$F63&amp;"-"&amp;$I63&amp;"-*")+COUNTIFS($F$3:F62,$F63,$I$3:I62,$I63)+1,"0000"))</f>
        <v/>
      </c>
      <c r="K63" s="26" t="str">
        <f t="shared" si="2"/>
        <v/>
      </c>
      <c r="L63" t="str">
        <f t="shared" si="3"/>
        <v/>
      </c>
      <c r="M63" t="str">
        <f t="shared" si="4"/>
        <v/>
      </c>
      <c r="N63" t="str" cm="1">
        <f t="array" ref="N63">IF($M63="","",IFERROR(INDEX(tblFormas[CAT3],MATCH(TRUE,_xlfn.BYROW(tblFormas[PalavrasChave],_xlfn.LAMBDA(_xlpm.k,IF(_xlpm.k="",FALSE,OR(ISNUMBER(SEARCH(_xlfn.TEXTSPLIT(_xlpm.k,";"),$M63)))))),0)),""))</f>
        <v/>
      </c>
    </row>
    <row r="64" spans="6:14" x14ac:dyDescent="0.25">
      <c r="F64" s="1" t="str">
        <f t="shared" si="0"/>
        <v/>
      </c>
      <c r="G64" s="1" t="str" cm="1">
        <f t="array" ref="G64">IF($M64="","",SUM(_xlfn.BYROW(tblFormas[PalavrasChave],_xlfn.LAMBDA(_xlpm.k,IF(_xlpm.k="",0,--OR(ISNUMBER(SEARCH(_xlfn.TEXTSPLIT(_xlpm.k,";"),$M64))))))))</f>
        <v/>
      </c>
      <c r="H64" s="1" t="str">
        <f t="shared" si="1"/>
        <v/>
      </c>
      <c r="I64" s="1" t="str">
        <f>IF($B64="","",_xlfn.LET(_xlpm.v,IFERROR(_xlfn.XLOOKUP($B64,tblClientes[Cliente],tblClientes[CLI4],""),""),IF(_xlpm.v=0,"",_xlpm.v)))</f>
        <v/>
      </c>
      <c r="J64" s="1" t="str">
        <f>IF(OR($F64="",$I64=""),"",TEXT(COUNTIF(Produtos!$B:$B,$F64&amp;"-"&amp;$I64&amp;"-*")+COUNTIFS($F$3:F63,$F64,$I$3:I63,$I64)+1,"0000"))</f>
        <v/>
      </c>
      <c r="K64" s="26" t="str">
        <f t="shared" si="2"/>
        <v/>
      </c>
      <c r="L64" t="str">
        <f t="shared" si="3"/>
        <v/>
      </c>
      <c r="M64" t="str">
        <f t="shared" si="4"/>
        <v/>
      </c>
      <c r="N64" t="str" cm="1">
        <f t="array" ref="N64">IF($M64="","",IFERROR(INDEX(tblFormas[CAT3],MATCH(TRUE,_xlfn.BYROW(tblFormas[PalavrasChave],_xlfn.LAMBDA(_xlpm.k,IF(_xlpm.k="",FALSE,OR(ISNUMBER(SEARCH(_xlfn.TEXTSPLIT(_xlpm.k,";"),$M64)))))),0)),""))</f>
        <v/>
      </c>
    </row>
    <row r="65" spans="6:14" x14ac:dyDescent="0.25">
      <c r="F65" s="1" t="str">
        <f t="shared" si="0"/>
        <v/>
      </c>
      <c r="G65" s="1" t="str" cm="1">
        <f t="array" ref="G65">IF($M65="","",SUM(_xlfn.BYROW(tblFormas[PalavrasChave],_xlfn.LAMBDA(_xlpm.k,IF(_xlpm.k="",0,--OR(ISNUMBER(SEARCH(_xlfn.TEXTSPLIT(_xlpm.k,";"),$M65))))))))</f>
        <v/>
      </c>
      <c r="H65" s="1" t="str">
        <f t="shared" si="1"/>
        <v/>
      </c>
      <c r="I65" s="1" t="str">
        <f>IF($B65="","",_xlfn.LET(_xlpm.v,IFERROR(_xlfn.XLOOKUP($B65,tblClientes[Cliente],tblClientes[CLI4],""),""),IF(_xlpm.v=0,"",_xlpm.v)))</f>
        <v/>
      </c>
      <c r="J65" s="1" t="str">
        <f>IF(OR($F65="",$I65=""),"",TEXT(COUNTIF(Produtos!$B:$B,$F65&amp;"-"&amp;$I65&amp;"-*")+COUNTIFS($F$3:F64,$F65,$I$3:I64,$I65)+1,"0000"))</f>
        <v/>
      </c>
      <c r="K65" s="26" t="str">
        <f t="shared" si="2"/>
        <v/>
      </c>
      <c r="L65" t="str">
        <f t="shared" si="3"/>
        <v/>
      </c>
      <c r="M65" t="str">
        <f t="shared" si="4"/>
        <v/>
      </c>
      <c r="N65" t="str" cm="1">
        <f t="array" ref="N65">IF($M65="","",IFERROR(INDEX(tblFormas[CAT3],MATCH(TRUE,_xlfn.BYROW(tblFormas[PalavrasChave],_xlfn.LAMBDA(_xlpm.k,IF(_xlpm.k="",FALSE,OR(ISNUMBER(SEARCH(_xlfn.TEXTSPLIT(_xlpm.k,";"),$M65)))))),0)),""))</f>
        <v/>
      </c>
    </row>
    <row r="66" spans="6:14" x14ac:dyDescent="0.25">
      <c r="F66" s="1" t="str">
        <f t="shared" si="0"/>
        <v/>
      </c>
      <c r="G66" s="1" t="str" cm="1">
        <f t="array" ref="G66">IF($M66="","",SUM(_xlfn.BYROW(tblFormas[PalavrasChave],_xlfn.LAMBDA(_xlpm.k,IF(_xlpm.k="",0,--OR(ISNUMBER(SEARCH(_xlfn.TEXTSPLIT(_xlpm.k,";"),$M66))))))))</f>
        <v/>
      </c>
      <c r="H66" s="1" t="str">
        <f t="shared" si="1"/>
        <v/>
      </c>
      <c r="I66" s="1" t="str">
        <f>IF($B66="","",_xlfn.LET(_xlpm.v,IFERROR(_xlfn.XLOOKUP($B66,tblClientes[Cliente],tblClientes[CLI4],""),""),IF(_xlpm.v=0,"",_xlpm.v)))</f>
        <v/>
      </c>
      <c r="J66" s="1" t="str">
        <f>IF(OR($F66="",$I66=""),"",TEXT(COUNTIF(Produtos!$B:$B,$F66&amp;"-"&amp;$I66&amp;"-*")+COUNTIFS($F$3:F65,$F66,$I$3:I65,$I66)+1,"0000"))</f>
        <v/>
      </c>
      <c r="K66" s="26" t="str">
        <f t="shared" si="2"/>
        <v/>
      </c>
      <c r="L66" t="str">
        <f t="shared" si="3"/>
        <v/>
      </c>
      <c r="M66" t="str">
        <f t="shared" si="4"/>
        <v/>
      </c>
      <c r="N66" t="str" cm="1">
        <f t="array" ref="N66">IF($M66="","",IFERROR(INDEX(tblFormas[CAT3],MATCH(TRUE,_xlfn.BYROW(tblFormas[PalavrasChave],_xlfn.LAMBDA(_xlpm.k,IF(_xlpm.k="",FALSE,OR(ISNUMBER(SEARCH(_xlfn.TEXTSPLIT(_xlpm.k,";"),$M66)))))),0)),""))</f>
        <v/>
      </c>
    </row>
    <row r="67" spans="6:14" x14ac:dyDescent="0.25">
      <c r="F67" s="1" t="str">
        <f t="shared" si="0"/>
        <v/>
      </c>
      <c r="G67" s="1" t="str" cm="1">
        <f t="array" ref="G67">IF($M67="","",SUM(_xlfn.BYROW(tblFormas[PalavrasChave],_xlfn.LAMBDA(_xlpm.k,IF(_xlpm.k="",0,--OR(ISNUMBER(SEARCH(_xlfn.TEXTSPLIT(_xlpm.k,";"),$M67))))))))</f>
        <v/>
      </c>
      <c r="H67" s="1" t="str">
        <f t="shared" si="1"/>
        <v/>
      </c>
      <c r="I67" s="1" t="str">
        <f>IF($B67="","",_xlfn.LET(_xlpm.v,IFERROR(_xlfn.XLOOKUP($B67,tblClientes[Cliente],tblClientes[CLI4],""),""),IF(_xlpm.v=0,"",_xlpm.v)))</f>
        <v/>
      </c>
      <c r="J67" s="1" t="str">
        <f>IF(OR($F67="",$I67=""),"",TEXT(COUNTIF(Produtos!$B:$B,$F67&amp;"-"&amp;$I67&amp;"-*")+COUNTIFS($F$3:F66,$F67,$I$3:I66,$I67)+1,"0000"))</f>
        <v/>
      </c>
      <c r="K67" s="26" t="str">
        <f t="shared" si="2"/>
        <v/>
      </c>
      <c r="L67" t="str">
        <f t="shared" si="3"/>
        <v/>
      </c>
      <c r="M67" t="str">
        <f t="shared" si="4"/>
        <v/>
      </c>
      <c r="N67" t="str" cm="1">
        <f t="array" ref="N67">IF($M67="","",IFERROR(INDEX(tblFormas[CAT3],MATCH(TRUE,_xlfn.BYROW(tblFormas[PalavrasChave],_xlfn.LAMBDA(_xlpm.k,IF(_xlpm.k="",FALSE,OR(ISNUMBER(SEARCH(_xlfn.TEXTSPLIT(_xlpm.k,";"),$M67)))))),0)),""))</f>
        <v/>
      </c>
    </row>
    <row r="68" spans="6:14" x14ac:dyDescent="0.25">
      <c r="F68" s="1" t="str">
        <f t="shared" si="0"/>
        <v/>
      </c>
      <c r="G68" s="1" t="str" cm="1">
        <f t="array" ref="G68">IF($M68="","",SUM(_xlfn.BYROW(tblFormas[PalavrasChave],_xlfn.LAMBDA(_xlpm.k,IF(_xlpm.k="",0,--OR(ISNUMBER(SEARCH(_xlfn.TEXTSPLIT(_xlpm.k,";"),$M68))))))))</f>
        <v/>
      </c>
      <c r="H68" s="1" t="str">
        <f t="shared" si="1"/>
        <v/>
      </c>
      <c r="I68" s="1" t="str">
        <f>IF($B68="","",_xlfn.LET(_xlpm.v,IFERROR(_xlfn.XLOOKUP($B68,tblClientes[Cliente],tblClientes[CLI4],""),""),IF(_xlpm.v=0,"",_xlpm.v)))</f>
        <v/>
      </c>
      <c r="J68" s="1" t="str">
        <f>IF(OR($F68="",$I68=""),"",TEXT(COUNTIF(Produtos!$B:$B,$F68&amp;"-"&amp;$I68&amp;"-*")+COUNTIFS($F$3:F67,$F68,$I$3:I67,$I68)+1,"0000"))</f>
        <v/>
      </c>
      <c r="K68" s="26" t="str">
        <f t="shared" si="2"/>
        <v/>
      </c>
      <c r="L68" t="str">
        <f t="shared" si="3"/>
        <v/>
      </c>
      <c r="M68" t="str">
        <f t="shared" si="4"/>
        <v/>
      </c>
      <c r="N68" t="str" cm="1">
        <f t="array" ref="N68">IF($M68="","",IFERROR(INDEX(tblFormas[CAT3],MATCH(TRUE,_xlfn.BYROW(tblFormas[PalavrasChave],_xlfn.LAMBDA(_xlpm.k,IF(_xlpm.k="",FALSE,OR(ISNUMBER(SEARCH(_xlfn.TEXTSPLIT(_xlpm.k,";"),$M68)))))),0)),""))</f>
        <v/>
      </c>
    </row>
    <row r="69" spans="6:14" x14ac:dyDescent="0.25">
      <c r="F69" s="1" t="str">
        <f t="shared" ref="F69:F103" si="5">IF($A69="","",IF($E69&lt;&gt;"",UPPER($E69),$N69))</f>
        <v/>
      </c>
      <c r="G69" s="1" t="str" cm="1">
        <f t="array" ref="G69">IF($M69="","",SUM(_xlfn.BYROW(tblFormas[PalavrasChave],_xlfn.LAMBDA(_xlpm.k,IF(_xlpm.k="",0,--OR(ISNUMBER(SEARCH(_xlfn.TEXTSPLIT(_xlpm.k,";"),$M69))))))))</f>
        <v/>
      </c>
      <c r="H69" s="1" t="str">
        <f t="shared" ref="H69:H103" si="6">IF($A69="","",IF($E69&lt;&gt;"","ALTA",IF($G69=1,"ALTA",IF($G69&gt;=2,"REVISAR - MULTIPLAS","REVISAR - NENHUMA"))))</f>
        <v/>
      </c>
      <c r="I69" s="1" t="str">
        <f>IF($B69="","",_xlfn.LET(_xlpm.v,IFERROR(_xlfn.XLOOKUP($B69,tblClientes[Cliente],tblClientes[CLI4],""),""),IF(_xlpm.v=0,"",_xlpm.v)))</f>
        <v/>
      </c>
      <c r="J69" s="1" t="str">
        <f>IF(OR($F69="",$I69=""),"",TEXT(COUNTIF(Produtos!$B:$B,$F69&amp;"-"&amp;$I69&amp;"-*")+COUNTIFS($F$3:F68,$F69,$I$3:I68,$I69)+1,"0000"))</f>
        <v/>
      </c>
      <c r="K69" s="26" t="str">
        <f t="shared" ref="K69:K103" si="7">IF($A69="","",IF($I69="","CLIENTE SEM CLI4",IF($H69="ALTA",$F69&amp;"-"&amp;$I69&amp;"-"&amp;$J69,$H69)))</f>
        <v/>
      </c>
      <c r="L69" t="str">
        <f t="shared" ref="L69:L103" si="8">IF($C69="","",TRIM($C69&amp;" "&amp;$D69))</f>
        <v/>
      </c>
      <c r="M69" t="str">
        <f t="shared" ref="M69:M103" si="9">IF($A69="","",SUBSTITUTE(SUBSTITUTE(SUBSTITUTE(SUBSTITUTE(SUBSTITUTE(SUBSTITUTE(SUBSTITUTE(SUBSTITUTE(SUBSTITUTE(SUBSTITUTE(SUBSTITUTE(SUBSTITUTE(SUBSTITUTE(SUBSTITUTE(SUBSTITUTE(SUBSTITUTE(SUBSTITUTE(LOWER($A69),"á","a"),"à","a"),"â","a"),"ã","a"),"ä","a"),"é","e"),"ê","e"),"è","e"),"í","i"),"ï","i"),"ó","o"),"ô","o"),"õ","o"),"ò","o"),"ú","u"),"ü","u"),"ç","c"))</f>
        <v/>
      </c>
      <c r="N69" t="str" cm="1">
        <f t="array" ref="N69">IF($M69="","",IFERROR(INDEX(tblFormas[CAT3],MATCH(TRUE,_xlfn.BYROW(tblFormas[PalavrasChave],_xlfn.LAMBDA(_xlpm.k,IF(_xlpm.k="",FALSE,OR(ISNUMBER(SEARCH(_xlfn.TEXTSPLIT(_xlpm.k,";"),$M69)))))),0)),""))</f>
        <v/>
      </c>
    </row>
    <row r="70" spans="6:14" x14ac:dyDescent="0.25">
      <c r="F70" s="1" t="str">
        <f t="shared" si="5"/>
        <v/>
      </c>
      <c r="G70" s="1" t="str" cm="1">
        <f t="array" ref="G70">IF($M70="","",SUM(_xlfn.BYROW(tblFormas[PalavrasChave],_xlfn.LAMBDA(_xlpm.k,IF(_xlpm.k="",0,--OR(ISNUMBER(SEARCH(_xlfn.TEXTSPLIT(_xlpm.k,";"),$M70))))))))</f>
        <v/>
      </c>
      <c r="H70" s="1" t="str">
        <f t="shared" si="6"/>
        <v/>
      </c>
      <c r="I70" s="1" t="str">
        <f>IF($B70="","",_xlfn.LET(_xlpm.v,IFERROR(_xlfn.XLOOKUP($B70,tblClientes[Cliente],tblClientes[CLI4],""),""),IF(_xlpm.v=0,"",_xlpm.v)))</f>
        <v/>
      </c>
      <c r="J70" s="1" t="str">
        <f>IF(OR($F70="",$I70=""),"",TEXT(COUNTIF(Produtos!$B:$B,$F70&amp;"-"&amp;$I70&amp;"-*")+COUNTIFS($F$3:F69,$F70,$I$3:I69,$I70)+1,"0000"))</f>
        <v/>
      </c>
      <c r="K70" s="26" t="str">
        <f t="shared" si="7"/>
        <v/>
      </c>
      <c r="L70" t="str">
        <f t="shared" si="8"/>
        <v/>
      </c>
      <c r="M70" t="str">
        <f t="shared" si="9"/>
        <v/>
      </c>
      <c r="N70" t="str" cm="1">
        <f t="array" ref="N70">IF($M70="","",IFERROR(INDEX(tblFormas[CAT3],MATCH(TRUE,_xlfn.BYROW(tblFormas[PalavrasChave],_xlfn.LAMBDA(_xlpm.k,IF(_xlpm.k="",FALSE,OR(ISNUMBER(SEARCH(_xlfn.TEXTSPLIT(_xlpm.k,";"),$M70)))))),0)),""))</f>
        <v/>
      </c>
    </row>
    <row r="71" spans="6:14" x14ac:dyDescent="0.25">
      <c r="F71" s="1" t="str">
        <f t="shared" si="5"/>
        <v/>
      </c>
      <c r="G71" s="1" t="str" cm="1">
        <f t="array" ref="G71">IF($M71="","",SUM(_xlfn.BYROW(tblFormas[PalavrasChave],_xlfn.LAMBDA(_xlpm.k,IF(_xlpm.k="",0,--OR(ISNUMBER(SEARCH(_xlfn.TEXTSPLIT(_xlpm.k,";"),$M71))))))))</f>
        <v/>
      </c>
      <c r="H71" s="1" t="str">
        <f t="shared" si="6"/>
        <v/>
      </c>
      <c r="I71" s="1" t="str">
        <f>IF($B71="","",_xlfn.LET(_xlpm.v,IFERROR(_xlfn.XLOOKUP($B71,tblClientes[Cliente],tblClientes[CLI4],""),""),IF(_xlpm.v=0,"",_xlpm.v)))</f>
        <v/>
      </c>
      <c r="J71" s="1" t="str">
        <f>IF(OR($F71="",$I71=""),"",TEXT(COUNTIF(Produtos!$B:$B,$F71&amp;"-"&amp;$I71&amp;"-*")+COUNTIFS($F$3:F70,$F71,$I$3:I70,$I71)+1,"0000"))</f>
        <v/>
      </c>
      <c r="K71" s="26" t="str">
        <f t="shared" si="7"/>
        <v/>
      </c>
      <c r="L71" t="str">
        <f t="shared" si="8"/>
        <v/>
      </c>
      <c r="M71" t="str">
        <f t="shared" si="9"/>
        <v/>
      </c>
      <c r="N71" t="str" cm="1">
        <f t="array" ref="N71">IF($M71="","",IFERROR(INDEX(tblFormas[CAT3],MATCH(TRUE,_xlfn.BYROW(tblFormas[PalavrasChave],_xlfn.LAMBDA(_xlpm.k,IF(_xlpm.k="",FALSE,OR(ISNUMBER(SEARCH(_xlfn.TEXTSPLIT(_xlpm.k,";"),$M71)))))),0)),""))</f>
        <v/>
      </c>
    </row>
    <row r="72" spans="6:14" x14ac:dyDescent="0.25">
      <c r="F72" s="1" t="str">
        <f t="shared" si="5"/>
        <v/>
      </c>
      <c r="G72" s="1" t="str" cm="1">
        <f t="array" ref="G72">IF($M72="","",SUM(_xlfn.BYROW(tblFormas[PalavrasChave],_xlfn.LAMBDA(_xlpm.k,IF(_xlpm.k="",0,--OR(ISNUMBER(SEARCH(_xlfn.TEXTSPLIT(_xlpm.k,";"),$M72))))))))</f>
        <v/>
      </c>
      <c r="H72" s="1" t="str">
        <f t="shared" si="6"/>
        <v/>
      </c>
      <c r="I72" s="1" t="str">
        <f>IF($B72="","",_xlfn.LET(_xlpm.v,IFERROR(_xlfn.XLOOKUP($B72,tblClientes[Cliente],tblClientes[CLI4],""),""),IF(_xlpm.v=0,"",_xlpm.v)))</f>
        <v/>
      </c>
      <c r="J72" s="1" t="str">
        <f>IF(OR($F72="",$I72=""),"",TEXT(COUNTIF(Produtos!$B:$B,$F72&amp;"-"&amp;$I72&amp;"-*")+COUNTIFS($F$3:F71,$F72,$I$3:I71,$I72)+1,"0000"))</f>
        <v/>
      </c>
      <c r="K72" s="26" t="str">
        <f t="shared" si="7"/>
        <v/>
      </c>
      <c r="L72" t="str">
        <f t="shared" si="8"/>
        <v/>
      </c>
      <c r="M72" t="str">
        <f t="shared" si="9"/>
        <v/>
      </c>
      <c r="N72" t="str" cm="1">
        <f t="array" ref="N72">IF($M72="","",IFERROR(INDEX(tblFormas[CAT3],MATCH(TRUE,_xlfn.BYROW(tblFormas[PalavrasChave],_xlfn.LAMBDA(_xlpm.k,IF(_xlpm.k="",FALSE,OR(ISNUMBER(SEARCH(_xlfn.TEXTSPLIT(_xlpm.k,";"),$M72)))))),0)),""))</f>
        <v/>
      </c>
    </row>
    <row r="73" spans="6:14" x14ac:dyDescent="0.25">
      <c r="F73" s="1" t="str">
        <f t="shared" si="5"/>
        <v/>
      </c>
      <c r="G73" s="1" t="str" cm="1">
        <f t="array" ref="G73">IF($M73="","",SUM(_xlfn.BYROW(tblFormas[PalavrasChave],_xlfn.LAMBDA(_xlpm.k,IF(_xlpm.k="",0,--OR(ISNUMBER(SEARCH(_xlfn.TEXTSPLIT(_xlpm.k,";"),$M73))))))))</f>
        <v/>
      </c>
      <c r="H73" s="1" t="str">
        <f t="shared" si="6"/>
        <v/>
      </c>
      <c r="I73" s="1" t="str">
        <f>IF($B73="","",_xlfn.LET(_xlpm.v,IFERROR(_xlfn.XLOOKUP($B73,tblClientes[Cliente],tblClientes[CLI4],""),""),IF(_xlpm.v=0,"",_xlpm.v)))</f>
        <v/>
      </c>
      <c r="J73" s="1" t="str">
        <f>IF(OR($F73="",$I73=""),"",TEXT(COUNTIF(Produtos!$B:$B,$F73&amp;"-"&amp;$I73&amp;"-*")+COUNTIFS($F$3:F72,$F73,$I$3:I72,$I73)+1,"0000"))</f>
        <v/>
      </c>
      <c r="K73" s="26" t="str">
        <f t="shared" si="7"/>
        <v/>
      </c>
      <c r="L73" t="str">
        <f t="shared" si="8"/>
        <v/>
      </c>
      <c r="M73" t="str">
        <f t="shared" si="9"/>
        <v/>
      </c>
      <c r="N73" t="str" cm="1">
        <f t="array" ref="N73">IF($M73="","",IFERROR(INDEX(tblFormas[CAT3],MATCH(TRUE,_xlfn.BYROW(tblFormas[PalavrasChave],_xlfn.LAMBDA(_xlpm.k,IF(_xlpm.k="",FALSE,OR(ISNUMBER(SEARCH(_xlfn.TEXTSPLIT(_xlpm.k,";"),$M73)))))),0)),""))</f>
        <v/>
      </c>
    </row>
    <row r="74" spans="6:14" x14ac:dyDescent="0.25">
      <c r="F74" s="1" t="str">
        <f t="shared" si="5"/>
        <v/>
      </c>
      <c r="G74" s="1" t="str" cm="1">
        <f t="array" ref="G74">IF($M74="","",SUM(_xlfn.BYROW(tblFormas[PalavrasChave],_xlfn.LAMBDA(_xlpm.k,IF(_xlpm.k="",0,--OR(ISNUMBER(SEARCH(_xlfn.TEXTSPLIT(_xlpm.k,";"),$M74))))))))</f>
        <v/>
      </c>
      <c r="H74" s="1" t="str">
        <f t="shared" si="6"/>
        <v/>
      </c>
      <c r="I74" s="1" t="str">
        <f>IF($B74="","",_xlfn.LET(_xlpm.v,IFERROR(_xlfn.XLOOKUP($B74,tblClientes[Cliente],tblClientes[CLI4],""),""),IF(_xlpm.v=0,"",_xlpm.v)))</f>
        <v/>
      </c>
      <c r="J74" s="1" t="str">
        <f>IF(OR($F74="",$I74=""),"",TEXT(COUNTIF(Produtos!$B:$B,$F74&amp;"-"&amp;$I74&amp;"-*")+COUNTIFS($F$3:F73,$F74,$I$3:I73,$I74)+1,"0000"))</f>
        <v/>
      </c>
      <c r="K74" s="26" t="str">
        <f t="shared" si="7"/>
        <v/>
      </c>
      <c r="L74" t="str">
        <f t="shared" si="8"/>
        <v/>
      </c>
      <c r="M74" t="str">
        <f t="shared" si="9"/>
        <v/>
      </c>
      <c r="N74" t="str" cm="1">
        <f t="array" ref="N74">IF($M74="","",IFERROR(INDEX(tblFormas[CAT3],MATCH(TRUE,_xlfn.BYROW(tblFormas[PalavrasChave],_xlfn.LAMBDA(_xlpm.k,IF(_xlpm.k="",FALSE,OR(ISNUMBER(SEARCH(_xlfn.TEXTSPLIT(_xlpm.k,";"),$M74)))))),0)),""))</f>
        <v/>
      </c>
    </row>
    <row r="75" spans="6:14" x14ac:dyDescent="0.25">
      <c r="F75" s="1" t="str">
        <f t="shared" si="5"/>
        <v/>
      </c>
      <c r="G75" s="1" t="str" cm="1">
        <f t="array" ref="G75">IF($M75="","",SUM(_xlfn.BYROW(tblFormas[PalavrasChave],_xlfn.LAMBDA(_xlpm.k,IF(_xlpm.k="",0,--OR(ISNUMBER(SEARCH(_xlfn.TEXTSPLIT(_xlpm.k,";"),$M75))))))))</f>
        <v/>
      </c>
      <c r="H75" s="1" t="str">
        <f t="shared" si="6"/>
        <v/>
      </c>
      <c r="I75" s="1" t="str">
        <f>IF($B75="","",_xlfn.LET(_xlpm.v,IFERROR(_xlfn.XLOOKUP($B75,tblClientes[Cliente],tblClientes[CLI4],""),""),IF(_xlpm.v=0,"",_xlpm.v)))</f>
        <v/>
      </c>
      <c r="J75" s="1" t="str">
        <f>IF(OR($F75="",$I75=""),"",TEXT(COUNTIF(Produtos!$B:$B,$F75&amp;"-"&amp;$I75&amp;"-*")+COUNTIFS($F$3:F74,$F75,$I$3:I74,$I75)+1,"0000"))</f>
        <v/>
      </c>
      <c r="K75" s="26" t="str">
        <f t="shared" si="7"/>
        <v/>
      </c>
      <c r="L75" t="str">
        <f t="shared" si="8"/>
        <v/>
      </c>
      <c r="M75" t="str">
        <f t="shared" si="9"/>
        <v/>
      </c>
      <c r="N75" t="str" cm="1">
        <f t="array" ref="N75">IF($M75="","",IFERROR(INDEX(tblFormas[CAT3],MATCH(TRUE,_xlfn.BYROW(tblFormas[PalavrasChave],_xlfn.LAMBDA(_xlpm.k,IF(_xlpm.k="",FALSE,OR(ISNUMBER(SEARCH(_xlfn.TEXTSPLIT(_xlpm.k,";"),$M75)))))),0)),""))</f>
        <v/>
      </c>
    </row>
    <row r="76" spans="6:14" x14ac:dyDescent="0.25">
      <c r="F76" s="1" t="str">
        <f t="shared" si="5"/>
        <v/>
      </c>
      <c r="G76" s="1" t="str" cm="1">
        <f t="array" ref="G76">IF($M76="","",SUM(_xlfn.BYROW(tblFormas[PalavrasChave],_xlfn.LAMBDA(_xlpm.k,IF(_xlpm.k="",0,--OR(ISNUMBER(SEARCH(_xlfn.TEXTSPLIT(_xlpm.k,";"),$M76))))))))</f>
        <v/>
      </c>
      <c r="H76" s="1" t="str">
        <f t="shared" si="6"/>
        <v/>
      </c>
      <c r="I76" s="1" t="str">
        <f>IF($B76="","",_xlfn.LET(_xlpm.v,IFERROR(_xlfn.XLOOKUP($B76,tblClientes[Cliente],tblClientes[CLI4],""),""),IF(_xlpm.v=0,"",_xlpm.v)))</f>
        <v/>
      </c>
      <c r="J76" s="1" t="str">
        <f>IF(OR($F76="",$I76=""),"",TEXT(COUNTIF(Produtos!$B:$B,$F76&amp;"-"&amp;$I76&amp;"-*")+COUNTIFS($F$3:F75,$F76,$I$3:I75,$I76)+1,"0000"))</f>
        <v/>
      </c>
      <c r="K76" s="26" t="str">
        <f t="shared" si="7"/>
        <v/>
      </c>
      <c r="L76" t="str">
        <f t="shared" si="8"/>
        <v/>
      </c>
      <c r="M76" t="str">
        <f t="shared" si="9"/>
        <v/>
      </c>
      <c r="N76" t="str" cm="1">
        <f t="array" ref="N76">IF($M76="","",IFERROR(INDEX(tblFormas[CAT3],MATCH(TRUE,_xlfn.BYROW(tblFormas[PalavrasChave],_xlfn.LAMBDA(_xlpm.k,IF(_xlpm.k="",FALSE,OR(ISNUMBER(SEARCH(_xlfn.TEXTSPLIT(_xlpm.k,";"),$M76)))))),0)),""))</f>
        <v/>
      </c>
    </row>
    <row r="77" spans="6:14" x14ac:dyDescent="0.25">
      <c r="F77" s="1" t="str">
        <f t="shared" si="5"/>
        <v/>
      </c>
      <c r="G77" s="1" t="str" cm="1">
        <f t="array" ref="G77">IF($M77="","",SUM(_xlfn.BYROW(tblFormas[PalavrasChave],_xlfn.LAMBDA(_xlpm.k,IF(_xlpm.k="",0,--OR(ISNUMBER(SEARCH(_xlfn.TEXTSPLIT(_xlpm.k,";"),$M77))))))))</f>
        <v/>
      </c>
      <c r="H77" s="1" t="str">
        <f t="shared" si="6"/>
        <v/>
      </c>
      <c r="I77" s="1" t="str">
        <f>IF($B77="","",_xlfn.LET(_xlpm.v,IFERROR(_xlfn.XLOOKUP($B77,tblClientes[Cliente],tblClientes[CLI4],""),""),IF(_xlpm.v=0,"",_xlpm.v)))</f>
        <v/>
      </c>
      <c r="J77" s="1" t="str">
        <f>IF(OR($F77="",$I77=""),"",TEXT(COUNTIF(Produtos!$B:$B,$F77&amp;"-"&amp;$I77&amp;"-*")+COUNTIFS($F$3:F76,$F77,$I$3:I76,$I77)+1,"0000"))</f>
        <v/>
      </c>
      <c r="K77" s="26" t="str">
        <f t="shared" si="7"/>
        <v/>
      </c>
      <c r="L77" t="str">
        <f t="shared" si="8"/>
        <v/>
      </c>
      <c r="M77" t="str">
        <f t="shared" si="9"/>
        <v/>
      </c>
      <c r="N77" t="str" cm="1">
        <f t="array" ref="N77">IF($M77="","",IFERROR(INDEX(tblFormas[CAT3],MATCH(TRUE,_xlfn.BYROW(tblFormas[PalavrasChave],_xlfn.LAMBDA(_xlpm.k,IF(_xlpm.k="",FALSE,OR(ISNUMBER(SEARCH(_xlfn.TEXTSPLIT(_xlpm.k,";"),$M77)))))),0)),""))</f>
        <v/>
      </c>
    </row>
    <row r="78" spans="6:14" x14ac:dyDescent="0.25">
      <c r="F78" s="1" t="str">
        <f t="shared" si="5"/>
        <v/>
      </c>
      <c r="G78" s="1" t="str" cm="1">
        <f t="array" ref="G78">IF($M78="","",SUM(_xlfn.BYROW(tblFormas[PalavrasChave],_xlfn.LAMBDA(_xlpm.k,IF(_xlpm.k="",0,--OR(ISNUMBER(SEARCH(_xlfn.TEXTSPLIT(_xlpm.k,";"),$M78))))))))</f>
        <v/>
      </c>
      <c r="H78" s="1" t="str">
        <f t="shared" si="6"/>
        <v/>
      </c>
      <c r="I78" s="1" t="str">
        <f>IF($B78="","",_xlfn.LET(_xlpm.v,IFERROR(_xlfn.XLOOKUP($B78,tblClientes[Cliente],tblClientes[CLI4],""),""),IF(_xlpm.v=0,"",_xlpm.v)))</f>
        <v/>
      </c>
      <c r="J78" s="1" t="str">
        <f>IF(OR($F78="",$I78=""),"",TEXT(COUNTIF(Produtos!$B:$B,$F78&amp;"-"&amp;$I78&amp;"-*")+COUNTIFS($F$3:F77,$F78,$I$3:I77,$I78)+1,"0000"))</f>
        <v/>
      </c>
      <c r="K78" s="26" t="str">
        <f t="shared" si="7"/>
        <v/>
      </c>
      <c r="L78" t="str">
        <f t="shared" si="8"/>
        <v/>
      </c>
      <c r="M78" t="str">
        <f t="shared" si="9"/>
        <v/>
      </c>
      <c r="N78" t="str" cm="1">
        <f t="array" ref="N78">IF($M78="","",IFERROR(INDEX(tblFormas[CAT3],MATCH(TRUE,_xlfn.BYROW(tblFormas[PalavrasChave],_xlfn.LAMBDA(_xlpm.k,IF(_xlpm.k="",FALSE,OR(ISNUMBER(SEARCH(_xlfn.TEXTSPLIT(_xlpm.k,";"),$M78)))))),0)),""))</f>
        <v/>
      </c>
    </row>
    <row r="79" spans="6:14" x14ac:dyDescent="0.25">
      <c r="F79" s="1" t="str">
        <f t="shared" si="5"/>
        <v/>
      </c>
      <c r="G79" s="1" t="str" cm="1">
        <f t="array" ref="G79">IF($M79="","",SUM(_xlfn.BYROW(tblFormas[PalavrasChave],_xlfn.LAMBDA(_xlpm.k,IF(_xlpm.k="",0,--OR(ISNUMBER(SEARCH(_xlfn.TEXTSPLIT(_xlpm.k,";"),$M79))))))))</f>
        <v/>
      </c>
      <c r="H79" s="1" t="str">
        <f t="shared" si="6"/>
        <v/>
      </c>
      <c r="I79" s="1" t="str">
        <f>IF($B79="","",_xlfn.LET(_xlpm.v,IFERROR(_xlfn.XLOOKUP($B79,tblClientes[Cliente],tblClientes[CLI4],""),""),IF(_xlpm.v=0,"",_xlpm.v)))</f>
        <v/>
      </c>
      <c r="J79" s="1" t="str">
        <f>IF(OR($F79="",$I79=""),"",TEXT(COUNTIF(Produtos!$B:$B,$F79&amp;"-"&amp;$I79&amp;"-*")+COUNTIFS($F$3:F78,$F79,$I$3:I78,$I79)+1,"0000"))</f>
        <v/>
      </c>
      <c r="K79" s="26" t="str">
        <f t="shared" si="7"/>
        <v/>
      </c>
      <c r="L79" t="str">
        <f t="shared" si="8"/>
        <v/>
      </c>
      <c r="M79" t="str">
        <f t="shared" si="9"/>
        <v/>
      </c>
      <c r="N79" t="str" cm="1">
        <f t="array" ref="N79">IF($M79="","",IFERROR(INDEX(tblFormas[CAT3],MATCH(TRUE,_xlfn.BYROW(tblFormas[PalavrasChave],_xlfn.LAMBDA(_xlpm.k,IF(_xlpm.k="",FALSE,OR(ISNUMBER(SEARCH(_xlfn.TEXTSPLIT(_xlpm.k,";"),$M79)))))),0)),""))</f>
        <v/>
      </c>
    </row>
    <row r="80" spans="6:14" x14ac:dyDescent="0.25">
      <c r="F80" s="1" t="str">
        <f t="shared" si="5"/>
        <v/>
      </c>
      <c r="G80" s="1" t="str" cm="1">
        <f t="array" ref="G80">IF($M80="","",SUM(_xlfn.BYROW(tblFormas[PalavrasChave],_xlfn.LAMBDA(_xlpm.k,IF(_xlpm.k="",0,--OR(ISNUMBER(SEARCH(_xlfn.TEXTSPLIT(_xlpm.k,";"),$M80))))))))</f>
        <v/>
      </c>
      <c r="H80" s="1" t="str">
        <f t="shared" si="6"/>
        <v/>
      </c>
      <c r="I80" s="1" t="str">
        <f>IF($B80="","",_xlfn.LET(_xlpm.v,IFERROR(_xlfn.XLOOKUP($B80,tblClientes[Cliente],tblClientes[CLI4],""),""),IF(_xlpm.v=0,"",_xlpm.v)))</f>
        <v/>
      </c>
      <c r="J80" s="1" t="str">
        <f>IF(OR($F80="",$I80=""),"",TEXT(COUNTIF(Produtos!$B:$B,$F80&amp;"-"&amp;$I80&amp;"-*")+COUNTIFS($F$3:F79,$F80,$I$3:I79,$I80)+1,"0000"))</f>
        <v/>
      </c>
      <c r="K80" s="26" t="str">
        <f t="shared" si="7"/>
        <v/>
      </c>
      <c r="L80" t="str">
        <f t="shared" si="8"/>
        <v/>
      </c>
      <c r="M80" t="str">
        <f t="shared" si="9"/>
        <v/>
      </c>
      <c r="N80" t="str" cm="1">
        <f t="array" ref="N80">IF($M80="","",IFERROR(INDEX(tblFormas[CAT3],MATCH(TRUE,_xlfn.BYROW(tblFormas[PalavrasChave],_xlfn.LAMBDA(_xlpm.k,IF(_xlpm.k="",FALSE,OR(ISNUMBER(SEARCH(_xlfn.TEXTSPLIT(_xlpm.k,";"),$M80)))))),0)),""))</f>
        <v/>
      </c>
    </row>
    <row r="81" spans="6:14" x14ac:dyDescent="0.25">
      <c r="F81" s="1" t="str">
        <f t="shared" si="5"/>
        <v/>
      </c>
      <c r="G81" s="1" t="str" cm="1">
        <f t="array" ref="G81">IF($M81="","",SUM(_xlfn.BYROW(tblFormas[PalavrasChave],_xlfn.LAMBDA(_xlpm.k,IF(_xlpm.k="",0,--OR(ISNUMBER(SEARCH(_xlfn.TEXTSPLIT(_xlpm.k,";"),$M81))))))))</f>
        <v/>
      </c>
      <c r="H81" s="1" t="str">
        <f t="shared" si="6"/>
        <v/>
      </c>
      <c r="I81" s="1" t="str">
        <f>IF($B81="","",_xlfn.LET(_xlpm.v,IFERROR(_xlfn.XLOOKUP($B81,tblClientes[Cliente],tblClientes[CLI4],""),""),IF(_xlpm.v=0,"",_xlpm.v)))</f>
        <v/>
      </c>
      <c r="J81" s="1" t="str">
        <f>IF(OR($F81="",$I81=""),"",TEXT(COUNTIF(Produtos!$B:$B,$F81&amp;"-"&amp;$I81&amp;"-*")+COUNTIFS($F$3:F80,$F81,$I$3:I80,$I81)+1,"0000"))</f>
        <v/>
      </c>
      <c r="K81" s="26" t="str">
        <f t="shared" si="7"/>
        <v/>
      </c>
      <c r="L81" t="str">
        <f t="shared" si="8"/>
        <v/>
      </c>
      <c r="M81" t="str">
        <f t="shared" si="9"/>
        <v/>
      </c>
      <c r="N81" t="str" cm="1">
        <f t="array" ref="N81">IF($M81="","",IFERROR(INDEX(tblFormas[CAT3],MATCH(TRUE,_xlfn.BYROW(tblFormas[PalavrasChave],_xlfn.LAMBDA(_xlpm.k,IF(_xlpm.k="",FALSE,OR(ISNUMBER(SEARCH(_xlfn.TEXTSPLIT(_xlpm.k,";"),$M81)))))),0)),""))</f>
        <v/>
      </c>
    </row>
    <row r="82" spans="6:14" x14ac:dyDescent="0.25">
      <c r="F82" s="1" t="str">
        <f t="shared" si="5"/>
        <v/>
      </c>
      <c r="G82" s="1" t="str" cm="1">
        <f t="array" ref="G82">IF($M82="","",SUM(_xlfn.BYROW(tblFormas[PalavrasChave],_xlfn.LAMBDA(_xlpm.k,IF(_xlpm.k="",0,--OR(ISNUMBER(SEARCH(_xlfn.TEXTSPLIT(_xlpm.k,";"),$M82))))))))</f>
        <v/>
      </c>
      <c r="H82" s="1" t="str">
        <f t="shared" si="6"/>
        <v/>
      </c>
      <c r="I82" s="1" t="str">
        <f>IF($B82="","",_xlfn.LET(_xlpm.v,IFERROR(_xlfn.XLOOKUP($B82,tblClientes[Cliente],tblClientes[CLI4],""),""),IF(_xlpm.v=0,"",_xlpm.v)))</f>
        <v/>
      </c>
      <c r="J82" s="1" t="str">
        <f>IF(OR($F82="",$I82=""),"",TEXT(COUNTIF(Produtos!$B:$B,$F82&amp;"-"&amp;$I82&amp;"-*")+COUNTIFS($F$3:F81,$F82,$I$3:I81,$I82)+1,"0000"))</f>
        <v/>
      </c>
      <c r="K82" s="26" t="str">
        <f t="shared" si="7"/>
        <v/>
      </c>
      <c r="L82" t="str">
        <f t="shared" si="8"/>
        <v/>
      </c>
      <c r="M82" t="str">
        <f t="shared" si="9"/>
        <v/>
      </c>
      <c r="N82" t="str" cm="1">
        <f t="array" ref="N82">IF($M82="","",IFERROR(INDEX(tblFormas[CAT3],MATCH(TRUE,_xlfn.BYROW(tblFormas[PalavrasChave],_xlfn.LAMBDA(_xlpm.k,IF(_xlpm.k="",FALSE,OR(ISNUMBER(SEARCH(_xlfn.TEXTSPLIT(_xlpm.k,";"),$M82)))))),0)),""))</f>
        <v/>
      </c>
    </row>
    <row r="83" spans="6:14" x14ac:dyDescent="0.25">
      <c r="F83" s="1" t="str">
        <f t="shared" si="5"/>
        <v/>
      </c>
      <c r="G83" s="1" t="str" cm="1">
        <f t="array" ref="G83">IF($M83="","",SUM(_xlfn.BYROW(tblFormas[PalavrasChave],_xlfn.LAMBDA(_xlpm.k,IF(_xlpm.k="",0,--OR(ISNUMBER(SEARCH(_xlfn.TEXTSPLIT(_xlpm.k,";"),$M83))))))))</f>
        <v/>
      </c>
      <c r="H83" s="1" t="str">
        <f t="shared" si="6"/>
        <v/>
      </c>
      <c r="I83" s="1" t="str">
        <f>IF($B83="","",_xlfn.LET(_xlpm.v,IFERROR(_xlfn.XLOOKUP($B83,tblClientes[Cliente],tblClientes[CLI4],""),""),IF(_xlpm.v=0,"",_xlpm.v)))</f>
        <v/>
      </c>
      <c r="J83" s="1" t="str">
        <f>IF(OR($F83="",$I83=""),"",TEXT(COUNTIF(Produtos!$B:$B,$F83&amp;"-"&amp;$I83&amp;"-*")+COUNTIFS($F$3:F82,$F83,$I$3:I82,$I83)+1,"0000"))</f>
        <v/>
      </c>
      <c r="K83" s="26" t="str">
        <f t="shared" si="7"/>
        <v/>
      </c>
      <c r="L83" t="str">
        <f t="shared" si="8"/>
        <v/>
      </c>
      <c r="M83" t="str">
        <f t="shared" si="9"/>
        <v/>
      </c>
      <c r="N83" t="str" cm="1">
        <f t="array" ref="N83">IF($M83="","",IFERROR(INDEX(tblFormas[CAT3],MATCH(TRUE,_xlfn.BYROW(tblFormas[PalavrasChave],_xlfn.LAMBDA(_xlpm.k,IF(_xlpm.k="",FALSE,OR(ISNUMBER(SEARCH(_xlfn.TEXTSPLIT(_xlpm.k,";"),$M83)))))),0)),""))</f>
        <v/>
      </c>
    </row>
    <row r="84" spans="6:14" x14ac:dyDescent="0.25">
      <c r="F84" s="1" t="str">
        <f t="shared" si="5"/>
        <v/>
      </c>
      <c r="G84" s="1" t="str" cm="1">
        <f t="array" ref="G84">IF($M84="","",SUM(_xlfn.BYROW(tblFormas[PalavrasChave],_xlfn.LAMBDA(_xlpm.k,IF(_xlpm.k="",0,--OR(ISNUMBER(SEARCH(_xlfn.TEXTSPLIT(_xlpm.k,";"),$M84))))))))</f>
        <v/>
      </c>
      <c r="H84" s="1" t="str">
        <f t="shared" si="6"/>
        <v/>
      </c>
      <c r="I84" s="1" t="str">
        <f>IF($B84="","",_xlfn.LET(_xlpm.v,IFERROR(_xlfn.XLOOKUP($B84,tblClientes[Cliente],tblClientes[CLI4],""),""),IF(_xlpm.v=0,"",_xlpm.v)))</f>
        <v/>
      </c>
      <c r="J84" s="1" t="str">
        <f>IF(OR($F84="",$I84=""),"",TEXT(COUNTIF(Produtos!$B:$B,$F84&amp;"-"&amp;$I84&amp;"-*")+COUNTIFS($F$3:F83,$F84,$I$3:I83,$I84)+1,"0000"))</f>
        <v/>
      </c>
      <c r="K84" s="26" t="str">
        <f t="shared" si="7"/>
        <v/>
      </c>
      <c r="L84" t="str">
        <f t="shared" si="8"/>
        <v/>
      </c>
      <c r="M84" t="str">
        <f t="shared" si="9"/>
        <v/>
      </c>
      <c r="N84" t="str" cm="1">
        <f t="array" ref="N84">IF($M84="","",IFERROR(INDEX(tblFormas[CAT3],MATCH(TRUE,_xlfn.BYROW(tblFormas[PalavrasChave],_xlfn.LAMBDA(_xlpm.k,IF(_xlpm.k="",FALSE,OR(ISNUMBER(SEARCH(_xlfn.TEXTSPLIT(_xlpm.k,";"),$M84)))))),0)),""))</f>
        <v/>
      </c>
    </row>
    <row r="85" spans="6:14" x14ac:dyDescent="0.25">
      <c r="F85" s="1" t="str">
        <f t="shared" si="5"/>
        <v/>
      </c>
      <c r="G85" s="1" t="str" cm="1">
        <f t="array" ref="G85">IF($M85="","",SUM(_xlfn.BYROW(tblFormas[PalavrasChave],_xlfn.LAMBDA(_xlpm.k,IF(_xlpm.k="",0,--OR(ISNUMBER(SEARCH(_xlfn.TEXTSPLIT(_xlpm.k,";"),$M85))))))))</f>
        <v/>
      </c>
      <c r="H85" s="1" t="str">
        <f t="shared" si="6"/>
        <v/>
      </c>
      <c r="I85" s="1" t="str">
        <f>IF($B85="","",_xlfn.LET(_xlpm.v,IFERROR(_xlfn.XLOOKUP($B85,tblClientes[Cliente],tblClientes[CLI4],""),""),IF(_xlpm.v=0,"",_xlpm.v)))</f>
        <v/>
      </c>
      <c r="J85" s="1" t="str">
        <f>IF(OR($F85="",$I85=""),"",TEXT(COUNTIF(Produtos!$B:$B,$F85&amp;"-"&amp;$I85&amp;"-*")+COUNTIFS($F$3:F84,$F85,$I$3:I84,$I85)+1,"0000"))</f>
        <v/>
      </c>
      <c r="K85" s="26" t="str">
        <f t="shared" si="7"/>
        <v/>
      </c>
      <c r="L85" t="str">
        <f t="shared" si="8"/>
        <v/>
      </c>
      <c r="M85" t="str">
        <f t="shared" si="9"/>
        <v/>
      </c>
      <c r="N85" t="str" cm="1">
        <f t="array" ref="N85">IF($M85="","",IFERROR(INDEX(tblFormas[CAT3],MATCH(TRUE,_xlfn.BYROW(tblFormas[PalavrasChave],_xlfn.LAMBDA(_xlpm.k,IF(_xlpm.k="",FALSE,OR(ISNUMBER(SEARCH(_xlfn.TEXTSPLIT(_xlpm.k,";"),$M85)))))),0)),""))</f>
        <v/>
      </c>
    </row>
    <row r="86" spans="6:14" x14ac:dyDescent="0.25">
      <c r="F86" s="1" t="str">
        <f t="shared" si="5"/>
        <v/>
      </c>
      <c r="G86" s="1" t="str" cm="1">
        <f t="array" ref="G86">IF($M86="","",SUM(_xlfn.BYROW(tblFormas[PalavrasChave],_xlfn.LAMBDA(_xlpm.k,IF(_xlpm.k="",0,--OR(ISNUMBER(SEARCH(_xlfn.TEXTSPLIT(_xlpm.k,";"),$M86))))))))</f>
        <v/>
      </c>
      <c r="H86" s="1" t="str">
        <f t="shared" si="6"/>
        <v/>
      </c>
      <c r="I86" s="1" t="str">
        <f>IF($B86="","",_xlfn.LET(_xlpm.v,IFERROR(_xlfn.XLOOKUP($B86,tblClientes[Cliente],tblClientes[CLI4],""),""),IF(_xlpm.v=0,"",_xlpm.v)))</f>
        <v/>
      </c>
      <c r="J86" s="1" t="str">
        <f>IF(OR($F86="",$I86=""),"",TEXT(COUNTIF(Produtos!$B:$B,$F86&amp;"-"&amp;$I86&amp;"-*")+COUNTIFS($F$3:F85,$F86,$I$3:I85,$I86)+1,"0000"))</f>
        <v/>
      </c>
      <c r="K86" s="26" t="str">
        <f t="shared" si="7"/>
        <v/>
      </c>
      <c r="L86" t="str">
        <f t="shared" si="8"/>
        <v/>
      </c>
      <c r="M86" t="str">
        <f t="shared" si="9"/>
        <v/>
      </c>
      <c r="N86" t="str" cm="1">
        <f t="array" ref="N86">IF($M86="","",IFERROR(INDEX(tblFormas[CAT3],MATCH(TRUE,_xlfn.BYROW(tblFormas[PalavrasChave],_xlfn.LAMBDA(_xlpm.k,IF(_xlpm.k="",FALSE,OR(ISNUMBER(SEARCH(_xlfn.TEXTSPLIT(_xlpm.k,";"),$M86)))))),0)),""))</f>
        <v/>
      </c>
    </row>
    <row r="87" spans="6:14" x14ac:dyDescent="0.25">
      <c r="F87" s="1" t="str">
        <f t="shared" si="5"/>
        <v/>
      </c>
      <c r="G87" s="1" t="str" cm="1">
        <f t="array" ref="G87">IF($M87="","",SUM(_xlfn.BYROW(tblFormas[PalavrasChave],_xlfn.LAMBDA(_xlpm.k,IF(_xlpm.k="",0,--OR(ISNUMBER(SEARCH(_xlfn.TEXTSPLIT(_xlpm.k,";"),$M87))))))))</f>
        <v/>
      </c>
      <c r="H87" s="1" t="str">
        <f t="shared" si="6"/>
        <v/>
      </c>
      <c r="I87" s="1" t="str">
        <f>IF($B87="","",_xlfn.LET(_xlpm.v,IFERROR(_xlfn.XLOOKUP($B87,tblClientes[Cliente],tblClientes[CLI4],""),""),IF(_xlpm.v=0,"",_xlpm.v)))</f>
        <v/>
      </c>
      <c r="J87" s="1" t="str">
        <f>IF(OR($F87="",$I87=""),"",TEXT(COUNTIF(Produtos!$B:$B,$F87&amp;"-"&amp;$I87&amp;"-*")+COUNTIFS($F$3:F86,$F87,$I$3:I86,$I87)+1,"0000"))</f>
        <v/>
      </c>
      <c r="K87" s="26" t="str">
        <f t="shared" si="7"/>
        <v/>
      </c>
      <c r="L87" t="str">
        <f t="shared" si="8"/>
        <v/>
      </c>
      <c r="M87" t="str">
        <f t="shared" si="9"/>
        <v/>
      </c>
      <c r="N87" t="str" cm="1">
        <f t="array" ref="N87">IF($M87="","",IFERROR(INDEX(tblFormas[CAT3],MATCH(TRUE,_xlfn.BYROW(tblFormas[PalavrasChave],_xlfn.LAMBDA(_xlpm.k,IF(_xlpm.k="",FALSE,OR(ISNUMBER(SEARCH(_xlfn.TEXTSPLIT(_xlpm.k,";"),$M87)))))),0)),""))</f>
        <v/>
      </c>
    </row>
    <row r="88" spans="6:14" x14ac:dyDescent="0.25">
      <c r="F88" s="1" t="str">
        <f t="shared" si="5"/>
        <v/>
      </c>
      <c r="G88" s="1" t="str" cm="1">
        <f t="array" ref="G88">IF($M88="","",SUM(_xlfn.BYROW(tblFormas[PalavrasChave],_xlfn.LAMBDA(_xlpm.k,IF(_xlpm.k="",0,--OR(ISNUMBER(SEARCH(_xlfn.TEXTSPLIT(_xlpm.k,";"),$M88))))))))</f>
        <v/>
      </c>
      <c r="H88" s="1" t="str">
        <f t="shared" si="6"/>
        <v/>
      </c>
      <c r="I88" s="1" t="str">
        <f>IF($B88="","",_xlfn.LET(_xlpm.v,IFERROR(_xlfn.XLOOKUP($B88,tblClientes[Cliente],tblClientes[CLI4],""),""),IF(_xlpm.v=0,"",_xlpm.v)))</f>
        <v/>
      </c>
      <c r="J88" s="1" t="str">
        <f>IF(OR($F88="",$I88=""),"",TEXT(COUNTIF(Produtos!$B:$B,$F88&amp;"-"&amp;$I88&amp;"-*")+COUNTIFS($F$3:F87,$F88,$I$3:I87,$I88)+1,"0000"))</f>
        <v/>
      </c>
      <c r="K88" s="26" t="str">
        <f t="shared" si="7"/>
        <v/>
      </c>
      <c r="L88" t="str">
        <f t="shared" si="8"/>
        <v/>
      </c>
      <c r="M88" t="str">
        <f t="shared" si="9"/>
        <v/>
      </c>
      <c r="N88" t="str" cm="1">
        <f t="array" ref="N88">IF($M88="","",IFERROR(INDEX(tblFormas[CAT3],MATCH(TRUE,_xlfn.BYROW(tblFormas[PalavrasChave],_xlfn.LAMBDA(_xlpm.k,IF(_xlpm.k="",FALSE,OR(ISNUMBER(SEARCH(_xlfn.TEXTSPLIT(_xlpm.k,";"),$M88)))))),0)),""))</f>
        <v/>
      </c>
    </row>
    <row r="89" spans="6:14" x14ac:dyDescent="0.25">
      <c r="F89" s="1" t="str">
        <f t="shared" si="5"/>
        <v/>
      </c>
      <c r="G89" s="1" t="str" cm="1">
        <f t="array" ref="G89">IF($M89="","",SUM(_xlfn.BYROW(tblFormas[PalavrasChave],_xlfn.LAMBDA(_xlpm.k,IF(_xlpm.k="",0,--OR(ISNUMBER(SEARCH(_xlfn.TEXTSPLIT(_xlpm.k,";"),$M89))))))))</f>
        <v/>
      </c>
      <c r="H89" s="1" t="str">
        <f t="shared" si="6"/>
        <v/>
      </c>
      <c r="I89" s="1" t="str">
        <f>IF($B89="","",_xlfn.LET(_xlpm.v,IFERROR(_xlfn.XLOOKUP($B89,tblClientes[Cliente],tblClientes[CLI4],""),""),IF(_xlpm.v=0,"",_xlpm.v)))</f>
        <v/>
      </c>
      <c r="J89" s="1" t="str">
        <f>IF(OR($F89="",$I89=""),"",TEXT(COUNTIF(Produtos!$B:$B,$F89&amp;"-"&amp;$I89&amp;"-*")+COUNTIFS($F$3:F88,$F89,$I$3:I88,$I89)+1,"0000"))</f>
        <v/>
      </c>
      <c r="K89" s="26" t="str">
        <f t="shared" si="7"/>
        <v/>
      </c>
      <c r="L89" t="str">
        <f t="shared" si="8"/>
        <v/>
      </c>
      <c r="M89" t="str">
        <f t="shared" si="9"/>
        <v/>
      </c>
      <c r="N89" t="str" cm="1">
        <f t="array" ref="N89">IF($M89="","",IFERROR(INDEX(tblFormas[CAT3],MATCH(TRUE,_xlfn.BYROW(tblFormas[PalavrasChave],_xlfn.LAMBDA(_xlpm.k,IF(_xlpm.k="",FALSE,OR(ISNUMBER(SEARCH(_xlfn.TEXTSPLIT(_xlpm.k,";"),$M89)))))),0)),""))</f>
        <v/>
      </c>
    </row>
    <row r="90" spans="6:14" x14ac:dyDescent="0.25">
      <c r="F90" s="1" t="str">
        <f t="shared" si="5"/>
        <v/>
      </c>
      <c r="G90" s="1" t="str" cm="1">
        <f t="array" ref="G90">IF($M90="","",SUM(_xlfn.BYROW(tblFormas[PalavrasChave],_xlfn.LAMBDA(_xlpm.k,IF(_xlpm.k="",0,--OR(ISNUMBER(SEARCH(_xlfn.TEXTSPLIT(_xlpm.k,";"),$M90))))))))</f>
        <v/>
      </c>
      <c r="H90" s="1" t="str">
        <f t="shared" si="6"/>
        <v/>
      </c>
      <c r="I90" s="1" t="str">
        <f>IF($B90="","",_xlfn.LET(_xlpm.v,IFERROR(_xlfn.XLOOKUP($B90,tblClientes[Cliente],tblClientes[CLI4],""),""),IF(_xlpm.v=0,"",_xlpm.v)))</f>
        <v/>
      </c>
      <c r="J90" s="1" t="str">
        <f>IF(OR($F90="",$I90=""),"",TEXT(COUNTIF(Produtos!$B:$B,$F90&amp;"-"&amp;$I90&amp;"-*")+COUNTIFS($F$3:F89,$F90,$I$3:I89,$I90)+1,"0000"))</f>
        <v/>
      </c>
      <c r="K90" s="26" t="str">
        <f t="shared" si="7"/>
        <v/>
      </c>
      <c r="L90" t="str">
        <f t="shared" si="8"/>
        <v/>
      </c>
      <c r="M90" t="str">
        <f t="shared" si="9"/>
        <v/>
      </c>
      <c r="N90" t="str" cm="1">
        <f t="array" ref="N90">IF($M90="","",IFERROR(INDEX(tblFormas[CAT3],MATCH(TRUE,_xlfn.BYROW(tblFormas[PalavrasChave],_xlfn.LAMBDA(_xlpm.k,IF(_xlpm.k="",FALSE,OR(ISNUMBER(SEARCH(_xlfn.TEXTSPLIT(_xlpm.k,";"),$M90)))))),0)),""))</f>
        <v/>
      </c>
    </row>
    <row r="91" spans="6:14" x14ac:dyDescent="0.25">
      <c r="F91" s="1" t="str">
        <f t="shared" si="5"/>
        <v/>
      </c>
      <c r="G91" s="1" t="str" cm="1">
        <f t="array" ref="G91">IF($M91="","",SUM(_xlfn.BYROW(tblFormas[PalavrasChave],_xlfn.LAMBDA(_xlpm.k,IF(_xlpm.k="",0,--OR(ISNUMBER(SEARCH(_xlfn.TEXTSPLIT(_xlpm.k,";"),$M91))))))))</f>
        <v/>
      </c>
      <c r="H91" s="1" t="str">
        <f t="shared" si="6"/>
        <v/>
      </c>
      <c r="I91" s="1" t="str">
        <f>IF($B91="","",_xlfn.LET(_xlpm.v,IFERROR(_xlfn.XLOOKUP($B91,tblClientes[Cliente],tblClientes[CLI4],""),""),IF(_xlpm.v=0,"",_xlpm.v)))</f>
        <v/>
      </c>
      <c r="J91" s="1" t="str">
        <f>IF(OR($F91="",$I91=""),"",TEXT(COUNTIF(Produtos!$B:$B,$F91&amp;"-"&amp;$I91&amp;"-*")+COUNTIFS($F$3:F90,$F91,$I$3:I90,$I91)+1,"0000"))</f>
        <v/>
      </c>
      <c r="K91" s="26" t="str">
        <f t="shared" si="7"/>
        <v/>
      </c>
      <c r="L91" t="str">
        <f t="shared" si="8"/>
        <v/>
      </c>
      <c r="M91" t="str">
        <f t="shared" si="9"/>
        <v/>
      </c>
      <c r="N91" t="str" cm="1">
        <f t="array" ref="N91">IF($M91="","",IFERROR(INDEX(tblFormas[CAT3],MATCH(TRUE,_xlfn.BYROW(tblFormas[PalavrasChave],_xlfn.LAMBDA(_xlpm.k,IF(_xlpm.k="",FALSE,OR(ISNUMBER(SEARCH(_xlfn.TEXTSPLIT(_xlpm.k,";"),$M91)))))),0)),""))</f>
        <v/>
      </c>
    </row>
    <row r="92" spans="6:14" x14ac:dyDescent="0.25">
      <c r="F92" s="1" t="str">
        <f t="shared" si="5"/>
        <v/>
      </c>
      <c r="G92" s="1" t="str" cm="1">
        <f t="array" ref="G92">IF($M92="","",SUM(_xlfn.BYROW(tblFormas[PalavrasChave],_xlfn.LAMBDA(_xlpm.k,IF(_xlpm.k="",0,--OR(ISNUMBER(SEARCH(_xlfn.TEXTSPLIT(_xlpm.k,";"),$M92))))))))</f>
        <v/>
      </c>
      <c r="H92" s="1" t="str">
        <f t="shared" si="6"/>
        <v/>
      </c>
      <c r="I92" s="1" t="str">
        <f>IF($B92="","",_xlfn.LET(_xlpm.v,IFERROR(_xlfn.XLOOKUP($B92,tblClientes[Cliente],tblClientes[CLI4],""),""),IF(_xlpm.v=0,"",_xlpm.v)))</f>
        <v/>
      </c>
      <c r="J92" s="1" t="str">
        <f>IF(OR($F92="",$I92=""),"",TEXT(COUNTIF(Produtos!$B:$B,$F92&amp;"-"&amp;$I92&amp;"-*")+COUNTIFS($F$3:F91,$F92,$I$3:I91,$I92)+1,"0000"))</f>
        <v/>
      </c>
      <c r="K92" s="26" t="str">
        <f t="shared" si="7"/>
        <v/>
      </c>
      <c r="L92" t="str">
        <f t="shared" si="8"/>
        <v/>
      </c>
      <c r="M92" t="str">
        <f t="shared" si="9"/>
        <v/>
      </c>
      <c r="N92" t="str" cm="1">
        <f t="array" ref="N92">IF($M92="","",IFERROR(INDEX(tblFormas[CAT3],MATCH(TRUE,_xlfn.BYROW(tblFormas[PalavrasChave],_xlfn.LAMBDA(_xlpm.k,IF(_xlpm.k="",FALSE,OR(ISNUMBER(SEARCH(_xlfn.TEXTSPLIT(_xlpm.k,";"),$M92)))))),0)),""))</f>
        <v/>
      </c>
    </row>
    <row r="93" spans="6:14" x14ac:dyDescent="0.25">
      <c r="F93" s="1" t="str">
        <f t="shared" si="5"/>
        <v/>
      </c>
      <c r="G93" s="1" t="str" cm="1">
        <f t="array" ref="G93">IF($M93="","",SUM(_xlfn.BYROW(tblFormas[PalavrasChave],_xlfn.LAMBDA(_xlpm.k,IF(_xlpm.k="",0,--OR(ISNUMBER(SEARCH(_xlfn.TEXTSPLIT(_xlpm.k,";"),$M93))))))))</f>
        <v/>
      </c>
      <c r="H93" s="1" t="str">
        <f t="shared" si="6"/>
        <v/>
      </c>
      <c r="I93" s="1" t="str">
        <f>IF($B93="","",_xlfn.LET(_xlpm.v,IFERROR(_xlfn.XLOOKUP($B93,tblClientes[Cliente],tblClientes[CLI4],""),""),IF(_xlpm.v=0,"",_xlpm.v)))</f>
        <v/>
      </c>
      <c r="J93" s="1" t="str">
        <f>IF(OR($F93="",$I93=""),"",TEXT(COUNTIF(Produtos!$B:$B,$F93&amp;"-"&amp;$I93&amp;"-*")+COUNTIFS($F$3:F92,$F93,$I$3:I92,$I93)+1,"0000"))</f>
        <v/>
      </c>
      <c r="K93" s="26" t="str">
        <f t="shared" si="7"/>
        <v/>
      </c>
      <c r="L93" t="str">
        <f t="shared" si="8"/>
        <v/>
      </c>
      <c r="M93" t="str">
        <f t="shared" si="9"/>
        <v/>
      </c>
      <c r="N93" t="str" cm="1">
        <f t="array" ref="N93">IF($M93="","",IFERROR(INDEX(tblFormas[CAT3],MATCH(TRUE,_xlfn.BYROW(tblFormas[PalavrasChave],_xlfn.LAMBDA(_xlpm.k,IF(_xlpm.k="",FALSE,OR(ISNUMBER(SEARCH(_xlfn.TEXTSPLIT(_xlpm.k,";"),$M93)))))),0)),""))</f>
        <v/>
      </c>
    </row>
    <row r="94" spans="6:14" x14ac:dyDescent="0.25">
      <c r="F94" s="1" t="str">
        <f t="shared" si="5"/>
        <v/>
      </c>
      <c r="G94" s="1" t="str" cm="1">
        <f t="array" ref="G94">IF($M94="","",SUM(_xlfn.BYROW(tblFormas[PalavrasChave],_xlfn.LAMBDA(_xlpm.k,IF(_xlpm.k="",0,--OR(ISNUMBER(SEARCH(_xlfn.TEXTSPLIT(_xlpm.k,";"),$M94))))))))</f>
        <v/>
      </c>
      <c r="H94" s="1" t="str">
        <f t="shared" si="6"/>
        <v/>
      </c>
      <c r="I94" s="1" t="str">
        <f>IF($B94="","",_xlfn.LET(_xlpm.v,IFERROR(_xlfn.XLOOKUP($B94,tblClientes[Cliente],tblClientes[CLI4],""),""),IF(_xlpm.v=0,"",_xlpm.v)))</f>
        <v/>
      </c>
      <c r="J94" s="1" t="str">
        <f>IF(OR($F94="",$I94=""),"",TEXT(COUNTIF(Produtos!$B:$B,$F94&amp;"-"&amp;$I94&amp;"-*")+COUNTIFS($F$3:F93,$F94,$I$3:I93,$I94)+1,"0000"))</f>
        <v/>
      </c>
      <c r="K94" s="26" t="str">
        <f t="shared" si="7"/>
        <v/>
      </c>
      <c r="L94" t="str">
        <f t="shared" si="8"/>
        <v/>
      </c>
      <c r="M94" t="str">
        <f t="shared" si="9"/>
        <v/>
      </c>
      <c r="N94" t="str" cm="1">
        <f t="array" ref="N94">IF($M94="","",IFERROR(INDEX(tblFormas[CAT3],MATCH(TRUE,_xlfn.BYROW(tblFormas[PalavrasChave],_xlfn.LAMBDA(_xlpm.k,IF(_xlpm.k="",FALSE,OR(ISNUMBER(SEARCH(_xlfn.TEXTSPLIT(_xlpm.k,";"),$M94)))))),0)),""))</f>
        <v/>
      </c>
    </row>
    <row r="95" spans="6:14" x14ac:dyDescent="0.25">
      <c r="F95" s="1" t="str">
        <f t="shared" si="5"/>
        <v/>
      </c>
      <c r="G95" s="1" t="str" cm="1">
        <f t="array" ref="G95">IF($M95="","",SUM(_xlfn.BYROW(tblFormas[PalavrasChave],_xlfn.LAMBDA(_xlpm.k,IF(_xlpm.k="",0,--OR(ISNUMBER(SEARCH(_xlfn.TEXTSPLIT(_xlpm.k,";"),$M95))))))))</f>
        <v/>
      </c>
      <c r="H95" s="1" t="str">
        <f t="shared" si="6"/>
        <v/>
      </c>
      <c r="I95" s="1" t="str">
        <f>IF($B95="","",_xlfn.LET(_xlpm.v,IFERROR(_xlfn.XLOOKUP($B95,tblClientes[Cliente],tblClientes[CLI4],""),""),IF(_xlpm.v=0,"",_xlpm.v)))</f>
        <v/>
      </c>
      <c r="J95" s="1" t="str">
        <f>IF(OR($F95="",$I95=""),"",TEXT(COUNTIF(Produtos!$B:$B,$F95&amp;"-"&amp;$I95&amp;"-*")+COUNTIFS($F$3:F94,$F95,$I$3:I94,$I95)+1,"0000"))</f>
        <v/>
      </c>
      <c r="K95" s="26" t="str">
        <f t="shared" si="7"/>
        <v/>
      </c>
      <c r="L95" t="str">
        <f t="shared" si="8"/>
        <v/>
      </c>
      <c r="M95" t="str">
        <f t="shared" si="9"/>
        <v/>
      </c>
      <c r="N95" t="str" cm="1">
        <f t="array" ref="N95">IF($M95="","",IFERROR(INDEX(tblFormas[CAT3],MATCH(TRUE,_xlfn.BYROW(tblFormas[PalavrasChave],_xlfn.LAMBDA(_xlpm.k,IF(_xlpm.k="",FALSE,OR(ISNUMBER(SEARCH(_xlfn.TEXTSPLIT(_xlpm.k,";"),$M95)))))),0)),""))</f>
        <v/>
      </c>
    </row>
    <row r="96" spans="6:14" x14ac:dyDescent="0.25">
      <c r="F96" s="1" t="str">
        <f t="shared" si="5"/>
        <v/>
      </c>
      <c r="G96" s="1" t="str" cm="1">
        <f t="array" ref="G96">IF($M96="","",SUM(_xlfn.BYROW(tblFormas[PalavrasChave],_xlfn.LAMBDA(_xlpm.k,IF(_xlpm.k="",0,--OR(ISNUMBER(SEARCH(_xlfn.TEXTSPLIT(_xlpm.k,";"),$M96))))))))</f>
        <v/>
      </c>
      <c r="H96" s="1" t="str">
        <f t="shared" si="6"/>
        <v/>
      </c>
      <c r="I96" s="1" t="str">
        <f>IF($B96="","",_xlfn.LET(_xlpm.v,IFERROR(_xlfn.XLOOKUP($B96,tblClientes[Cliente],tblClientes[CLI4],""),""),IF(_xlpm.v=0,"",_xlpm.v)))</f>
        <v/>
      </c>
      <c r="J96" s="1" t="str">
        <f>IF(OR($F96="",$I96=""),"",TEXT(COUNTIF(Produtos!$B:$B,$F96&amp;"-"&amp;$I96&amp;"-*")+COUNTIFS($F$3:F95,$F96,$I$3:I95,$I96)+1,"0000"))</f>
        <v/>
      </c>
      <c r="K96" s="26" t="str">
        <f t="shared" si="7"/>
        <v/>
      </c>
      <c r="L96" t="str">
        <f t="shared" si="8"/>
        <v/>
      </c>
      <c r="M96" t="str">
        <f t="shared" si="9"/>
        <v/>
      </c>
      <c r="N96" t="str" cm="1">
        <f t="array" ref="N96">IF($M96="","",IFERROR(INDEX(tblFormas[CAT3],MATCH(TRUE,_xlfn.BYROW(tblFormas[PalavrasChave],_xlfn.LAMBDA(_xlpm.k,IF(_xlpm.k="",FALSE,OR(ISNUMBER(SEARCH(_xlfn.TEXTSPLIT(_xlpm.k,";"),$M96)))))),0)),""))</f>
        <v/>
      </c>
    </row>
    <row r="97" spans="6:14" x14ac:dyDescent="0.25">
      <c r="F97" s="1" t="str">
        <f t="shared" si="5"/>
        <v/>
      </c>
      <c r="G97" s="1" t="str" cm="1">
        <f t="array" ref="G97">IF($M97="","",SUM(_xlfn.BYROW(tblFormas[PalavrasChave],_xlfn.LAMBDA(_xlpm.k,IF(_xlpm.k="",0,--OR(ISNUMBER(SEARCH(_xlfn.TEXTSPLIT(_xlpm.k,";"),$M97))))))))</f>
        <v/>
      </c>
      <c r="H97" s="1" t="str">
        <f t="shared" si="6"/>
        <v/>
      </c>
      <c r="I97" s="1" t="str">
        <f>IF($B97="","",_xlfn.LET(_xlpm.v,IFERROR(_xlfn.XLOOKUP($B97,tblClientes[Cliente],tblClientes[CLI4],""),""),IF(_xlpm.v=0,"",_xlpm.v)))</f>
        <v/>
      </c>
      <c r="J97" s="1" t="str">
        <f>IF(OR($F97="",$I97=""),"",TEXT(COUNTIF(Produtos!$B:$B,$F97&amp;"-"&amp;$I97&amp;"-*")+COUNTIFS($F$3:F96,$F97,$I$3:I96,$I97)+1,"0000"))</f>
        <v/>
      </c>
      <c r="K97" s="26" t="str">
        <f t="shared" si="7"/>
        <v/>
      </c>
      <c r="L97" t="str">
        <f t="shared" si="8"/>
        <v/>
      </c>
      <c r="M97" t="str">
        <f t="shared" si="9"/>
        <v/>
      </c>
      <c r="N97" t="str" cm="1">
        <f t="array" ref="N97">IF($M97="","",IFERROR(INDEX(tblFormas[CAT3],MATCH(TRUE,_xlfn.BYROW(tblFormas[PalavrasChave],_xlfn.LAMBDA(_xlpm.k,IF(_xlpm.k="",FALSE,OR(ISNUMBER(SEARCH(_xlfn.TEXTSPLIT(_xlpm.k,";"),$M97)))))),0)),""))</f>
        <v/>
      </c>
    </row>
    <row r="98" spans="6:14" x14ac:dyDescent="0.25">
      <c r="F98" s="1" t="str">
        <f t="shared" si="5"/>
        <v/>
      </c>
      <c r="G98" s="1" t="str" cm="1">
        <f t="array" ref="G98">IF($M98="","",SUM(_xlfn.BYROW(tblFormas[PalavrasChave],_xlfn.LAMBDA(_xlpm.k,IF(_xlpm.k="",0,--OR(ISNUMBER(SEARCH(_xlfn.TEXTSPLIT(_xlpm.k,";"),$M98))))))))</f>
        <v/>
      </c>
      <c r="H98" s="1" t="str">
        <f t="shared" si="6"/>
        <v/>
      </c>
      <c r="I98" s="1" t="str">
        <f>IF($B98="","",_xlfn.LET(_xlpm.v,IFERROR(_xlfn.XLOOKUP($B98,tblClientes[Cliente],tblClientes[CLI4],""),""),IF(_xlpm.v=0,"",_xlpm.v)))</f>
        <v/>
      </c>
      <c r="J98" s="1" t="str">
        <f>IF(OR($F98="",$I98=""),"",TEXT(COUNTIF(Produtos!$B:$B,$F98&amp;"-"&amp;$I98&amp;"-*")+COUNTIFS($F$3:F97,$F98,$I$3:I97,$I98)+1,"0000"))</f>
        <v/>
      </c>
      <c r="K98" s="26" t="str">
        <f t="shared" si="7"/>
        <v/>
      </c>
      <c r="L98" t="str">
        <f t="shared" si="8"/>
        <v/>
      </c>
      <c r="M98" t="str">
        <f t="shared" si="9"/>
        <v/>
      </c>
      <c r="N98" t="str" cm="1">
        <f t="array" ref="N98">IF($M98="","",IFERROR(INDEX(tblFormas[CAT3],MATCH(TRUE,_xlfn.BYROW(tblFormas[PalavrasChave],_xlfn.LAMBDA(_xlpm.k,IF(_xlpm.k="",FALSE,OR(ISNUMBER(SEARCH(_xlfn.TEXTSPLIT(_xlpm.k,";"),$M98)))))),0)),""))</f>
        <v/>
      </c>
    </row>
    <row r="99" spans="6:14" x14ac:dyDescent="0.25">
      <c r="F99" s="1" t="str">
        <f t="shared" si="5"/>
        <v/>
      </c>
      <c r="G99" s="1" t="str" cm="1">
        <f t="array" ref="G99">IF($M99="","",SUM(_xlfn.BYROW(tblFormas[PalavrasChave],_xlfn.LAMBDA(_xlpm.k,IF(_xlpm.k="",0,--OR(ISNUMBER(SEARCH(_xlfn.TEXTSPLIT(_xlpm.k,";"),$M99))))))))</f>
        <v/>
      </c>
      <c r="H99" s="1" t="str">
        <f t="shared" si="6"/>
        <v/>
      </c>
      <c r="I99" s="1" t="str">
        <f>IF($B99="","",_xlfn.LET(_xlpm.v,IFERROR(_xlfn.XLOOKUP($B99,tblClientes[Cliente],tblClientes[CLI4],""),""),IF(_xlpm.v=0,"",_xlpm.v)))</f>
        <v/>
      </c>
      <c r="J99" s="1" t="str">
        <f>IF(OR($F99="",$I99=""),"",TEXT(COUNTIF(Produtos!$B:$B,$F99&amp;"-"&amp;$I99&amp;"-*")+COUNTIFS($F$3:F98,$F99,$I$3:I98,$I99)+1,"0000"))</f>
        <v/>
      </c>
      <c r="K99" s="26" t="str">
        <f t="shared" si="7"/>
        <v/>
      </c>
      <c r="L99" t="str">
        <f t="shared" si="8"/>
        <v/>
      </c>
      <c r="M99" t="str">
        <f t="shared" si="9"/>
        <v/>
      </c>
      <c r="N99" t="str" cm="1">
        <f t="array" ref="N99">IF($M99="","",IFERROR(INDEX(tblFormas[CAT3],MATCH(TRUE,_xlfn.BYROW(tblFormas[PalavrasChave],_xlfn.LAMBDA(_xlpm.k,IF(_xlpm.k="",FALSE,OR(ISNUMBER(SEARCH(_xlfn.TEXTSPLIT(_xlpm.k,";"),$M99)))))),0)),""))</f>
        <v/>
      </c>
    </row>
    <row r="100" spans="6:14" x14ac:dyDescent="0.25">
      <c r="F100" s="1" t="str">
        <f t="shared" si="5"/>
        <v/>
      </c>
      <c r="G100" s="1" t="str" cm="1">
        <f t="array" ref="G100">IF($M100="","",SUM(_xlfn.BYROW(tblFormas[PalavrasChave],_xlfn.LAMBDA(_xlpm.k,IF(_xlpm.k="",0,--OR(ISNUMBER(SEARCH(_xlfn.TEXTSPLIT(_xlpm.k,";"),$M100))))))))</f>
        <v/>
      </c>
      <c r="H100" s="1" t="str">
        <f t="shared" si="6"/>
        <v/>
      </c>
      <c r="I100" s="1" t="str">
        <f>IF($B100="","",_xlfn.LET(_xlpm.v,IFERROR(_xlfn.XLOOKUP($B100,tblClientes[Cliente],tblClientes[CLI4],""),""),IF(_xlpm.v=0,"",_xlpm.v)))</f>
        <v/>
      </c>
      <c r="J100" s="1" t="str">
        <f>IF(OR($F100="",$I100=""),"",TEXT(COUNTIF(Produtos!$B:$B,$F100&amp;"-"&amp;$I100&amp;"-*")+COUNTIFS($F$3:F99,$F100,$I$3:I99,$I100)+1,"0000"))</f>
        <v/>
      </c>
      <c r="K100" s="26" t="str">
        <f t="shared" si="7"/>
        <v/>
      </c>
      <c r="L100" t="str">
        <f t="shared" si="8"/>
        <v/>
      </c>
      <c r="M100" t="str">
        <f t="shared" si="9"/>
        <v/>
      </c>
      <c r="N100" t="str" cm="1">
        <f t="array" ref="N100">IF($M100="","",IFERROR(INDEX(tblFormas[CAT3],MATCH(TRUE,_xlfn.BYROW(tblFormas[PalavrasChave],_xlfn.LAMBDA(_xlpm.k,IF(_xlpm.k="",FALSE,OR(ISNUMBER(SEARCH(_xlfn.TEXTSPLIT(_xlpm.k,";"),$M100)))))),0)),""))</f>
        <v/>
      </c>
    </row>
    <row r="101" spans="6:14" x14ac:dyDescent="0.25">
      <c r="F101" s="1" t="str">
        <f t="shared" si="5"/>
        <v/>
      </c>
      <c r="G101" s="1" t="str" cm="1">
        <f t="array" ref="G101">IF($M101="","",SUM(_xlfn.BYROW(tblFormas[PalavrasChave],_xlfn.LAMBDA(_xlpm.k,IF(_xlpm.k="",0,--OR(ISNUMBER(SEARCH(_xlfn.TEXTSPLIT(_xlpm.k,";"),$M101))))))))</f>
        <v/>
      </c>
      <c r="H101" s="1" t="str">
        <f t="shared" si="6"/>
        <v/>
      </c>
      <c r="I101" s="1" t="str">
        <f>IF($B101="","",_xlfn.LET(_xlpm.v,IFERROR(_xlfn.XLOOKUP($B101,tblClientes[Cliente],tblClientes[CLI4],""),""),IF(_xlpm.v=0,"",_xlpm.v)))</f>
        <v/>
      </c>
      <c r="J101" s="1" t="str">
        <f>IF(OR($F101="",$I101=""),"",TEXT(COUNTIF(Produtos!$B:$B,$F101&amp;"-"&amp;$I101&amp;"-*")+COUNTIFS($F$3:F100,$F101,$I$3:I100,$I101)+1,"0000"))</f>
        <v/>
      </c>
      <c r="K101" s="26" t="str">
        <f t="shared" si="7"/>
        <v/>
      </c>
      <c r="L101" t="str">
        <f t="shared" si="8"/>
        <v/>
      </c>
      <c r="M101" t="str">
        <f t="shared" si="9"/>
        <v/>
      </c>
      <c r="N101" t="str" cm="1">
        <f t="array" ref="N101">IF($M101="","",IFERROR(INDEX(tblFormas[CAT3],MATCH(TRUE,_xlfn.BYROW(tblFormas[PalavrasChave],_xlfn.LAMBDA(_xlpm.k,IF(_xlpm.k="",FALSE,OR(ISNUMBER(SEARCH(_xlfn.TEXTSPLIT(_xlpm.k,";"),$M101)))))),0)),""))</f>
        <v/>
      </c>
    </row>
    <row r="102" spans="6:14" x14ac:dyDescent="0.25">
      <c r="F102" s="1" t="str">
        <f t="shared" si="5"/>
        <v/>
      </c>
      <c r="G102" s="1" t="str" cm="1">
        <f t="array" ref="G102">IF($M102="","",SUM(_xlfn.BYROW(tblFormas[PalavrasChave],_xlfn.LAMBDA(_xlpm.k,IF(_xlpm.k="",0,--OR(ISNUMBER(SEARCH(_xlfn.TEXTSPLIT(_xlpm.k,";"),$M102))))))))</f>
        <v/>
      </c>
      <c r="H102" s="1" t="str">
        <f t="shared" si="6"/>
        <v/>
      </c>
      <c r="I102" s="1" t="str">
        <f>IF($B102="","",_xlfn.LET(_xlpm.v,IFERROR(_xlfn.XLOOKUP($B102,tblClientes[Cliente],tblClientes[CLI4],""),""),IF(_xlpm.v=0,"",_xlpm.v)))</f>
        <v/>
      </c>
      <c r="J102" s="1" t="str">
        <f>IF(OR($F102="",$I102=""),"",TEXT(COUNTIF(Produtos!$B:$B,$F102&amp;"-"&amp;$I102&amp;"-*")+COUNTIFS($F$3:F101,$F102,$I$3:I101,$I102)+1,"0000"))</f>
        <v/>
      </c>
      <c r="K102" s="26" t="str">
        <f t="shared" si="7"/>
        <v/>
      </c>
      <c r="L102" t="str">
        <f t="shared" si="8"/>
        <v/>
      </c>
      <c r="M102" t="str">
        <f t="shared" si="9"/>
        <v/>
      </c>
      <c r="N102" t="str" cm="1">
        <f t="array" ref="N102">IF($M102="","",IFERROR(INDEX(tblFormas[CAT3],MATCH(TRUE,_xlfn.BYROW(tblFormas[PalavrasChave],_xlfn.LAMBDA(_xlpm.k,IF(_xlpm.k="",FALSE,OR(ISNUMBER(SEARCH(_xlfn.TEXTSPLIT(_xlpm.k,";"),$M102)))))),0)),""))</f>
        <v/>
      </c>
    </row>
    <row r="103" spans="6:14" x14ac:dyDescent="0.25">
      <c r="F103" s="1" t="str">
        <f t="shared" si="5"/>
        <v/>
      </c>
      <c r="G103" s="1" t="str" cm="1">
        <f t="array" ref="G103">IF($M103="","",SUM(_xlfn.BYROW(tblFormas[PalavrasChave],_xlfn.LAMBDA(_xlpm.k,IF(_xlpm.k="",0,--OR(ISNUMBER(SEARCH(_xlfn.TEXTSPLIT(_xlpm.k,";"),$M103))))))))</f>
        <v/>
      </c>
      <c r="H103" s="1" t="str">
        <f t="shared" si="6"/>
        <v/>
      </c>
      <c r="I103" s="1" t="str">
        <f>IF($B103="","",_xlfn.LET(_xlpm.v,IFERROR(_xlfn.XLOOKUP($B103,tblClientes[Cliente],tblClientes[CLI4],""),""),IF(_xlpm.v=0,"",_xlpm.v)))</f>
        <v/>
      </c>
      <c r="J103" s="1" t="str">
        <f>IF(OR($F103="",$I103=""),"",TEXT(COUNTIF(Produtos!$B:$B,$F103&amp;"-"&amp;$I103&amp;"-*")+COUNTIFS($F$3:F102,$F103,$I$3:I102,$I103)+1,"0000"))</f>
        <v/>
      </c>
      <c r="K103" s="26" t="str">
        <f t="shared" si="7"/>
        <v/>
      </c>
      <c r="L103" t="str">
        <f t="shared" si="8"/>
        <v/>
      </c>
      <c r="M103" t="str">
        <f t="shared" si="9"/>
        <v/>
      </c>
      <c r="N103" t="str" cm="1">
        <f t="array" ref="N103">IF($M103="","",IFERROR(INDEX(tblFormas[CAT3],MATCH(TRUE,_xlfn.BYROW(tblFormas[PalavrasChave],_xlfn.LAMBDA(_xlpm.k,IF(_xlpm.k="",FALSE,OR(ISNUMBER(SEARCH(_xlfn.TEXTSPLIT(_xlpm.k,";"),$M103)))))),0)),""))</f>
        <v/>
      </c>
    </row>
  </sheetData>
  <mergeCells count="2">
    <mergeCell ref="A2:E2"/>
    <mergeCell ref="F2:K2"/>
  </mergeCells>
  <conditionalFormatting sqref="A4:L103">
    <cfRule type="expression" dxfId="11" priority="1">
      <formula>$H4="ALTA"</formula>
    </cfRule>
    <cfRule type="expression" dxfId="10" priority="2">
      <formula>LEFT($H4,7)="REVISAR"</formula>
    </cfRule>
  </conditionalFormatting>
  <dataValidations count="1">
    <dataValidation type="list" allowBlank="1" showInputMessage="1" showErrorMessage="1" sqref="D4:D103" xr:uid="{5AD9377E-E9FC-4039-BCFF-447086D7E101}">
      <formula1>"ml,g,un"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3ED514F-2DFB-46BA-B4DF-772CDC26D851}">
          <x14:formula1>
            <xm:f>TAB_CLIENTES!$A$2:$A$200</xm:f>
          </x14:formula1>
          <xm:sqref>B4:B103</xm:sqref>
        </x14:dataValidation>
        <x14:dataValidation type="list" allowBlank="1" showInputMessage="1" showErrorMessage="1" xr:uid="{11B8FAEF-63D0-4693-9050-3FD41A54D2A3}">
          <x14:formula1>
            <xm:f>TAB_FORMAS!$A$2:$A$100</xm:f>
          </x14:formula1>
          <xm:sqref>E4:E103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1C7B-3D02-4379-9AAE-4186B15F4DEC}">
  <sheetPr codeName="Sheet1" filterMode="1">
    <tabColor theme="6" tint="0.39997558519241921"/>
  </sheetPr>
  <dimension ref="A1:AP365"/>
  <sheetViews>
    <sheetView showGridLines="0" tabSelected="1" topLeftCell="A2" zoomScaleNormal="80" workbookViewId="0">
      <pane xSplit="3" ySplit="1" topLeftCell="D324" activePane="bottomRight" state="frozen"/>
      <selection activeCell="A2" sqref="A2"/>
      <selection pane="topRight" activeCell="D2" sqref="D2"/>
      <selection pane="bottomLeft" activeCell="A3" sqref="A3"/>
      <selection pane="bottomRight" activeCell="C324" sqref="C324"/>
    </sheetView>
  </sheetViews>
  <sheetFormatPr defaultRowHeight="15" x14ac:dyDescent="0.25"/>
  <cols>
    <col min="1" max="1" width="2" customWidth="1"/>
    <col min="2" max="2" width="16.42578125" customWidth="1"/>
    <col min="3" max="3" width="46.7109375" bestFit="1" customWidth="1"/>
    <col min="4" max="4" width="20.85546875" bestFit="1" customWidth="1"/>
    <col min="5" max="5" width="5.5703125" bestFit="1" customWidth="1"/>
    <col min="6" max="6" width="3.28515625" bestFit="1" customWidth="1"/>
    <col min="7" max="7" width="17.28515625" bestFit="1" customWidth="1"/>
    <col min="8" max="8" width="24.85546875" bestFit="1" customWidth="1"/>
    <col min="9" max="9" width="22.28515625" bestFit="1" customWidth="1"/>
    <col min="10" max="10" width="16.5703125" bestFit="1" customWidth="1"/>
    <col min="11" max="11" width="11.5703125" customWidth="1"/>
    <col min="12" max="12" width="15.42578125" customWidth="1"/>
    <col min="13" max="13" width="14.5703125" bestFit="1" customWidth="1"/>
    <col min="14" max="14" width="12.7109375" customWidth="1"/>
    <col min="15" max="15" width="16.42578125" customWidth="1"/>
    <col min="16" max="17" width="24.7109375" customWidth="1"/>
    <col min="18" max="23" width="10.7109375" customWidth="1"/>
    <col min="24" max="24" width="15.85546875" bestFit="1" customWidth="1"/>
    <col min="25" max="33" width="15.85546875" customWidth="1"/>
    <col min="34" max="34" width="17.28515625" bestFit="1" customWidth="1"/>
    <col min="35" max="35" width="12" bestFit="1" customWidth="1"/>
    <col min="36" max="37" width="16.5703125" bestFit="1" customWidth="1"/>
    <col min="38" max="38" width="10.42578125" bestFit="1" customWidth="1"/>
    <col min="39" max="39" width="9.42578125" bestFit="1" customWidth="1"/>
    <col min="40" max="40" width="64.28515625" bestFit="1" customWidth="1"/>
    <col min="41" max="41" width="19.5703125" bestFit="1" customWidth="1"/>
    <col min="42" max="42" width="16.42578125" bestFit="1" customWidth="1"/>
    <col min="43" max="43" width="13" bestFit="1" customWidth="1"/>
  </cols>
  <sheetData>
    <row r="1" spans="2:38" ht="7.5" customHeight="1" x14ac:dyDescent="0.25">
      <c r="B1" s="1"/>
      <c r="D1" s="1"/>
      <c r="E1" s="1"/>
      <c r="F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2:38" ht="30" x14ac:dyDescent="0.25">
      <c r="B2" s="16" t="s">
        <v>0</v>
      </c>
      <c r="C2" s="16" t="s">
        <v>1</v>
      </c>
      <c r="D2" s="16" t="s">
        <v>2</v>
      </c>
      <c r="E2" s="16"/>
      <c r="F2" s="17"/>
      <c r="G2" s="16" t="s">
        <v>3</v>
      </c>
      <c r="H2" s="16" t="s">
        <v>4</v>
      </c>
      <c r="I2" s="16" t="s">
        <v>524</v>
      </c>
      <c r="J2" s="16" t="s">
        <v>5</v>
      </c>
      <c r="K2" s="18" t="s">
        <v>523</v>
      </c>
      <c r="L2" s="18" t="s">
        <v>1166</v>
      </c>
      <c r="M2" s="18" t="s">
        <v>870</v>
      </c>
      <c r="N2" s="18" t="s">
        <v>748</v>
      </c>
      <c r="O2" s="16" t="s">
        <v>908</v>
      </c>
      <c r="P2" s="18" t="s">
        <v>1131</v>
      </c>
      <c r="Q2" s="18" t="s">
        <v>1130</v>
      </c>
      <c r="R2" s="18" t="s">
        <v>933</v>
      </c>
      <c r="S2" s="18" t="s">
        <v>934</v>
      </c>
      <c r="T2" s="18" t="s">
        <v>935</v>
      </c>
      <c r="U2" s="18" t="s">
        <v>936</v>
      </c>
      <c r="V2" s="18" t="s">
        <v>937</v>
      </c>
      <c r="W2" s="18" t="s">
        <v>952</v>
      </c>
      <c r="X2" s="18" t="s">
        <v>1058</v>
      </c>
      <c r="Y2" s="42" t="s">
        <v>1178</v>
      </c>
      <c r="Z2" s="41" t="s">
        <v>1159</v>
      </c>
      <c r="AA2" s="41" t="s">
        <v>1160</v>
      </c>
      <c r="AB2" s="41" t="s">
        <v>1158</v>
      </c>
      <c r="AC2" s="41" t="s">
        <v>1161</v>
      </c>
      <c r="AD2" s="41" t="s">
        <v>1162</v>
      </c>
      <c r="AE2" s="41" t="s">
        <v>1163</v>
      </c>
      <c r="AF2" s="41" t="s">
        <v>1164</v>
      </c>
      <c r="AG2" s="41" t="s">
        <v>1165</v>
      </c>
      <c r="AH2" s="16" t="s">
        <v>7</v>
      </c>
      <c r="AJ2" s="16" t="s">
        <v>5</v>
      </c>
      <c r="AK2" s="16" t="s">
        <v>6</v>
      </c>
    </row>
    <row r="3" spans="2:38" hidden="1" x14ac:dyDescent="0.25">
      <c r="B3" s="30" t="s">
        <v>8</v>
      </c>
      <c r="C3" s="31" t="s">
        <v>9</v>
      </c>
      <c r="D3" s="32" t="s">
        <v>8</v>
      </c>
      <c r="E3" s="30" t="s">
        <v>8</v>
      </c>
      <c r="F3" s="30" t="s">
        <v>8</v>
      </c>
      <c r="G3" s="30" t="s">
        <v>8</v>
      </c>
      <c r="H3" s="32" t="s">
        <v>10</v>
      </c>
      <c r="I3" s="32" t="s">
        <v>11</v>
      </c>
      <c r="J3" s="30" t="s">
        <v>12</v>
      </c>
      <c r="K3" s="33">
        <f>IFERROR(AVERAGEIFS('[1]Controle de Produção'!$E:$E,'[1]Controle de Produção'!$N:$N,E3,'[1]Controle de Produção'!$S:$S,J3,'[1]Controle de Produção'!$R:$R,I3),0)</f>
        <v>802.46872213014433</v>
      </c>
      <c r="L3" s="33">
        <f>IFERROR(AVERAGEIFS('[1]Controle de Produção'!$E:$E,'[1]Controle de Produção'!$S:$S,J3,'[1]Controle de Produção'!$R:$R,I3),0)</f>
        <v>802.46872213014433</v>
      </c>
      <c r="M3" s="34"/>
      <c r="N3" s="35"/>
      <c r="O3" s="30"/>
      <c r="P3" s="33"/>
      <c r="Q3" s="33"/>
      <c r="R3" s="36" t="b">
        <v>0</v>
      </c>
      <c r="S3" s="36" t="b">
        <v>0</v>
      </c>
      <c r="T3" s="36" t="b">
        <v>0</v>
      </c>
      <c r="U3" s="36" t="b">
        <v>0</v>
      </c>
      <c r="V3" s="36" t="b">
        <v>0</v>
      </c>
      <c r="W3" s="33" t="s">
        <v>953</v>
      </c>
      <c r="X3" s="37"/>
      <c r="Y3" s="43"/>
      <c r="Z3" s="37"/>
      <c r="AA3" s="37"/>
      <c r="AB3" s="37"/>
      <c r="AC3" s="37"/>
      <c r="AD3" s="37"/>
      <c r="AE3" s="37"/>
      <c r="AF3" s="37"/>
      <c r="AG3" s="37"/>
      <c r="AH3" s="32"/>
      <c r="AJ3" s="2" t="s">
        <v>12</v>
      </c>
      <c r="AK3" s="3">
        <f>AVERAGEIF(J:J,AJ3,L:L)</f>
        <v>692.80427214283247</v>
      </c>
    </row>
    <row r="4" spans="2:38" hidden="1" x14ac:dyDescent="0.25">
      <c r="B4" s="30" t="s">
        <v>8</v>
      </c>
      <c r="C4" s="31" t="s">
        <v>13</v>
      </c>
      <c r="D4" s="32" t="s">
        <v>8</v>
      </c>
      <c r="E4" s="30" t="s">
        <v>8</v>
      </c>
      <c r="F4" s="30" t="s">
        <v>8</v>
      </c>
      <c r="G4" s="30" t="s">
        <v>8</v>
      </c>
      <c r="H4" s="32" t="s">
        <v>10</v>
      </c>
      <c r="I4" s="32" t="s">
        <v>11</v>
      </c>
      <c r="J4" s="30" t="s">
        <v>12</v>
      </c>
      <c r="K4" s="33">
        <f>IFERROR(AVERAGEIFS('[1]Controle de Produção'!$E:$E,'[1]Controle de Produção'!$N:$N,E4,'[1]Controle de Produção'!$S:$S,J4,'[1]Controle de Produção'!$R:$R,I4),0)</f>
        <v>802.46872213014433</v>
      </c>
      <c r="L4" s="33">
        <f>IFERROR(AVERAGEIFS('[1]Controle de Produção'!$E:$E,'[1]Controle de Produção'!$S:$S,J4,'[1]Controle de Produção'!$R:$R,I4),0)</f>
        <v>802.46872213014433</v>
      </c>
      <c r="M4" s="34"/>
      <c r="N4" s="35"/>
      <c r="O4" s="30"/>
      <c r="P4" s="33"/>
      <c r="Q4" s="33"/>
      <c r="R4" s="36" t="b">
        <v>0</v>
      </c>
      <c r="S4" s="36" t="b">
        <v>1</v>
      </c>
      <c r="T4" s="36" t="b">
        <v>0</v>
      </c>
      <c r="U4" s="36" t="b">
        <v>0</v>
      </c>
      <c r="V4" s="36" t="b">
        <v>0</v>
      </c>
      <c r="W4" s="33" t="s">
        <v>953</v>
      </c>
      <c r="X4" s="37"/>
      <c r="Y4" s="43"/>
      <c r="Z4" s="37"/>
      <c r="AA4" s="37"/>
      <c r="AB4" s="37"/>
      <c r="AC4" s="37"/>
      <c r="AD4" s="37"/>
      <c r="AE4" s="37"/>
      <c r="AF4" s="37"/>
      <c r="AG4" s="37"/>
      <c r="AH4" s="32"/>
      <c r="AJ4" s="2" t="s">
        <v>500</v>
      </c>
      <c r="AK4" s="3">
        <f>AVERAGEIF(J:J,AJ4,L:L)</f>
        <v>803.34098830668722</v>
      </c>
    </row>
    <row r="5" spans="2:38" hidden="1" x14ac:dyDescent="0.25">
      <c r="B5" s="30" t="s">
        <v>8</v>
      </c>
      <c r="C5" s="31" t="s">
        <v>21</v>
      </c>
      <c r="D5" s="32" t="s">
        <v>8</v>
      </c>
      <c r="E5" s="32">
        <v>30</v>
      </c>
      <c r="F5" s="32" t="s">
        <v>22</v>
      </c>
      <c r="G5" s="32" t="s">
        <v>23</v>
      </c>
      <c r="H5" s="32" t="s">
        <v>8</v>
      </c>
      <c r="I5" s="32" t="s">
        <v>24</v>
      </c>
      <c r="J5" s="30" t="s">
        <v>25</v>
      </c>
      <c r="K5" s="33">
        <f>IFERROR(AVERAGEIFS('[1]Controle de Produção'!$E:$E,'[1]Controle de Produção'!$N:$N,E5,'[1]Controle de Produção'!$S:$S,J5,'[1]Controle de Produção'!$R:$R,I5),0)</f>
        <v>0</v>
      </c>
      <c r="L5" s="33">
        <f>IFERROR(AVERAGEIFS('[1]Controle de Produção'!$E:$E,'[1]Controle de Produção'!$S:$S,J5,'[1]Controle de Produção'!$R:$R,I5),0)</f>
        <v>519.13260484234854</v>
      </c>
      <c r="M5" s="34"/>
      <c r="N5" s="35"/>
      <c r="O5" s="30"/>
      <c r="P5" s="33"/>
      <c r="Q5" s="33"/>
      <c r="R5" s="36" t="b">
        <v>0</v>
      </c>
      <c r="S5" s="36" t="b">
        <v>1</v>
      </c>
      <c r="T5" s="36" t="b">
        <v>0</v>
      </c>
      <c r="U5" s="36" t="b">
        <v>0</v>
      </c>
      <c r="V5" s="36" t="b">
        <v>0</v>
      </c>
      <c r="W5" s="33" t="s">
        <v>954</v>
      </c>
      <c r="X5" s="37"/>
      <c r="Y5" s="43"/>
      <c r="Z5" s="37"/>
      <c r="AA5" s="37"/>
      <c r="AB5" s="37"/>
      <c r="AC5" s="37"/>
      <c r="AD5" s="37"/>
      <c r="AE5" s="37"/>
      <c r="AF5" s="37"/>
      <c r="AG5" s="37"/>
      <c r="AH5" s="32"/>
      <c r="AJ5" s="2" t="s">
        <v>18</v>
      </c>
      <c r="AK5" s="3">
        <f>AVERAGEIF(J:J,AJ5,L:L)</f>
        <v>575.45102690904173</v>
      </c>
    </row>
    <row r="6" spans="2:38" hidden="1" x14ac:dyDescent="0.25">
      <c r="B6" s="30" t="s">
        <v>8</v>
      </c>
      <c r="C6" s="31" t="s">
        <v>26</v>
      </c>
      <c r="D6" s="32" t="s">
        <v>8</v>
      </c>
      <c r="E6" s="32">
        <v>30</v>
      </c>
      <c r="F6" s="32" t="s">
        <v>22</v>
      </c>
      <c r="G6" s="32" t="s">
        <v>23</v>
      </c>
      <c r="H6" s="32" t="s">
        <v>8</v>
      </c>
      <c r="I6" s="32" t="s">
        <v>24</v>
      </c>
      <c r="J6" s="30" t="s">
        <v>25</v>
      </c>
      <c r="K6" s="33">
        <f>IFERROR(AVERAGEIFS('[1]Controle de Produção'!$E:$E,'[1]Controle de Produção'!$N:$N,E6,'[1]Controle de Produção'!$S:$S,J6,'[1]Controle de Produção'!$R:$R,I6),0)</f>
        <v>0</v>
      </c>
      <c r="L6" s="33">
        <f>IFERROR(AVERAGEIFS('[1]Controle de Produção'!$E:$E,'[1]Controle de Produção'!$S:$S,J6,'[1]Controle de Produção'!$R:$R,I6),0)</f>
        <v>519.13260484234854</v>
      </c>
      <c r="M6" s="34"/>
      <c r="N6" s="35"/>
      <c r="O6" s="30"/>
      <c r="P6" s="33"/>
      <c r="Q6" s="33"/>
      <c r="R6" s="36" t="b">
        <v>0</v>
      </c>
      <c r="S6" s="36" t="b">
        <v>1</v>
      </c>
      <c r="T6" s="36" t="b">
        <v>0</v>
      </c>
      <c r="U6" s="36" t="b">
        <v>0</v>
      </c>
      <c r="V6" s="36" t="b">
        <v>0</v>
      </c>
      <c r="W6" s="33" t="s">
        <v>954</v>
      </c>
      <c r="X6" s="37"/>
      <c r="Y6" s="43"/>
      <c r="Z6" s="37"/>
      <c r="AA6" s="37"/>
      <c r="AB6" s="37"/>
      <c r="AC6" s="37"/>
      <c r="AD6" s="37"/>
      <c r="AE6" s="37"/>
      <c r="AF6" s="37"/>
      <c r="AG6" s="37"/>
      <c r="AH6" s="32"/>
      <c r="AJ6" s="2" t="s">
        <v>25</v>
      </c>
      <c r="AK6" s="3">
        <f>AVERAGEIF(J:J,AJ6,L:L)</f>
        <v>520.39540577813443</v>
      </c>
    </row>
    <row r="7" spans="2:38" hidden="1" x14ac:dyDescent="0.25">
      <c r="B7" s="30" t="s">
        <v>8</v>
      </c>
      <c r="C7" s="31" t="s">
        <v>27</v>
      </c>
      <c r="D7" s="32" t="s">
        <v>8</v>
      </c>
      <c r="E7" s="32">
        <v>30</v>
      </c>
      <c r="F7" s="32" t="s">
        <v>22</v>
      </c>
      <c r="G7" s="32" t="s">
        <v>23</v>
      </c>
      <c r="H7" s="32" t="s">
        <v>8</v>
      </c>
      <c r="I7" s="32" t="s">
        <v>24</v>
      </c>
      <c r="J7" s="30" t="s">
        <v>25</v>
      </c>
      <c r="K7" s="33">
        <f>IFERROR(AVERAGEIFS('[1]Controle de Produção'!$E:$E,'[1]Controle de Produção'!$N:$N,E7,'[1]Controle de Produção'!$S:$S,J7,'[1]Controle de Produção'!$R:$R,I7),0)</f>
        <v>0</v>
      </c>
      <c r="L7" s="33">
        <f>IFERROR(AVERAGEIFS('[1]Controle de Produção'!$E:$E,'[1]Controle de Produção'!$S:$S,J7,'[1]Controle de Produção'!$R:$R,I7),0)</f>
        <v>519.13260484234854</v>
      </c>
      <c r="M7" s="34"/>
      <c r="N7" s="35"/>
      <c r="O7" s="30"/>
      <c r="P7" s="33"/>
      <c r="Q7" s="33"/>
      <c r="R7" s="36" t="b">
        <v>0</v>
      </c>
      <c r="S7" s="36" t="b">
        <v>1</v>
      </c>
      <c r="T7" s="36" t="b">
        <v>0</v>
      </c>
      <c r="U7" s="36" t="b">
        <v>0</v>
      </c>
      <c r="V7" s="36" t="b">
        <v>0</v>
      </c>
      <c r="W7" s="33" t="s">
        <v>954</v>
      </c>
      <c r="X7" s="37"/>
      <c r="Y7" s="43"/>
      <c r="Z7" s="37"/>
      <c r="AA7" s="37"/>
      <c r="AB7" s="37"/>
      <c r="AC7" s="37"/>
      <c r="AD7" s="37"/>
      <c r="AE7" s="37"/>
      <c r="AF7" s="37"/>
      <c r="AG7" s="37"/>
      <c r="AH7" s="32"/>
      <c r="AJ7" s="2" t="s">
        <v>107</v>
      </c>
      <c r="AK7" s="3">
        <f>AVERAGEIF(J:J,AJ7,L:L)</f>
        <v>492.86341743763359</v>
      </c>
    </row>
    <row r="8" spans="2:38" hidden="1" x14ac:dyDescent="0.25">
      <c r="B8" s="30" t="s">
        <v>8</v>
      </c>
      <c r="C8" s="31" t="s">
        <v>28</v>
      </c>
      <c r="D8" s="32" t="s">
        <v>8</v>
      </c>
      <c r="E8" s="32">
        <v>30</v>
      </c>
      <c r="F8" s="32" t="s">
        <v>22</v>
      </c>
      <c r="G8" s="32" t="s">
        <v>23</v>
      </c>
      <c r="H8" s="32" t="s">
        <v>8</v>
      </c>
      <c r="I8" s="32" t="s">
        <v>24</v>
      </c>
      <c r="J8" s="30" t="s">
        <v>25</v>
      </c>
      <c r="K8" s="33">
        <f>IFERROR(AVERAGEIFS('[1]Controle de Produção'!$E:$E,'[1]Controle de Produção'!$N:$N,E8,'[1]Controle de Produção'!$S:$S,J8,'[1]Controle de Produção'!$R:$R,I8),0)</f>
        <v>0</v>
      </c>
      <c r="L8" s="33">
        <f>IFERROR(AVERAGEIFS('[1]Controle de Produção'!$E:$E,'[1]Controle de Produção'!$S:$S,J8,'[1]Controle de Produção'!$R:$R,I8),0)</f>
        <v>519.13260484234854</v>
      </c>
      <c r="M8" s="34"/>
      <c r="N8" s="35"/>
      <c r="O8" s="30"/>
      <c r="P8" s="33"/>
      <c r="Q8" s="33"/>
      <c r="R8" s="36" t="b">
        <v>0</v>
      </c>
      <c r="S8" s="36" t="b">
        <v>1</v>
      </c>
      <c r="T8" s="36" t="b">
        <v>0</v>
      </c>
      <c r="U8" s="36" t="b">
        <v>0</v>
      </c>
      <c r="V8" s="36" t="b">
        <v>0</v>
      </c>
      <c r="W8" s="33" t="s">
        <v>954</v>
      </c>
      <c r="X8" s="37"/>
      <c r="Y8" s="43"/>
      <c r="Z8" s="37"/>
      <c r="AA8" s="37"/>
      <c r="AB8" s="37"/>
      <c r="AC8" s="37"/>
      <c r="AD8" s="37"/>
      <c r="AE8" s="37"/>
      <c r="AF8" s="37"/>
      <c r="AG8" s="37"/>
      <c r="AH8" s="32"/>
      <c r="AL8" s="14"/>
    </row>
    <row r="9" spans="2:38" hidden="1" x14ac:dyDescent="0.25">
      <c r="B9" s="30" t="s">
        <v>8</v>
      </c>
      <c r="C9" s="31" t="s">
        <v>1167</v>
      </c>
      <c r="D9" s="32" t="s">
        <v>8</v>
      </c>
      <c r="E9" s="32">
        <v>1000</v>
      </c>
      <c r="F9" s="32" t="s">
        <v>22</v>
      </c>
      <c r="G9" s="32" t="s">
        <v>14</v>
      </c>
      <c r="H9" s="32" t="s">
        <v>15</v>
      </c>
      <c r="I9" s="32" t="s">
        <v>16</v>
      </c>
      <c r="J9" s="30" t="s">
        <v>25</v>
      </c>
      <c r="K9" s="33">
        <f>IFERROR(AVERAGEIFS('[1]Controle de Produção'!$E:$E,'[1]Controle de Produção'!$N:$N,E9,'[1]Controle de Produção'!$S:$S,J9,'[1]Controle de Produção'!$R:$R,I9),0)</f>
        <v>0</v>
      </c>
      <c r="L9" s="33">
        <f>IFERROR(AVERAGEIFS('[1]Controle de Produção'!$E:$E,'[1]Controle de Produção'!$S:$S,J9,'[1]Controle de Produção'!$R:$R,I9),0)</f>
        <v>571.39859273161176</v>
      </c>
      <c r="M9" s="34"/>
      <c r="N9" s="35"/>
      <c r="O9" s="30"/>
      <c r="P9" s="33"/>
      <c r="Q9" s="33"/>
      <c r="R9" s="36" t="b">
        <v>0</v>
      </c>
      <c r="S9" s="36" t="b">
        <v>1</v>
      </c>
      <c r="T9" s="36" t="b">
        <v>0</v>
      </c>
      <c r="U9" s="36" t="b">
        <v>0</v>
      </c>
      <c r="V9" s="36" t="b">
        <v>0</v>
      </c>
      <c r="W9" s="33" t="s">
        <v>954</v>
      </c>
      <c r="X9" s="37"/>
      <c r="Y9" s="43"/>
      <c r="Z9" s="37"/>
      <c r="AA9" s="37"/>
      <c r="AB9" s="37"/>
      <c r="AC9" s="37"/>
      <c r="AD9" s="37"/>
      <c r="AE9" s="37"/>
      <c r="AF9" s="37"/>
      <c r="AG9" s="37"/>
      <c r="AH9" s="32"/>
      <c r="AL9" s="14"/>
    </row>
    <row r="10" spans="2:38" hidden="1" x14ac:dyDescent="0.25">
      <c r="B10" s="30" t="s">
        <v>8</v>
      </c>
      <c r="C10" s="31" t="s">
        <v>1168</v>
      </c>
      <c r="D10" s="32" t="s">
        <v>8</v>
      </c>
      <c r="E10" s="32">
        <v>1000</v>
      </c>
      <c r="F10" s="32" t="s">
        <v>22</v>
      </c>
      <c r="G10" s="32" t="s">
        <v>14</v>
      </c>
      <c r="H10" s="32" t="s">
        <v>15</v>
      </c>
      <c r="I10" s="32" t="s">
        <v>20</v>
      </c>
      <c r="J10" s="30" t="s">
        <v>25</v>
      </c>
      <c r="K10" s="33">
        <f>IFERROR(AVERAGEIFS('[1]Controle de Produção'!$E:$E,'[1]Controle de Produção'!$N:$N,E10,'[1]Controle de Produção'!$S:$S,J10,'[1]Controle de Produção'!$R:$R,I10),0)</f>
        <v>0</v>
      </c>
      <c r="L10" s="33">
        <f>IFERROR(AVERAGEIFS('[1]Controle de Produção'!$E:$E,'[1]Controle de Produção'!$S:$S,J10,'[1]Controle de Produção'!$R:$R,I10),0)</f>
        <v>0</v>
      </c>
      <c r="M10" s="46">
        <v>8</v>
      </c>
      <c r="N10" s="35"/>
      <c r="O10" s="47"/>
      <c r="P10" s="33"/>
      <c r="Q10" s="33"/>
      <c r="R10" s="36" t="b">
        <v>1</v>
      </c>
      <c r="S10" s="36" t="b">
        <v>1</v>
      </c>
      <c r="T10" s="36" t="b">
        <v>0</v>
      </c>
      <c r="U10" s="36" t="b">
        <v>0</v>
      </c>
      <c r="V10" s="36" t="b">
        <v>0</v>
      </c>
      <c r="W10" s="33" t="s">
        <v>954</v>
      </c>
      <c r="X10" s="37"/>
      <c r="Y10" s="43"/>
      <c r="Z10" s="37"/>
      <c r="AA10" s="37"/>
      <c r="AB10" s="37"/>
      <c r="AC10" s="37"/>
      <c r="AD10" s="37"/>
      <c r="AE10" s="37"/>
      <c r="AF10" s="37"/>
      <c r="AG10" s="37"/>
      <c r="AH10" s="32"/>
    </row>
    <row r="11" spans="2:38" hidden="1" x14ac:dyDescent="0.25">
      <c r="B11" s="30" t="s">
        <v>1013</v>
      </c>
      <c r="C11" s="31" t="s">
        <v>876</v>
      </c>
      <c r="D11" s="32" t="s">
        <v>1087</v>
      </c>
      <c r="E11" s="30">
        <v>250</v>
      </c>
      <c r="F11" s="30" t="s">
        <v>22</v>
      </c>
      <c r="G11" s="32" t="s">
        <v>903</v>
      </c>
      <c r="H11" s="32" t="s">
        <v>50</v>
      </c>
      <c r="I11" s="32" t="s">
        <v>62</v>
      </c>
      <c r="J11" s="30" t="s">
        <v>18</v>
      </c>
      <c r="K11" s="33">
        <f>IFERROR(AVERAGEIFS('[1]Controle de Produção'!$E:$E,'[1]Controle de Produção'!$N:$N,E11,'[1]Controle de Produção'!$S:$S,J11,'[1]Controle de Produção'!$R:$R,I11),0)</f>
        <v>616.88899012259446</v>
      </c>
      <c r="L11" s="33">
        <f>IFERROR(AVERAGEIFS('[1]Controle de Produção'!$E:$E,'[1]Controle de Produção'!$S:$S,J11,'[1]Controle de Produção'!$R:$R,I11),0)</f>
        <v>843.58780095852239</v>
      </c>
      <c r="M11" s="34">
        <v>24</v>
      </c>
      <c r="N11" s="35"/>
      <c r="O11" s="30"/>
      <c r="P11" s="33"/>
      <c r="Q11" s="33"/>
      <c r="R11" s="36" t="b">
        <v>1</v>
      </c>
      <c r="S11" s="36" t="b">
        <v>1</v>
      </c>
      <c r="T11" s="36" t="b">
        <v>1</v>
      </c>
      <c r="U11" s="36" t="b">
        <v>1</v>
      </c>
      <c r="V11" s="36" t="b">
        <v>1</v>
      </c>
      <c r="W11" s="33" t="s">
        <v>954</v>
      </c>
      <c r="X11" s="37"/>
      <c r="Y11" s="43">
        <v>1.35</v>
      </c>
      <c r="Z11" s="37"/>
      <c r="AA11" s="37"/>
      <c r="AB11" s="37"/>
      <c r="AC11" s="37"/>
      <c r="AD11" s="37"/>
      <c r="AE11" s="37"/>
      <c r="AF11" s="37"/>
      <c r="AG11" s="37"/>
      <c r="AH11" s="32"/>
    </row>
    <row r="12" spans="2:38" hidden="1" x14ac:dyDescent="0.25">
      <c r="B12" s="30" t="s">
        <v>1012</v>
      </c>
      <c r="C12" s="31" t="s">
        <v>877</v>
      </c>
      <c r="D12" s="32" t="s">
        <v>1087</v>
      </c>
      <c r="E12" s="30">
        <v>250</v>
      </c>
      <c r="F12" s="30" t="s">
        <v>22</v>
      </c>
      <c r="G12" s="32" t="s">
        <v>903</v>
      </c>
      <c r="H12" s="32" t="s">
        <v>50</v>
      </c>
      <c r="I12" s="32" t="s">
        <v>62</v>
      </c>
      <c r="J12" s="30" t="s">
        <v>18</v>
      </c>
      <c r="K12" s="33">
        <f>IFERROR(AVERAGEIFS('[1]Controle de Produção'!$E:$E,'[1]Controle de Produção'!$N:$N,E12,'[1]Controle de Produção'!$S:$S,J12,'[1]Controle de Produção'!$R:$R,I12),0)</f>
        <v>616.88899012259446</v>
      </c>
      <c r="L12" s="33">
        <f>IFERROR(AVERAGEIFS('[1]Controle de Produção'!$E:$E,'[1]Controle de Produção'!$S:$S,J12,'[1]Controle de Produção'!$R:$R,I12),0)</f>
        <v>843.58780095852239</v>
      </c>
      <c r="M12" s="34">
        <v>24</v>
      </c>
      <c r="N12" s="35"/>
      <c r="O12" s="30"/>
      <c r="P12" s="33"/>
      <c r="Q12" s="33"/>
      <c r="R12" s="36" t="b">
        <v>1</v>
      </c>
      <c r="S12" s="36" t="b">
        <v>1</v>
      </c>
      <c r="T12" s="36" t="b">
        <v>1</v>
      </c>
      <c r="U12" s="36" t="b">
        <v>1</v>
      </c>
      <c r="V12" s="36" t="b">
        <v>1</v>
      </c>
      <c r="W12" s="33" t="s">
        <v>954</v>
      </c>
      <c r="X12" s="37"/>
      <c r="Y12" s="43">
        <v>1.35</v>
      </c>
      <c r="Z12" s="37"/>
      <c r="AA12" s="37"/>
      <c r="AB12" s="37"/>
      <c r="AC12" s="37"/>
      <c r="AD12" s="37"/>
      <c r="AE12" s="37"/>
      <c r="AF12" s="37"/>
      <c r="AG12" s="37"/>
      <c r="AH12" s="32"/>
    </row>
    <row r="13" spans="2:38" hidden="1" x14ac:dyDescent="0.25">
      <c r="B13" s="30" t="s">
        <v>1015</v>
      </c>
      <c r="C13" s="31" t="s">
        <v>878</v>
      </c>
      <c r="D13" s="32" t="s">
        <v>1087</v>
      </c>
      <c r="E13" s="30">
        <v>250</v>
      </c>
      <c r="F13" s="30" t="s">
        <v>22</v>
      </c>
      <c r="G13" s="32" t="s">
        <v>903</v>
      </c>
      <c r="H13" s="32" t="s">
        <v>50</v>
      </c>
      <c r="I13" s="32" t="s">
        <v>62</v>
      </c>
      <c r="J13" s="30" t="s">
        <v>18</v>
      </c>
      <c r="K13" s="33">
        <f>IFERROR(AVERAGEIFS('[1]Controle de Produção'!$E:$E,'[1]Controle de Produção'!$N:$N,E13,'[1]Controle de Produção'!$S:$S,J13,'[1]Controle de Produção'!$R:$R,I13),0)</f>
        <v>616.88899012259446</v>
      </c>
      <c r="L13" s="33">
        <f>IFERROR(AVERAGEIFS('[1]Controle de Produção'!$E:$E,'[1]Controle de Produção'!$S:$S,J13,'[1]Controle de Produção'!$R:$R,I13),0)</f>
        <v>843.58780095852239</v>
      </c>
      <c r="M13" s="34">
        <v>24</v>
      </c>
      <c r="N13" s="35"/>
      <c r="O13" s="30"/>
      <c r="P13" s="33"/>
      <c r="Q13" s="33"/>
      <c r="R13" s="36" t="b">
        <v>1</v>
      </c>
      <c r="S13" s="36" t="b">
        <v>1</v>
      </c>
      <c r="T13" s="36" t="b">
        <v>1</v>
      </c>
      <c r="U13" s="36" t="b">
        <v>1</v>
      </c>
      <c r="V13" s="36" t="b">
        <v>1</v>
      </c>
      <c r="W13" s="33" t="s">
        <v>954</v>
      </c>
      <c r="X13" s="37"/>
      <c r="Y13" s="43">
        <v>1.35</v>
      </c>
      <c r="Z13" s="37"/>
      <c r="AA13" s="37"/>
      <c r="AB13" s="37"/>
      <c r="AC13" s="37"/>
      <c r="AD13" s="37"/>
      <c r="AE13" s="37"/>
      <c r="AF13" s="37"/>
      <c r="AG13" s="37"/>
      <c r="AH13" s="32"/>
    </row>
    <row r="14" spans="2:38" hidden="1" x14ac:dyDescent="0.25">
      <c r="B14" s="30" t="s">
        <v>1010</v>
      </c>
      <c r="C14" s="31" t="s">
        <v>881</v>
      </c>
      <c r="D14" s="32" t="s">
        <v>1087</v>
      </c>
      <c r="E14" s="30">
        <v>250</v>
      </c>
      <c r="F14" s="30" t="s">
        <v>22</v>
      </c>
      <c r="G14" s="32" t="s">
        <v>903</v>
      </c>
      <c r="H14" s="32" t="s">
        <v>50</v>
      </c>
      <c r="I14" s="32" t="s">
        <v>62</v>
      </c>
      <c r="J14" s="30" t="s">
        <v>18</v>
      </c>
      <c r="K14" s="33">
        <f>IFERROR(AVERAGEIFS('[1]Controle de Produção'!$E:$E,'[1]Controle de Produção'!$N:$N,E14,'[1]Controle de Produção'!$S:$S,J14,'[1]Controle de Produção'!$R:$R,I14),0)</f>
        <v>616.88899012259446</v>
      </c>
      <c r="L14" s="33">
        <f>IFERROR(AVERAGEIFS('[1]Controle de Produção'!$E:$E,'[1]Controle de Produção'!$S:$S,J14,'[1]Controle de Produção'!$R:$R,I14),0)</f>
        <v>843.58780095852239</v>
      </c>
      <c r="M14" s="34">
        <v>24</v>
      </c>
      <c r="N14" s="35"/>
      <c r="O14" s="30"/>
      <c r="P14" s="33"/>
      <c r="Q14" s="33"/>
      <c r="R14" s="36" t="b">
        <v>1</v>
      </c>
      <c r="S14" s="36" t="b">
        <v>1</v>
      </c>
      <c r="T14" s="36" t="b">
        <v>1</v>
      </c>
      <c r="U14" s="36" t="b">
        <v>1</v>
      </c>
      <c r="V14" s="36" t="b">
        <v>1</v>
      </c>
      <c r="W14" s="33" t="s">
        <v>954</v>
      </c>
      <c r="X14" s="37"/>
      <c r="Y14" s="43">
        <v>1.35</v>
      </c>
      <c r="Z14" s="37"/>
      <c r="AA14" s="37"/>
      <c r="AB14" s="37"/>
      <c r="AC14" s="37"/>
      <c r="AD14" s="37"/>
      <c r="AE14" s="37"/>
      <c r="AF14" s="37"/>
      <c r="AG14" s="37"/>
      <c r="AH14" s="32"/>
    </row>
    <row r="15" spans="2:38" hidden="1" x14ac:dyDescent="0.25">
      <c r="B15" s="30" t="s">
        <v>1014</v>
      </c>
      <c r="C15" s="31" t="s">
        <v>882</v>
      </c>
      <c r="D15" s="32" t="s">
        <v>1087</v>
      </c>
      <c r="E15" s="30">
        <v>250</v>
      </c>
      <c r="F15" s="30" t="s">
        <v>22</v>
      </c>
      <c r="G15" s="32" t="s">
        <v>903</v>
      </c>
      <c r="H15" s="32" t="s">
        <v>50</v>
      </c>
      <c r="I15" s="32" t="s">
        <v>62</v>
      </c>
      <c r="J15" s="30" t="s">
        <v>18</v>
      </c>
      <c r="K15" s="33">
        <f>IFERROR(AVERAGEIFS('[1]Controle de Produção'!$E:$E,'[1]Controle de Produção'!$N:$N,E15,'[1]Controle de Produção'!$S:$S,J15,'[1]Controle de Produção'!$R:$R,I15),0)</f>
        <v>616.88899012259446</v>
      </c>
      <c r="L15" s="33">
        <f>IFERROR(AVERAGEIFS('[1]Controle de Produção'!$E:$E,'[1]Controle de Produção'!$S:$S,J15,'[1]Controle de Produção'!$R:$R,I15),0)</f>
        <v>843.58780095852239</v>
      </c>
      <c r="M15" s="34">
        <v>24</v>
      </c>
      <c r="N15" s="35"/>
      <c r="O15" s="30"/>
      <c r="P15" s="33"/>
      <c r="Q15" s="33"/>
      <c r="R15" s="36" t="b">
        <v>1</v>
      </c>
      <c r="S15" s="36" t="b">
        <v>1</v>
      </c>
      <c r="T15" s="36" t="b">
        <v>1</v>
      </c>
      <c r="U15" s="36" t="b">
        <v>1</v>
      </c>
      <c r="V15" s="36" t="b">
        <v>1</v>
      </c>
      <c r="W15" s="33" t="s">
        <v>954</v>
      </c>
      <c r="X15" s="37"/>
      <c r="Y15" s="43">
        <v>1.35</v>
      </c>
      <c r="Z15" s="37"/>
      <c r="AA15" s="37"/>
      <c r="AB15" s="37"/>
      <c r="AC15" s="37"/>
      <c r="AD15" s="37"/>
      <c r="AE15" s="37"/>
      <c r="AF15" s="37"/>
      <c r="AG15" s="37"/>
      <c r="AH15" s="32"/>
    </row>
    <row r="16" spans="2:38" hidden="1" x14ac:dyDescent="0.25">
      <c r="B16" s="30" t="s">
        <v>970</v>
      </c>
      <c r="C16" s="31" t="s">
        <v>883</v>
      </c>
      <c r="D16" s="32" t="s">
        <v>1087</v>
      </c>
      <c r="E16" s="30">
        <v>250</v>
      </c>
      <c r="F16" s="30" t="s">
        <v>22</v>
      </c>
      <c r="G16" s="32" t="s">
        <v>903</v>
      </c>
      <c r="H16" s="32" t="s">
        <v>50</v>
      </c>
      <c r="I16" s="32" t="s">
        <v>62</v>
      </c>
      <c r="J16" s="30" t="s">
        <v>18</v>
      </c>
      <c r="K16" s="33">
        <f>IFERROR(AVERAGEIFS('[1]Controle de Produção'!$E:$E,'[1]Controle de Produção'!$N:$N,E16,'[1]Controle de Produção'!$S:$S,J16,'[1]Controle de Produção'!$R:$R,I16),0)</f>
        <v>616.88899012259446</v>
      </c>
      <c r="L16" s="33">
        <f>IFERROR(AVERAGEIFS('[1]Controle de Produção'!$E:$E,'[1]Controle de Produção'!$S:$S,J16,'[1]Controle de Produção'!$R:$R,I16),0)</f>
        <v>843.58780095852239</v>
      </c>
      <c r="M16" s="34">
        <v>24</v>
      </c>
      <c r="N16" s="35"/>
      <c r="O16" s="30"/>
      <c r="P16" s="33"/>
      <c r="Q16" s="33"/>
      <c r="R16" s="36" t="b">
        <v>1</v>
      </c>
      <c r="S16" s="36" t="b">
        <v>1</v>
      </c>
      <c r="T16" s="36" t="b">
        <v>1</v>
      </c>
      <c r="U16" s="36" t="b">
        <v>1</v>
      </c>
      <c r="V16" s="36" t="b">
        <v>1</v>
      </c>
      <c r="W16" s="33" t="s">
        <v>954</v>
      </c>
      <c r="X16" s="37"/>
      <c r="Y16" s="43">
        <v>1.35</v>
      </c>
      <c r="Z16" s="37"/>
      <c r="AA16" s="37"/>
      <c r="AB16" s="37"/>
      <c r="AC16" s="37"/>
      <c r="AD16" s="37"/>
      <c r="AE16" s="37"/>
      <c r="AF16" s="37"/>
      <c r="AG16" s="37"/>
      <c r="AH16" s="32"/>
    </row>
    <row r="17" spans="2:34" hidden="1" x14ac:dyDescent="0.25">
      <c r="B17" s="30" t="s">
        <v>971</v>
      </c>
      <c r="C17" s="31" t="s">
        <v>884</v>
      </c>
      <c r="D17" s="32" t="s">
        <v>1087</v>
      </c>
      <c r="E17" s="30">
        <v>250</v>
      </c>
      <c r="F17" s="30" t="s">
        <v>22</v>
      </c>
      <c r="G17" s="32" t="s">
        <v>903</v>
      </c>
      <c r="H17" s="32" t="s">
        <v>50</v>
      </c>
      <c r="I17" s="32" t="s">
        <v>62</v>
      </c>
      <c r="J17" s="30" t="s">
        <v>18</v>
      </c>
      <c r="K17" s="33">
        <f>IFERROR(AVERAGEIFS('[1]Controle de Produção'!$E:$E,'[1]Controle de Produção'!$N:$N,E17,'[1]Controle de Produção'!$S:$S,J17,'[1]Controle de Produção'!$R:$R,I17),0)</f>
        <v>616.88899012259446</v>
      </c>
      <c r="L17" s="33">
        <f>IFERROR(AVERAGEIFS('[1]Controle de Produção'!$E:$E,'[1]Controle de Produção'!$S:$S,J17,'[1]Controle de Produção'!$R:$R,I17),0)</f>
        <v>843.58780095852239</v>
      </c>
      <c r="M17" s="34">
        <v>24</v>
      </c>
      <c r="N17" s="35"/>
      <c r="O17" s="30"/>
      <c r="P17" s="33"/>
      <c r="Q17" s="33"/>
      <c r="R17" s="36" t="b">
        <v>1</v>
      </c>
      <c r="S17" s="36" t="b">
        <v>1</v>
      </c>
      <c r="T17" s="36" t="b">
        <v>1</v>
      </c>
      <c r="U17" s="36" t="b">
        <v>1</v>
      </c>
      <c r="V17" s="36" t="b">
        <v>1</v>
      </c>
      <c r="W17" s="33" t="s">
        <v>954</v>
      </c>
      <c r="X17" s="37"/>
      <c r="Y17" s="43">
        <v>1.35</v>
      </c>
      <c r="Z17" s="37"/>
      <c r="AA17" s="37"/>
      <c r="AB17" s="37"/>
      <c r="AC17" s="37"/>
      <c r="AD17" s="37"/>
      <c r="AE17" s="37"/>
      <c r="AF17" s="37"/>
      <c r="AG17" s="37"/>
      <c r="AH17" s="32"/>
    </row>
    <row r="18" spans="2:34" hidden="1" x14ac:dyDescent="0.25">
      <c r="B18" s="30" t="s">
        <v>972</v>
      </c>
      <c r="C18" s="31" t="s">
        <v>885</v>
      </c>
      <c r="D18" s="32" t="s">
        <v>1087</v>
      </c>
      <c r="E18" s="30">
        <v>250</v>
      </c>
      <c r="F18" s="30" t="s">
        <v>22</v>
      </c>
      <c r="G18" s="32" t="s">
        <v>903</v>
      </c>
      <c r="H18" s="32" t="s">
        <v>50</v>
      </c>
      <c r="I18" s="32" t="s">
        <v>62</v>
      </c>
      <c r="J18" s="30" t="s">
        <v>18</v>
      </c>
      <c r="K18" s="33">
        <f>IFERROR(AVERAGEIFS('[1]Controle de Produção'!$E:$E,'[1]Controle de Produção'!$N:$N,E18,'[1]Controle de Produção'!$S:$S,J18,'[1]Controle de Produção'!$R:$R,I18),0)</f>
        <v>616.88899012259446</v>
      </c>
      <c r="L18" s="33">
        <f>IFERROR(AVERAGEIFS('[1]Controle de Produção'!$E:$E,'[1]Controle de Produção'!$S:$S,J18,'[1]Controle de Produção'!$R:$R,I18),0)</f>
        <v>843.58780095852239</v>
      </c>
      <c r="M18" s="34">
        <v>24</v>
      </c>
      <c r="N18" s="35"/>
      <c r="O18" s="30"/>
      <c r="P18" s="33"/>
      <c r="Q18" s="33"/>
      <c r="R18" s="36" t="b">
        <v>1</v>
      </c>
      <c r="S18" s="36" t="b">
        <v>1</v>
      </c>
      <c r="T18" s="36" t="b">
        <v>1</v>
      </c>
      <c r="U18" s="36" t="b">
        <v>1</v>
      </c>
      <c r="V18" s="36" t="b">
        <v>1</v>
      </c>
      <c r="W18" s="33" t="s">
        <v>954</v>
      </c>
      <c r="X18" s="37"/>
      <c r="Y18" s="43">
        <v>1.35</v>
      </c>
      <c r="Z18" s="37"/>
      <c r="AA18" s="37"/>
      <c r="AB18" s="37"/>
      <c r="AC18" s="37"/>
      <c r="AD18" s="37"/>
      <c r="AE18" s="37"/>
      <c r="AF18" s="37"/>
      <c r="AG18" s="37"/>
      <c r="AH18" s="32"/>
    </row>
    <row r="19" spans="2:34" hidden="1" x14ac:dyDescent="0.25">
      <c r="B19" s="30" t="s">
        <v>981</v>
      </c>
      <c r="C19" s="31" t="s">
        <v>892</v>
      </c>
      <c r="D19" s="32" t="s">
        <v>1087</v>
      </c>
      <c r="E19" s="30">
        <v>240</v>
      </c>
      <c r="F19" s="30" t="s">
        <v>22</v>
      </c>
      <c r="G19" s="32" t="s">
        <v>903</v>
      </c>
      <c r="H19" s="32" t="s">
        <v>10</v>
      </c>
      <c r="I19" s="32" t="s">
        <v>41</v>
      </c>
      <c r="J19" s="30" t="s">
        <v>25</v>
      </c>
      <c r="K19" s="33">
        <f>IFERROR(AVERAGEIFS('[1]Controle de Produção'!$E:$E,'[1]Controle de Produção'!$N:$N,E19,'[1]Controle de Produção'!$S:$S,J19,'[1]Controle de Produção'!$R:$R,I19),0)</f>
        <v>639.01476243840705</v>
      </c>
      <c r="L19" s="33">
        <f>IFERROR(AVERAGEIFS('[1]Controle de Produção'!$E:$E,'[1]Controle de Produção'!$S:$S,J19,'[1]Controle de Produção'!$R:$R,I19),0)</f>
        <v>613.39886035164977</v>
      </c>
      <c r="M19" s="34">
        <v>24</v>
      </c>
      <c r="N19" s="35"/>
      <c r="O19" s="30"/>
      <c r="P19" s="33"/>
      <c r="Q19" s="33"/>
      <c r="R19" s="36" t="b">
        <v>1</v>
      </c>
      <c r="S19" s="36" t="b">
        <v>1</v>
      </c>
      <c r="T19" s="36" t="b">
        <v>1</v>
      </c>
      <c r="U19" s="36" t="b">
        <v>1</v>
      </c>
      <c r="V19" s="36" t="b">
        <v>1</v>
      </c>
      <c r="W19" s="33" t="s">
        <v>954</v>
      </c>
      <c r="X19" s="37"/>
      <c r="Y19" s="43">
        <v>1.48</v>
      </c>
      <c r="Z19" s="37"/>
      <c r="AA19" s="37"/>
      <c r="AB19" s="37"/>
      <c r="AC19" s="37"/>
      <c r="AD19" s="37"/>
      <c r="AE19" s="37"/>
      <c r="AF19" s="37"/>
      <c r="AG19" s="37"/>
      <c r="AH19" s="32"/>
    </row>
    <row r="20" spans="2:34" hidden="1" x14ac:dyDescent="0.25">
      <c r="B20" s="30" t="s">
        <v>998</v>
      </c>
      <c r="C20" s="31" t="s">
        <v>893</v>
      </c>
      <c r="D20" s="32" t="s">
        <v>1087</v>
      </c>
      <c r="E20" s="30">
        <v>240</v>
      </c>
      <c r="F20" s="30" t="s">
        <v>22</v>
      </c>
      <c r="G20" s="32" t="s">
        <v>903</v>
      </c>
      <c r="H20" s="32" t="s">
        <v>10</v>
      </c>
      <c r="I20" s="32" t="s">
        <v>41</v>
      </c>
      <c r="J20" s="30" t="s">
        <v>25</v>
      </c>
      <c r="K20" s="33">
        <f>IFERROR(AVERAGEIFS('[1]Controle de Produção'!$E:$E,'[1]Controle de Produção'!$N:$N,E20,'[1]Controle de Produção'!$S:$S,J20,'[1]Controle de Produção'!$R:$R,I20),0)</f>
        <v>639.01476243840705</v>
      </c>
      <c r="L20" s="33">
        <f>IFERROR(AVERAGEIFS('[1]Controle de Produção'!$E:$E,'[1]Controle de Produção'!$S:$S,J20,'[1]Controle de Produção'!$R:$R,I20),0)</f>
        <v>613.39886035164977</v>
      </c>
      <c r="M20" s="34">
        <v>24</v>
      </c>
      <c r="N20" s="35"/>
      <c r="O20" s="30"/>
      <c r="P20" s="33"/>
      <c r="Q20" s="33"/>
      <c r="R20" s="36" t="b">
        <v>1</v>
      </c>
      <c r="S20" s="36" t="b">
        <v>1</v>
      </c>
      <c r="T20" s="36" t="b">
        <v>1</v>
      </c>
      <c r="U20" s="36" t="b">
        <v>1</v>
      </c>
      <c r="V20" s="36" t="b">
        <v>1</v>
      </c>
      <c r="W20" s="33" t="s">
        <v>954</v>
      </c>
      <c r="X20" s="37"/>
      <c r="Y20" s="43">
        <v>1.48</v>
      </c>
      <c r="Z20" s="37"/>
      <c r="AA20" s="37"/>
      <c r="AB20" s="37"/>
      <c r="AC20" s="37"/>
      <c r="AD20" s="37"/>
      <c r="AE20" s="37"/>
      <c r="AF20" s="37"/>
      <c r="AG20" s="37"/>
      <c r="AH20" s="32"/>
    </row>
    <row r="21" spans="2:34" hidden="1" x14ac:dyDescent="0.25">
      <c r="B21" s="30" t="s">
        <v>999</v>
      </c>
      <c r="C21" s="31" t="s">
        <v>894</v>
      </c>
      <c r="D21" s="32" t="s">
        <v>1087</v>
      </c>
      <c r="E21" s="30">
        <v>240</v>
      </c>
      <c r="F21" s="30" t="s">
        <v>22</v>
      </c>
      <c r="G21" s="32" t="s">
        <v>903</v>
      </c>
      <c r="H21" s="32" t="s">
        <v>10</v>
      </c>
      <c r="I21" s="32" t="s">
        <v>41</v>
      </c>
      <c r="J21" s="30" t="s">
        <v>25</v>
      </c>
      <c r="K21" s="33">
        <f>IFERROR(AVERAGEIFS('[1]Controle de Produção'!$E:$E,'[1]Controle de Produção'!$N:$N,E21,'[1]Controle de Produção'!$S:$S,J21,'[1]Controle de Produção'!$R:$R,I21),0)</f>
        <v>639.01476243840705</v>
      </c>
      <c r="L21" s="33">
        <f>IFERROR(AVERAGEIFS('[1]Controle de Produção'!$E:$E,'[1]Controle de Produção'!$S:$S,J21,'[1]Controle de Produção'!$R:$R,I21),0)</f>
        <v>613.39886035164977</v>
      </c>
      <c r="M21" s="34">
        <v>24</v>
      </c>
      <c r="N21" s="35"/>
      <c r="O21" s="30"/>
      <c r="P21" s="33"/>
      <c r="Q21" s="33"/>
      <c r="R21" s="36" t="b">
        <v>1</v>
      </c>
      <c r="S21" s="36" t="b">
        <v>1</v>
      </c>
      <c r="T21" s="36" t="b">
        <v>1</v>
      </c>
      <c r="U21" s="36" t="b">
        <v>1</v>
      </c>
      <c r="V21" s="36" t="b">
        <v>1</v>
      </c>
      <c r="W21" s="33" t="s">
        <v>954</v>
      </c>
      <c r="X21" s="37"/>
      <c r="Y21" s="43">
        <v>1.48</v>
      </c>
      <c r="Z21" s="37"/>
      <c r="AA21" s="37"/>
      <c r="AB21" s="37"/>
      <c r="AC21" s="37"/>
      <c r="AD21" s="37"/>
      <c r="AE21" s="37"/>
      <c r="AF21" s="37"/>
      <c r="AG21" s="37"/>
      <c r="AH21" s="32"/>
    </row>
    <row r="22" spans="2:34" hidden="1" x14ac:dyDescent="0.25">
      <c r="B22" s="30" t="s">
        <v>1002</v>
      </c>
      <c r="C22" s="31" t="s">
        <v>897</v>
      </c>
      <c r="D22" s="32" t="s">
        <v>1087</v>
      </c>
      <c r="E22" s="30">
        <v>240</v>
      </c>
      <c r="F22" s="30" t="s">
        <v>22</v>
      </c>
      <c r="G22" s="32" t="s">
        <v>903</v>
      </c>
      <c r="H22" s="32" t="s">
        <v>10</v>
      </c>
      <c r="I22" s="32" t="s">
        <v>41</v>
      </c>
      <c r="J22" s="30" t="s">
        <v>25</v>
      </c>
      <c r="K22" s="33">
        <f>IFERROR(AVERAGEIFS('[1]Controle de Produção'!$E:$E,'[1]Controle de Produção'!$N:$N,E22,'[1]Controle de Produção'!$S:$S,J22,'[1]Controle de Produção'!$R:$R,I22),0)</f>
        <v>639.01476243840705</v>
      </c>
      <c r="L22" s="33">
        <f>IFERROR(AVERAGEIFS('[1]Controle de Produção'!$E:$E,'[1]Controle de Produção'!$S:$S,J22,'[1]Controle de Produção'!$R:$R,I22),0)</f>
        <v>613.39886035164977</v>
      </c>
      <c r="M22" s="34">
        <v>24</v>
      </c>
      <c r="N22" s="35"/>
      <c r="O22" s="30"/>
      <c r="P22" s="33"/>
      <c r="Q22" s="33"/>
      <c r="R22" s="36" t="b">
        <v>1</v>
      </c>
      <c r="S22" s="36" t="b">
        <v>1</v>
      </c>
      <c r="T22" s="36" t="b">
        <v>1</v>
      </c>
      <c r="U22" s="36" t="b">
        <v>1</v>
      </c>
      <c r="V22" s="36" t="b">
        <v>1</v>
      </c>
      <c r="W22" s="33" t="s">
        <v>954</v>
      </c>
      <c r="X22" s="37"/>
      <c r="Y22" s="43">
        <v>1.48</v>
      </c>
      <c r="Z22" s="37"/>
      <c r="AA22" s="37"/>
      <c r="AB22" s="37"/>
      <c r="AC22" s="37"/>
      <c r="AD22" s="37"/>
      <c r="AE22" s="37"/>
      <c r="AF22" s="37"/>
      <c r="AG22" s="37"/>
      <c r="AH22" s="32"/>
    </row>
    <row r="23" spans="2:34" hidden="1" x14ac:dyDescent="0.25">
      <c r="B23" s="30" t="s">
        <v>1003</v>
      </c>
      <c r="C23" s="31" t="s">
        <v>898</v>
      </c>
      <c r="D23" s="32" t="s">
        <v>1087</v>
      </c>
      <c r="E23" s="30">
        <v>240</v>
      </c>
      <c r="F23" s="30" t="s">
        <v>22</v>
      </c>
      <c r="G23" s="32" t="s">
        <v>903</v>
      </c>
      <c r="H23" s="32" t="s">
        <v>10</v>
      </c>
      <c r="I23" s="32" t="s">
        <v>41</v>
      </c>
      <c r="J23" s="30" t="s">
        <v>25</v>
      </c>
      <c r="K23" s="33">
        <f>IFERROR(AVERAGEIFS('[1]Controle de Produção'!$E:$E,'[1]Controle de Produção'!$N:$N,E23,'[1]Controle de Produção'!$S:$S,J23,'[1]Controle de Produção'!$R:$R,I23),0)</f>
        <v>639.01476243840705</v>
      </c>
      <c r="L23" s="33">
        <f>IFERROR(AVERAGEIFS('[1]Controle de Produção'!$E:$E,'[1]Controle de Produção'!$S:$S,J23,'[1]Controle de Produção'!$R:$R,I23),0)</f>
        <v>613.39886035164977</v>
      </c>
      <c r="M23" s="34">
        <v>24</v>
      </c>
      <c r="N23" s="35"/>
      <c r="O23" s="30"/>
      <c r="P23" s="33"/>
      <c r="Q23" s="33"/>
      <c r="R23" s="36" t="b">
        <v>1</v>
      </c>
      <c r="S23" s="36" t="b">
        <v>1</v>
      </c>
      <c r="T23" s="36" t="b">
        <v>1</v>
      </c>
      <c r="U23" s="36" t="b">
        <v>1</v>
      </c>
      <c r="V23" s="36" t="b">
        <v>1</v>
      </c>
      <c r="W23" s="33" t="s">
        <v>954</v>
      </c>
      <c r="X23" s="37"/>
      <c r="Y23" s="43">
        <v>1.48</v>
      </c>
      <c r="Z23" s="37"/>
      <c r="AA23" s="37"/>
      <c r="AB23" s="37"/>
      <c r="AC23" s="37"/>
      <c r="AD23" s="37"/>
      <c r="AE23" s="37"/>
      <c r="AF23" s="37"/>
      <c r="AG23" s="37"/>
      <c r="AH23" s="32"/>
    </row>
    <row r="24" spans="2:34" hidden="1" x14ac:dyDescent="0.25">
      <c r="B24" s="30" t="s">
        <v>1005</v>
      </c>
      <c r="C24" s="31" t="s">
        <v>899</v>
      </c>
      <c r="D24" s="32" t="s">
        <v>1087</v>
      </c>
      <c r="E24" s="30">
        <v>240</v>
      </c>
      <c r="F24" s="30" t="s">
        <v>22</v>
      </c>
      <c r="G24" s="32" t="s">
        <v>903</v>
      </c>
      <c r="H24" s="32" t="s">
        <v>10</v>
      </c>
      <c r="I24" s="32" t="s">
        <v>41</v>
      </c>
      <c r="J24" s="30" t="s">
        <v>25</v>
      </c>
      <c r="K24" s="33">
        <f>IFERROR(AVERAGEIFS('[1]Controle de Produção'!$E:$E,'[1]Controle de Produção'!$N:$N,E24,'[1]Controle de Produção'!$S:$S,J24,'[1]Controle de Produção'!$R:$R,I24),0)</f>
        <v>639.01476243840705</v>
      </c>
      <c r="L24" s="33">
        <f>IFERROR(AVERAGEIFS('[1]Controle de Produção'!$E:$E,'[1]Controle de Produção'!$S:$S,J24,'[1]Controle de Produção'!$R:$R,I24),0)</f>
        <v>613.39886035164977</v>
      </c>
      <c r="M24" s="34">
        <v>24</v>
      </c>
      <c r="N24" s="35"/>
      <c r="O24" s="30"/>
      <c r="P24" s="33"/>
      <c r="Q24" s="33"/>
      <c r="R24" s="36" t="b">
        <v>1</v>
      </c>
      <c r="S24" s="36" t="b">
        <v>1</v>
      </c>
      <c r="T24" s="36" t="b">
        <v>1</v>
      </c>
      <c r="U24" s="36" t="b">
        <v>1</v>
      </c>
      <c r="V24" s="36" t="b">
        <v>1</v>
      </c>
      <c r="W24" s="33" t="s">
        <v>954</v>
      </c>
      <c r="X24" s="37"/>
      <c r="Y24" s="43">
        <v>1.48</v>
      </c>
      <c r="Z24" s="37"/>
      <c r="AA24" s="37"/>
      <c r="AB24" s="37"/>
      <c r="AC24" s="37"/>
      <c r="AD24" s="37"/>
      <c r="AE24" s="37"/>
      <c r="AF24" s="37"/>
      <c r="AG24" s="37"/>
      <c r="AH24" s="32"/>
    </row>
    <row r="25" spans="2:34" hidden="1" x14ac:dyDescent="0.25">
      <c r="B25" s="30" t="s">
        <v>1004</v>
      </c>
      <c r="C25" s="31" t="s">
        <v>900</v>
      </c>
      <c r="D25" s="32" t="s">
        <v>1087</v>
      </c>
      <c r="E25" s="30">
        <v>240</v>
      </c>
      <c r="F25" s="30" t="s">
        <v>22</v>
      </c>
      <c r="G25" s="32" t="s">
        <v>903</v>
      </c>
      <c r="H25" s="32" t="s">
        <v>10</v>
      </c>
      <c r="I25" s="32" t="s">
        <v>41</v>
      </c>
      <c r="J25" s="30" t="s">
        <v>25</v>
      </c>
      <c r="K25" s="33">
        <f>IFERROR(AVERAGEIFS('[1]Controle de Produção'!$E:$E,'[1]Controle de Produção'!$N:$N,E25,'[1]Controle de Produção'!$S:$S,J25,'[1]Controle de Produção'!$R:$R,I25),0)</f>
        <v>639.01476243840705</v>
      </c>
      <c r="L25" s="33">
        <f>IFERROR(AVERAGEIFS('[1]Controle de Produção'!$E:$E,'[1]Controle de Produção'!$S:$S,J25,'[1]Controle de Produção'!$R:$R,I25),0)</f>
        <v>613.39886035164977</v>
      </c>
      <c r="M25" s="34">
        <v>24</v>
      </c>
      <c r="N25" s="35"/>
      <c r="O25" s="30"/>
      <c r="P25" s="33"/>
      <c r="Q25" s="33"/>
      <c r="R25" s="36" t="b">
        <v>1</v>
      </c>
      <c r="S25" s="36" t="b">
        <v>1</v>
      </c>
      <c r="T25" s="36" t="b">
        <v>1</v>
      </c>
      <c r="U25" s="36" t="b">
        <v>1</v>
      </c>
      <c r="V25" s="36" t="b">
        <v>1</v>
      </c>
      <c r="W25" s="33" t="s">
        <v>954</v>
      </c>
      <c r="X25" s="37"/>
      <c r="Y25" s="43">
        <v>1.48</v>
      </c>
      <c r="Z25" s="37"/>
      <c r="AA25" s="37"/>
      <c r="AB25" s="37"/>
      <c r="AC25" s="37"/>
      <c r="AD25" s="37"/>
      <c r="AE25" s="37"/>
      <c r="AF25" s="37"/>
      <c r="AG25" s="37"/>
      <c r="AH25" s="32"/>
    </row>
    <row r="26" spans="2:34" hidden="1" x14ac:dyDescent="0.25">
      <c r="B26" s="30" t="s">
        <v>996</v>
      </c>
      <c r="C26" s="31" t="s">
        <v>901</v>
      </c>
      <c r="D26" s="32" t="s">
        <v>1087</v>
      </c>
      <c r="E26" s="30">
        <v>240</v>
      </c>
      <c r="F26" s="30" t="s">
        <v>22</v>
      </c>
      <c r="G26" s="32" t="s">
        <v>903</v>
      </c>
      <c r="H26" s="32" t="s">
        <v>10</v>
      </c>
      <c r="I26" s="32" t="s">
        <v>41</v>
      </c>
      <c r="J26" s="30" t="s">
        <v>25</v>
      </c>
      <c r="K26" s="33">
        <f>IFERROR(AVERAGEIFS('[1]Controle de Produção'!$E:$E,'[1]Controle de Produção'!$N:$N,E26,'[1]Controle de Produção'!$S:$S,J26,'[1]Controle de Produção'!$R:$R,I26),0)</f>
        <v>639.01476243840705</v>
      </c>
      <c r="L26" s="33">
        <f>IFERROR(AVERAGEIFS('[1]Controle de Produção'!$E:$E,'[1]Controle de Produção'!$S:$S,J26,'[1]Controle de Produção'!$R:$R,I26),0)</f>
        <v>613.39886035164977</v>
      </c>
      <c r="M26" s="34">
        <v>24</v>
      </c>
      <c r="N26" s="35"/>
      <c r="O26" s="30"/>
      <c r="P26" s="33"/>
      <c r="Q26" s="33"/>
      <c r="R26" s="36" t="b">
        <v>1</v>
      </c>
      <c r="S26" s="36" t="b">
        <v>1</v>
      </c>
      <c r="T26" s="36" t="b">
        <v>1</v>
      </c>
      <c r="U26" s="36" t="b">
        <v>1</v>
      </c>
      <c r="V26" s="36" t="b">
        <v>1</v>
      </c>
      <c r="W26" s="33" t="s">
        <v>954</v>
      </c>
      <c r="X26" s="37"/>
      <c r="Y26" s="43">
        <v>1.48</v>
      </c>
      <c r="Z26" s="37"/>
      <c r="AA26" s="37"/>
      <c r="AB26" s="37"/>
      <c r="AC26" s="37"/>
      <c r="AD26" s="37"/>
      <c r="AE26" s="37"/>
      <c r="AF26" s="37"/>
      <c r="AG26" s="37"/>
      <c r="AH26" s="32"/>
    </row>
    <row r="27" spans="2:34" hidden="1" x14ac:dyDescent="0.25">
      <c r="B27" s="30" t="s">
        <v>974</v>
      </c>
      <c r="C27" s="31" t="s">
        <v>982</v>
      </c>
      <c r="D27" s="32" t="s">
        <v>960</v>
      </c>
      <c r="E27" s="30">
        <v>250</v>
      </c>
      <c r="F27" s="30" t="s">
        <v>22</v>
      </c>
      <c r="G27" s="32" t="s">
        <v>903</v>
      </c>
      <c r="H27" s="32" t="s">
        <v>50</v>
      </c>
      <c r="I27" s="32" t="s">
        <v>62</v>
      </c>
      <c r="J27" s="30" t="s">
        <v>18</v>
      </c>
      <c r="K27" s="33">
        <f>IFERROR(AVERAGEIFS('[1]Controle de Produção'!$E:$E,'[1]Controle de Produção'!$N:$N,E27,'[1]Controle de Produção'!$S:$S,J27,'[1]Controle de Produção'!$R:$R,I27),0)</f>
        <v>616.88899012259446</v>
      </c>
      <c r="L27" s="33">
        <f>IFERROR(AVERAGEIFS('[1]Controle de Produção'!$E:$E,'[1]Controle de Produção'!$S:$S,J27,'[1]Controle de Produção'!$R:$R,I27),0)</f>
        <v>843.58780095852239</v>
      </c>
      <c r="M27" s="34">
        <v>24</v>
      </c>
      <c r="N27" s="35"/>
      <c r="O27" s="30"/>
      <c r="P27" s="33"/>
      <c r="Q27" s="33"/>
      <c r="R27" s="36" t="b">
        <v>1</v>
      </c>
      <c r="S27" s="36" t="b">
        <v>1</v>
      </c>
      <c r="T27" s="36" t="b">
        <v>1</v>
      </c>
      <c r="U27" s="36" t="b">
        <v>1</v>
      </c>
      <c r="V27" s="36" t="b">
        <v>1</v>
      </c>
      <c r="W27" s="33" t="s">
        <v>954</v>
      </c>
      <c r="X27" s="37"/>
      <c r="Y27" s="43">
        <v>1.35</v>
      </c>
      <c r="Z27" s="37"/>
      <c r="AA27" s="37"/>
      <c r="AB27" s="37"/>
      <c r="AC27" s="37"/>
      <c r="AD27" s="37"/>
      <c r="AE27" s="37"/>
      <c r="AF27" s="37"/>
      <c r="AG27" s="37"/>
      <c r="AH27" s="32"/>
    </row>
    <row r="28" spans="2:34" hidden="1" x14ac:dyDescent="0.25">
      <c r="B28" s="30" t="s">
        <v>975</v>
      </c>
      <c r="C28" s="31" t="s">
        <v>983</v>
      </c>
      <c r="D28" s="32" t="s">
        <v>960</v>
      </c>
      <c r="E28" s="30">
        <v>250</v>
      </c>
      <c r="F28" s="30" t="s">
        <v>22</v>
      </c>
      <c r="G28" s="32" t="s">
        <v>903</v>
      </c>
      <c r="H28" s="32" t="s">
        <v>50</v>
      </c>
      <c r="I28" s="32" t="s">
        <v>62</v>
      </c>
      <c r="J28" s="30" t="s">
        <v>18</v>
      </c>
      <c r="K28" s="33">
        <f>IFERROR(AVERAGEIFS('[1]Controle de Produção'!$E:$E,'[1]Controle de Produção'!$N:$N,E28,'[1]Controle de Produção'!$S:$S,J28,'[1]Controle de Produção'!$R:$R,I28),0)</f>
        <v>616.88899012259446</v>
      </c>
      <c r="L28" s="33">
        <f>IFERROR(AVERAGEIFS('[1]Controle de Produção'!$E:$E,'[1]Controle de Produção'!$S:$S,J28,'[1]Controle de Produção'!$R:$R,I28),0)</f>
        <v>843.58780095852239</v>
      </c>
      <c r="M28" s="34">
        <v>24</v>
      </c>
      <c r="N28" s="35"/>
      <c r="O28" s="30"/>
      <c r="P28" s="33"/>
      <c r="Q28" s="33"/>
      <c r="R28" s="36" t="b">
        <v>1</v>
      </c>
      <c r="S28" s="36" t="b">
        <v>1</v>
      </c>
      <c r="T28" s="36" t="b">
        <v>1</v>
      </c>
      <c r="U28" s="36" t="b">
        <v>1</v>
      </c>
      <c r="V28" s="36" t="b">
        <v>1</v>
      </c>
      <c r="W28" s="33" t="s">
        <v>954</v>
      </c>
      <c r="X28" s="37"/>
      <c r="Y28" s="43">
        <v>1.35</v>
      </c>
      <c r="Z28" s="37"/>
      <c r="AA28" s="37"/>
      <c r="AB28" s="37"/>
      <c r="AC28" s="37"/>
      <c r="AD28" s="37"/>
      <c r="AE28" s="37"/>
      <c r="AF28" s="37"/>
      <c r="AG28" s="37"/>
      <c r="AH28" s="32"/>
    </row>
    <row r="29" spans="2:34" hidden="1" x14ac:dyDescent="0.25">
      <c r="B29" s="30" t="s">
        <v>976</v>
      </c>
      <c r="C29" s="31" t="s">
        <v>984</v>
      </c>
      <c r="D29" s="32" t="s">
        <v>960</v>
      </c>
      <c r="E29" s="30">
        <v>250</v>
      </c>
      <c r="F29" s="30" t="s">
        <v>22</v>
      </c>
      <c r="G29" s="32" t="s">
        <v>903</v>
      </c>
      <c r="H29" s="32" t="s">
        <v>50</v>
      </c>
      <c r="I29" s="32" t="s">
        <v>62</v>
      </c>
      <c r="J29" s="30" t="s">
        <v>18</v>
      </c>
      <c r="K29" s="33">
        <f>IFERROR(AVERAGEIFS('[1]Controle de Produção'!$E:$E,'[1]Controle de Produção'!$N:$N,E29,'[1]Controle de Produção'!$S:$S,J29,'[1]Controle de Produção'!$R:$R,I29),0)</f>
        <v>616.88899012259446</v>
      </c>
      <c r="L29" s="33">
        <f>IFERROR(AVERAGEIFS('[1]Controle de Produção'!$E:$E,'[1]Controle de Produção'!$S:$S,J29,'[1]Controle de Produção'!$R:$R,I29),0)</f>
        <v>843.58780095852239</v>
      </c>
      <c r="M29" s="34">
        <v>24</v>
      </c>
      <c r="N29" s="35"/>
      <c r="O29" s="30"/>
      <c r="P29" s="33"/>
      <c r="Q29" s="33"/>
      <c r="R29" s="36" t="b">
        <v>1</v>
      </c>
      <c r="S29" s="36" t="b">
        <v>1</v>
      </c>
      <c r="T29" s="36" t="b">
        <v>1</v>
      </c>
      <c r="U29" s="36" t="b">
        <v>1</v>
      </c>
      <c r="V29" s="36" t="b">
        <v>1</v>
      </c>
      <c r="W29" s="33" t="s">
        <v>954</v>
      </c>
      <c r="X29" s="37"/>
      <c r="Y29" s="43">
        <v>1.35</v>
      </c>
      <c r="Z29" s="37"/>
      <c r="AA29" s="37"/>
      <c r="AB29" s="37"/>
      <c r="AC29" s="37"/>
      <c r="AD29" s="37"/>
      <c r="AE29" s="37"/>
      <c r="AF29" s="37"/>
      <c r="AG29" s="37"/>
      <c r="AH29" s="32"/>
    </row>
    <row r="30" spans="2:34" hidden="1" x14ac:dyDescent="0.25">
      <c r="B30" s="30" t="s">
        <v>977</v>
      </c>
      <c r="C30" s="31" t="s">
        <v>1059</v>
      </c>
      <c r="D30" s="32" t="s">
        <v>960</v>
      </c>
      <c r="E30" s="30">
        <v>250</v>
      </c>
      <c r="F30" s="30" t="s">
        <v>22</v>
      </c>
      <c r="G30" s="32" t="s">
        <v>903</v>
      </c>
      <c r="H30" s="32" t="s">
        <v>50</v>
      </c>
      <c r="I30" s="32" t="s">
        <v>62</v>
      </c>
      <c r="J30" s="30" t="s">
        <v>18</v>
      </c>
      <c r="K30" s="33">
        <f>IFERROR(AVERAGEIFS('[1]Controle de Produção'!$E:$E,'[1]Controle de Produção'!$N:$N,E30,'[1]Controle de Produção'!$S:$S,J30,'[1]Controle de Produção'!$R:$R,I30),0)</f>
        <v>616.88899012259446</v>
      </c>
      <c r="L30" s="33">
        <f>IFERROR(AVERAGEIFS('[1]Controle de Produção'!$E:$E,'[1]Controle de Produção'!$S:$S,J30,'[1]Controle de Produção'!$R:$R,I30),0)</f>
        <v>843.58780095852239</v>
      </c>
      <c r="M30" s="34">
        <v>24</v>
      </c>
      <c r="N30" s="35"/>
      <c r="O30" s="30"/>
      <c r="P30" s="33"/>
      <c r="Q30" s="33"/>
      <c r="R30" s="36" t="b">
        <v>1</v>
      </c>
      <c r="S30" s="36" t="b">
        <v>1</v>
      </c>
      <c r="T30" s="36" t="b">
        <v>1</v>
      </c>
      <c r="U30" s="36" t="b">
        <v>1</v>
      </c>
      <c r="V30" s="36" t="b">
        <v>1</v>
      </c>
      <c r="W30" s="33" t="s">
        <v>954</v>
      </c>
      <c r="X30" s="37"/>
      <c r="Y30" s="43">
        <v>1.35</v>
      </c>
      <c r="Z30" s="37"/>
      <c r="AA30" s="37"/>
      <c r="AB30" s="37"/>
      <c r="AC30" s="37"/>
      <c r="AD30" s="37"/>
      <c r="AE30" s="37"/>
      <c r="AF30" s="37"/>
      <c r="AG30" s="37"/>
      <c r="AH30" s="32"/>
    </row>
    <row r="31" spans="2:34" hidden="1" x14ac:dyDescent="0.25">
      <c r="B31" s="30" t="s">
        <v>978</v>
      </c>
      <c r="C31" s="31" t="s">
        <v>1060</v>
      </c>
      <c r="D31" s="32" t="s">
        <v>960</v>
      </c>
      <c r="E31" s="30">
        <v>250</v>
      </c>
      <c r="F31" s="30" t="s">
        <v>22</v>
      </c>
      <c r="G31" s="32" t="s">
        <v>903</v>
      </c>
      <c r="H31" s="32" t="s">
        <v>50</v>
      </c>
      <c r="I31" s="32" t="s">
        <v>62</v>
      </c>
      <c r="J31" s="30" t="s">
        <v>18</v>
      </c>
      <c r="K31" s="33">
        <f>IFERROR(AVERAGEIFS('[1]Controle de Produção'!$E:$E,'[1]Controle de Produção'!$N:$N,E31,'[1]Controle de Produção'!$S:$S,J31,'[1]Controle de Produção'!$R:$R,I31),0)</f>
        <v>616.88899012259446</v>
      </c>
      <c r="L31" s="33">
        <f>IFERROR(AVERAGEIFS('[1]Controle de Produção'!$E:$E,'[1]Controle de Produção'!$S:$S,J31,'[1]Controle de Produção'!$R:$R,I31),0)</f>
        <v>843.58780095852239</v>
      </c>
      <c r="M31" s="34">
        <v>24</v>
      </c>
      <c r="N31" s="35"/>
      <c r="O31" s="30"/>
      <c r="P31" s="33"/>
      <c r="Q31" s="33"/>
      <c r="R31" s="36" t="b">
        <v>1</v>
      </c>
      <c r="S31" s="36" t="b">
        <v>1</v>
      </c>
      <c r="T31" s="36" t="b">
        <v>1</v>
      </c>
      <c r="U31" s="36" t="b">
        <v>1</v>
      </c>
      <c r="V31" s="36" t="b">
        <v>1</v>
      </c>
      <c r="W31" s="33" t="s">
        <v>954</v>
      </c>
      <c r="X31" s="37"/>
      <c r="Y31" s="43">
        <v>1.35</v>
      </c>
      <c r="Z31" s="37"/>
      <c r="AA31" s="37"/>
      <c r="AB31" s="37"/>
      <c r="AC31" s="37"/>
      <c r="AD31" s="37"/>
      <c r="AE31" s="37"/>
      <c r="AF31" s="37"/>
      <c r="AG31" s="37"/>
      <c r="AH31" s="32"/>
    </row>
    <row r="32" spans="2:34" hidden="1" x14ac:dyDescent="0.25">
      <c r="B32" s="30" t="s">
        <v>979</v>
      </c>
      <c r="C32" s="31" t="s">
        <v>1065</v>
      </c>
      <c r="D32" s="32" t="s">
        <v>960</v>
      </c>
      <c r="E32" s="30">
        <v>250</v>
      </c>
      <c r="F32" s="30" t="s">
        <v>22</v>
      </c>
      <c r="G32" s="32" t="s">
        <v>903</v>
      </c>
      <c r="H32" s="32" t="s">
        <v>50</v>
      </c>
      <c r="I32" s="32" t="s">
        <v>62</v>
      </c>
      <c r="J32" s="30" t="s">
        <v>18</v>
      </c>
      <c r="K32" s="33">
        <f>IFERROR(AVERAGEIFS('[1]Controle de Produção'!$E:$E,'[1]Controle de Produção'!$N:$N,E32,'[1]Controle de Produção'!$S:$S,J32,'[1]Controle de Produção'!$R:$R,I32),0)</f>
        <v>616.88899012259446</v>
      </c>
      <c r="L32" s="33">
        <f>IFERROR(AVERAGEIFS('[1]Controle de Produção'!$E:$E,'[1]Controle de Produção'!$S:$S,J32,'[1]Controle de Produção'!$R:$R,I32),0)</f>
        <v>843.58780095852239</v>
      </c>
      <c r="M32" s="34">
        <v>24</v>
      </c>
      <c r="N32" s="35"/>
      <c r="O32" s="30"/>
      <c r="P32" s="33"/>
      <c r="Q32" s="33"/>
      <c r="R32" s="36" t="b">
        <v>1</v>
      </c>
      <c r="S32" s="36" t="b">
        <v>1</v>
      </c>
      <c r="T32" s="36" t="b">
        <v>1</v>
      </c>
      <c r="U32" s="36" t="b">
        <v>1</v>
      </c>
      <c r="V32" s="36" t="b">
        <v>1</v>
      </c>
      <c r="W32" s="33" t="s">
        <v>954</v>
      </c>
      <c r="X32" s="37"/>
      <c r="Y32" s="43">
        <v>1.35</v>
      </c>
      <c r="Z32" s="37"/>
      <c r="AA32" s="37"/>
      <c r="AB32" s="37"/>
      <c r="AC32" s="37"/>
      <c r="AD32" s="37"/>
      <c r="AE32" s="37"/>
      <c r="AF32" s="37"/>
      <c r="AG32" s="37"/>
      <c r="AH32" s="32"/>
    </row>
    <row r="33" spans="1:34" hidden="1" x14ac:dyDescent="0.25">
      <c r="B33" s="30" t="s">
        <v>980</v>
      </c>
      <c r="C33" s="31" t="s">
        <v>985</v>
      </c>
      <c r="D33" s="32" t="s">
        <v>960</v>
      </c>
      <c r="E33" s="30">
        <v>250</v>
      </c>
      <c r="F33" s="30" t="s">
        <v>22</v>
      </c>
      <c r="G33" s="32" t="s">
        <v>903</v>
      </c>
      <c r="H33" s="32" t="s">
        <v>50</v>
      </c>
      <c r="I33" s="32" t="s">
        <v>62</v>
      </c>
      <c r="J33" s="30" t="s">
        <v>18</v>
      </c>
      <c r="K33" s="33">
        <f>IFERROR(AVERAGEIFS('[1]Controle de Produção'!$E:$E,'[1]Controle de Produção'!$N:$N,E33,'[1]Controle de Produção'!$S:$S,J33,'[1]Controle de Produção'!$R:$R,I33),0)</f>
        <v>616.88899012259446</v>
      </c>
      <c r="L33" s="33">
        <f>IFERROR(AVERAGEIFS('[1]Controle de Produção'!$E:$E,'[1]Controle de Produção'!$S:$S,J33,'[1]Controle de Produção'!$R:$R,I33),0)</f>
        <v>843.58780095852239</v>
      </c>
      <c r="M33" s="34">
        <v>24</v>
      </c>
      <c r="N33" s="35"/>
      <c r="O33" s="30"/>
      <c r="P33" s="33"/>
      <c r="Q33" s="33"/>
      <c r="R33" s="36" t="b">
        <v>1</v>
      </c>
      <c r="S33" s="36" t="b">
        <v>1</v>
      </c>
      <c r="T33" s="36" t="b">
        <v>1</v>
      </c>
      <c r="U33" s="36" t="b">
        <v>1</v>
      </c>
      <c r="V33" s="36" t="b">
        <v>1</v>
      </c>
      <c r="W33" s="33" t="s">
        <v>954</v>
      </c>
      <c r="X33" s="37"/>
      <c r="Y33" s="43">
        <v>1.35</v>
      </c>
      <c r="Z33" s="37"/>
      <c r="AA33" s="37"/>
      <c r="AB33" s="37"/>
      <c r="AC33" s="37"/>
      <c r="AD33" s="37"/>
      <c r="AE33" s="37"/>
      <c r="AF33" s="37"/>
      <c r="AG33" s="37"/>
      <c r="AH33" s="32"/>
    </row>
    <row r="34" spans="1:34" hidden="1" x14ac:dyDescent="0.25">
      <c r="B34" s="30" t="s">
        <v>1027</v>
      </c>
      <c r="C34" s="31" t="s">
        <v>986</v>
      </c>
      <c r="D34" s="32" t="s">
        <v>960</v>
      </c>
      <c r="E34" s="30">
        <v>250</v>
      </c>
      <c r="F34" s="30" t="s">
        <v>22</v>
      </c>
      <c r="G34" s="32" t="s">
        <v>903</v>
      </c>
      <c r="H34" s="32" t="s">
        <v>50</v>
      </c>
      <c r="I34" s="32" t="s">
        <v>62</v>
      </c>
      <c r="J34" s="30" t="s">
        <v>18</v>
      </c>
      <c r="K34" s="33">
        <f>IFERROR(AVERAGEIFS('[1]Controle de Produção'!$E:$E,'[1]Controle de Produção'!$N:$N,E34,'[1]Controle de Produção'!$S:$S,J34,'[1]Controle de Produção'!$R:$R,I34),0)</f>
        <v>616.88899012259446</v>
      </c>
      <c r="L34" s="33">
        <f>IFERROR(AVERAGEIFS('[1]Controle de Produção'!$E:$E,'[1]Controle de Produção'!$S:$S,J34,'[1]Controle de Produção'!$R:$R,I34),0)</f>
        <v>843.58780095852239</v>
      </c>
      <c r="M34" s="34">
        <v>24</v>
      </c>
      <c r="N34" s="35"/>
      <c r="O34" s="30"/>
      <c r="P34" s="33"/>
      <c r="Q34" s="33"/>
      <c r="R34" s="36" t="b">
        <v>1</v>
      </c>
      <c r="S34" s="36" t="b">
        <v>1</v>
      </c>
      <c r="T34" s="36" t="b">
        <v>1</v>
      </c>
      <c r="U34" s="36" t="b">
        <v>1</v>
      </c>
      <c r="V34" s="36" t="b">
        <v>1</v>
      </c>
      <c r="W34" s="33" t="s">
        <v>954</v>
      </c>
      <c r="X34" s="37"/>
      <c r="Y34" s="43">
        <v>1.35</v>
      </c>
      <c r="Z34" s="37"/>
      <c r="AA34" s="37"/>
      <c r="AB34" s="37"/>
      <c r="AC34" s="37"/>
      <c r="AD34" s="37"/>
      <c r="AE34" s="37"/>
      <c r="AF34" s="37"/>
      <c r="AG34" s="37"/>
      <c r="AH34" s="32"/>
    </row>
    <row r="35" spans="1:34" hidden="1" x14ac:dyDescent="0.25">
      <c r="B35" s="30" t="s">
        <v>994</v>
      </c>
      <c r="C35" s="31" t="s">
        <v>1062</v>
      </c>
      <c r="D35" s="32" t="s">
        <v>960</v>
      </c>
      <c r="E35" s="30">
        <v>240</v>
      </c>
      <c r="F35" s="30" t="s">
        <v>22</v>
      </c>
      <c r="G35" s="32" t="s">
        <v>903</v>
      </c>
      <c r="H35" s="32" t="s">
        <v>10</v>
      </c>
      <c r="I35" s="32" t="s">
        <v>41</v>
      </c>
      <c r="J35" s="30" t="s">
        <v>25</v>
      </c>
      <c r="K35" s="33">
        <f>IFERROR(AVERAGEIFS('[1]Controle de Produção'!$E:$E,'[1]Controle de Produção'!$N:$N,E35,'[1]Controle de Produção'!$S:$S,J35,'[1]Controle de Produção'!$R:$R,I35),0)</f>
        <v>639.01476243840705</v>
      </c>
      <c r="L35" s="33">
        <f>IFERROR(AVERAGEIFS('[1]Controle de Produção'!$E:$E,'[1]Controle de Produção'!$S:$S,J35,'[1]Controle de Produção'!$R:$R,I35),0)</f>
        <v>613.39886035164977</v>
      </c>
      <c r="M35" s="34">
        <v>24</v>
      </c>
      <c r="N35" s="35"/>
      <c r="O35" s="30"/>
      <c r="P35" s="33"/>
      <c r="Q35" s="33"/>
      <c r="R35" s="36" t="b">
        <v>1</v>
      </c>
      <c r="S35" s="36" t="b">
        <v>1</v>
      </c>
      <c r="T35" s="36" t="b">
        <v>1</v>
      </c>
      <c r="U35" s="36" t="b">
        <v>1</v>
      </c>
      <c r="V35" s="36" t="b">
        <v>1</v>
      </c>
      <c r="W35" s="33" t="s">
        <v>954</v>
      </c>
      <c r="X35" s="37"/>
      <c r="Y35" s="43">
        <v>1.48</v>
      </c>
      <c r="Z35" s="37"/>
      <c r="AA35" s="37"/>
      <c r="AB35" s="37"/>
      <c r="AC35" s="37"/>
      <c r="AD35" s="37"/>
      <c r="AE35" s="37"/>
      <c r="AF35" s="37"/>
      <c r="AG35" s="37"/>
      <c r="AH35" s="32"/>
    </row>
    <row r="36" spans="1:34" hidden="1" x14ac:dyDescent="0.25">
      <c r="B36" s="30" t="s">
        <v>993</v>
      </c>
      <c r="C36" s="31" t="s">
        <v>961</v>
      </c>
      <c r="D36" s="32" t="s">
        <v>960</v>
      </c>
      <c r="E36" s="30">
        <v>240</v>
      </c>
      <c r="F36" s="30" t="s">
        <v>22</v>
      </c>
      <c r="G36" s="32" t="s">
        <v>903</v>
      </c>
      <c r="H36" s="32" t="s">
        <v>10</v>
      </c>
      <c r="I36" s="32" t="s">
        <v>41</v>
      </c>
      <c r="J36" s="30" t="s">
        <v>25</v>
      </c>
      <c r="K36" s="33">
        <f>IFERROR(AVERAGEIFS('[1]Controle de Produção'!$E:$E,'[1]Controle de Produção'!$N:$N,E36,'[1]Controle de Produção'!$S:$S,J36,'[1]Controle de Produção'!$R:$R,I36),0)</f>
        <v>639.01476243840705</v>
      </c>
      <c r="L36" s="33">
        <f>IFERROR(AVERAGEIFS('[1]Controle de Produção'!$E:$E,'[1]Controle de Produção'!$S:$S,J36,'[1]Controle de Produção'!$R:$R,I36),0)</f>
        <v>613.39886035164977</v>
      </c>
      <c r="M36" s="34">
        <v>24</v>
      </c>
      <c r="N36" s="35"/>
      <c r="O36" s="30"/>
      <c r="P36" s="33"/>
      <c r="Q36" s="33"/>
      <c r="R36" s="36" t="b">
        <v>1</v>
      </c>
      <c r="S36" s="36" t="b">
        <v>1</v>
      </c>
      <c r="T36" s="36" t="b">
        <v>1</v>
      </c>
      <c r="U36" s="36" t="b">
        <v>1</v>
      </c>
      <c r="V36" s="36" t="b">
        <v>1</v>
      </c>
      <c r="W36" s="33" t="s">
        <v>954</v>
      </c>
      <c r="X36" s="37"/>
      <c r="Y36" s="43">
        <v>1.48</v>
      </c>
      <c r="Z36" s="37"/>
      <c r="AA36" s="37"/>
      <c r="AB36" s="37"/>
      <c r="AC36" s="37"/>
      <c r="AD36" s="37"/>
      <c r="AE36" s="37"/>
      <c r="AF36" s="37"/>
      <c r="AG36" s="37"/>
      <c r="AH36" s="32"/>
    </row>
    <row r="37" spans="1:34" hidden="1" x14ac:dyDescent="0.25">
      <c r="B37" s="30" t="s">
        <v>992</v>
      </c>
      <c r="C37" s="31" t="s">
        <v>962</v>
      </c>
      <c r="D37" s="32" t="s">
        <v>960</v>
      </c>
      <c r="E37" s="30">
        <v>240</v>
      </c>
      <c r="F37" s="30" t="s">
        <v>22</v>
      </c>
      <c r="G37" s="32" t="s">
        <v>903</v>
      </c>
      <c r="H37" s="32" t="s">
        <v>10</v>
      </c>
      <c r="I37" s="32" t="s">
        <v>41</v>
      </c>
      <c r="J37" s="30" t="s">
        <v>25</v>
      </c>
      <c r="K37" s="33">
        <f>IFERROR(AVERAGEIFS('[1]Controle de Produção'!$E:$E,'[1]Controle de Produção'!$N:$N,E37,'[1]Controle de Produção'!$S:$S,J37,'[1]Controle de Produção'!$R:$R,I37),0)</f>
        <v>639.01476243840705</v>
      </c>
      <c r="L37" s="33">
        <f>IFERROR(AVERAGEIFS('[1]Controle de Produção'!$E:$E,'[1]Controle de Produção'!$S:$S,J37,'[1]Controle de Produção'!$R:$R,I37),0)</f>
        <v>613.39886035164977</v>
      </c>
      <c r="M37" s="34">
        <v>24</v>
      </c>
      <c r="N37" s="35"/>
      <c r="O37" s="30"/>
      <c r="P37" s="33"/>
      <c r="Q37" s="33"/>
      <c r="R37" s="36" t="b">
        <v>1</v>
      </c>
      <c r="S37" s="36" t="b">
        <v>1</v>
      </c>
      <c r="T37" s="36" t="b">
        <v>1</v>
      </c>
      <c r="U37" s="36" t="b">
        <v>1</v>
      </c>
      <c r="V37" s="36" t="b">
        <v>1</v>
      </c>
      <c r="W37" s="33" t="s">
        <v>954</v>
      </c>
      <c r="X37" s="37"/>
      <c r="Y37" s="43">
        <v>1.48</v>
      </c>
      <c r="Z37" s="37"/>
      <c r="AA37" s="37"/>
      <c r="AB37" s="37"/>
      <c r="AC37" s="37"/>
      <c r="AD37" s="37"/>
      <c r="AE37" s="37"/>
      <c r="AF37" s="37"/>
      <c r="AG37" s="37"/>
      <c r="AH37" s="32"/>
    </row>
    <row r="38" spans="1:34" hidden="1" x14ac:dyDescent="0.25">
      <c r="B38" s="30" t="s">
        <v>991</v>
      </c>
      <c r="C38" s="31" t="s">
        <v>1063</v>
      </c>
      <c r="D38" s="32" t="s">
        <v>960</v>
      </c>
      <c r="E38" s="30">
        <v>240</v>
      </c>
      <c r="F38" s="30" t="s">
        <v>22</v>
      </c>
      <c r="G38" s="32" t="s">
        <v>903</v>
      </c>
      <c r="H38" s="32" t="s">
        <v>10</v>
      </c>
      <c r="I38" s="32" t="s">
        <v>41</v>
      </c>
      <c r="J38" s="30" t="s">
        <v>25</v>
      </c>
      <c r="K38" s="33">
        <f>IFERROR(AVERAGEIFS('[1]Controle de Produção'!$E:$E,'[1]Controle de Produção'!$N:$N,E38,'[1]Controle de Produção'!$S:$S,J38,'[1]Controle de Produção'!$R:$R,I38),0)</f>
        <v>639.01476243840705</v>
      </c>
      <c r="L38" s="33">
        <f>IFERROR(AVERAGEIFS('[1]Controle de Produção'!$E:$E,'[1]Controle de Produção'!$S:$S,J38,'[1]Controle de Produção'!$R:$R,I38),0)</f>
        <v>613.39886035164977</v>
      </c>
      <c r="M38" s="34">
        <v>24</v>
      </c>
      <c r="N38" s="35"/>
      <c r="O38" s="30"/>
      <c r="P38" s="33"/>
      <c r="Q38" s="33"/>
      <c r="R38" s="36" t="b">
        <v>1</v>
      </c>
      <c r="S38" s="36" t="b">
        <v>1</v>
      </c>
      <c r="T38" s="36" t="b">
        <v>1</v>
      </c>
      <c r="U38" s="36" t="b">
        <v>1</v>
      </c>
      <c r="V38" s="36" t="b">
        <v>1</v>
      </c>
      <c r="W38" s="33" t="s">
        <v>954</v>
      </c>
      <c r="X38" s="37"/>
      <c r="Y38" s="43">
        <v>1.48</v>
      </c>
      <c r="Z38" s="37"/>
      <c r="AA38" s="37"/>
      <c r="AB38" s="37"/>
      <c r="AC38" s="37"/>
      <c r="AD38" s="37"/>
      <c r="AE38" s="37"/>
      <c r="AF38" s="37"/>
      <c r="AG38" s="37"/>
      <c r="AH38" s="32"/>
    </row>
    <row r="39" spans="1:34" hidden="1" x14ac:dyDescent="0.25">
      <c r="B39" s="30" t="s">
        <v>990</v>
      </c>
      <c r="C39" s="31" t="s">
        <v>1061</v>
      </c>
      <c r="D39" s="32" t="s">
        <v>960</v>
      </c>
      <c r="E39" s="30">
        <v>240</v>
      </c>
      <c r="F39" s="30" t="s">
        <v>22</v>
      </c>
      <c r="G39" s="32" t="s">
        <v>903</v>
      </c>
      <c r="H39" s="32" t="s">
        <v>10</v>
      </c>
      <c r="I39" s="32" t="s">
        <v>41</v>
      </c>
      <c r="J39" s="30" t="s">
        <v>25</v>
      </c>
      <c r="K39" s="33">
        <f>IFERROR(AVERAGEIFS('[1]Controle de Produção'!$E:$E,'[1]Controle de Produção'!$N:$N,E39,'[1]Controle de Produção'!$S:$S,J39,'[1]Controle de Produção'!$R:$R,I39),0)</f>
        <v>639.01476243840705</v>
      </c>
      <c r="L39" s="33">
        <f>IFERROR(AVERAGEIFS('[1]Controle de Produção'!$E:$E,'[1]Controle de Produção'!$S:$S,J39,'[1]Controle de Produção'!$R:$R,I39),0)</f>
        <v>613.39886035164977</v>
      </c>
      <c r="M39" s="34">
        <v>24</v>
      </c>
      <c r="N39" s="35"/>
      <c r="O39" s="30"/>
      <c r="P39" s="33"/>
      <c r="Q39" s="33"/>
      <c r="R39" s="36" t="b">
        <v>1</v>
      </c>
      <c r="S39" s="36" t="b">
        <v>1</v>
      </c>
      <c r="T39" s="36" t="b">
        <v>1</v>
      </c>
      <c r="U39" s="36" t="b">
        <v>1</v>
      </c>
      <c r="V39" s="36" t="b">
        <v>1</v>
      </c>
      <c r="W39" s="33" t="s">
        <v>954</v>
      </c>
      <c r="X39" s="37"/>
      <c r="Y39" s="43">
        <v>1.48</v>
      </c>
      <c r="Z39" s="37"/>
      <c r="AA39" s="37"/>
      <c r="AB39" s="37"/>
      <c r="AC39" s="37"/>
      <c r="AD39" s="37"/>
      <c r="AE39" s="37"/>
      <c r="AF39" s="37"/>
      <c r="AG39" s="37"/>
      <c r="AH39" s="32"/>
    </row>
    <row r="40" spans="1:34" hidden="1" x14ac:dyDescent="0.25">
      <c r="B40" s="30" t="s">
        <v>989</v>
      </c>
      <c r="C40" s="31" t="s">
        <v>1064</v>
      </c>
      <c r="D40" s="32" t="s">
        <v>960</v>
      </c>
      <c r="E40" s="30">
        <v>240</v>
      </c>
      <c r="F40" s="30" t="s">
        <v>22</v>
      </c>
      <c r="G40" s="32" t="s">
        <v>903</v>
      </c>
      <c r="H40" s="32" t="s">
        <v>10</v>
      </c>
      <c r="I40" s="32" t="s">
        <v>41</v>
      </c>
      <c r="J40" s="30" t="s">
        <v>25</v>
      </c>
      <c r="K40" s="33">
        <f>IFERROR(AVERAGEIFS('[1]Controle de Produção'!$E:$E,'[1]Controle de Produção'!$N:$N,E40,'[1]Controle de Produção'!$S:$S,J40,'[1]Controle de Produção'!$R:$R,I40),0)</f>
        <v>639.01476243840705</v>
      </c>
      <c r="L40" s="33">
        <f>IFERROR(AVERAGEIFS('[1]Controle de Produção'!$E:$E,'[1]Controle de Produção'!$S:$S,J40,'[1]Controle de Produção'!$R:$R,I40),0)</f>
        <v>613.39886035164977</v>
      </c>
      <c r="M40" s="34">
        <v>24</v>
      </c>
      <c r="N40" s="35"/>
      <c r="O40" s="30"/>
      <c r="P40" s="33"/>
      <c r="Q40" s="33"/>
      <c r="R40" s="36" t="b">
        <v>1</v>
      </c>
      <c r="S40" s="36" t="b">
        <v>1</v>
      </c>
      <c r="T40" s="36" t="b">
        <v>1</v>
      </c>
      <c r="U40" s="36" t="b">
        <v>1</v>
      </c>
      <c r="V40" s="36" t="b">
        <v>1</v>
      </c>
      <c r="W40" s="33" t="s">
        <v>954</v>
      </c>
      <c r="X40" s="37"/>
      <c r="Y40" s="43">
        <v>1.48</v>
      </c>
      <c r="Z40" s="37"/>
      <c r="AA40" s="37"/>
      <c r="AB40" s="37"/>
      <c r="AC40" s="37"/>
      <c r="AD40" s="37"/>
      <c r="AE40" s="37"/>
      <c r="AF40" s="37"/>
      <c r="AG40" s="37"/>
      <c r="AH40" s="32"/>
    </row>
    <row r="41" spans="1:34" hidden="1" x14ac:dyDescent="0.25">
      <c r="B41" s="30" t="s">
        <v>988</v>
      </c>
      <c r="C41" s="31" t="s">
        <v>963</v>
      </c>
      <c r="D41" s="32" t="s">
        <v>960</v>
      </c>
      <c r="E41" s="30">
        <v>240</v>
      </c>
      <c r="F41" s="30" t="s">
        <v>22</v>
      </c>
      <c r="G41" s="32" t="s">
        <v>903</v>
      </c>
      <c r="H41" s="32" t="s">
        <v>10</v>
      </c>
      <c r="I41" s="32" t="s">
        <v>41</v>
      </c>
      <c r="J41" s="30" t="s">
        <v>25</v>
      </c>
      <c r="K41" s="33">
        <f>IFERROR(AVERAGEIFS('[1]Controle de Produção'!$E:$E,'[1]Controle de Produção'!$N:$N,E41,'[1]Controle de Produção'!$S:$S,J41,'[1]Controle de Produção'!$R:$R,I41),0)</f>
        <v>639.01476243840705</v>
      </c>
      <c r="L41" s="33">
        <f>IFERROR(AVERAGEIFS('[1]Controle de Produção'!$E:$E,'[1]Controle de Produção'!$S:$S,J41,'[1]Controle de Produção'!$R:$R,I41),0)</f>
        <v>613.39886035164977</v>
      </c>
      <c r="M41" s="34">
        <v>24</v>
      </c>
      <c r="N41" s="35"/>
      <c r="O41" s="30"/>
      <c r="P41" s="33"/>
      <c r="Q41" s="33"/>
      <c r="R41" s="36" t="b">
        <v>1</v>
      </c>
      <c r="S41" s="36" t="b">
        <v>1</v>
      </c>
      <c r="T41" s="36" t="b">
        <v>1</v>
      </c>
      <c r="U41" s="36" t="b">
        <v>1</v>
      </c>
      <c r="V41" s="36" t="b">
        <v>1</v>
      </c>
      <c r="W41" s="33" t="s">
        <v>954</v>
      </c>
      <c r="X41" s="37"/>
      <c r="Y41" s="43">
        <v>1.48</v>
      </c>
      <c r="Z41" s="37"/>
      <c r="AA41" s="37"/>
      <c r="AB41" s="37"/>
      <c r="AC41" s="37"/>
      <c r="AD41" s="37"/>
      <c r="AE41" s="37"/>
      <c r="AF41" s="37"/>
      <c r="AG41" s="37"/>
      <c r="AH41" s="32"/>
    </row>
    <row r="42" spans="1:34" hidden="1" x14ac:dyDescent="0.25">
      <c r="B42" s="30" t="s">
        <v>987</v>
      </c>
      <c r="C42" s="31" t="s">
        <v>964</v>
      </c>
      <c r="D42" s="32" t="s">
        <v>960</v>
      </c>
      <c r="E42" s="30">
        <v>240</v>
      </c>
      <c r="F42" s="30" t="s">
        <v>22</v>
      </c>
      <c r="G42" s="32" t="s">
        <v>903</v>
      </c>
      <c r="H42" s="32" t="s">
        <v>10</v>
      </c>
      <c r="I42" s="32" t="s">
        <v>41</v>
      </c>
      <c r="J42" s="30" t="s">
        <v>25</v>
      </c>
      <c r="K42" s="33">
        <f>IFERROR(AVERAGEIFS('[1]Controle de Produção'!$E:$E,'[1]Controle de Produção'!$N:$N,E42,'[1]Controle de Produção'!$S:$S,J42,'[1]Controle de Produção'!$R:$R,I42),0)</f>
        <v>639.01476243840705</v>
      </c>
      <c r="L42" s="33">
        <f>IFERROR(AVERAGEIFS('[1]Controle de Produção'!$E:$E,'[1]Controle de Produção'!$S:$S,J42,'[1]Controle de Produção'!$R:$R,I42),0)</f>
        <v>613.39886035164977</v>
      </c>
      <c r="M42" s="34">
        <v>24</v>
      </c>
      <c r="N42" s="35"/>
      <c r="O42" s="30"/>
      <c r="P42" s="33"/>
      <c r="Q42" s="33"/>
      <c r="R42" s="36" t="b">
        <v>1</v>
      </c>
      <c r="S42" s="36" t="b">
        <v>1</v>
      </c>
      <c r="T42" s="36" t="b">
        <v>1</v>
      </c>
      <c r="U42" s="36" t="b">
        <v>1</v>
      </c>
      <c r="V42" s="36" t="b">
        <v>1</v>
      </c>
      <c r="W42" s="33" t="s">
        <v>954</v>
      </c>
      <c r="X42" s="37"/>
      <c r="Y42" s="43">
        <v>1.48</v>
      </c>
      <c r="Z42" s="37"/>
      <c r="AA42" s="37"/>
      <c r="AB42" s="37"/>
      <c r="AC42" s="37"/>
      <c r="AD42" s="37"/>
      <c r="AE42" s="37"/>
      <c r="AF42" s="37"/>
      <c r="AG42" s="37"/>
      <c r="AH42" s="32"/>
    </row>
    <row r="43" spans="1:34" hidden="1" x14ac:dyDescent="0.25">
      <c r="B43" s="30" t="s">
        <v>959</v>
      </c>
      <c r="C43" s="31" t="s">
        <v>871</v>
      </c>
      <c r="D43" s="32" t="s">
        <v>958</v>
      </c>
      <c r="E43" s="30">
        <v>250</v>
      </c>
      <c r="F43" s="30" t="s">
        <v>22</v>
      </c>
      <c r="G43" s="32" t="s">
        <v>903</v>
      </c>
      <c r="H43" s="32" t="s">
        <v>50</v>
      </c>
      <c r="I43" s="32" t="s">
        <v>62</v>
      </c>
      <c r="J43" s="30" t="s">
        <v>18</v>
      </c>
      <c r="K43" s="33">
        <f>IFERROR(AVERAGEIFS('[1]Controle de Produção'!$E:$E,'[1]Controle de Produção'!$N:$N,E43,'[1]Controle de Produção'!$S:$S,J43,'[1]Controle de Produção'!$R:$R,I43),0)</f>
        <v>616.88899012259446</v>
      </c>
      <c r="L43" s="33">
        <f>IFERROR(AVERAGEIFS('[1]Controle de Produção'!$E:$E,'[1]Controle de Produção'!$S:$S,J43,'[1]Controle de Produção'!$R:$R,I43),0)</f>
        <v>843.58780095852239</v>
      </c>
      <c r="M43" s="34">
        <v>24</v>
      </c>
      <c r="N43" s="35"/>
      <c r="O43" s="30"/>
      <c r="P43" s="33"/>
      <c r="Q43" s="33"/>
      <c r="R43" s="36" t="b">
        <v>1</v>
      </c>
      <c r="S43" s="36" t="b">
        <v>1</v>
      </c>
      <c r="T43" s="36" t="b">
        <v>1</v>
      </c>
      <c r="U43" s="36" t="b">
        <v>1</v>
      </c>
      <c r="V43" s="36" t="b">
        <v>1</v>
      </c>
      <c r="W43" s="33" t="s">
        <v>954</v>
      </c>
      <c r="X43" s="37"/>
      <c r="Y43" s="43">
        <v>1.35</v>
      </c>
      <c r="Z43" s="37"/>
      <c r="AA43" s="37"/>
      <c r="AB43" s="37"/>
      <c r="AC43" s="37"/>
      <c r="AD43" s="37"/>
      <c r="AE43" s="37"/>
      <c r="AF43" s="37"/>
      <c r="AG43" s="37"/>
      <c r="AH43" s="32"/>
    </row>
    <row r="44" spans="1:34" hidden="1" x14ac:dyDescent="0.25">
      <c r="B44" s="30" t="s">
        <v>965</v>
      </c>
      <c r="C44" s="31" t="s">
        <v>872</v>
      </c>
      <c r="D44" s="32" t="s">
        <v>958</v>
      </c>
      <c r="E44" s="30">
        <v>250</v>
      </c>
      <c r="F44" s="30" t="s">
        <v>22</v>
      </c>
      <c r="G44" s="32" t="s">
        <v>903</v>
      </c>
      <c r="H44" s="32" t="s">
        <v>50</v>
      </c>
      <c r="I44" s="32" t="s">
        <v>62</v>
      </c>
      <c r="J44" s="30" t="s">
        <v>18</v>
      </c>
      <c r="K44" s="33">
        <f>IFERROR(AVERAGEIFS('[1]Controle de Produção'!$E:$E,'[1]Controle de Produção'!$N:$N,E44,'[1]Controle de Produção'!$S:$S,J44,'[1]Controle de Produção'!$R:$R,I44),0)</f>
        <v>616.88899012259446</v>
      </c>
      <c r="L44" s="33">
        <f>IFERROR(AVERAGEIFS('[1]Controle de Produção'!$E:$E,'[1]Controle de Produção'!$S:$S,J44,'[1]Controle de Produção'!$R:$R,I44),0)</f>
        <v>843.58780095852239</v>
      </c>
      <c r="M44" s="34">
        <v>24</v>
      </c>
      <c r="N44" s="35"/>
      <c r="O44" s="30"/>
      <c r="P44" s="33"/>
      <c r="Q44" s="33"/>
      <c r="R44" s="36" t="b">
        <v>1</v>
      </c>
      <c r="S44" s="36" t="b">
        <v>1</v>
      </c>
      <c r="T44" s="36" t="b">
        <v>1</v>
      </c>
      <c r="U44" s="36" t="b">
        <v>1</v>
      </c>
      <c r="V44" s="36" t="b">
        <v>1</v>
      </c>
      <c r="W44" s="33" t="s">
        <v>954</v>
      </c>
      <c r="X44" s="37"/>
      <c r="Y44" s="43">
        <v>1.35</v>
      </c>
      <c r="Z44" s="37"/>
      <c r="AA44" s="37"/>
      <c r="AB44" s="37"/>
      <c r="AC44" s="37"/>
      <c r="AD44" s="37"/>
      <c r="AE44" s="37"/>
      <c r="AF44" s="37"/>
      <c r="AG44" s="37"/>
      <c r="AH44" s="32"/>
    </row>
    <row r="45" spans="1:34" hidden="1" x14ac:dyDescent="0.25">
      <c r="B45" s="30" t="s">
        <v>966</v>
      </c>
      <c r="C45" s="31" t="s">
        <v>873</v>
      </c>
      <c r="D45" s="32" t="s">
        <v>958</v>
      </c>
      <c r="E45" s="30">
        <v>250</v>
      </c>
      <c r="F45" s="30" t="s">
        <v>22</v>
      </c>
      <c r="G45" s="32" t="s">
        <v>903</v>
      </c>
      <c r="H45" s="32" t="s">
        <v>50</v>
      </c>
      <c r="I45" s="32" t="s">
        <v>62</v>
      </c>
      <c r="J45" s="30" t="s">
        <v>18</v>
      </c>
      <c r="K45" s="33">
        <f>IFERROR(AVERAGEIFS('[1]Controle de Produção'!$E:$E,'[1]Controle de Produção'!$N:$N,E45,'[1]Controle de Produção'!$S:$S,J45,'[1]Controle de Produção'!$R:$R,I45),0)</f>
        <v>616.88899012259446</v>
      </c>
      <c r="L45" s="33">
        <f>IFERROR(AVERAGEIFS('[1]Controle de Produção'!$E:$E,'[1]Controle de Produção'!$S:$S,J45,'[1]Controle de Produção'!$R:$R,I45),0)</f>
        <v>843.58780095852239</v>
      </c>
      <c r="M45" s="34">
        <v>24</v>
      </c>
      <c r="N45" s="35"/>
      <c r="O45" s="30"/>
      <c r="P45" s="33"/>
      <c r="Q45" s="33"/>
      <c r="R45" s="36" t="b">
        <v>1</v>
      </c>
      <c r="S45" s="36" t="b">
        <v>1</v>
      </c>
      <c r="T45" s="36" t="b">
        <v>1</v>
      </c>
      <c r="U45" s="36" t="b">
        <v>1</v>
      </c>
      <c r="V45" s="36" t="b">
        <v>1</v>
      </c>
      <c r="W45" s="33" t="s">
        <v>954</v>
      </c>
      <c r="X45" s="37"/>
      <c r="Y45" s="43">
        <v>1.35</v>
      </c>
      <c r="Z45" s="37"/>
      <c r="AA45" s="37"/>
      <c r="AB45" s="37"/>
      <c r="AC45" s="37"/>
      <c r="AD45" s="37"/>
      <c r="AE45" s="37"/>
      <c r="AF45" s="37"/>
      <c r="AG45" s="37"/>
      <c r="AH45" s="32"/>
    </row>
    <row r="46" spans="1:34" hidden="1" x14ac:dyDescent="0.25">
      <c r="A46" s="29"/>
      <c r="B46" s="30" t="s">
        <v>967</v>
      </c>
      <c r="C46" s="31" t="s">
        <v>874</v>
      </c>
      <c r="D46" s="32" t="s">
        <v>958</v>
      </c>
      <c r="E46" s="30">
        <v>250</v>
      </c>
      <c r="F46" s="30" t="s">
        <v>22</v>
      </c>
      <c r="G46" s="32" t="s">
        <v>903</v>
      </c>
      <c r="H46" s="32" t="s">
        <v>50</v>
      </c>
      <c r="I46" s="32" t="s">
        <v>62</v>
      </c>
      <c r="J46" s="30" t="s">
        <v>18</v>
      </c>
      <c r="K46" s="33">
        <f>IFERROR(AVERAGEIFS('[1]Controle de Produção'!$E:$E,'[1]Controle de Produção'!$N:$N,E46,'[1]Controle de Produção'!$S:$S,J46,'[1]Controle de Produção'!$R:$R,I46),0)</f>
        <v>616.88899012259446</v>
      </c>
      <c r="L46" s="33">
        <f>IFERROR(AVERAGEIFS('[1]Controle de Produção'!$E:$E,'[1]Controle de Produção'!$S:$S,J46,'[1]Controle de Produção'!$R:$R,I46),0)</f>
        <v>843.58780095852239</v>
      </c>
      <c r="M46" s="34">
        <v>24</v>
      </c>
      <c r="N46" s="35"/>
      <c r="O46" s="30"/>
      <c r="P46" s="33"/>
      <c r="Q46" s="33"/>
      <c r="R46" s="36" t="b">
        <v>1</v>
      </c>
      <c r="S46" s="36" t="b">
        <v>1</v>
      </c>
      <c r="T46" s="36" t="b">
        <v>1</v>
      </c>
      <c r="U46" s="36" t="b">
        <v>1</v>
      </c>
      <c r="V46" s="36" t="b">
        <v>1</v>
      </c>
      <c r="W46" s="33" t="s">
        <v>954</v>
      </c>
      <c r="X46" s="37"/>
      <c r="Y46" s="43">
        <v>1.35</v>
      </c>
      <c r="Z46" s="37"/>
      <c r="AA46" s="37"/>
      <c r="AB46" s="37"/>
      <c r="AC46" s="37"/>
      <c r="AD46" s="37"/>
      <c r="AE46" s="37"/>
      <c r="AF46" s="37"/>
      <c r="AG46" s="37"/>
      <c r="AH46" s="32"/>
    </row>
    <row r="47" spans="1:34" hidden="1" x14ac:dyDescent="0.25">
      <c r="A47" s="29"/>
      <c r="B47" s="30" t="s">
        <v>968</v>
      </c>
      <c r="C47" s="31" t="s">
        <v>875</v>
      </c>
      <c r="D47" s="32" t="s">
        <v>958</v>
      </c>
      <c r="E47" s="30">
        <v>250</v>
      </c>
      <c r="F47" s="30" t="s">
        <v>22</v>
      </c>
      <c r="G47" s="32" t="s">
        <v>903</v>
      </c>
      <c r="H47" s="32" t="s">
        <v>50</v>
      </c>
      <c r="I47" s="32" t="s">
        <v>62</v>
      </c>
      <c r="J47" s="30" t="s">
        <v>18</v>
      </c>
      <c r="K47" s="33">
        <f>IFERROR(AVERAGEIFS('[1]Controle de Produção'!$E:$E,'[1]Controle de Produção'!$N:$N,E47,'[1]Controle de Produção'!$S:$S,J47,'[1]Controle de Produção'!$R:$R,I47),0)</f>
        <v>616.88899012259446</v>
      </c>
      <c r="L47" s="33">
        <f>IFERROR(AVERAGEIFS('[1]Controle de Produção'!$E:$E,'[1]Controle de Produção'!$S:$S,J47,'[1]Controle de Produção'!$R:$R,I47),0)</f>
        <v>843.58780095852239</v>
      </c>
      <c r="M47" s="34">
        <v>24</v>
      </c>
      <c r="N47" s="35"/>
      <c r="O47" s="30"/>
      <c r="P47" s="33"/>
      <c r="Q47" s="33"/>
      <c r="R47" s="36" t="b">
        <v>1</v>
      </c>
      <c r="S47" s="36" t="b">
        <v>1</v>
      </c>
      <c r="T47" s="36" t="b">
        <v>1</v>
      </c>
      <c r="U47" s="36" t="b">
        <v>1</v>
      </c>
      <c r="V47" s="36" t="b">
        <v>1</v>
      </c>
      <c r="W47" s="33" t="s">
        <v>954</v>
      </c>
      <c r="X47" s="37"/>
      <c r="Y47" s="43">
        <v>1.35</v>
      </c>
      <c r="Z47" s="37"/>
      <c r="AA47" s="37"/>
      <c r="AB47" s="37"/>
      <c r="AC47" s="37"/>
      <c r="AD47" s="37"/>
      <c r="AE47" s="37"/>
      <c r="AF47" s="37"/>
      <c r="AG47" s="37"/>
      <c r="AH47" s="32"/>
    </row>
    <row r="48" spans="1:34" hidden="1" x14ac:dyDescent="0.25">
      <c r="A48" s="29"/>
      <c r="B48" s="30" t="s">
        <v>969</v>
      </c>
      <c r="C48" s="31" t="s">
        <v>879</v>
      </c>
      <c r="D48" s="32" t="s">
        <v>958</v>
      </c>
      <c r="E48" s="30">
        <v>250</v>
      </c>
      <c r="F48" s="30" t="s">
        <v>22</v>
      </c>
      <c r="G48" s="32" t="s">
        <v>903</v>
      </c>
      <c r="H48" s="32" t="s">
        <v>50</v>
      </c>
      <c r="I48" s="32" t="s">
        <v>62</v>
      </c>
      <c r="J48" s="30" t="s">
        <v>18</v>
      </c>
      <c r="K48" s="33">
        <f>IFERROR(AVERAGEIFS('[1]Controle de Produção'!$E:$E,'[1]Controle de Produção'!$N:$N,E48,'[1]Controle de Produção'!$S:$S,J48,'[1]Controle de Produção'!$R:$R,I48),0)</f>
        <v>616.88899012259446</v>
      </c>
      <c r="L48" s="33">
        <f>IFERROR(AVERAGEIFS('[1]Controle de Produção'!$E:$E,'[1]Controle de Produção'!$S:$S,J48,'[1]Controle de Produção'!$R:$R,I48),0)</f>
        <v>843.58780095852239</v>
      </c>
      <c r="M48" s="34">
        <v>24</v>
      </c>
      <c r="N48" s="35"/>
      <c r="O48" s="30"/>
      <c r="P48" s="33"/>
      <c r="Q48" s="33"/>
      <c r="R48" s="36" t="b">
        <v>1</v>
      </c>
      <c r="S48" s="36" t="b">
        <v>1</v>
      </c>
      <c r="T48" s="36" t="b">
        <v>1</v>
      </c>
      <c r="U48" s="36" t="b">
        <v>1</v>
      </c>
      <c r="V48" s="36" t="b">
        <v>1</v>
      </c>
      <c r="W48" s="33" t="s">
        <v>954</v>
      </c>
      <c r="X48" s="37"/>
      <c r="Y48" s="43">
        <v>1.35</v>
      </c>
      <c r="Z48" s="37"/>
      <c r="AA48" s="37"/>
      <c r="AB48" s="37"/>
      <c r="AC48" s="37"/>
      <c r="AD48" s="37"/>
      <c r="AE48" s="37"/>
      <c r="AF48" s="37"/>
      <c r="AG48" s="37"/>
      <c r="AH48" s="32"/>
    </row>
    <row r="49" spans="1:34" hidden="1" x14ac:dyDescent="0.25">
      <c r="A49" s="29"/>
      <c r="B49" s="30" t="s">
        <v>1011</v>
      </c>
      <c r="C49" s="31" t="s">
        <v>880</v>
      </c>
      <c r="D49" s="32" t="s">
        <v>958</v>
      </c>
      <c r="E49" s="30">
        <v>250</v>
      </c>
      <c r="F49" s="30" t="s">
        <v>22</v>
      </c>
      <c r="G49" s="32" t="s">
        <v>903</v>
      </c>
      <c r="H49" s="32" t="s">
        <v>50</v>
      </c>
      <c r="I49" s="32" t="s">
        <v>62</v>
      </c>
      <c r="J49" s="30" t="s">
        <v>18</v>
      </c>
      <c r="K49" s="33">
        <f>IFERROR(AVERAGEIFS('[1]Controle de Produção'!$E:$E,'[1]Controle de Produção'!$N:$N,E49,'[1]Controle de Produção'!$S:$S,J49,'[1]Controle de Produção'!$R:$R,I49),0)</f>
        <v>616.88899012259446</v>
      </c>
      <c r="L49" s="33">
        <f>IFERROR(AVERAGEIFS('[1]Controle de Produção'!$E:$E,'[1]Controle de Produção'!$S:$S,J49,'[1]Controle de Produção'!$R:$R,I49),0)</f>
        <v>843.58780095852239</v>
      </c>
      <c r="M49" s="34">
        <v>24</v>
      </c>
      <c r="N49" s="35"/>
      <c r="O49" s="30"/>
      <c r="P49" s="33"/>
      <c r="Q49" s="33"/>
      <c r="R49" s="36" t="b">
        <v>1</v>
      </c>
      <c r="S49" s="36" t="b">
        <v>1</v>
      </c>
      <c r="T49" s="36" t="b">
        <v>1</v>
      </c>
      <c r="U49" s="36" t="b">
        <v>1</v>
      </c>
      <c r="V49" s="36" t="b">
        <v>1</v>
      </c>
      <c r="W49" s="33" t="s">
        <v>954</v>
      </c>
      <c r="X49" s="37"/>
      <c r="Y49" s="43">
        <v>1.35</v>
      </c>
      <c r="Z49" s="37"/>
      <c r="AA49" s="37"/>
      <c r="AB49" s="37"/>
      <c r="AC49" s="37"/>
      <c r="AD49" s="37"/>
      <c r="AE49" s="37"/>
      <c r="AF49" s="37"/>
      <c r="AG49" s="37"/>
      <c r="AH49" s="32"/>
    </row>
    <row r="50" spans="1:34" hidden="1" x14ac:dyDescent="0.25">
      <c r="A50" s="29"/>
      <c r="B50" s="30" t="s">
        <v>1009</v>
      </c>
      <c r="C50" s="31" t="s">
        <v>886</v>
      </c>
      <c r="D50" s="32" t="s">
        <v>958</v>
      </c>
      <c r="E50" s="30">
        <v>250</v>
      </c>
      <c r="F50" s="30" t="s">
        <v>22</v>
      </c>
      <c r="G50" s="32" t="s">
        <v>903</v>
      </c>
      <c r="H50" s="32" t="s">
        <v>50</v>
      </c>
      <c r="I50" s="32" t="s">
        <v>62</v>
      </c>
      <c r="J50" s="30" t="s">
        <v>18</v>
      </c>
      <c r="K50" s="33">
        <f>IFERROR(AVERAGEIFS('[1]Controle de Produção'!$E:$E,'[1]Controle de Produção'!$N:$N,E50,'[1]Controle de Produção'!$S:$S,J50,'[1]Controle de Produção'!$R:$R,I50),0)</f>
        <v>616.88899012259446</v>
      </c>
      <c r="L50" s="33">
        <f>IFERROR(AVERAGEIFS('[1]Controle de Produção'!$E:$E,'[1]Controle de Produção'!$S:$S,J50,'[1]Controle de Produção'!$R:$R,I50),0)</f>
        <v>843.58780095852239</v>
      </c>
      <c r="M50" s="34">
        <v>24</v>
      </c>
      <c r="N50" s="35"/>
      <c r="O50" s="30"/>
      <c r="P50" s="33"/>
      <c r="Q50" s="33"/>
      <c r="R50" s="36" t="b">
        <v>1</v>
      </c>
      <c r="S50" s="36" t="b">
        <v>1</v>
      </c>
      <c r="T50" s="36" t="b">
        <v>1</v>
      </c>
      <c r="U50" s="36" t="b">
        <v>1</v>
      </c>
      <c r="V50" s="36" t="b">
        <v>1</v>
      </c>
      <c r="W50" s="33" t="s">
        <v>954</v>
      </c>
      <c r="X50" s="37"/>
      <c r="Y50" s="43">
        <v>1.35</v>
      </c>
      <c r="Z50" s="37"/>
      <c r="AA50" s="37"/>
      <c r="AB50" s="37"/>
      <c r="AC50" s="37"/>
      <c r="AD50" s="37"/>
      <c r="AE50" s="37"/>
      <c r="AF50" s="37"/>
      <c r="AG50" s="37"/>
      <c r="AH50" s="32"/>
    </row>
    <row r="51" spans="1:34" hidden="1" x14ac:dyDescent="0.25">
      <c r="A51" s="29"/>
      <c r="B51" s="30" t="s">
        <v>997</v>
      </c>
      <c r="C51" s="31" t="s">
        <v>887</v>
      </c>
      <c r="D51" s="32" t="s">
        <v>958</v>
      </c>
      <c r="E51" s="30">
        <v>240</v>
      </c>
      <c r="F51" s="30" t="s">
        <v>22</v>
      </c>
      <c r="G51" s="32" t="s">
        <v>903</v>
      </c>
      <c r="H51" s="32" t="s">
        <v>10</v>
      </c>
      <c r="I51" s="32" t="s">
        <v>41</v>
      </c>
      <c r="J51" s="30" t="s">
        <v>25</v>
      </c>
      <c r="K51" s="33">
        <f>IFERROR(AVERAGEIFS('[1]Controle de Produção'!$E:$E,'[1]Controle de Produção'!$N:$N,E51,'[1]Controle de Produção'!$S:$S,J51,'[1]Controle de Produção'!$R:$R,I51),0)</f>
        <v>639.01476243840705</v>
      </c>
      <c r="L51" s="33">
        <f>IFERROR(AVERAGEIFS('[1]Controle de Produção'!$E:$E,'[1]Controle de Produção'!$S:$S,J51,'[1]Controle de Produção'!$R:$R,I51),0)</f>
        <v>613.39886035164977</v>
      </c>
      <c r="M51" s="34">
        <v>24</v>
      </c>
      <c r="N51" s="35"/>
      <c r="O51" s="30"/>
      <c r="P51" s="33"/>
      <c r="Q51" s="33"/>
      <c r="R51" s="36" t="b">
        <v>1</v>
      </c>
      <c r="S51" s="36" t="b">
        <v>1</v>
      </c>
      <c r="T51" s="36" t="b">
        <v>1</v>
      </c>
      <c r="U51" s="36" t="b">
        <v>1</v>
      </c>
      <c r="V51" s="36" t="b">
        <v>1</v>
      </c>
      <c r="W51" s="33" t="s">
        <v>954</v>
      </c>
      <c r="X51" s="37"/>
      <c r="Y51" s="43">
        <v>1.48</v>
      </c>
      <c r="Z51" s="37"/>
      <c r="AA51" s="37"/>
      <c r="AB51" s="37"/>
      <c r="AC51" s="37"/>
      <c r="AD51" s="37"/>
      <c r="AE51" s="37"/>
      <c r="AF51" s="37"/>
      <c r="AG51" s="37"/>
      <c r="AH51" s="32"/>
    </row>
    <row r="52" spans="1:34" hidden="1" x14ac:dyDescent="0.25">
      <c r="A52" s="29"/>
      <c r="B52" s="30" t="s">
        <v>973</v>
      </c>
      <c r="C52" s="31" t="s">
        <v>888</v>
      </c>
      <c r="D52" s="32" t="s">
        <v>958</v>
      </c>
      <c r="E52" s="30">
        <v>240</v>
      </c>
      <c r="F52" s="30" t="s">
        <v>22</v>
      </c>
      <c r="G52" s="32" t="s">
        <v>903</v>
      </c>
      <c r="H52" s="32" t="s">
        <v>10</v>
      </c>
      <c r="I52" s="32" t="s">
        <v>41</v>
      </c>
      <c r="J52" s="30" t="s">
        <v>25</v>
      </c>
      <c r="K52" s="33">
        <f>IFERROR(AVERAGEIFS('[1]Controle de Produção'!$E:$E,'[1]Controle de Produção'!$N:$N,E52,'[1]Controle de Produção'!$S:$S,J52,'[1]Controle de Produção'!$R:$R,I52),0)</f>
        <v>639.01476243840705</v>
      </c>
      <c r="L52" s="33">
        <f>IFERROR(AVERAGEIFS('[1]Controle de Produção'!$E:$E,'[1]Controle de Produção'!$S:$S,J52,'[1]Controle de Produção'!$R:$R,I52),0)</f>
        <v>613.39886035164977</v>
      </c>
      <c r="M52" s="34">
        <v>24</v>
      </c>
      <c r="N52" s="35"/>
      <c r="O52" s="30"/>
      <c r="P52" s="33"/>
      <c r="Q52" s="33"/>
      <c r="R52" s="36" t="b">
        <v>1</v>
      </c>
      <c r="S52" s="36" t="b">
        <v>1</v>
      </c>
      <c r="T52" s="36" t="b">
        <v>1</v>
      </c>
      <c r="U52" s="36" t="b">
        <v>1</v>
      </c>
      <c r="V52" s="36" t="b">
        <v>1</v>
      </c>
      <c r="W52" s="33" t="s">
        <v>954</v>
      </c>
      <c r="X52" s="37"/>
      <c r="Y52" s="43">
        <v>1.48</v>
      </c>
      <c r="Z52" s="37"/>
      <c r="AA52" s="37"/>
      <c r="AB52" s="37"/>
      <c r="AC52" s="37"/>
      <c r="AD52" s="37"/>
      <c r="AE52" s="37"/>
      <c r="AF52" s="37"/>
      <c r="AG52" s="37"/>
      <c r="AH52" s="32"/>
    </row>
    <row r="53" spans="1:34" hidden="1" x14ac:dyDescent="0.25">
      <c r="A53" s="29"/>
      <c r="B53" s="30" t="s">
        <v>1008</v>
      </c>
      <c r="C53" s="31" t="s">
        <v>889</v>
      </c>
      <c r="D53" s="32" t="s">
        <v>958</v>
      </c>
      <c r="E53" s="30">
        <v>240</v>
      </c>
      <c r="F53" s="30" t="s">
        <v>22</v>
      </c>
      <c r="G53" s="32" t="s">
        <v>903</v>
      </c>
      <c r="H53" s="32" t="s">
        <v>10</v>
      </c>
      <c r="I53" s="32" t="s">
        <v>41</v>
      </c>
      <c r="J53" s="30" t="s">
        <v>25</v>
      </c>
      <c r="K53" s="33">
        <f>IFERROR(AVERAGEIFS('[1]Controle de Produção'!$E:$E,'[1]Controle de Produção'!$N:$N,E53,'[1]Controle de Produção'!$S:$S,J53,'[1]Controle de Produção'!$R:$R,I53),0)</f>
        <v>639.01476243840705</v>
      </c>
      <c r="L53" s="33">
        <f>IFERROR(AVERAGEIFS('[1]Controle de Produção'!$E:$E,'[1]Controle de Produção'!$S:$S,J53,'[1]Controle de Produção'!$R:$R,I53),0)</f>
        <v>613.39886035164977</v>
      </c>
      <c r="M53" s="34">
        <v>24</v>
      </c>
      <c r="N53" s="35"/>
      <c r="O53" s="30"/>
      <c r="P53" s="33"/>
      <c r="Q53" s="33"/>
      <c r="R53" s="36" t="b">
        <v>1</v>
      </c>
      <c r="S53" s="36" t="b">
        <v>1</v>
      </c>
      <c r="T53" s="36" t="b">
        <v>1</v>
      </c>
      <c r="U53" s="36" t="b">
        <v>1</v>
      </c>
      <c r="V53" s="36" t="b">
        <v>1</v>
      </c>
      <c r="W53" s="33" t="s">
        <v>954</v>
      </c>
      <c r="X53" s="37"/>
      <c r="Y53" s="43">
        <v>1.48</v>
      </c>
      <c r="Z53" s="37"/>
      <c r="AA53" s="37"/>
      <c r="AB53" s="37"/>
      <c r="AC53" s="37"/>
      <c r="AD53" s="37"/>
      <c r="AE53" s="37"/>
      <c r="AF53" s="37"/>
      <c r="AG53" s="37"/>
      <c r="AH53" s="32"/>
    </row>
    <row r="54" spans="1:34" hidden="1" x14ac:dyDescent="0.25">
      <c r="A54" s="28"/>
      <c r="B54" s="30" t="s">
        <v>1007</v>
      </c>
      <c r="C54" s="31" t="s">
        <v>890</v>
      </c>
      <c r="D54" s="32" t="s">
        <v>958</v>
      </c>
      <c r="E54" s="30">
        <v>240</v>
      </c>
      <c r="F54" s="30" t="s">
        <v>22</v>
      </c>
      <c r="G54" s="32" t="s">
        <v>903</v>
      </c>
      <c r="H54" s="32" t="s">
        <v>10</v>
      </c>
      <c r="I54" s="32" t="s">
        <v>41</v>
      </c>
      <c r="J54" s="30" t="s">
        <v>25</v>
      </c>
      <c r="K54" s="33">
        <f>IFERROR(AVERAGEIFS('[1]Controle de Produção'!$E:$E,'[1]Controle de Produção'!$N:$N,E54,'[1]Controle de Produção'!$S:$S,J54,'[1]Controle de Produção'!$R:$R,I54),0)</f>
        <v>639.01476243840705</v>
      </c>
      <c r="L54" s="33">
        <f>IFERROR(AVERAGEIFS('[1]Controle de Produção'!$E:$E,'[1]Controle de Produção'!$S:$S,J54,'[1]Controle de Produção'!$R:$R,I54),0)</f>
        <v>613.39886035164977</v>
      </c>
      <c r="M54" s="34">
        <v>24</v>
      </c>
      <c r="N54" s="35"/>
      <c r="O54" s="30"/>
      <c r="P54" s="33"/>
      <c r="Q54" s="33"/>
      <c r="R54" s="36" t="b">
        <v>1</v>
      </c>
      <c r="S54" s="36" t="b">
        <v>1</v>
      </c>
      <c r="T54" s="36" t="b">
        <v>1</v>
      </c>
      <c r="U54" s="36" t="b">
        <v>1</v>
      </c>
      <c r="V54" s="36" t="b">
        <v>1</v>
      </c>
      <c r="W54" s="33" t="s">
        <v>954</v>
      </c>
      <c r="X54" s="37"/>
      <c r="Y54" s="43">
        <v>1.48</v>
      </c>
      <c r="Z54" s="37"/>
      <c r="AA54" s="37"/>
      <c r="AB54" s="37"/>
      <c r="AC54" s="37"/>
      <c r="AD54" s="37"/>
      <c r="AE54" s="37"/>
      <c r="AF54" s="37"/>
      <c r="AG54" s="37"/>
      <c r="AH54" s="32"/>
    </row>
    <row r="55" spans="1:34" hidden="1" x14ac:dyDescent="0.25">
      <c r="A55" s="28"/>
      <c r="B55" s="30" t="s">
        <v>1006</v>
      </c>
      <c r="C55" s="31" t="s">
        <v>891</v>
      </c>
      <c r="D55" s="32" t="s">
        <v>958</v>
      </c>
      <c r="E55" s="30">
        <v>240</v>
      </c>
      <c r="F55" s="30" t="s">
        <v>22</v>
      </c>
      <c r="G55" s="32" t="s">
        <v>903</v>
      </c>
      <c r="H55" s="32" t="s">
        <v>10</v>
      </c>
      <c r="I55" s="32" t="s">
        <v>41</v>
      </c>
      <c r="J55" s="30" t="s">
        <v>25</v>
      </c>
      <c r="K55" s="33">
        <f>IFERROR(AVERAGEIFS('[1]Controle de Produção'!$E:$E,'[1]Controle de Produção'!$N:$N,E55,'[1]Controle de Produção'!$S:$S,J55,'[1]Controle de Produção'!$R:$R,I55),0)</f>
        <v>639.01476243840705</v>
      </c>
      <c r="L55" s="33">
        <f>IFERROR(AVERAGEIFS('[1]Controle de Produção'!$E:$E,'[1]Controle de Produção'!$S:$S,J55,'[1]Controle de Produção'!$R:$R,I55),0)</f>
        <v>613.39886035164977</v>
      </c>
      <c r="M55" s="34">
        <v>24</v>
      </c>
      <c r="N55" s="35"/>
      <c r="O55" s="30"/>
      <c r="P55" s="33"/>
      <c r="Q55" s="33"/>
      <c r="R55" s="36" t="b">
        <v>1</v>
      </c>
      <c r="S55" s="36" t="b">
        <v>1</v>
      </c>
      <c r="T55" s="36" t="b">
        <v>1</v>
      </c>
      <c r="U55" s="36" t="b">
        <v>1</v>
      </c>
      <c r="V55" s="36" t="b">
        <v>1</v>
      </c>
      <c r="W55" s="33" t="s">
        <v>954</v>
      </c>
      <c r="X55" s="37"/>
      <c r="Y55" s="43">
        <v>1.48</v>
      </c>
      <c r="Z55" s="37"/>
      <c r="AA55" s="37"/>
      <c r="AB55" s="37"/>
      <c r="AC55" s="37"/>
      <c r="AD55" s="37"/>
      <c r="AE55" s="37"/>
      <c r="AF55" s="37"/>
      <c r="AG55" s="37"/>
      <c r="AH55" s="32"/>
    </row>
    <row r="56" spans="1:34" hidden="1" x14ac:dyDescent="0.25">
      <c r="A56" s="28"/>
      <c r="B56" s="30" t="s">
        <v>1000</v>
      </c>
      <c r="C56" s="31" t="s">
        <v>895</v>
      </c>
      <c r="D56" s="32" t="s">
        <v>958</v>
      </c>
      <c r="E56" s="30">
        <v>240</v>
      </c>
      <c r="F56" s="30" t="s">
        <v>22</v>
      </c>
      <c r="G56" s="32" t="s">
        <v>903</v>
      </c>
      <c r="H56" s="32" t="s">
        <v>10</v>
      </c>
      <c r="I56" s="32" t="s">
        <v>41</v>
      </c>
      <c r="J56" s="30" t="s">
        <v>25</v>
      </c>
      <c r="K56" s="33">
        <f>IFERROR(AVERAGEIFS('[1]Controle de Produção'!$E:$E,'[1]Controle de Produção'!$N:$N,E56,'[1]Controle de Produção'!$S:$S,J56,'[1]Controle de Produção'!$R:$R,I56),0)</f>
        <v>639.01476243840705</v>
      </c>
      <c r="L56" s="33">
        <f>IFERROR(AVERAGEIFS('[1]Controle de Produção'!$E:$E,'[1]Controle de Produção'!$S:$S,J56,'[1]Controle de Produção'!$R:$R,I56),0)</f>
        <v>613.39886035164977</v>
      </c>
      <c r="M56" s="34">
        <v>24</v>
      </c>
      <c r="N56" s="35"/>
      <c r="O56" s="30"/>
      <c r="P56" s="33"/>
      <c r="Q56" s="33"/>
      <c r="R56" s="36" t="b">
        <v>1</v>
      </c>
      <c r="S56" s="36" t="b">
        <v>1</v>
      </c>
      <c r="T56" s="36" t="b">
        <v>1</v>
      </c>
      <c r="U56" s="36" t="b">
        <v>1</v>
      </c>
      <c r="V56" s="36" t="b">
        <v>1</v>
      </c>
      <c r="W56" s="33" t="s">
        <v>954</v>
      </c>
      <c r="X56" s="37"/>
      <c r="Y56" s="43">
        <v>1.48</v>
      </c>
      <c r="Z56" s="37"/>
      <c r="AA56" s="37"/>
      <c r="AB56" s="37"/>
      <c r="AC56" s="37"/>
      <c r="AD56" s="37"/>
      <c r="AE56" s="37"/>
      <c r="AF56" s="37"/>
      <c r="AG56" s="37"/>
      <c r="AH56" s="32"/>
    </row>
    <row r="57" spans="1:34" hidden="1" x14ac:dyDescent="0.25">
      <c r="A57" s="28"/>
      <c r="B57" s="30" t="s">
        <v>1001</v>
      </c>
      <c r="C57" s="31" t="s">
        <v>896</v>
      </c>
      <c r="D57" s="32" t="s">
        <v>958</v>
      </c>
      <c r="E57" s="30">
        <v>240</v>
      </c>
      <c r="F57" s="30" t="s">
        <v>22</v>
      </c>
      <c r="G57" s="32" t="s">
        <v>903</v>
      </c>
      <c r="H57" s="32" t="s">
        <v>10</v>
      </c>
      <c r="I57" s="32" t="s">
        <v>41</v>
      </c>
      <c r="J57" s="30" t="s">
        <v>25</v>
      </c>
      <c r="K57" s="33">
        <f>IFERROR(AVERAGEIFS('[1]Controle de Produção'!$E:$E,'[1]Controle de Produção'!$N:$N,E57,'[1]Controle de Produção'!$S:$S,J57,'[1]Controle de Produção'!$R:$R,I57),0)</f>
        <v>639.01476243840705</v>
      </c>
      <c r="L57" s="33">
        <f>IFERROR(AVERAGEIFS('[1]Controle de Produção'!$E:$E,'[1]Controle de Produção'!$S:$S,J57,'[1]Controle de Produção'!$R:$R,I57),0)</f>
        <v>613.39886035164977</v>
      </c>
      <c r="M57" s="34">
        <v>24</v>
      </c>
      <c r="N57" s="35"/>
      <c r="O57" s="30"/>
      <c r="P57" s="33"/>
      <c r="Q57" s="33"/>
      <c r="R57" s="36" t="b">
        <v>1</v>
      </c>
      <c r="S57" s="36" t="b">
        <v>1</v>
      </c>
      <c r="T57" s="36" t="b">
        <v>1</v>
      </c>
      <c r="U57" s="36" t="b">
        <v>1</v>
      </c>
      <c r="V57" s="36" t="b">
        <v>1</v>
      </c>
      <c r="W57" s="33" t="s">
        <v>954</v>
      </c>
      <c r="X57" s="37"/>
      <c r="Y57" s="43">
        <v>1.48</v>
      </c>
      <c r="Z57" s="37"/>
      <c r="AA57" s="37"/>
      <c r="AB57" s="37"/>
      <c r="AC57" s="37"/>
      <c r="AD57" s="37"/>
      <c r="AE57" s="37"/>
      <c r="AF57" s="37"/>
      <c r="AG57" s="37"/>
      <c r="AH57" s="32"/>
    </row>
    <row r="58" spans="1:34" hidden="1" x14ac:dyDescent="0.25">
      <c r="A58" s="28"/>
      <c r="B58" s="30" t="s">
        <v>995</v>
      </c>
      <c r="C58" s="31" t="s">
        <v>902</v>
      </c>
      <c r="D58" s="32" t="s">
        <v>958</v>
      </c>
      <c r="E58" s="30">
        <v>240</v>
      </c>
      <c r="F58" s="30" t="s">
        <v>22</v>
      </c>
      <c r="G58" s="32" t="s">
        <v>903</v>
      </c>
      <c r="H58" s="32" t="s">
        <v>10</v>
      </c>
      <c r="I58" s="32" t="s">
        <v>41</v>
      </c>
      <c r="J58" s="30" t="s">
        <v>25</v>
      </c>
      <c r="K58" s="33">
        <f>IFERROR(AVERAGEIFS('[1]Controle de Produção'!$E:$E,'[1]Controle de Produção'!$N:$N,E58,'[1]Controle de Produção'!$S:$S,J58,'[1]Controle de Produção'!$R:$R,I58),0)</f>
        <v>639.01476243840705</v>
      </c>
      <c r="L58" s="33">
        <f>IFERROR(AVERAGEIFS('[1]Controle de Produção'!$E:$E,'[1]Controle de Produção'!$S:$S,J58,'[1]Controle de Produção'!$R:$R,I58),0)</f>
        <v>613.39886035164977</v>
      </c>
      <c r="M58" s="34">
        <v>24</v>
      </c>
      <c r="N58" s="35"/>
      <c r="O58" s="30"/>
      <c r="P58" s="33"/>
      <c r="Q58" s="33"/>
      <c r="R58" s="36" t="b">
        <v>1</v>
      </c>
      <c r="S58" s="36" t="b">
        <v>1</v>
      </c>
      <c r="T58" s="36" t="b">
        <v>1</v>
      </c>
      <c r="U58" s="36" t="b">
        <v>1</v>
      </c>
      <c r="V58" s="36" t="b">
        <v>1</v>
      </c>
      <c r="W58" s="33" t="s">
        <v>954</v>
      </c>
      <c r="X58" s="37"/>
      <c r="Y58" s="43">
        <v>1.48</v>
      </c>
      <c r="Z58" s="37"/>
      <c r="AA58" s="37"/>
      <c r="AB58" s="37"/>
      <c r="AC58" s="37"/>
      <c r="AD58" s="37"/>
      <c r="AE58" s="37"/>
      <c r="AF58" s="37"/>
      <c r="AG58" s="37"/>
      <c r="AH58" s="32"/>
    </row>
    <row r="59" spans="1:34" hidden="1" x14ac:dyDescent="0.25">
      <c r="A59" s="28"/>
      <c r="B59" s="30" t="s">
        <v>1144</v>
      </c>
      <c r="C59" s="31" t="s">
        <v>1145</v>
      </c>
      <c r="D59" s="32"/>
      <c r="E59" s="32">
        <v>60</v>
      </c>
      <c r="F59" s="32" t="s">
        <v>22</v>
      </c>
      <c r="G59" s="32" t="s">
        <v>907</v>
      </c>
      <c r="H59" s="32" t="s">
        <v>50</v>
      </c>
      <c r="I59" s="32" t="s">
        <v>497</v>
      </c>
      <c r="J59" s="30" t="s">
        <v>500</v>
      </c>
      <c r="K59" s="33">
        <f>IFERROR(AVERAGEIFS('[1]Controle de Produção'!$E:$E,'[1]Controle de Produção'!$N:$N,E59,'[1]Controle de Produção'!$S:$S,J59,'[1]Controle de Produção'!$R:$R,I59),0)</f>
        <v>674.69639400444999</v>
      </c>
      <c r="L59" s="33">
        <f>IFERROR(AVERAGEIFS('[1]Controle de Produção'!$E:$E,'[1]Controle de Produção'!$S:$S,J59,'[1]Controle de Produção'!$R:$R,I59),0)</f>
        <v>674.69639400444999</v>
      </c>
      <c r="M59" s="34">
        <v>120</v>
      </c>
      <c r="N59" s="35"/>
      <c r="O59" s="30" t="s">
        <v>1146</v>
      </c>
      <c r="P59" s="33"/>
      <c r="Q59" s="33"/>
      <c r="R59" s="36" t="b">
        <v>1</v>
      </c>
      <c r="S59" s="36" t="b">
        <v>1</v>
      </c>
      <c r="T59" s="36" t="b">
        <v>1</v>
      </c>
      <c r="U59" s="36" t="b">
        <v>1</v>
      </c>
      <c r="V59" s="36" t="b">
        <v>1</v>
      </c>
      <c r="W59" s="33" t="s">
        <v>954</v>
      </c>
      <c r="X59" s="37"/>
      <c r="Y59" s="43">
        <v>1.5699999999999998</v>
      </c>
      <c r="Z59" s="37"/>
      <c r="AA59" s="37"/>
      <c r="AB59" s="37"/>
      <c r="AC59" s="37"/>
      <c r="AD59" s="37"/>
      <c r="AE59" s="37"/>
      <c r="AF59" s="37"/>
      <c r="AG59" s="37"/>
      <c r="AH59" s="32"/>
    </row>
    <row r="60" spans="1:34" hidden="1" x14ac:dyDescent="0.25">
      <c r="A60" s="28"/>
      <c r="B60" s="30" t="s">
        <v>919</v>
      </c>
      <c r="C60" s="31" t="s">
        <v>938</v>
      </c>
      <c r="D60" s="32" t="s">
        <v>918</v>
      </c>
      <c r="E60" s="32">
        <v>200</v>
      </c>
      <c r="F60" s="32" t="s">
        <v>22</v>
      </c>
      <c r="G60" s="32" t="s">
        <v>907</v>
      </c>
      <c r="H60" s="32" t="s">
        <v>50</v>
      </c>
      <c r="I60" s="32" t="s">
        <v>62</v>
      </c>
      <c r="J60" s="30" t="s">
        <v>18</v>
      </c>
      <c r="K60" s="33">
        <f>IFERROR(AVERAGEIFS('[1]Controle de Produção'!$E:$E,'[1]Controle de Produção'!$N:$N,E60,'[1]Controle de Produção'!$S:$S,J60,'[1]Controle de Produção'!$R:$R,I60),0)</f>
        <v>936.45348453259976</v>
      </c>
      <c r="L60" s="33">
        <f>IFERROR(AVERAGEIFS('[1]Controle de Produção'!$E:$E,'[1]Controle de Produção'!$S:$S,J60,'[1]Controle de Produção'!$R:$R,I60),0)</f>
        <v>843.58780095852239</v>
      </c>
      <c r="M60" s="34">
        <v>48</v>
      </c>
      <c r="N60" s="35"/>
      <c r="O60" s="30" t="s">
        <v>909</v>
      </c>
      <c r="P60" s="33"/>
      <c r="Q60" s="33"/>
      <c r="R60" s="36" t="b">
        <v>1</v>
      </c>
      <c r="S60" s="36" t="b">
        <v>1</v>
      </c>
      <c r="T60" s="36" t="b">
        <v>1</v>
      </c>
      <c r="U60" s="36" t="b">
        <v>1</v>
      </c>
      <c r="V60" s="36" t="b">
        <v>1</v>
      </c>
      <c r="W60" s="33" t="s">
        <v>954</v>
      </c>
      <c r="X60" s="37"/>
      <c r="Y60" s="43">
        <v>1.4699999999999998</v>
      </c>
      <c r="Z60" s="37"/>
      <c r="AA60" s="37"/>
      <c r="AB60" s="37"/>
      <c r="AC60" s="37"/>
      <c r="AD60" s="37"/>
      <c r="AE60" s="37"/>
      <c r="AF60" s="37"/>
      <c r="AG60" s="37"/>
      <c r="AH60" s="32"/>
    </row>
    <row r="61" spans="1:34" hidden="1" x14ac:dyDescent="0.25">
      <c r="A61" s="28"/>
      <c r="B61" s="30" t="s">
        <v>925</v>
      </c>
      <c r="C61" s="31" t="s">
        <v>939</v>
      </c>
      <c r="D61" s="32" t="s">
        <v>918</v>
      </c>
      <c r="E61" s="32">
        <v>120</v>
      </c>
      <c r="F61" s="32" t="s">
        <v>22</v>
      </c>
      <c r="G61" s="32" t="s">
        <v>907</v>
      </c>
      <c r="H61" s="32" t="s">
        <v>50</v>
      </c>
      <c r="I61" s="32" t="s">
        <v>62</v>
      </c>
      <c r="J61" s="30" t="s">
        <v>18</v>
      </c>
      <c r="K61" s="33">
        <f>IFERROR(AVERAGEIFS('[1]Controle de Produção'!$E:$E,'[1]Controle de Produção'!$N:$N,E61,'[1]Controle de Produção'!$S:$S,J61,'[1]Controle de Produção'!$R:$R,I61),0)</f>
        <v>907.28092268564944</v>
      </c>
      <c r="L61" s="33">
        <f>IFERROR(AVERAGEIFS('[1]Controle de Produção'!$E:$E,'[1]Controle de Produção'!$S:$S,J61,'[1]Controle de Produção'!$R:$R,I61),0)</f>
        <v>843.58780095852239</v>
      </c>
      <c r="M61" s="34">
        <v>80</v>
      </c>
      <c r="N61" s="35"/>
      <c r="O61" s="30" t="s">
        <v>912</v>
      </c>
      <c r="P61" s="33"/>
      <c r="Q61" s="33"/>
      <c r="R61" s="36" t="b">
        <v>1</v>
      </c>
      <c r="S61" s="36" t="b">
        <v>1</v>
      </c>
      <c r="T61" s="36" t="b">
        <v>1</v>
      </c>
      <c r="U61" s="36" t="b">
        <v>1</v>
      </c>
      <c r="V61" s="36" t="b">
        <v>1</v>
      </c>
      <c r="W61" s="33" t="s">
        <v>954</v>
      </c>
      <c r="X61" s="37"/>
      <c r="Y61" s="43">
        <v>1.08</v>
      </c>
      <c r="Z61" s="37"/>
      <c r="AA61" s="37"/>
      <c r="AB61" s="37"/>
      <c r="AC61" s="37"/>
      <c r="AD61" s="37"/>
      <c r="AE61" s="37"/>
      <c r="AF61" s="37"/>
      <c r="AG61" s="37"/>
      <c r="AH61" s="32"/>
    </row>
    <row r="62" spans="1:34" hidden="1" x14ac:dyDescent="0.25">
      <c r="A62" s="29"/>
      <c r="B62" s="30" t="s">
        <v>920</v>
      </c>
      <c r="C62" s="31" t="s">
        <v>940</v>
      </c>
      <c r="D62" s="32" t="s">
        <v>918</v>
      </c>
      <c r="E62" s="32">
        <v>200</v>
      </c>
      <c r="F62" s="32" t="s">
        <v>22</v>
      </c>
      <c r="G62" s="32" t="s">
        <v>907</v>
      </c>
      <c r="H62" s="32" t="s">
        <v>50</v>
      </c>
      <c r="I62" s="32" t="s">
        <v>62</v>
      </c>
      <c r="J62" s="30" t="s">
        <v>18</v>
      </c>
      <c r="K62" s="33">
        <f>IFERROR(AVERAGEIFS('[1]Controle de Produção'!$E:$E,'[1]Controle de Produção'!$N:$N,E62,'[1]Controle de Produção'!$S:$S,J62,'[1]Controle de Produção'!$R:$R,I62),0)</f>
        <v>936.45348453259976</v>
      </c>
      <c r="L62" s="33">
        <f>IFERROR(AVERAGEIFS('[1]Controle de Produção'!$E:$E,'[1]Controle de Produção'!$S:$S,J62,'[1]Controle de Produção'!$R:$R,I62),0)</f>
        <v>843.58780095852239</v>
      </c>
      <c r="M62" s="34">
        <v>48</v>
      </c>
      <c r="N62" s="35"/>
      <c r="O62" s="30" t="s">
        <v>910</v>
      </c>
      <c r="P62" s="33"/>
      <c r="Q62" s="33"/>
      <c r="R62" s="36" t="b">
        <v>1</v>
      </c>
      <c r="S62" s="36" t="b">
        <v>1</v>
      </c>
      <c r="T62" s="36" t="b">
        <v>1</v>
      </c>
      <c r="U62" s="36" t="b">
        <v>1</v>
      </c>
      <c r="V62" s="36" t="b">
        <v>1</v>
      </c>
      <c r="W62" s="33" t="s">
        <v>954</v>
      </c>
      <c r="X62" s="37"/>
      <c r="Y62" s="43">
        <v>1.4699999999999998</v>
      </c>
      <c r="Z62" s="37"/>
      <c r="AA62" s="37"/>
      <c r="AB62" s="37"/>
      <c r="AC62" s="37"/>
      <c r="AD62" s="37"/>
      <c r="AE62" s="37"/>
      <c r="AF62" s="37"/>
      <c r="AG62" s="37"/>
      <c r="AH62" s="32"/>
    </row>
    <row r="63" spans="1:34" hidden="1" x14ac:dyDescent="0.25">
      <c r="A63" s="29"/>
      <c r="B63" s="30" t="s">
        <v>926</v>
      </c>
      <c r="C63" s="31" t="s">
        <v>941</v>
      </c>
      <c r="D63" s="32" t="s">
        <v>918</v>
      </c>
      <c r="E63" s="32">
        <v>120</v>
      </c>
      <c r="F63" s="32" t="s">
        <v>22</v>
      </c>
      <c r="G63" s="32" t="s">
        <v>907</v>
      </c>
      <c r="H63" s="32" t="s">
        <v>50</v>
      </c>
      <c r="I63" s="32" t="s">
        <v>62</v>
      </c>
      <c r="J63" s="30" t="s">
        <v>18</v>
      </c>
      <c r="K63" s="33">
        <f>IFERROR(AVERAGEIFS('[1]Controle de Produção'!$E:$E,'[1]Controle de Produção'!$N:$N,E63,'[1]Controle de Produção'!$S:$S,J63,'[1]Controle de Produção'!$R:$R,I63),0)</f>
        <v>907.28092268564944</v>
      </c>
      <c r="L63" s="33">
        <f>IFERROR(AVERAGEIFS('[1]Controle de Produção'!$E:$E,'[1]Controle de Produção'!$S:$S,J63,'[1]Controle de Produção'!$R:$R,I63),0)</f>
        <v>843.58780095852239</v>
      </c>
      <c r="M63" s="34">
        <v>80</v>
      </c>
      <c r="N63" s="35"/>
      <c r="O63" s="30" t="s">
        <v>913</v>
      </c>
      <c r="P63" s="33"/>
      <c r="Q63" s="33"/>
      <c r="R63" s="36" t="b">
        <v>1</v>
      </c>
      <c r="S63" s="36" t="b">
        <v>1</v>
      </c>
      <c r="T63" s="36" t="b">
        <v>1</v>
      </c>
      <c r="U63" s="36" t="b">
        <v>1</v>
      </c>
      <c r="V63" s="36" t="b">
        <v>1</v>
      </c>
      <c r="W63" s="33" t="s">
        <v>954</v>
      </c>
      <c r="X63" s="37"/>
      <c r="Y63" s="43">
        <v>1.08</v>
      </c>
      <c r="Z63" s="37"/>
      <c r="AA63" s="37"/>
      <c r="AB63" s="37"/>
      <c r="AC63" s="37"/>
      <c r="AD63" s="37"/>
      <c r="AE63" s="37"/>
      <c r="AF63" s="37"/>
      <c r="AG63" s="37"/>
      <c r="AH63" s="32"/>
    </row>
    <row r="64" spans="1:34" hidden="1" x14ac:dyDescent="0.25">
      <c r="A64" s="29"/>
      <c r="B64" s="30" t="s">
        <v>921</v>
      </c>
      <c r="C64" s="31" t="s">
        <v>942</v>
      </c>
      <c r="D64" s="32" t="s">
        <v>918</v>
      </c>
      <c r="E64" s="32">
        <v>200</v>
      </c>
      <c r="F64" s="32" t="s">
        <v>22</v>
      </c>
      <c r="G64" s="32" t="s">
        <v>907</v>
      </c>
      <c r="H64" s="32" t="s">
        <v>50</v>
      </c>
      <c r="I64" s="32" t="s">
        <v>62</v>
      </c>
      <c r="J64" s="30" t="s">
        <v>18</v>
      </c>
      <c r="K64" s="33">
        <f>IFERROR(AVERAGEIFS('[1]Controle de Produção'!$E:$E,'[1]Controle de Produção'!$N:$N,E64,'[1]Controle de Produção'!$S:$S,J64,'[1]Controle de Produção'!$R:$R,I64),0)</f>
        <v>936.45348453259976</v>
      </c>
      <c r="L64" s="33">
        <f>IFERROR(AVERAGEIFS('[1]Controle de Produção'!$E:$E,'[1]Controle de Produção'!$S:$S,J64,'[1]Controle de Produção'!$R:$R,I64),0)</f>
        <v>843.58780095852239</v>
      </c>
      <c r="M64" s="34">
        <v>48</v>
      </c>
      <c r="N64" s="35"/>
      <c r="O64" s="30" t="s">
        <v>911</v>
      </c>
      <c r="P64" s="33"/>
      <c r="Q64" s="33"/>
      <c r="R64" s="36" t="b">
        <v>1</v>
      </c>
      <c r="S64" s="36" t="b">
        <v>1</v>
      </c>
      <c r="T64" s="36" t="b">
        <v>1</v>
      </c>
      <c r="U64" s="36" t="b">
        <v>1</v>
      </c>
      <c r="V64" s="36" t="b">
        <v>1</v>
      </c>
      <c r="W64" s="33" t="s">
        <v>954</v>
      </c>
      <c r="X64" s="37"/>
      <c r="Y64" s="43">
        <v>1.4699999999999998</v>
      </c>
      <c r="Z64" s="37"/>
      <c r="AA64" s="37"/>
      <c r="AB64" s="37"/>
      <c r="AC64" s="37"/>
      <c r="AD64" s="37"/>
      <c r="AE64" s="37"/>
      <c r="AF64" s="37"/>
      <c r="AG64" s="37"/>
      <c r="AH64" s="32"/>
    </row>
    <row r="65" spans="1:34" hidden="1" x14ac:dyDescent="0.25">
      <c r="A65" s="29"/>
      <c r="B65" s="30" t="s">
        <v>927</v>
      </c>
      <c r="C65" s="31" t="s">
        <v>943</v>
      </c>
      <c r="D65" s="32" t="s">
        <v>918</v>
      </c>
      <c r="E65" s="32">
        <v>120</v>
      </c>
      <c r="F65" s="32" t="s">
        <v>22</v>
      </c>
      <c r="G65" s="32" t="s">
        <v>907</v>
      </c>
      <c r="H65" s="32" t="s">
        <v>50</v>
      </c>
      <c r="I65" s="32" t="s">
        <v>62</v>
      </c>
      <c r="J65" s="30" t="s">
        <v>18</v>
      </c>
      <c r="K65" s="33">
        <f>IFERROR(AVERAGEIFS('[1]Controle de Produção'!$E:$E,'[1]Controle de Produção'!$N:$N,E65,'[1]Controle de Produção'!$S:$S,J65,'[1]Controle de Produção'!$R:$R,I65),0)</f>
        <v>907.28092268564944</v>
      </c>
      <c r="L65" s="33">
        <f>IFERROR(AVERAGEIFS('[1]Controle de Produção'!$E:$E,'[1]Controle de Produção'!$S:$S,J65,'[1]Controle de Produção'!$R:$R,I65),0)</f>
        <v>843.58780095852239</v>
      </c>
      <c r="M65" s="34">
        <v>80</v>
      </c>
      <c r="N65" s="35"/>
      <c r="O65" s="30" t="s">
        <v>914</v>
      </c>
      <c r="P65" s="33"/>
      <c r="Q65" s="33"/>
      <c r="R65" s="36" t="b">
        <v>1</v>
      </c>
      <c r="S65" s="36" t="b">
        <v>1</v>
      </c>
      <c r="T65" s="36" t="b">
        <v>1</v>
      </c>
      <c r="U65" s="36" t="b">
        <v>1</v>
      </c>
      <c r="V65" s="36" t="b">
        <v>1</v>
      </c>
      <c r="W65" s="33" t="s">
        <v>954</v>
      </c>
      <c r="X65" s="37"/>
      <c r="Y65" s="43">
        <v>1.08</v>
      </c>
      <c r="Z65" s="37"/>
      <c r="AA65" s="37"/>
      <c r="AB65" s="37"/>
      <c r="AC65" s="37"/>
      <c r="AD65" s="37"/>
      <c r="AE65" s="37"/>
      <c r="AF65" s="37"/>
      <c r="AG65" s="37"/>
      <c r="AH65" s="32"/>
    </row>
    <row r="66" spans="1:34" hidden="1" x14ac:dyDescent="0.25">
      <c r="A66" s="29"/>
      <c r="B66" s="30" t="s">
        <v>931</v>
      </c>
      <c r="C66" s="31" t="s">
        <v>944</v>
      </c>
      <c r="D66" s="32" t="s">
        <v>918</v>
      </c>
      <c r="E66" s="32">
        <v>120</v>
      </c>
      <c r="F66" s="32" t="s">
        <v>22</v>
      </c>
      <c r="G66" s="32" t="s">
        <v>907</v>
      </c>
      <c r="H66" s="32" t="s">
        <v>50</v>
      </c>
      <c r="I66" s="32" t="s">
        <v>62</v>
      </c>
      <c r="J66" s="30" t="s">
        <v>18</v>
      </c>
      <c r="K66" s="33">
        <f>IFERROR(AVERAGEIFS('[1]Controle de Produção'!$E:$E,'[1]Controle de Produção'!$N:$N,E66,'[1]Controle de Produção'!$S:$S,J66,'[1]Controle de Produção'!$R:$R,I66),0)</f>
        <v>907.28092268564944</v>
      </c>
      <c r="L66" s="33">
        <f>IFERROR(AVERAGEIFS('[1]Controle de Produção'!$E:$E,'[1]Controle de Produção'!$S:$S,J66,'[1]Controle de Produção'!$R:$R,I66),0)</f>
        <v>843.58780095852239</v>
      </c>
      <c r="M66" s="34">
        <v>80</v>
      </c>
      <c r="N66" s="35"/>
      <c r="O66" s="30" t="s">
        <v>929</v>
      </c>
      <c r="P66" s="33"/>
      <c r="Q66" s="33"/>
      <c r="R66" s="36" t="b">
        <v>1</v>
      </c>
      <c r="S66" s="36" t="b">
        <v>1</v>
      </c>
      <c r="T66" s="36" t="b">
        <v>1</v>
      </c>
      <c r="U66" s="36" t="b">
        <v>1</v>
      </c>
      <c r="V66" s="36" t="b">
        <v>1</v>
      </c>
      <c r="W66" s="33" t="s">
        <v>954</v>
      </c>
      <c r="X66" s="37"/>
      <c r="Y66" s="43">
        <v>1.08</v>
      </c>
      <c r="Z66" s="37"/>
      <c r="AA66" s="37"/>
      <c r="AB66" s="37"/>
      <c r="AC66" s="37"/>
      <c r="AD66" s="37"/>
      <c r="AE66" s="37"/>
      <c r="AF66" s="37"/>
      <c r="AG66" s="37"/>
      <c r="AH66" s="32"/>
    </row>
    <row r="67" spans="1:34" hidden="1" x14ac:dyDescent="0.25">
      <c r="A67" s="29"/>
      <c r="B67" s="30" t="s">
        <v>932</v>
      </c>
      <c r="C67" s="31" t="s">
        <v>945</v>
      </c>
      <c r="D67" s="32" t="s">
        <v>918</v>
      </c>
      <c r="E67" s="32">
        <v>120</v>
      </c>
      <c r="F67" s="32" t="s">
        <v>22</v>
      </c>
      <c r="G67" s="32" t="s">
        <v>907</v>
      </c>
      <c r="H67" s="32" t="s">
        <v>50</v>
      </c>
      <c r="I67" s="32" t="s">
        <v>62</v>
      </c>
      <c r="J67" s="30" t="s">
        <v>18</v>
      </c>
      <c r="K67" s="33">
        <f>IFERROR(AVERAGEIFS('[1]Controle de Produção'!$E:$E,'[1]Controle de Produção'!$N:$N,E67,'[1]Controle de Produção'!$S:$S,J67,'[1]Controle de Produção'!$R:$R,I67),0)</f>
        <v>907.28092268564944</v>
      </c>
      <c r="L67" s="33">
        <f>IFERROR(AVERAGEIFS('[1]Controle de Produção'!$E:$E,'[1]Controle de Produção'!$S:$S,J67,'[1]Controle de Produção'!$R:$R,I67),0)</f>
        <v>843.58780095852239</v>
      </c>
      <c r="M67" s="34">
        <v>80</v>
      </c>
      <c r="N67" s="35"/>
      <c r="O67" s="30" t="s">
        <v>930</v>
      </c>
      <c r="P67" s="33"/>
      <c r="Q67" s="33"/>
      <c r="R67" s="36" t="b">
        <v>1</v>
      </c>
      <c r="S67" s="36" t="b">
        <v>1</v>
      </c>
      <c r="T67" s="36" t="b">
        <v>1</v>
      </c>
      <c r="U67" s="36" t="b">
        <v>1</v>
      </c>
      <c r="V67" s="36" t="b">
        <v>1</v>
      </c>
      <c r="W67" s="33" t="s">
        <v>954</v>
      </c>
      <c r="X67" s="37"/>
      <c r="Y67" s="43">
        <v>1.08</v>
      </c>
      <c r="Z67" s="37"/>
      <c r="AA67" s="37"/>
      <c r="AB67" s="37"/>
      <c r="AC67" s="37"/>
      <c r="AD67" s="37"/>
      <c r="AE67" s="37"/>
      <c r="AF67" s="37"/>
      <c r="AG67" s="37"/>
      <c r="AH67" s="32"/>
    </row>
    <row r="68" spans="1:34" hidden="1" x14ac:dyDescent="0.25">
      <c r="A68" s="29"/>
      <c r="B68" s="30" t="s">
        <v>928</v>
      </c>
      <c r="C68" s="31" t="s">
        <v>922</v>
      </c>
      <c r="D68" s="32" t="s">
        <v>918</v>
      </c>
      <c r="E68" s="32">
        <v>60</v>
      </c>
      <c r="F68" s="32" t="s">
        <v>22</v>
      </c>
      <c r="G68" s="32" t="s">
        <v>907</v>
      </c>
      <c r="H68" s="32" t="s">
        <v>50</v>
      </c>
      <c r="I68" s="32" t="s">
        <v>497</v>
      </c>
      <c r="J68" s="30" t="s">
        <v>500</v>
      </c>
      <c r="K68" s="33">
        <f>IFERROR(AVERAGEIFS('[1]Controle de Produção'!$E:$E,'[1]Controle de Produção'!$N:$N,E68,'[1]Controle de Produção'!$S:$S,J68,'[1]Controle de Produção'!$R:$R,I68),0)</f>
        <v>674.69639400444999</v>
      </c>
      <c r="L68" s="33">
        <f>IFERROR(AVERAGEIFS('[1]Controle de Produção'!$E:$E,'[1]Controle de Produção'!$S:$S,J68,'[1]Controle de Produção'!$R:$R,I68),0)</f>
        <v>674.69639400444999</v>
      </c>
      <c r="M68" s="34">
        <v>120</v>
      </c>
      <c r="N68" s="35"/>
      <c r="O68" s="30" t="s">
        <v>915</v>
      </c>
      <c r="P68" s="33"/>
      <c r="Q68" s="33"/>
      <c r="R68" s="36" t="b">
        <v>1</v>
      </c>
      <c r="S68" s="36" t="b">
        <v>1</v>
      </c>
      <c r="T68" s="36" t="b">
        <v>1</v>
      </c>
      <c r="U68" s="36" t="b">
        <v>1</v>
      </c>
      <c r="V68" s="36" t="b">
        <v>1</v>
      </c>
      <c r="W68" s="33" t="s">
        <v>954</v>
      </c>
      <c r="X68" s="37"/>
      <c r="Y68" s="43">
        <v>1.5699999999999998</v>
      </c>
      <c r="Z68" s="37"/>
      <c r="AA68" s="37"/>
      <c r="AB68" s="37"/>
      <c r="AC68" s="37"/>
      <c r="AD68" s="37"/>
      <c r="AE68" s="37"/>
      <c r="AF68" s="37"/>
      <c r="AG68" s="37"/>
      <c r="AH68" s="32"/>
    </row>
    <row r="69" spans="1:34" hidden="1" x14ac:dyDescent="0.25">
      <c r="A69" s="29"/>
      <c r="B69" s="30" t="s">
        <v>946</v>
      </c>
      <c r="C69" s="31" t="s">
        <v>923</v>
      </c>
      <c r="D69" s="32" t="s">
        <v>918</v>
      </c>
      <c r="E69" s="32">
        <v>60</v>
      </c>
      <c r="F69" s="32" t="s">
        <v>22</v>
      </c>
      <c r="G69" s="32" t="s">
        <v>907</v>
      </c>
      <c r="H69" s="32" t="s">
        <v>50</v>
      </c>
      <c r="I69" s="32" t="s">
        <v>497</v>
      </c>
      <c r="J69" s="30" t="s">
        <v>500</v>
      </c>
      <c r="K69" s="33">
        <f>IFERROR(AVERAGEIFS('[1]Controle de Produção'!$E:$E,'[1]Controle de Produção'!$N:$N,E69,'[1]Controle de Produção'!$S:$S,J69,'[1]Controle de Produção'!$R:$R,I69),0)</f>
        <v>674.69639400444999</v>
      </c>
      <c r="L69" s="33">
        <f>IFERROR(AVERAGEIFS('[1]Controle de Produção'!$E:$E,'[1]Controle de Produção'!$S:$S,J69,'[1]Controle de Produção'!$R:$R,I69),0)</f>
        <v>674.69639400444999</v>
      </c>
      <c r="M69" s="34">
        <v>120</v>
      </c>
      <c r="N69" s="35"/>
      <c r="O69" s="30" t="s">
        <v>916</v>
      </c>
      <c r="P69" s="33"/>
      <c r="Q69" s="33"/>
      <c r="R69" s="36" t="b">
        <v>1</v>
      </c>
      <c r="S69" s="36" t="b">
        <v>1</v>
      </c>
      <c r="T69" s="36" t="b">
        <v>1</v>
      </c>
      <c r="U69" s="36" t="b">
        <v>1</v>
      </c>
      <c r="V69" s="36" t="b">
        <v>1</v>
      </c>
      <c r="W69" s="33" t="s">
        <v>954</v>
      </c>
      <c r="X69" s="37"/>
      <c r="Y69" s="43">
        <v>1.5699999999999998</v>
      </c>
      <c r="Z69" s="37"/>
      <c r="AA69" s="37"/>
      <c r="AB69" s="37"/>
      <c r="AC69" s="37"/>
      <c r="AD69" s="37"/>
      <c r="AE69" s="37"/>
      <c r="AF69" s="37"/>
      <c r="AG69" s="37"/>
      <c r="AH69" s="32"/>
    </row>
    <row r="70" spans="1:34" hidden="1" x14ac:dyDescent="0.25">
      <c r="A70" s="28"/>
      <c r="B70" s="30" t="s">
        <v>947</v>
      </c>
      <c r="C70" s="31" t="s">
        <v>924</v>
      </c>
      <c r="D70" s="32" t="s">
        <v>918</v>
      </c>
      <c r="E70" s="32">
        <v>60</v>
      </c>
      <c r="F70" s="32" t="s">
        <v>22</v>
      </c>
      <c r="G70" s="32" t="s">
        <v>907</v>
      </c>
      <c r="H70" s="32" t="s">
        <v>50</v>
      </c>
      <c r="I70" s="32" t="s">
        <v>497</v>
      </c>
      <c r="J70" s="30" t="s">
        <v>500</v>
      </c>
      <c r="K70" s="33">
        <f>IFERROR(AVERAGEIFS('[1]Controle de Produção'!$E:$E,'[1]Controle de Produção'!$N:$N,E70,'[1]Controle de Produção'!$S:$S,J70,'[1]Controle de Produção'!$R:$R,I70),0)</f>
        <v>674.69639400444999</v>
      </c>
      <c r="L70" s="33">
        <f>IFERROR(AVERAGEIFS('[1]Controle de Produção'!$E:$E,'[1]Controle de Produção'!$S:$S,J70,'[1]Controle de Produção'!$R:$R,I70),0)</f>
        <v>674.69639400444999</v>
      </c>
      <c r="M70" s="34">
        <v>120</v>
      </c>
      <c r="N70" s="35"/>
      <c r="O70" s="30" t="s">
        <v>917</v>
      </c>
      <c r="P70" s="33"/>
      <c r="Q70" s="33"/>
      <c r="R70" s="36" t="b">
        <v>1</v>
      </c>
      <c r="S70" s="36" t="b">
        <v>1</v>
      </c>
      <c r="T70" s="36" t="b">
        <v>1</v>
      </c>
      <c r="U70" s="36" t="b">
        <v>1</v>
      </c>
      <c r="V70" s="36" t="b">
        <v>1</v>
      </c>
      <c r="W70" s="33" t="s">
        <v>954</v>
      </c>
      <c r="X70" s="37"/>
      <c r="Y70" s="43">
        <v>1.5699999999999998</v>
      </c>
      <c r="Z70" s="37"/>
      <c r="AA70" s="37"/>
      <c r="AB70" s="37"/>
      <c r="AC70" s="37"/>
      <c r="AD70" s="37"/>
      <c r="AE70" s="37"/>
      <c r="AF70" s="37"/>
      <c r="AG70" s="37"/>
      <c r="AH70" s="32"/>
    </row>
    <row r="71" spans="1:34" hidden="1" x14ac:dyDescent="0.25">
      <c r="A71" s="28"/>
      <c r="B71" s="30" t="s">
        <v>424</v>
      </c>
      <c r="C71" s="31" t="s">
        <v>430</v>
      </c>
      <c r="D71" s="32" t="s">
        <v>436</v>
      </c>
      <c r="E71" s="30">
        <v>200</v>
      </c>
      <c r="F71" s="30" t="s">
        <v>22</v>
      </c>
      <c r="G71" s="32" t="s">
        <v>423</v>
      </c>
      <c r="H71" s="32" t="s">
        <v>50</v>
      </c>
      <c r="I71" s="32" t="s">
        <v>62</v>
      </c>
      <c r="J71" s="30" t="s">
        <v>18</v>
      </c>
      <c r="K71" s="33">
        <f>IFERROR(AVERAGEIFS('[1]Controle de Produção'!$E:$E,'[1]Controle de Produção'!$N:$N,E71,'[1]Controle de Produção'!$S:$S,J71,'[1]Controle de Produção'!$R:$R,I71),0)</f>
        <v>936.45348453259976</v>
      </c>
      <c r="L71" s="33">
        <f>IFERROR(AVERAGEIFS('[1]Controle de Produção'!$E:$E,'[1]Controle de Produção'!$S:$S,J71,'[1]Controle de Produção'!$R:$R,I71),0)</f>
        <v>843.58780095852239</v>
      </c>
      <c r="M71" s="34">
        <v>12</v>
      </c>
      <c r="N71" s="35"/>
      <c r="O71" s="30"/>
      <c r="P71" s="33"/>
      <c r="Q71" s="33"/>
      <c r="R71" s="36" t="b">
        <v>1</v>
      </c>
      <c r="S71" s="36" t="b">
        <v>1</v>
      </c>
      <c r="T71" s="36" t="b">
        <v>1</v>
      </c>
      <c r="U71" s="36" t="b">
        <v>1</v>
      </c>
      <c r="V71" s="36" t="b">
        <v>1</v>
      </c>
      <c r="W71" s="33" t="s">
        <v>954</v>
      </c>
      <c r="X71" s="37"/>
      <c r="Y71" s="43">
        <v>1.7000000000000002</v>
      </c>
      <c r="Z71" s="37"/>
      <c r="AA71" s="37"/>
      <c r="AB71" s="37"/>
      <c r="AC71" s="37"/>
      <c r="AD71" s="37"/>
      <c r="AE71" s="37"/>
      <c r="AF71" s="37"/>
      <c r="AG71" s="37"/>
      <c r="AH71" s="32"/>
    </row>
    <row r="72" spans="1:34" hidden="1" x14ac:dyDescent="0.25">
      <c r="A72" s="28"/>
      <c r="B72" s="30" t="s">
        <v>425</v>
      </c>
      <c r="C72" s="31" t="s">
        <v>431</v>
      </c>
      <c r="D72" s="32" t="s">
        <v>436</v>
      </c>
      <c r="E72" s="30">
        <v>200</v>
      </c>
      <c r="F72" s="30" t="s">
        <v>22</v>
      </c>
      <c r="G72" s="32" t="s">
        <v>423</v>
      </c>
      <c r="H72" s="32" t="s">
        <v>50</v>
      </c>
      <c r="I72" s="32" t="s">
        <v>62</v>
      </c>
      <c r="J72" s="30" t="s">
        <v>18</v>
      </c>
      <c r="K72" s="33">
        <f>IFERROR(AVERAGEIFS('[1]Controle de Produção'!$E:$E,'[1]Controle de Produção'!$N:$N,E72,'[1]Controle de Produção'!$S:$S,J72,'[1]Controle de Produção'!$R:$R,I72),0)</f>
        <v>936.45348453259976</v>
      </c>
      <c r="L72" s="33">
        <f>IFERROR(AVERAGEIFS('[1]Controle de Produção'!$E:$E,'[1]Controle de Produção'!$S:$S,J72,'[1]Controle de Produção'!$R:$R,I72),0)</f>
        <v>843.58780095852239</v>
      </c>
      <c r="M72" s="34">
        <v>12</v>
      </c>
      <c r="N72" s="35"/>
      <c r="O72" s="30"/>
      <c r="P72" s="33"/>
      <c r="Q72" s="33"/>
      <c r="R72" s="36" t="b">
        <v>1</v>
      </c>
      <c r="S72" s="36" t="b">
        <v>1</v>
      </c>
      <c r="T72" s="36" t="b">
        <v>1</v>
      </c>
      <c r="U72" s="36" t="b">
        <v>1</v>
      </c>
      <c r="V72" s="36" t="b">
        <v>1</v>
      </c>
      <c r="W72" s="33" t="s">
        <v>954</v>
      </c>
      <c r="X72" s="37"/>
      <c r="Y72" s="43">
        <v>1.7000000000000002</v>
      </c>
      <c r="Z72" s="37"/>
      <c r="AA72" s="37"/>
      <c r="AB72" s="37"/>
      <c r="AC72" s="37"/>
      <c r="AD72" s="37"/>
      <c r="AE72" s="37"/>
      <c r="AF72" s="37"/>
      <c r="AG72" s="37"/>
      <c r="AH72" s="32"/>
    </row>
    <row r="73" spans="1:34" hidden="1" x14ac:dyDescent="0.25">
      <c r="A73" s="28"/>
      <c r="B73" s="30" t="s">
        <v>426</v>
      </c>
      <c r="C73" s="31" t="s">
        <v>432</v>
      </c>
      <c r="D73" s="32" t="s">
        <v>436</v>
      </c>
      <c r="E73" s="30">
        <v>200</v>
      </c>
      <c r="F73" s="30" t="s">
        <v>22</v>
      </c>
      <c r="G73" s="32" t="s">
        <v>423</v>
      </c>
      <c r="H73" s="32" t="s">
        <v>50</v>
      </c>
      <c r="I73" s="32" t="s">
        <v>62</v>
      </c>
      <c r="J73" s="30" t="s">
        <v>18</v>
      </c>
      <c r="K73" s="33">
        <f>IFERROR(AVERAGEIFS('[1]Controle de Produção'!$E:$E,'[1]Controle de Produção'!$N:$N,E73,'[1]Controle de Produção'!$S:$S,J73,'[1]Controle de Produção'!$R:$R,I73),0)</f>
        <v>936.45348453259976</v>
      </c>
      <c r="L73" s="33">
        <f>IFERROR(AVERAGEIFS('[1]Controle de Produção'!$E:$E,'[1]Controle de Produção'!$S:$S,J73,'[1]Controle de Produção'!$R:$R,I73),0)</f>
        <v>843.58780095852239</v>
      </c>
      <c r="M73" s="34">
        <v>12</v>
      </c>
      <c r="N73" s="35"/>
      <c r="O73" s="30"/>
      <c r="P73" s="33"/>
      <c r="Q73" s="33"/>
      <c r="R73" s="36" t="b">
        <v>1</v>
      </c>
      <c r="S73" s="36" t="b">
        <v>1</v>
      </c>
      <c r="T73" s="36" t="b">
        <v>1</v>
      </c>
      <c r="U73" s="36" t="b">
        <v>1</v>
      </c>
      <c r="V73" s="36" t="b">
        <v>1</v>
      </c>
      <c r="W73" s="33" t="s">
        <v>954</v>
      </c>
      <c r="X73" s="37"/>
      <c r="Y73" s="43">
        <v>1.7000000000000002</v>
      </c>
      <c r="Z73" s="37"/>
      <c r="AA73" s="37"/>
      <c r="AB73" s="37"/>
      <c r="AC73" s="37"/>
      <c r="AD73" s="37"/>
      <c r="AE73" s="37"/>
      <c r="AF73" s="37"/>
      <c r="AG73" s="37"/>
      <c r="AH73" s="32"/>
    </row>
    <row r="74" spans="1:34" hidden="1" x14ac:dyDescent="0.25">
      <c r="A74" s="28"/>
      <c r="B74" s="30" t="s">
        <v>427</v>
      </c>
      <c r="C74" s="31" t="s">
        <v>433</v>
      </c>
      <c r="D74" s="32" t="s">
        <v>436</v>
      </c>
      <c r="E74" s="30">
        <v>200</v>
      </c>
      <c r="F74" s="30" t="s">
        <v>22</v>
      </c>
      <c r="G74" s="32" t="s">
        <v>423</v>
      </c>
      <c r="H74" s="32" t="s">
        <v>50</v>
      </c>
      <c r="I74" s="32" t="s">
        <v>62</v>
      </c>
      <c r="J74" s="30" t="s">
        <v>18</v>
      </c>
      <c r="K74" s="33">
        <f>IFERROR(AVERAGEIFS('[1]Controle de Produção'!$E:$E,'[1]Controle de Produção'!$N:$N,E74,'[1]Controle de Produção'!$S:$S,J74,'[1]Controle de Produção'!$R:$R,I74),0)</f>
        <v>936.45348453259976</v>
      </c>
      <c r="L74" s="33">
        <f>IFERROR(AVERAGEIFS('[1]Controle de Produção'!$E:$E,'[1]Controle de Produção'!$S:$S,J74,'[1]Controle de Produção'!$R:$R,I74),0)</f>
        <v>843.58780095852239</v>
      </c>
      <c r="M74" s="34">
        <v>12</v>
      </c>
      <c r="N74" s="35"/>
      <c r="O74" s="30"/>
      <c r="P74" s="33"/>
      <c r="Q74" s="33"/>
      <c r="R74" s="36" t="b">
        <v>1</v>
      </c>
      <c r="S74" s="36" t="b">
        <v>1</v>
      </c>
      <c r="T74" s="36" t="b">
        <v>1</v>
      </c>
      <c r="U74" s="36" t="b">
        <v>1</v>
      </c>
      <c r="V74" s="36" t="b">
        <v>1</v>
      </c>
      <c r="W74" s="33" t="s">
        <v>954</v>
      </c>
      <c r="X74" s="37"/>
      <c r="Y74" s="43">
        <v>1.7000000000000002</v>
      </c>
      <c r="Z74" s="37"/>
      <c r="AA74" s="37"/>
      <c r="AB74" s="37"/>
      <c r="AC74" s="37"/>
      <c r="AD74" s="37"/>
      <c r="AE74" s="37"/>
      <c r="AF74" s="37"/>
      <c r="AG74" s="37"/>
      <c r="AH74" s="32"/>
    </row>
    <row r="75" spans="1:34" hidden="1" x14ac:dyDescent="0.25">
      <c r="A75" s="28"/>
      <c r="B75" s="30" t="s">
        <v>428</v>
      </c>
      <c r="C75" s="31" t="s">
        <v>434</v>
      </c>
      <c r="D75" s="32" t="s">
        <v>436</v>
      </c>
      <c r="E75" s="30">
        <v>200</v>
      </c>
      <c r="F75" s="30" t="s">
        <v>22</v>
      </c>
      <c r="G75" s="32" t="s">
        <v>423</v>
      </c>
      <c r="H75" s="32" t="s">
        <v>50</v>
      </c>
      <c r="I75" s="32" t="s">
        <v>62</v>
      </c>
      <c r="J75" s="30" t="s">
        <v>18</v>
      </c>
      <c r="K75" s="33">
        <f>IFERROR(AVERAGEIFS('[1]Controle de Produção'!$E:$E,'[1]Controle de Produção'!$N:$N,E75,'[1]Controle de Produção'!$S:$S,J75,'[1]Controle de Produção'!$R:$R,I75),0)</f>
        <v>936.45348453259976</v>
      </c>
      <c r="L75" s="33">
        <f>IFERROR(AVERAGEIFS('[1]Controle de Produção'!$E:$E,'[1]Controle de Produção'!$S:$S,J75,'[1]Controle de Produção'!$R:$R,I75),0)</f>
        <v>843.58780095852239</v>
      </c>
      <c r="M75" s="34">
        <v>12</v>
      </c>
      <c r="N75" s="35"/>
      <c r="O75" s="30"/>
      <c r="P75" s="33"/>
      <c r="Q75" s="33"/>
      <c r="R75" s="36" t="b">
        <v>1</v>
      </c>
      <c r="S75" s="36" t="b">
        <v>1</v>
      </c>
      <c r="T75" s="36" t="b">
        <v>1</v>
      </c>
      <c r="U75" s="36" t="b">
        <v>1</v>
      </c>
      <c r="V75" s="36" t="b">
        <v>1</v>
      </c>
      <c r="W75" s="33" t="s">
        <v>954</v>
      </c>
      <c r="X75" s="37"/>
      <c r="Y75" s="43">
        <v>1.7000000000000002</v>
      </c>
      <c r="Z75" s="37"/>
      <c r="AA75" s="37"/>
      <c r="AB75" s="37"/>
      <c r="AC75" s="37"/>
      <c r="AD75" s="37"/>
      <c r="AE75" s="37"/>
      <c r="AF75" s="37"/>
      <c r="AG75" s="37"/>
      <c r="AH75" s="32"/>
    </row>
    <row r="76" spans="1:34" hidden="1" x14ac:dyDescent="0.25">
      <c r="A76" s="28"/>
      <c r="B76" s="30" t="s">
        <v>429</v>
      </c>
      <c r="C76" s="31" t="s">
        <v>435</v>
      </c>
      <c r="D76" s="32" t="s">
        <v>436</v>
      </c>
      <c r="E76" s="30">
        <v>200</v>
      </c>
      <c r="F76" s="30" t="s">
        <v>22</v>
      </c>
      <c r="G76" s="32" t="s">
        <v>423</v>
      </c>
      <c r="H76" s="32" t="s">
        <v>50</v>
      </c>
      <c r="I76" s="32" t="s">
        <v>62</v>
      </c>
      <c r="J76" s="30" t="s">
        <v>18</v>
      </c>
      <c r="K76" s="33">
        <f>IFERROR(AVERAGEIFS('[1]Controle de Produção'!$E:$E,'[1]Controle de Produção'!$N:$N,E76,'[1]Controle de Produção'!$S:$S,J76,'[1]Controle de Produção'!$R:$R,I76),0)</f>
        <v>936.45348453259976</v>
      </c>
      <c r="L76" s="33">
        <f>IFERROR(AVERAGEIFS('[1]Controle de Produção'!$E:$E,'[1]Controle de Produção'!$S:$S,J76,'[1]Controle de Produção'!$R:$R,I76),0)</f>
        <v>843.58780095852239</v>
      </c>
      <c r="M76" s="34">
        <v>12</v>
      </c>
      <c r="N76" s="35"/>
      <c r="O76" s="30"/>
      <c r="P76" s="33"/>
      <c r="Q76" s="33"/>
      <c r="R76" s="36" t="b">
        <v>1</v>
      </c>
      <c r="S76" s="36" t="b">
        <v>1</v>
      </c>
      <c r="T76" s="36" t="b">
        <v>1</v>
      </c>
      <c r="U76" s="36" t="b">
        <v>1</v>
      </c>
      <c r="V76" s="36" t="b">
        <v>1</v>
      </c>
      <c r="W76" s="33" t="s">
        <v>954</v>
      </c>
      <c r="X76" s="37"/>
      <c r="Y76" s="43">
        <v>1.7000000000000002</v>
      </c>
      <c r="Z76" s="37"/>
      <c r="AA76" s="37"/>
      <c r="AB76" s="37"/>
      <c r="AC76" s="37"/>
      <c r="AD76" s="37"/>
      <c r="AE76" s="37"/>
      <c r="AF76" s="37"/>
      <c r="AG76" s="37"/>
      <c r="AH76" s="32"/>
    </row>
    <row r="77" spans="1:34" hidden="1" x14ac:dyDescent="0.25">
      <c r="A77" s="28"/>
      <c r="B77" s="30" t="s">
        <v>29</v>
      </c>
      <c r="C77" s="31" t="s">
        <v>30</v>
      </c>
      <c r="D77" s="32" t="s">
        <v>31</v>
      </c>
      <c r="E77" s="32">
        <v>30</v>
      </c>
      <c r="F77" s="32" t="s">
        <v>22</v>
      </c>
      <c r="G77" s="32" t="s">
        <v>23</v>
      </c>
      <c r="H77" s="32" t="s">
        <v>10</v>
      </c>
      <c r="I77" s="32" t="s">
        <v>32</v>
      </c>
      <c r="J77" s="30" t="s">
        <v>18</v>
      </c>
      <c r="K77" s="33">
        <f>IFERROR(AVERAGEIFS('[1]Controle de Produção'!$E:$E,'[1]Controle de Produção'!$N:$N,E77,'[1]Controle de Produção'!$S:$S,J77,'[1]Controle de Produção'!$R:$R,I77),0)</f>
        <v>836.63768114581433</v>
      </c>
      <c r="L77" s="33">
        <f>IFERROR(AVERAGEIFS('[1]Controle de Produção'!$E:$E,'[1]Controle de Produção'!$S:$S,J77,'[1]Controle de Produção'!$R:$R,I77),0)</f>
        <v>699.29256292632215</v>
      </c>
      <c r="M77" s="34"/>
      <c r="N77" s="35"/>
      <c r="O77" s="30"/>
      <c r="P77" s="33"/>
      <c r="Q77" s="33"/>
      <c r="R77" s="36" t="b">
        <v>0</v>
      </c>
      <c r="S77" s="36" t="b">
        <v>0</v>
      </c>
      <c r="T77" s="36" t="b">
        <v>0</v>
      </c>
      <c r="U77" s="36" t="b">
        <v>0</v>
      </c>
      <c r="V77" s="36" t="b">
        <v>0</v>
      </c>
      <c r="W77" s="33" t="s">
        <v>953</v>
      </c>
      <c r="X77" s="37"/>
      <c r="Y77" s="43"/>
      <c r="Z77" s="37"/>
      <c r="AA77" s="37"/>
      <c r="AB77" s="37"/>
      <c r="AC77" s="37"/>
      <c r="AD77" s="37"/>
      <c r="AE77" s="37"/>
      <c r="AF77" s="37"/>
      <c r="AG77" s="37"/>
      <c r="AH77" s="32"/>
    </row>
    <row r="78" spans="1:34" hidden="1" x14ac:dyDescent="0.25">
      <c r="A78" s="29"/>
      <c r="B78" s="30" t="s">
        <v>33</v>
      </c>
      <c r="C78" s="31" t="s">
        <v>34</v>
      </c>
      <c r="D78" s="32" t="s">
        <v>31</v>
      </c>
      <c r="E78" s="32">
        <v>30</v>
      </c>
      <c r="F78" s="32" t="s">
        <v>22</v>
      </c>
      <c r="G78" s="32" t="s">
        <v>23</v>
      </c>
      <c r="H78" s="32" t="s">
        <v>10</v>
      </c>
      <c r="I78" s="32" t="s">
        <v>32</v>
      </c>
      <c r="J78" s="30" t="s">
        <v>18</v>
      </c>
      <c r="K78" s="33">
        <f>IFERROR(AVERAGEIFS('[1]Controle de Produção'!$E:$E,'[1]Controle de Produção'!$N:$N,E78,'[1]Controle de Produção'!$S:$S,J78,'[1]Controle de Produção'!$R:$R,I78),0)</f>
        <v>836.63768114581433</v>
      </c>
      <c r="L78" s="33">
        <f>IFERROR(AVERAGEIFS('[1]Controle de Produção'!$E:$E,'[1]Controle de Produção'!$S:$S,J78,'[1]Controle de Produção'!$R:$R,I78),0)</f>
        <v>699.29256292632215</v>
      </c>
      <c r="M78" s="34"/>
      <c r="N78" s="35"/>
      <c r="O78" s="30"/>
      <c r="P78" s="33"/>
      <c r="Q78" s="33"/>
      <c r="R78" s="36" t="b">
        <v>0</v>
      </c>
      <c r="S78" s="36" t="b">
        <v>0</v>
      </c>
      <c r="T78" s="36" t="b">
        <v>0</v>
      </c>
      <c r="U78" s="36" t="b">
        <v>0</v>
      </c>
      <c r="V78" s="36" t="b">
        <v>0</v>
      </c>
      <c r="W78" s="33" t="s">
        <v>953</v>
      </c>
      <c r="X78" s="37"/>
      <c r="Y78" s="43"/>
      <c r="Z78" s="37"/>
      <c r="AA78" s="37"/>
      <c r="AB78" s="37"/>
      <c r="AC78" s="37"/>
      <c r="AD78" s="37"/>
      <c r="AE78" s="37"/>
      <c r="AF78" s="37"/>
      <c r="AG78" s="37"/>
      <c r="AH78" s="32"/>
    </row>
    <row r="79" spans="1:34" hidden="1" x14ac:dyDescent="0.25">
      <c r="A79" s="29"/>
      <c r="B79" s="30" t="s">
        <v>35</v>
      </c>
      <c r="C79" s="31" t="s">
        <v>36</v>
      </c>
      <c r="D79" s="32" t="s">
        <v>31</v>
      </c>
      <c r="E79" s="32">
        <v>30</v>
      </c>
      <c r="F79" s="32" t="s">
        <v>22</v>
      </c>
      <c r="G79" s="32" t="s">
        <v>23</v>
      </c>
      <c r="H79" s="32" t="s">
        <v>10</v>
      </c>
      <c r="I79" s="32" t="s">
        <v>32</v>
      </c>
      <c r="J79" s="30" t="s">
        <v>18</v>
      </c>
      <c r="K79" s="33">
        <f>IFERROR(AVERAGEIFS('[1]Controle de Produção'!$E:$E,'[1]Controle de Produção'!$N:$N,E79,'[1]Controle de Produção'!$S:$S,J79,'[1]Controle de Produção'!$R:$R,I79),0)</f>
        <v>836.63768114581433</v>
      </c>
      <c r="L79" s="33">
        <f>IFERROR(AVERAGEIFS('[1]Controle de Produção'!$E:$E,'[1]Controle de Produção'!$S:$S,J79,'[1]Controle de Produção'!$R:$R,I79),0)</f>
        <v>699.29256292632215</v>
      </c>
      <c r="M79" s="34"/>
      <c r="N79" s="35"/>
      <c r="O79" s="30"/>
      <c r="P79" s="33"/>
      <c r="Q79" s="33"/>
      <c r="R79" s="36" t="b">
        <v>0</v>
      </c>
      <c r="S79" s="36" t="b">
        <v>0</v>
      </c>
      <c r="T79" s="36" t="b">
        <v>0</v>
      </c>
      <c r="U79" s="36" t="b">
        <v>0</v>
      </c>
      <c r="V79" s="36" t="b">
        <v>0</v>
      </c>
      <c r="W79" s="33" t="s">
        <v>953</v>
      </c>
      <c r="X79" s="37"/>
      <c r="Y79" s="43"/>
      <c r="Z79" s="37"/>
      <c r="AA79" s="37"/>
      <c r="AB79" s="37"/>
      <c r="AC79" s="37"/>
      <c r="AD79" s="37"/>
      <c r="AE79" s="37"/>
      <c r="AF79" s="37"/>
      <c r="AG79" s="37"/>
      <c r="AH79" s="32"/>
    </row>
    <row r="80" spans="1:34" hidden="1" x14ac:dyDescent="0.25">
      <c r="A80" s="29"/>
      <c r="B80" s="30" t="s">
        <v>37</v>
      </c>
      <c r="C80" s="31" t="s">
        <v>38</v>
      </c>
      <c r="D80" s="32" t="s">
        <v>31</v>
      </c>
      <c r="E80" s="32">
        <v>30</v>
      </c>
      <c r="F80" s="32" t="s">
        <v>22</v>
      </c>
      <c r="G80" s="32" t="s">
        <v>23</v>
      </c>
      <c r="H80" s="32" t="s">
        <v>10</v>
      </c>
      <c r="I80" s="32" t="s">
        <v>32</v>
      </c>
      <c r="J80" s="30" t="s">
        <v>18</v>
      </c>
      <c r="K80" s="33">
        <f>IFERROR(AVERAGEIFS('[1]Controle de Produção'!$E:$E,'[1]Controle de Produção'!$N:$N,E80,'[1]Controle de Produção'!$S:$S,J80,'[1]Controle de Produção'!$R:$R,I80),0)</f>
        <v>836.63768114581433</v>
      </c>
      <c r="L80" s="33">
        <f>IFERROR(AVERAGEIFS('[1]Controle de Produção'!$E:$E,'[1]Controle de Produção'!$S:$S,J80,'[1]Controle de Produção'!$R:$R,I80),0)</f>
        <v>699.29256292632215</v>
      </c>
      <c r="M80" s="34"/>
      <c r="N80" s="35"/>
      <c r="O80" s="30"/>
      <c r="P80" s="33"/>
      <c r="Q80" s="33"/>
      <c r="R80" s="36" t="b">
        <v>0</v>
      </c>
      <c r="S80" s="36" t="b">
        <v>0</v>
      </c>
      <c r="T80" s="36" t="b">
        <v>0</v>
      </c>
      <c r="U80" s="36" t="b">
        <v>0</v>
      </c>
      <c r="V80" s="36" t="b">
        <v>0</v>
      </c>
      <c r="W80" s="33" t="s">
        <v>953</v>
      </c>
      <c r="X80" s="37"/>
      <c r="Y80" s="43"/>
      <c r="Z80" s="37"/>
      <c r="AA80" s="37"/>
      <c r="AB80" s="37"/>
      <c r="AC80" s="37"/>
      <c r="AD80" s="37"/>
      <c r="AE80" s="37"/>
      <c r="AF80" s="37"/>
      <c r="AG80" s="37"/>
      <c r="AH80" s="32"/>
    </row>
    <row r="81" spans="1:34" hidden="1" x14ac:dyDescent="0.25">
      <c r="A81" s="29"/>
      <c r="B81" s="30" t="s">
        <v>39</v>
      </c>
      <c r="C81" s="31" t="s">
        <v>40</v>
      </c>
      <c r="D81" s="32" t="s">
        <v>31</v>
      </c>
      <c r="E81" s="32">
        <v>30</v>
      </c>
      <c r="F81" s="32" t="s">
        <v>22</v>
      </c>
      <c r="G81" s="32" t="s">
        <v>23</v>
      </c>
      <c r="H81" s="32" t="s">
        <v>10</v>
      </c>
      <c r="I81" s="38" t="s">
        <v>41</v>
      </c>
      <c r="J81" s="32" t="s">
        <v>25</v>
      </c>
      <c r="K81" s="33">
        <f>IFERROR(AVERAGEIFS('[1]Controle de Produção'!$E:$E,'[1]Controle de Produção'!$N:$N,E81,'[1]Controle de Produção'!$S:$S,J81,'[1]Controle de Produção'!$R:$R,I81),0)</f>
        <v>990.13690474819975</v>
      </c>
      <c r="L81" s="33">
        <f>IFERROR(AVERAGEIFS('[1]Controle de Produção'!$E:$E,'[1]Controle de Produção'!$S:$S,J81,'[1]Controle de Produção'!$R:$R,I81),0)</f>
        <v>613.39886035164977</v>
      </c>
      <c r="M81" s="34"/>
      <c r="N81" s="35"/>
      <c r="O81" s="30"/>
      <c r="P81" s="33"/>
      <c r="Q81" s="33"/>
      <c r="R81" s="36" t="b">
        <v>0</v>
      </c>
      <c r="S81" s="36" t="b">
        <v>0</v>
      </c>
      <c r="T81" s="36" t="b">
        <v>0</v>
      </c>
      <c r="U81" s="36" t="b">
        <v>0</v>
      </c>
      <c r="V81" s="36" t="b">
        <v>0</v>
      </c>
      <c r="W81" s="33" t="s">
        <v>953</v>
      </c>
      <c r="X81" s="37"/>
      <c r="Y81" s="43"/>
      <c r="Z81" s="37"/>
      <c r="AA81" s="37"/>
      <c r="AB81" s="37"/>
      <c r="AC81" s="37"/>
      <c r="AD81" s="37"/>
      <c r="AE81" s="37"/>
      <c r="AF81" s="37"/>
      <c r="AG81" s="37"/>
      <c r="AH81" s="32"/>
    </row>
    <row r="82" spans="1:34" hidden="1" x14ac:dyDescent="0.25">
      <c r="A82" s="29"/>
      <c r="B82" s="30" t="s">
        <v>42</v>
      </c>
      <c r="C82" s="31" t="s">
        <v>43</v>
      </c>
      <c r="D82" s="32" t="s">
        <v>31</v>
      </c>
      <c r="E82" s="32">
        <v>30</v>
      </c>
      <c r="F82" s="32" t="s">
        <v>22</v>
      </c>
      <c r="G82" s="32" t="s">
        <v>23</v>
      </c>
      <c r="H82" s="32" t="s">
        <v>10</v>
      </c>
      <c r="I82" s="38" t="s">
        <v>41</v>
      </c>
      <c r="J82" s="32" t="s">
        <v>25</v>
      </c>
      <c r="K82" s="33">
        <f>IFERROR(AVERAGEIFS('[1]Controle de Produção'!$E:$E,'[1]Controle de Produção'!$N:$N,E82,'[1]Controle de Produção'!$S:$S,J82,'[1]Controle de Produção'!$R:$R,I82),0)</f>
        <v>990.13690474819975</v>
      </c>
      <c r="L82" s="33">
        <f>IFERROR(AVERAGEIFS('[1]Controle de Produção'!$E:$E,'[1]Controle de Produção'!$S:$S,J82,'[1]Controle de Produção'!$R:$R,I82),0)</f>
        <v>613.39886035164977</v>
      </c>
      <c r="M82" s="34"/>
      <c r="N82" s="35"/>
      <c r="O82" s="30"/>
      <c r="P82" s="33"/>
      <c r="Q82" s="33"/>
      <c r="R82" s="36" t="b">
        <v>0</v>
      </c>
      <c r="S82" s="36" t="b">
        <v>0</v>
      </c>
      <c r="T82" s="36" t="b">
        <v>0</v>
      </c>
      <c r="U82" s="36" t="b">
        <v>0</v>
      </c>
      <c r="V82" s="36" t="b">
        <v>0</v>
      </c>
      <c r="W82" s="33" t="s">
        <v>953</v>
      </c>
      <c r="X82" s="37"/>
      <c r="Y82" s="43"/>
      <c r="Z82" s="37"/>
      <c r="AA82" s="37"/>
      <c r="AB82" s="37"/>
      <c r="AC82" s="37"/>
      <c r="AD82" s="37"/>
      <c r="AE82" s="37"/>
      <c r="AF82" s="37"/>
      <c r="AG82" s="37"/>
      <c r="AH82" s="32"/>
    </row>
    <row r="83" spans="1:34" hidden="1" x14ac:dyDescent="0.25">
      <c r="A83" s="29"/>
      <c r="B83" s="30" t="s">
        <v>44</v>
      </c>
      <c r="C83" s="31" t="s">
        <v>45</v>
      </c>
      <c r="D83" s="32" t="s">
        <v>31</v>
      </c>
      <c r="E83" s="32">
        <v>30</v>
      </c>
      <c r="F83" s="32" t="s">
        <v>22</v>
      </c>
      <c r="G83" s="32" t="s">
        <v>23</v>
      </c>
      <c r="H83" s="32" t="s">
        <v>10</v>
      </c>
      <c r="I83" s="38" t="s">
        <v>41</v>
      </c>
      <c r="J83" s="32" t="s">
        <v>25</v>
      </c>
      <c r="K83" s="33">
        <f>IFERROR(AVERAGEIFS('[1]Controle de Produção'!$E:$E,'[1]Controle de Produção'!$N:$N,E83,'[1]Controle de Produção'!$S:$S,J83,'[1]Controle de Produção'!$R:$R,I83),0)</f>
        <v>990.13690474819975</v>
      </c>
      <c r="L83" s="33">
        <f>IFERROR(AVERAGEIFS('[1]Controle de Produção'!$E:$E,'[1]Controle de Produção'!$S:$S,J83,'[1]Controle de Produção'!$R:$R,I83),0)</f>
        <v>613.39886035164977</v>
      </c>
      <c r="M83" s="34"/>
      <c r="N83" s="35"/>
      <c r="O83" s="30"/>
      <c r="P83" s="33"/>
      <c r="Q83" s="33"/>
      <c r="R83" s="36" t="b">
        <v>0</v>
      </c>
      <c r="S83" s="36" t="b">
        <v>0</v>
      </c>
      <c r="T83" s="36" t="b">
        <v>0</v>
      </c>
      <c r="U83" s="36" t="b">
        <v>0</v>
      </c>
      <c r="V83" s="36" t="b">
        <v>0</v>
      </c>
      <c r="W83" s="33" t="s">
        <v>953</v>
      </c>
      <c r="X83" s="37"/>
      <c r="Y83" s="43"/>
      <c r="Z83" s="37"/>
      <c r="AA83" s="37"/>
      <c r="AB83" s="37"/>
      <c r="AC83" s="37"/>
      <c r="AD83" s="37"/>
      <c r="AE83" s="37"/>
      <c r="AF83" s="37"/>
      <c r="AG83" s="37"/>
      <c r="AH83" s="32"/>
    </row>
    <row r="84" spans="1:34" hidden="1" x14ac:dyDescent="0.25">
      <c r="A84" s="29"/>
      <c r="B84" s="30" t="s">
        <v>46</v>
      </c>
      <c r="C84" s="31" t="s">
        <v>47</v>
      </c>
      <c r="D84" s="32" t="s">
        <v>31</v>
      </c>
      <c r="E84" s="32">
        <v>30</v>
      </c>
      <c r="F84" s="32" t="s">
        <v>22</v>
      </c>
      <c r="G84" s="32" t="s">
        <v>23</v>
      </c>
      <c r="H84" s="32" t="s">
        <v>10</v>
      </c>
      <c r="I84" s="38" t="s">
        <v>41</v>
      </c>
      <c r="J84" s="32" t="s">
        <v>25</v>
      </c>
      <c r="K84" s="33">
        <f>IFERROR(AVERAGEIFS('[1]Controle de Produção'!$E:$E,'[1]Controle de Produção'!$N:$N,E84,'[1]Controle de Produção'!$S:$S,J84,'[1]Controle de Produção'!$R:$R,I84),0)</f>
        <v>990.13690474819975</v>
      </c>
      <c r="L84" s="33">
        <f>IFERROR(AVERAGEIFS('[1]Controle de Produção'!$E:$E,'[1]Controle de Produção'!$S:$S,J84,'[1]Controle de Produção'!$R:$R,I84),0)</f>
        <v>613.39886035164977</v>
      </c>
      <c r="M84" s="34"/>
      <c r="N84" s="35"/>
      <c r="O84" s="30"/>
      <c r="P84" s="33"/>
      <c r="Q84" s="33"/>
      <c r="R84" s="36" t="b">
        <v>0</v>
      </c>
      <c r="S84" s="36" t="b">
        <v>0</v>
      </c>
      <c r="T84" s="36" t="b">
        <v>0</v>
      </c>
      <c r="U84" s="36" t="b">
        <v>0</v>
      </c>
      <c r="V84" s="36" t="b">
        <v>0</v>
      </c>
      <c r="W84" s="33" t="s">
        <v>953</v>
      </c>
      <c r="X84" s="37"/>
      <c r="Y84" s="43"/>
      <c r="Z84" s="37"/>
      <c r="AA84" s="37"/>
      <c r="AB84" s="37"/>
      <c r="AC84" s="37"/>
      <c r="AD84" s="37"/>
      <c r="AE84" s="37"/>
      <c r="AF84" s="37"/>
      <c r="AG84" s="37"/>
      <c r="AH84" s="32"/>
    </row>
    <row r="85" spans="1:34" hidden="1" x14ac:dyDescent="0.25">
      <c r="A85" s="29"/>
      <c r="B85" s="30" t="s">
        <v>48</v>
      </c>
      <c r="C85" s="31" t="s">
        <v>49</v>
      </c>
      <c r="D85" s="32" t="s">
        <v>31</v>
      </c>
      <c r="E85" s="32">
        <v>40</v>
      </c>
      <c r="F85" s="32" t="s">
        <v>22</v>
      </c>
      <c r="G85" s="32" t="s">
        <v>23</v>
      </c>
      <c r="H85" s="32" t="s">
        <v>50</v>
      </c>
      <c r="I85" s="32" t="s">
        <v>51</v>
      </c>
      <c r="J85" s="30" t="s">
        <v>18</v>
      </c>
      <c r="K85" s="33">
        <f>IFERROR(AVERAGEIFS('[1]Controle de Produção'!$E:$E,'[1]Controle de Produção'!$N:$N,E85,'[1]Controle de Produção'!$S:$S,J85,'[1]Controle de Produção'!$R:$R,I85),0)</f>
        <v>901.21933622008146</v>
      </c>
      <c r="L85" s="33">
        <f>IFERROR(AVERAGEIFS('[1]Controle de Produção'!$E:$E,'[1]Controle de Produção'!$S:$S,J85,'[1]Controle de Produção'!$R:$R,I85),0)</f>
        <v>901.21933622008146</v>
      </c>
      <c r="M85" s="34"/>
      <c r="N85" s="35"/>
      <c r="O85" s="30"/>
      <c r="P85" s="33"/>
      <c r="Q85" s="33"/>
      <c r="R85" s="36" t="b">
        <v>0</v>
      </c>
      <c r="S85" s="36" t="b">
        <v>0</v>
      </c>
      <c r="T85" s="36" t="b">
        <v>0</v>
      </c>
      <c r="U85" s="36" t="b">
        <v>0</v>
      </c>
      <c r="V85" s="36" t="b">
        <v>0</v>
      </c>
      <c r="W85" s="33" t="s">
        <v>953</v>
      </c>
      <c r="X85" s="37"/>
      <c r="Y85" s="43"/>
      <c r="Z85" s="37"/>
      <c r="AA85" s="37"/>
      <c r="AB85" s="37"/>
      <c r="AC85" s="37"/>
      <c r="AD85" s="37"/>
      <c r="AE85" s="37"/>
      <c r="AF85" s="37"/>
      <c r="AG85" s="37"/>
      <c r="AH85" s="32"/>
    </row>
    <row r="86" spans="1:34" hidden="1" x14ac:dyDescent="0.25">
      <c r="A86" s="28"/>
      <c r="B86" s="30" t="s">
        <v>52</v>
      </c>
      <c r="C86" s="31" t="s">
        <v>53</v>
      </c>
      <c r="D86" s="32" t="s">
        <v>31</v>
      </c>
      <c r="E86" s="32">
        <v>40</v>
      </c>
      <c r="F86" s="32" t="s">
        <v>22</v>
      </c>
      <c r="G86" s="32" t="s">
        <v>23</v>
      </c>
      <c r="H86" s="32" t="s">
        <v>50</v>
      </c>
      <c r="I86" s="32" t="s">
        <v>51</v>
      </c>
      <c r="J86" s="30" t="s">
        <v>18</v>
      </c>
      <c r="K86" s="33">
        <f>IFERROR(AVERAGEIFS('[1]Controle de Produção'!$E:$E,'[1]Controle de Produção'!$N:$N,E86,'[1]Controle de Produção'!$S:$S,J86,'[1]Controle de Produção'!$R:$R,I86),0)</f>
        <v>901.21933622008146</v>
      </c>
      <c r="L86" s="33">
        <f>IFERROR(AVERAGEIFS('[1]Controle de Produção'!$E:$E,'[1]Controle de Produção'!$S:$S,J86,'[1]Controle de Produção'!$R:$R,I86),0)</f>
        <v>901.21933622008146</v>
      </c>
      <c r="M86" s="34"/>
      <c r="N86" s="35"/>
      <c r="O86" s="30"/>
      <c r="P86" s="33"/>
      <c r="Q86" s="33"/>
      <c r="R86" s="36" t="b">
        <v>0</v>
      </c>
      <c r="S86" s="36" t="b">
        <v>0</v>
      </c>
      <c r="T86" s="36" t="b">
        <v>0</v>
      </c>
      <c r="U86" s="36" t="b">
        <v>0</v>
      </c>
      <c r="V86" s="36" t="b">
        <v>0</v>
      </c>
      <c r="W86" s="33" t="s">
        <v>953</v>
      </c>
      <c r="X86" s="37"/>
      <c r="Y86" s="43"/>
      <c r="Z86" s="37"/>
      <c r="AA86" s="37"/>
      <c r="AB86" s="37"/>
      <c r="AC86" s="37"/>
      <c r="AD86" s="37"/>
      <c r="AE86" s="37"/>
      <c r="AF86" s="37"/>
      <c r="AG86" s="37"/>
      <c r="AH86" s="32"/>
    </row>
    <row r="87" spans="1:34" hidden="1" x14ac:dyDescent="0.25">
      <c r="A87" s="28"/>
      <c r="B87" s="30" t="s">
        <v>54</v>
      </c>
      <c r="C87" s="31" t="s">
        <v>55</v>
      </c>
      <c r="D87" s="32" t="s">
        <v>31</v>
      </c>
      <c r="E87" s="32">
        <v>40</v>
      </c>
      <c r="F87" s="32" t="s">
        <v>22</v>
      </c>
      <c r="G87" s="32" t="s">
        <v>23</v>
      </c>
      <c r="H87" s="32" t="s">
        <v>50</v>
      </c>
      <c r="I87" s="32" t="s">
        <v>51</v>
      </c>
      <c r="J87" s="30" t="s">
        <v>18</v>
      </c>
      <c r="K87" s="33">
        <f>IFERROR(AVERAGEIFS('[1]Controle de Produção'!$E:$E,'[1]Controle de Produção'!$N:$N,E87,'[1]Controle de Produção'!$S:$S,J87,'[1]Controle de Produção'!$R:$R,I87),0)</f>
        <v>901.21933622008146</v>
      </c>
      <c r="L87" s="33">
        <f>IFERROR(AVERAGEIFS('[1]Controle de Produção'!$E:$E,'[1]Controle de Produção'!$S:$S,J87,'[1]Controle de Produção'!$R:$R,I87),0)</f>
        <v>901.21933622008146</v>
      </c>
      <c r="M87" s="34"/>
      <c r="N87" s="35"/>
      <c r="O87" s="30"/>
      <c r="P87" s="33"/>
      <c r="Q87" s="33"/>
      <c r="R87" s="36" t="b">
        <v>0</v>
      </c>
      <c r="S87" s="36" t="b">
        <v>0</v>
      </c>
      <c r="T87" s="36" t="b">
        <v>0</v>
      </c>
      <c r="U87" s="36" t="b">
        <v>0</v>
      </c>
      <c r="V87" s="36" t="b">
        <v>0</v>
      </c>
      <c r="W87" s="33" t="s">
        <v>953</v>
      </c>
      <c r="X87" s="37"/>
      <c r="Y87" s="43"/>
      <c r="Z87" s="37"/>
      <c r="AA87" s="37"/>
      <c r="AB87" s="37"/>
      <c r="AC87" s="37"/>
      <c r="AD87" s="37"/>
      <c r="AE87" s="37"/>
      <c r="AF87" s="37"/>
      <c r="AG87" s="37"/>
      <c r="AH87" s="32"/>
    </row>
    <row r="88" spans="1:34" hidden="1" x14ac:dyDescent="0.25">
      <c r="A88" s="28"/>
      <c r="B88" s="30" t="s">
        <v>56</v>
      </c>
      <c r="C88" s="31" t="s">
        <v>57</v>
      </c>
      <c r="D88" s="32" t="s">
        <v>31</v>
      </c>
      <c r="E88" s="32">
        <v>40</v>
      </c>
      <c r="F88" s="32" t="s">
        <v>22</v>
      </c>
      <c r="G88" s="32" t="s">
        <v>23</v>
      </c>
      <c r="H88" s="32" t="s">
        <v>50</v>
      </c>
      <c r="I88" s="32" t="s">
        <v>51</v>
      </c>
      <c r="J88" s="30" t="s">
        <v>18</v>
      </c>
      <c r="K88" s="33">
        <f>IFERROR(AVERAGEIFS('[1]Controle de Produção'!$E:$E,'[1]Controle de Produção'!$N:$N,E88,'[1]Controle de Produção'!$S:$S,J88,'[1]Controle de Produção'!$R:$R,I88),0)</f>
        <v>901.21933622008146</v>
      </c>
      <c r="L88" s="33">
        <f>IFERROR(AVERAGEIFS('[1]Controle de Produção'!$E:$E,'[1]Controle de Produção'!$S:$S,J88,'[1]Controle de Produção'!$R:$R,I88),0)</f>
        <v>901.21933622008146</v>
      </c>
      <c r="M88" s="34"/>
      <c r="N88" s="35"/>
      <c r="O88" s="30"/>
      <c r="P88" s="33"/>
      <c r="Q88" s="33"/>
      <c r="R88" s="36" t="b">
        <v>0</v>
      </c>
      <c r="S88" s="36" t="b">
        <v>0</v>
      </c>
      <c r="T88" s="36" t="b">
        <v>0</v>
      </c>
      <c r="U88" s="36" t="b">
        <v>0</v>
      </c>
      <c r="V88" s="36" t="b">
        <v>0</v>
      </c>
      <c r="W88" s="33" t="s">
        <v>953</v>
      </c>
      <c r="X88" s="37"/>
      <c r="Y88" s="43"/>
      <c r="Z88" s="37"/>
      <c r="AA88" s="37"/>
      <c r="AB88" s="37"/>
      <c r="AC88" s="37"/>
      <c r="AD88" s="37"/>
      <c r="AE88" s="37"/>
      <c r="AF88" s="37"/>
      <c r="AG88" s="37"/>
      <c r="AH88" s="32"/>
    </row>
    <row r="89" spans="1:34" hidden="1" x14ac:dyDescent="0.25">
      <c r="A89" s="28"/>
      <c r="B89" s="30" t="s">
        <v>1169</v>
      </c>
      <c r="C89" s="31" t="s">
        <v>1172</v>
      </c>
      <c r="D89" s="32"/>
      <c r="E89" s="32">
        <v>120</v>
      </c>
      <c r="F89" s="32" t="s">
        <v>22</v>
      </c>
      <c r="G89" s="32" t="s">
        <v>1175</v>
      </c>
      <c r="H89" s="32" t="s">
        <v>50</v>
      </c>
      <c r="I89" s="32" t="s">
        <v>62</v>
      </c>
      <c r="J89" s="30" t="s">
        <v>18</v>
      </c>
      <c r="K89" s="33">
        <f>IFERROR(AVERAGEIFS('[1]Controle de Produção'!$E:$E,'[1]Controle de Produção'!$N:$N,E89,'[1]Controle de Produção'!$S:$S,J89,'[1]Controle de Produção'!$R:$R,I89),0)</f>
        <v>907.28092268564944</v>
      </c>
      <c r="L89" s="33">
        <f>IFERROR(AVERAGEIFS('[1]Controle de Produção'!$E:$E,'[1]Controle de Produção'!$S:$S,J89,'[1]Controle de Produção'!$R:$R,I89),0)</f>
        <v>843.58780095852239</v>
      </c>
      <c r="M89" s="34">
        <v>60</v>
      </c>
      <c r="N89" s="35"/>
      <c r="O89" s="30"/>
      <c r="P89" s="33"/>
      <c r="Q89" s="33"/>
      <c r="R89" s="36" t="b">
        <v>0</v>
      </c>
      <c r="S89" s="36" t="b">
        <v>0</v>
      </c>
      <c r="T89" s="36" t="b">
        <v>0</v>
      </c>
      <c r="U89" s="36" t="b">
        <v>0</v>
      </c>
      <c r="V89" s="36" t="b">
        <v>0</v>
      </c>
      <c r="W89" s="33" t="s">
        <v>954</v>
      </c>
      <c r="X89" s="37"/>
      <c r="Y89" s="43"/>
      <c r="Z89" s="37"/>
      <c r="AA89" s="37"/>
      <c r="AB89" s="37"/>
      <c r="AC89" s="37"/>
      <c r="AD89" s="37"/>
      <c r="AE89" s="37"/>
      <c r="AF89" s="37"/>
      <c r="AG89" s="37"/>
      <c r="AH89" s="32"/>
    </row>
    <row r="90" spans="1:34" hidden="1" x14ac:dyDescent="0.25">
      <c r="A90" s="28"/>
      <c r="B90" s="30" t="s">
        <v>1171</v>
      </c>
      <c r="C90" s="31" t="s">
        <v>1173</v>
      </c>
      <c r="D90" s="32"/>
      <c r="E90" s="32">
        <v>4</v>
      </c>
      <c r="F90" s="32" t="s">
        <v>22</v>
      </c>
      <c r="G90" s="32" t="s">
        <v>1175</v>
      </c>
      <c r="H90" s="32" t="s">
        <v>227</v>
      </c>
      <c r="I90" s="32" t="s">
        <v>1177</v>
      </c>
      <c r="J90" s="30" t="s">
        <v>12</v>
      </c>
      <c r="K90" s="33">
        <f>IFERROR(AVERAGEIFS('[1]Controle de Produção'!$E:$E,'[1]Controle de Produção'!$N:$N,E90,'[1]Controle de Produção'!$S:$S,J90,'[1]Controle de Produção'!$R:$R,I90),0)</f>
        <v>115.98675496465188</v>
      </c>
      <c r="L90" s="33">
        <f>IFERROR(AVERAGEIFS('[1]Controle de Produção'!$E:$E,'[1]Controle de Produção'!$S:$S,J90,'[1]Controle de Produção'!$R:$R,I90),0)</f>
        <v>115.98675496465188</v>
      </c>
      <c r="M90" s="34">
        <v>200</v>
      </c>
      <c r="N90" s="35"/>
      <c r="O90" s="30"/>
      <c r="P90" s="33"/>
      <c r="Q90" s="33"/>
      <c r="R90" s="36" t="b">
        <v>0</v>
      </c>
      <c r="S90" s="36" t="b">
        <v>0</v>
      </c>
      <c r="T90" s="36" t="b">
        <v>0</v>
      </c>
      <c r="U90" s="36" t="b">
        <v>0</v>
      </c>
      <c r="V90" s="36" t="b">
        <v>0</v>
      </c>
      <c r="W90" s="33" t="s">
        <v>954</v>
      </c>
      <c r="X90" s="37"/>
      <c r="Y90" s="43"/>
      <c r="Z90" s="37"/>
      <c r="AA90" s="37"/>
      <c r="AB90" s="37"/>
      <c r="AC90" s="37"/>
      <c r="AD90" s="37"/>
      <c r="AE90" s="37"/>
      <c r="AF90" s="37"/>
      <c r="AG90" s="37"/>
      <c r="AH90" s="32"/>
    </row>
    <row r="91" spans="1:34" hidden="1" x14ac:dyDescent="0.25">
      <c r="A91" s="28"/>
      <c r="B91" s="30" t="s">
        <v>1170</v>
      </c>
      <c r="C91" s="31" t="s">
        <v>1174</v>
      </c>
      <c r="D91" s="32"/>
      <c r="E91" s="32">
        <v>60</v>
      </c>
      <c r="F91" s="32" t="s">
        <v>22</v>
      </c>
      <c r="G91" s="32" t="s">
        <v>1175</v>
      </c>
      <c r="H91" s="32" t="s">
        <v>15</v>
      </c>
      <c r="I91" s="32" t="s">
        <v>1176</v>
      </c>
      <c r="J91" s="30" t="s">
        <v>12</v>
      </c>
      <c r="K91" s="33">
        <f>IFERROR(AVERAGEIFS('[1]Controle de Produção'!$E:$E,'[1]Controle de Produção'!$N:$N,E91,'[1]Controle de Produção'!$S:$S,J91,'[1]Controle de Produção'!$R:$R,I91),0)</f>
        <v>609.77777776200276</v>
      </c>
      <c r="L91" s="33">
        <f>IFERROR(AVERAGEIFS('[1]Controle de Produção'!$E:$E,'[1]Controle de Produção'!$S:$S,J91,'[1]Controle de Produção'!$R:$R,I91),0)</f>
        <v>609.77777776200276</v>
      </c>
      <c r="M91" s="34">
        <v>120</v>
      </c>
      <c r="N91" s="35"/>
      <c r="O91" s="30"/>
      <c r="P91" s="33"/>
      <c r="Q91" s="33"/>
      <c r="R91" s="36" t="b">
        <v>0</v>
      </c>
      <c r="S91" s="36" t="b">
        <v>0</v>
      </c>
      <c r="T91" s="36" t="b">
        <v>0</v>
      </c>
      <c r="U91" s="36" t="b">
        <v>0</v>
      </c>
      <c r="V91" s="36" t="b">
        <v>0</v>
      </c>
      <c r="W91" s="33" t="s">
        <v>954</v>
      </c>
      <c r="X91" s="37"/>
      <c r="Y91" s="43"/>
      <c r="Z91" s="37"/>
      <c r="AA91" s="37"/>
      <c r="AB91" s="37"/>
      <c r="AC91" s="37"/>
      <c r="AD91" s="37"/>
      <c r="AE91" s="37"/>
      <c r="AF91" s="37"/>
      <c r="AG91" s="37"/>
      <c r="AH91" s="32"/>
    </row>
    <row r="92" spans="1:34" hidden="1" x14ac:dyDescent="0.25">
      <c r="A92" s="28"/>
      <c r="B92" s="30" t="s">
        <v>732</v>
      </c>
      <c r="C92" s="31" t="s">
        <v>733</v>
      </c>
      <c r="D92" s="32" t="s">
        <v>734</v>
      </c>
      <c r="E92" s="30">
        <v>30</v>
      </c>
      <c r="F92" s="30" t="s">
        <v>22</v>
      </c>
      <c r="G92" s="32" t="s">
        <v>735</v>
      </c>
      <c r="H92" s="32" t="s">
        <v>10</v>
      </c>
      <c r="I92" s="32" t="s">
        <v>734</v>
      </c>
      <c r="J92" s="30" t="s">
        <v>107</v>
      </c>
      <c r="K92" s="33">
        <f>IFERROR(AVERAGEIFS('[1]Controle de Produção'!$E:$E,'[1]Controle de Produção'!$N:$N,E92,'[1]Controle de Produção'!$S:$S,J92,'[1]Controle de Produção'!$R:$R,I92),0)</f>
        <v>739.66666668101811</v>
      </c>
      <c r="L92" s="33">
        <f>IFERROR(AVERAGEIFS('[1]Controle de Produção'!$E:$E,'[1]Controle de Produção'!$S:$S,J92,'[1]Controle de Produção'!$R:$R,I92),0)</f>
        <v>739.66666668101811</v>
      </c>
      <c r="M92" s="34"/>
      <c r="N92" s="35"/>
      <c r="O92" s="30"/>
      <c r="P92" s="33"/>
      <c r="Q92" s="33"/>
      <c r="R92" s="36" t="b">
        <v>0</v>
      </c>
      <c r="S92" s="36" t="b">
        <v>0</v>
      </c>
      <c r="T92" s="36" t="b">
        <v>0</v>
      </c>
      <c r="U92" s="36" t="b">
        <v>0</v>
      </c>
      <c r="V92" s="36" t="b">
        <v>0</v>
      </c>
      <c r="W92" s="33" t="s">
        <v>954</v>
      </c>
      <c r="X92" s="37"/>
      <c r="Y92" s="43"/>
      <c r="Z92" s="37"/>
      <c r="AA92" s="37"/>
      <c r="AB92" s="37"/>
      <c r="AC92" s="37"/>
      <c r="AD92" s="37"/>
      <c r="AE92" s="37"/>
      <c r="AF92" s="37"/>
      <c r="AG92" s="37"/>
      <c r="AH92" s="32"/>
    </row>
    <row r="93" spans="1:34" hidden="1" x14ac:dyDescent="0.25">
      <c r="A93" s="28"/>
      <c r="B93" s="30" t="s">
        <v>58</v>
      </c>
      <c r="C93" s="39" t="s">
        <v>59</v>
      </c>
      <c r="D93" s="30" t="s">
        <v>60</v>
      </c>
      <c r="E93" s="30">
        <v>120</v>
      </c>
      <c r="F93" s="30" t="s">
        <v>22</v>
      </c>
      <c r="G93" s="30" t="s">
        <v>61</v>
      </c>
      <c r="H93" s="30" t="s">
        <v>50</v>
      </c>
      <c r="I93" s="30" t="s">
        <v>62</v>
      </c>
      <c r="J93" s="30" t="s">
        <v>500</v>
      </c>
      <c r="K93" s="33">
        <f>IFERROR(AVERAGEIFS('[1]Controle de Produção'!$E:$E,'[1]Controle de Produção'!$N:$N,E93,'[1]Controle de Produção'!$S:$S,J93,'[1]Controle de Produção'!$R:$R,I93),0)</f>
        <v>904.81129644209193</v>
      </c>
      <c r="L93" s="33">
        <f>IFERROR(AVERAGEIFS('[1]Controle de Produção'!$E:$E,'[1]Controle de Produção'!$S:$S,J93,'[1]Controle de Produção'!$R:$R,I93),0)</f>
        <v>888.79597492569974</v>
      </c>
      <c r="M93" s="34">
        <v>60</v>
      </c>
      <c r="N93" s="35"/>
      <c r="O93" s="30" t="s">
        <v>1028</v>
      </c>
      <c r="P93" s="33"/>
      <c r="Q93" s="33"/>
      <c r="R93" s="36" t="b">
        <v>1</v>
      </c>
      <c r="S93" s="36" t="b">
        <v>1</v>
      </c>
      <c r="T93" s="36" t="b">
        <v>1</v>
      </c>
      <c r="U93" s="36" t="b">
        <v>1</v>
      </c>
      <c r="V93" s="36" t="b">
        <v>1</v>
      </c>
      <c r="W93" s="33" t="s">
        <v>954</v>
      </c>
      <c r="X93" s="37"/>
      <c r="Y93" s="43"/>
      <c r="Z93" s="37"/>
      <c r="AA93" s="37"/>
      <c r="AB93" s="37"/>
      <c r="AC93" s="37"/>
      <c r="AD93" s="37"/>
      <c r="AE93" s="37"/>
      <c r="AF93" s="37"/>
      <c r="AG93" s="37"/>
      <c r="AH93" s="30"/>
    </row>
    <row r="94" spans="1:34" hidden="1" x14ac:dyDescent="0.25">
      <c r="A94" s="28"/>
      <c r="B94" s="30" t="s">
        <v>63</v>
      </c>
      <c r="C94" s="39" t="s">
        <v>64</v>
      </c>
      <c r="D94" s="30" t="s">
        <v>60</v>
      </c>
      <c r="E94" s="30">
        <v>120</v>
      </c>
      <c r="F94" s="30" t="s">
        <v>22</v>
      </c>
      <c r="G94" s="30" t="s">
        <v>61</v>
      </c>
      <c r="H94" s="30" t="s">
        <v>50</v>
      </c>
      <c r="I94" s="30" t="s">
        <v>62</v>
      </c>
      <c r="J94" s="30" t="s">
        <v>500</v>
      </c>
      <c r="K94" s="33">
        <f>IFERROR(AVERAGEIFS('[1]Controle de Produção'!$E:$E,'[1]Controle de Produção'!$N:$N,E94,'[1]Controle de Produção'!$S:$S,J94,'[1]Controle de Produção'!$R:$R,I94),0)</f>
        <v>904.81129644209193</v>
      </c>
      <c r="L94" s="33">
        <f>IFERROR(AVERAGEIFS('[1]Controle de Produção'!$E:$E,'[1]Controle de Produção'!$S:$S,J94,'[1]Controle de Produção'!$R:$R,I94),0)</f>
        <v>888.79597492569974</v>
      </c>
      <c r="M94" s="34">
        <v>60</v>
      </c>
      <c r="N94" s="35"/>
      <c r="O94" s="30" t="s">
        <v>1032</v>
      </c>
      <c r="P94" s="33"/>
      <c r="Q94" s="33"/>
      <c r="R94" s="36" t="b">
        <v>1</v>
      </c>
      <c r="S94" s="36" t="b">
        <v>1</v>
      </c>
      <c r="T94" s="36" t="b">
        <v>1</v>
      </c>
      <c r="U94" s="36" t="b">
        <v>1</v>
      </c>
      <c r="V94" s="36" t="b">
        <v>1</v>
      </c>
      <c r="W94" s="33" t="s">
        <v>954</v>
      </c>
      <c r="X94" s="37"/>
      <c r="Y94" s="43"/>
      <c r="Z94" s="37"/>
      <c r="AA94" s="37"/>
      <c r="AB94" s="37"/>
      <c r="AC94" s="37"/>
      <c r="AD94" s="37"/>
      <c r="AE94" s="37"/>
      <c r="AF94" s="37"/>
      <c r="AG94" s="37"/>
      <c r="AH94" s="30"/>
    </row>
    <row r="95" spans="1:34" hidden="1" x14ac:dyDescent="0.25">
      <c r="A95" s="28"/>
      <c r="B95" s="30" t="s">
        <v>65</v>
      </c>
      <c r="C95" s="39" t="s">
        <v>66</v>
      </c>
      <c r="D95" s="30" t="s">
        <v>60</v>
      </c>
      <c r="E95" s="30">
        <v>120</v>
      </c>
      <c r="F95" s="30" t="s">
        <v>22</v>
      </c>
      <c r="G95" s="30" t="s">
        <v>61</v>
      </c>
      <c r="H95" s="30" t="s">
        <v>50</v>
      </c>
      <c r="I95" s="30" t="s">
        <v>62</v>
      </c>
      <c r="J95" s="30" t="s">
        <v>500</v>
      </c>
      <c r="K95" s="33">
        <f>IFERROR(AVERAGEIFS('[1]Controle de Produção'!$E:$E,'[1]Controle de Produção'!$N:$N,E95,'[1]Controle de Produção'!$S:$S,J95,'[1]Controle de Produção'!$R:$R,I95),0)</f>
        <v>904.81129644209193</v>
      </c>
      <c r="L95" s="33">
        <f>IFERROR(AVERAGEIFS('[1]Controle de Produção'!$E:$E,'[1]Controle de Produção'!$S:$S,J95,'[1]Controle de Produção'!$R:$R,I95),0)</f>
        <v>888.79597492569974</v>
      </c>
      <c r="M95" s="34">
        <v>60</v>
      </c>
      <c r="N95" s="35"/>
      <c r="O95" s="30" t="s">
        <v>1030</v>
      </c>
      <c r="P95" s="33"/>
      <c r="Q95" s="33"/>
      <c r="R95" s="36" t="b">
        <v>1</v>
      </c>
      <c r="S95" s="36" t="b">
        <v>1</v>
      </c>
      <c r="T95" s="36" t="b">
        <v>1</v>
      </c>
      <c r="U95" s="36" t="b">
        <v>1</v>
      </c>
      <c r="V95" s="36" t="b">
        <v>1</v>
      </c>
      <c r="W95" s="33" t="s">
        <v>954</v>
      </c>
      <c r="X95" s="37"/>
      <c r="Y95" s="43"/>
      <c r="Z95" s="37"/>
      <c r="AA95" s="37"/>
      <c r="AB95" s="37"/>
      <c r="AC95" s="37"/>
      <c r="AD95" s="37"/>
      <c r="AE95" s="37"/>
      <c r="AF95" s="37"/>
      <c r="AG95" s="37"/>
      <c r="AH95" s="30"/>
    </row>
    <row r="96" spans="1:34" hidden="1" x14ac:dyDescent="0.25">
      <c r="A96" s="28"/>
      <c r="B96" s="30" t="s">
        <v>67</v>
      </c>
      <c r="C96" s="39" t="s">
        <v>1135</v>
      </c>
      <c r="D96" s="30" t="s">
        <v>60</v>
      </c>
      <c r="E96" s="30">
        <v>150</v>
      </c>
      <c r="F96" s="30" t="s">
        <v>88</v>
      </c>
      <c r="G96" s="30" t="s">
        <v>61</v>
      </c>
      <c r="H96" s="30" t="s">
        <v>10</v>
      </c>
      <c r="I96" s="30" t="s">
        <v>68</v>
      </c>
      <c r="J96" s="30" t="s">
        <v>12</v>
      </c>
      <c r="K96" s="33">
        <f>IFERROR(AVERAGEIFS('[1]Controle de Produção'!$E:$E,'[1]Controle de Produção'!$N:$N,E96,'[1]Controle de Produção'!$S:$S,J96,'[1]Controle de Produção'!$R:$R,I96),0)</f>
        <v>735.19352868281169</v>
      </c>
      <c r="L96" s="33">
        <f>IFERROR(AVERAGEIFS('[1]Controle de Produção'!$E:$E,'[1]Controle de Produção'!$S:$S,J96,'[1]Controle de Produção'!$R:$R,I96),0)</f>
        <v>721.11737989561891</v>
      </c>
      <c r="M96" s="34">
        <v>60</v>
      </c>
      <c r="N96" s="35"/>
      <c r="O96" s="30" t="s">
        <v>1034</v>
      </c>
      <c r="P96" s="33"/>
      <c r="Q96" s="33"/>
      <c r="R96" s="36" t="b">
        <v>1</v>
      </c>
      <c r="S96" s="36" t="b">
        <v>1</v>
      </c>
      <c r="T96" s="36" t="b">
        <v>1</v>
      </c>
      <c r="U96" s="36" t="b">
        <v>1</v>
      </c>
      <c r="V96" s="36" t="b">
        <v>1</v>
      </c>
      <c r="W96" s="33" t="s">
        <v>954</v>
      </c>
      <c r="X96" s="37"/>
      <c r="Y96" s="43"/>
      <c r="Z96" s="37"/>
      <c r="AA96" s="37"/>
      <c r="AB96" s="37"/>
      <c r="AC96" s="37"/>
      <c r="AD96" s="37"/>
      <c r="AE96" s="37"/>
      <c r="AF96" s="37"/>
      <c r="AG96" s="37"/>
      <c r="AH96" s="30"/>
    </row>
    <row r="97" spans="1:34" hidden="1" x14ac:dyDescent="0.25">
      <c r="A97" s="28"/>
      <c r="B97" s="30" t="s">
        <v>69</v>
      </c>
      <c r="C97" s="39" t="s">
        <v>70</v>
      </c>
      <c r="D97" s="30" t="s">
        <v>60</v>
      </c>
      <c r="E97" s="30">
        <v>150</v>
      </c>
      <c r="F97" s="30" t="s">
        <v>88</v>
      </c>
      <c r="G97" s="30" t="s">
        <v>61</v>
      </c>
      <c r="H97" s="30" t="s">
        <v>10</v>
      </c>
      <c r="I97" s="30" t="s">
        <v>68</v>
      </c>
      <c r="J97" s="30" t="s">
        <v>12</v>
      </c>
      <c r="K97" s="33">
        <f>IFERROR(AVERAGEIFS('[1]Controle de Produção'!$E:$E,'[1]Controle de Produção'!$N:$N,E97,'[1]Controle de Produção'!$S:$S,J97,'[1]Controle de Produção'!$R:$R,I97),0)</f>
        <v>735.19352868281169</v>
      </c>
      <c r="L97" s="33">
        <f>IFERROR(AVERAGEIFS('[1]Controle de Produção'!$E:$E,'[1]Controle de Produção'!$S:$S,J97,'[1]Controle de Produção'!$R:$R,I97),0)</f>
        <v>721.11737989561891</v>
      </c>
      <c r="M97" s="34">
        <v>60</v>
      </c>
      <c r="N97" s="35"/>
      <c r="O97" s="30" t="s">
        <v>1037</v>
      </c>
      <c r="P97" s="33"/>
      <c r="Q97" s="33"/>
      <c r="R97" s="36" t="b">
        <v>1</v>
      </c>
      <c r="S97" s="36" t="b">
        <v>1</v>
      </c>
      <c r="T97" s="36" t="b">
        <v>1</v>
      </c>
      <c r="U97" s="36" t="b">
        <v>1</v>
      </c>
      <c r="V97" s="36" t="b">
        <v>1</v>
      </c>
      <c r="W97" s="33" t="s">
        <v>954</v>
      </c>
      <c r="X97" s="37"/>
      <c r="Y97" s="43"/>
      <c r="Z97" s="37"/>
      <c r="AA97" s="37"/>
      <c r="AB97" s="37"/>
      <c r="AC97" s="37"/>
      <c r="AD97" s="37"/>
      <c r="AE97" s="37"/>
      <c r="AF97" s="37"/>
      <c r="AG97" s="37"/>
      <c r="AH97" s="30"/>
    </row>
    <row r="98" spans="1:34" hidden="1" x14ac:dyDescent="0.25">
      <c r="B98" s="30" t="s">
        <v>71</v>
      </c>
      <c r="C98" s="39" t="s">
        <v>72</v>
      </c>
      <c r="D98" s="30" t="s">
        <v>60</v>
      </c>
      <c r="E98" s="30">
        <v>150</v>
      </c>
      <c r="F98" s="30" t="s">
        <v>88</v>
      </c>
      <c r="G98" s="30" t="s">
        <v>61</v>
      </c>
      <c r="H98" s="30" t="s">
        <v>10</v>
      </c>
      <c r="I98" s="30" t="s">
        <v>68</v>
      </c>
      <c r="J98" s="30" t="s">
        <v>12</v>
      </c>
      <c r="K98" s="33">
        <f>IFERROR(AVERAGEIFS('[1]Controle de Produção'!$E:$E,'[1]Controle de Produção'!$N:$N,E98,'[1]Controle de Produção'!$S:$S,J98,'[1]Controle de Produção'!$R:$R,I98),0)</f>
        <v>735.19352868281169</v>
      </c>
      <c r="L98" s="33">
        <f>IFERROR(AVERAGEIFS('[1]Controle de Produção'!$E:$E,'[1]Controle de Produção'!$S:$S,J98,'[1]Controle de Produção'!$R:$R,I98),0)</f>
        <v>721.11737989561891</v>
      </c>
      <c r="M98" s="34">
        <v>60</v>
      </c>
      <c r="N98" s="35"/>
      <c r="O98" s="30" t="s">
        <v>1046</v>
      </c>
      <c r="P98" s="33"/>
      <c r="Q98" s="33"/>
      <c r="R98" s="36" t="b">
        <v>1</v>
      </c>
      <c r="S98" s="36" t="b">
        <v>1</v>
      </c>
      <c r="T98" s="36" t="b">
        <v>1</v>
      </c>
      <c r="U98" s="36" t="b">
        <v>1</v>
      </c>
      <c r="V98" s="36" t="b">
        <v>1</v>
      </c>
      <c r="W98" s="33" t="s">
        <v>954</v>
      </c>
      <c r="X98" s="37"/>
      <c r="Y98" s="43"/>
      <c r="Z98" s="37"/>
      <c r="AA98" s="37"/>
      <c r="AB98" s="37"/>
      <c r="AC98" s="37"/>
      <c r="AD98" s="37"/>
      <c r="AE98" s="37"/>
      <c r="AF98" s="37"/>
      <c r="AG98" s="37"/>
      <c r="AH98" s="30"/>
    </row>
    <row r="99" spans="1:34" hidden="1" x14ac:dyDescent="0.25">
      <c r="B99" s="30" t="s">
        <v>73</v>
      </c>
      <c r="C99" s="39" t="s">
        <v>74</v>
      </c>
      <c r="D99" s="30" t="s">
        <v>60</v>
      </c>
      <c r="E99" s="30">
        <v>120</v>
      </c>
      <c r="F99" s="30" t="s">
        <v>22</v>
      </c>
      <c r="G99" s="30" t="s">
        <v>61</v>
      </c>
      <c r="H99" s="30" t="s">
        <v>10</v>
      </c>
      <c r="I99" s="30" t="s">
        <v>41</v>
      </c>
      <c r="J99" s="30" t="s">
        <v>25</v>
      </c>
      <c r="K99" s="33">
        <f>IFERROR(AVERAGEIFS('[1]Controle de Produção'!$E:$E,'[1]Controle de Produção'!$N:$N,E99,'[1]Controle de Produção'!$S:$S,J99,'[1]Controle de Produção'!$R:$R,I99),0)</f>
        <v>720.64303187074404</v>
      </c>
      <c r="L99" s="33">
        <f>IFERROR(AVERAGEIFS('[1]Controle de Produção'!$E:$E,'[1]Controle de Produção'!$S:$S,J99,'[1]Controle de Produção'!$R:$R,I99),0)</f>
        <v>613.39886035164977</v>
      </c>
      <c r="M99" s="34">
        <v>60</v>
      </c>
      <c r="N99" s="35"/>
      <c r="O99" s="30" t="s">
        <v>1039</v>
      </c>
      <c r="P99" s="33"/>
      <c r="Q99" s="33"/>
      <c r="R99" s="36" t="b">
        <v>1</v>
      </c>
      <c r="S99" s="36" t="b">
        <v>1</v>
      </c>
      <c r="T99" s="36" t="b">
        <v>1</v>
      </c>
      <c r="U99" s="36" t="b">
        <v>1</v>
      </c>
      <c r="V99" s="36" t="b">
        <v>1</v>
      </c>
      <c r="W99" s="33" t="s">
        <v>954</v>
      </c>
      <c r="X99" s="37"/>
      <c r="Y99" s="43"/>
      <c r="Z99" s="37"/>
      <c r="AA99" s="37"/>
      <c r="AB99" s="37"/>
      <c r="AC99" s="37"/>
      <c r="AD99" s="37"/>
      <c r="AE99" s="37"/>
      <c r="AF99" s="37"/>
      <c r="AG99" s="37"/>
      <c r="AH99" s="30"/>
    </row>
    <row r="100" spans="1:34" hidden="1" x14ac:dyDescent="0.25">
      <c r="B100" s="30" t="s">
        <v>75</v>
      </c>
      <c r="C100" s="39" t="s">
        <v>76</v>
      </c>
      <c r="D100" s="30" t="s">
        <v>60</v>
      </c>
      <c r="E100" s="30">
        <v>120</v>
      </c>
      <c r="F100" s="30" t="s">
        <v>22</v>
      </c>
      <c r="G100" s="30" t="s">
        <v>61</v>
      </c>
      <c r="H100" s="30" t="s">
        <v>10</v>
      </c>
      <c r="I100" s="30" t="s">
        <v>41</v>
      </c>
      <c r="J100" s="30" t="s">
        <v>25</v>
      </c>
      <c r="K100" s="33">
        <f>IFERROR(AVERAGEIFS('[1]Controle de Produção'!$E:$E,'[1]Controle de Produção'!$N:$N,E100,'[1]Controle de Produção'!$S:$S,J100,'[1]Controle de Produção'!$R:$R,I100),0)</f>
        <v>720.64303187074404</v>
      </c>
      <c r="L100" s="33">
        <f>IFERROR(AVERAGEIFS('[1]Controle de Produção'!$E:$E,'[1]Controle de Produção'!$S:$S,J100,'[1]Controle de Produção'!$R:$R,I100),0)</f>
        <v>613.39886035164977</v>
      </c>
      <c r="M100" s="34">
        <v>60</v>
      </c>
      <c r="N100" s="35"/>
      <c r="O100" s="30" t="s">
        <v>1045</v>
      </c>
      <c r="P100" s="33"/>
      <c r="Q100" s="33"/>
      <c r="R100" s="36" t="b">
        <v>1</v>
      </c>
      <c r="S100" s="36" t="b">
        <v>1</v>
      </c>
      <c r="T100" s="36" t="b">
        <v>1</v>
      </c>
      <c r="U100" s="36" t="b">
        <v>1</v>
      </c>
      <c r="V100" s="36" t="b">
        <v>1</v>
      </c>
      <c r="W100" s="33" t="s">
        <v>954</v>
      </c>
      <c r="X100" s="37"/>
      <c r="Y100" s="43"/>
      <c r="Z100" s="37"/>
      <c r="AA100" s="37"/>
      <c r="AB100" s="37"/>
      <c r="AC100" s="37"/>
      <c r="AD100" s="37"/>
      <c r="AE100" s="37"/>
      <c r="AF100" s="37"/>
      <c r="AG100" s="37"/>
      <c r="AH100" s="30"/>
    </row>
    <row r="101" spans="1:34" hidden="1" x14ac:dyDescent="0.25">
      <c r="B101" s="30" t="s">
        <v>77</v>
      </c>
      <c r="C101" s="39" t="s">
        <v>78</v>
      </c>
      <c r="D101" s="30" t="s">
        <v>60</v>
      </c>
      <c r="E101" s="30">
        <v>120</v>
      </c>
      <c r="F101" s="30" t="s">
        <v>22</v>
      </c>
      <c r="G101" s="30" t="s">
        <v>61</v>
      </c>
      <c r="H101" s="30" t="s">
        <v>10</v>
      </c>
      <c r="I101" s="30" t="s">
        <v>41</v>
      </c>
      <c r="J101" s="30" t="s">
        <v>25</v>
      </c>
      <c r="K101" s="33">
        <f>IFERROR(AVERAGEIFS('[1]Controle de Produção'!$E:$E,'[1]Controle de Produção'!$N:$N,E101,'[1]Controle de Produção'!$S:$S,J101,'[1]Controle de Produção'!$R:$R,I101),0)</f>
        <v>720.64303187074404</v>
      </c>
      <c r="L101" s="33">
        <f>IFERROR(AVERAGEIFS('[1]Controle de Produção'!$E:$E,'[1]Controle de Produção'!$S:$S,J101,'[1]Controle de Produção'!$R:$R,I101),0)</f>
        <v>613.39886035164977</v>
      </c>
      <c r="M101" s="34">
        <v>60</v>
      </c>
      <c r="N101" s="35"/>
      <c r="O101" s="30" t="s">
        <v>1041</v>
      </c>
      <c r="P101" s="33"/>
      <c r="Q101" s="33"/>
      <c r="R101" s="36" t="b">
        <v>1</v>
      </c>
      <c r="S101" s="36" t="b">
        <v>1</v>
      </c>
      <c r="T101" s="36" t="b">
        <v>1</v>
      </c>
      <c r="U101" s="36" t="b">
        <v>1</v>
      </c>
      <c r="V101" s="36" t="b">
        <v>1</v>
      </c>
      <c r="W101" s="33" t="s">
        <v>954</v>
      </c>
      <c r="X101" s="37"/>
      <c r="Y101" s="43"/>
      <c r="Z101" s="37"/>
      <c r="AA101" s="37"/>
      <c r="AB101" s="37"/>
      <c r="AC101" s="37"/>
      <c r="AD101" s="37"/>
      <c r="AE101" s="37"/>
      <c r="AF101" s="37"/>
      <c r="AG101" s="37"/>
      <c r="AH101" s="30"/>
    </row>
    <row r="102" spans="1:34" hidden="1" x14ac:dyDescent="0.25">
      <c r="B102" s="30" t="s">
        <v>502</v>
      </c>
      <c r="C102" s="31" t="s">
        <v>506</v>
      </c>
      <c r="D102" s="32" t="s">
        <v>511</v>
      </c>
      <c r="E102" s="30">
        <v>120</v>
      </c>
      <c r="F102" s="30" t="s">
        <v>22</v>
      </c>
      <c r="G102" s="32" t="s">
        <v>61</v>
      </c>
      <c r="H102" s="32" t="s">
        <v>50</v>
      </c>
      <c r="I102" s="32" t="s">
        <v>62</v>
      </c>
      <c r="J102" s="30" t="s">
        <v>18</v>
      </c>
      <c r="K102" s="33">
        <f>IFERROR(AVERAGEIFS('[1]Controle de Produção'!$E:$E,'[1]Controle de Produção'!$N:$N,E102,'[1]Controle de Produção'!$S:$S,J102,'[1]Controle de Produção'!$R:$R,I102),0)</f>
        <v>907.28092268564944</v>
      </c>
      <c r="L102" s="33">
        <f>IFERROR(AVERAGEIFS('[1]Controle de Produção'!$E:$E,'[1]Controle de Produção'!$S:$S,J102,'[1]Controle de Produção'!$R:$R,I102),0)</f>
        <v>843.58780095852239</v>
      </c>
      <c r="M102" s="34">
        <v>60</v>
      </c>
      <c r="N102" s="35"/>
      <c r="O102" s="30"/>
      <c r="P102" s="33"/>
      <c r="Q102" s="33"/>
      <c r="R102" s="36" t="b">
        <v>1</v>
      </c>
      <c r="S102" s="36" t="b">
        <v>1</v>
      </c>
      <c r="T102" s="36" t="b">
        <v>1</v>
      </c>
      <c r="U102" s="36" t="b">
        <v>1</v>
      </c>
      <c r="V102" s="36" t="b">
        <v>1</v>
      </c>
      <c r="W102" s="33" t="s">
        <v>954</v>
      </c>
      <c r="X102" s="37"/>
      <c r="Y102" s="43"/>
      <c r="Z102" s="37"/>
      <c r="AA102" s="37"/>
      <c r="AB102" s="37"/>
      <c r="AC102" s="37"/>
      <c r="AD102" s="37"/>
      <c r="AE102" s="37"/>
      <c r="AF102" s="37"/>
      <c r="AG102" s="37"/>
      <c r="AH102" s="32"/>
    </row>
    <row r="103" spans="1:34" hidden="1" x14ac:dyDescent="0.25">
      <c r="B103" s="30" t="s">
        <v>503</v>
      </c>
      <c r="C103" s="31" t="s">
        <v>507</v>
      </c>
      <c r="D103" s="32" t="s">
        <v>511</v>
      </c>
      <c r="E103" s="30">
        <v>120</v>
      </c>
      <c r="F103" s="30" t="s">
        <v>22</v>
      </c>
      <c r="G103" s="32" t="s">
        <v>61</v>
      </c>
      <c r="H103" s="32" t="s">
        <v>50</v>
      </c>
      <c r="I103" s="32" t="s">
        <v>62</v>
      </c>
      <c r="J103" s="30" t="s">
        <v>500</v>
      </c>
      <c r="K103" s="33">
        <f>IFERROR(AVERAGEIFS('[1]Controle de Produção'!$E:$E,'[1]Controle de Produção'!$N:$N,E103,'[1]Controle de Produção'!$S:$S,J103,'[1]Controle de Produção'!$R:$R,I103),0)</f>
        <v>904.81129644209193</v>
      </c>
      <c r="L103" s="33">
        <f>IFERROR(AVERAGEIFS('[1]Controle de Produção'!$E:$E,'[1]Controle de Produção'!$S:$S,J103,'[1]Controle de Produção'!$R:$R,I103),0)</f>
        <v>888.79597492569974</v>
      </c>
      <c r="M103" s="34">
        <v>60</v>
      </c>
      <c r="N103" s="35"/>
      <c r="O103" s="30"/>
      <c r="P103" s="33"/>
      <c r="Q103" s="33"/>
      <c r="R103" s="36" t="b">
        <v>1</v>
      </c>
      <c r="S103" s="36" t="b">
        <v>1</v>
      </c>
      <c r="T103" s="36" t="b">
        <v>1</v>
      </c>
      <c r="U103" s="36" t="b">
        <v>1</v>
      </c>
      <c r="V103" s="36" t="b">
        <v>1</v>
      </c>
      <c r="W103" s="33" t="s">
        <v>954</v>
      </c>
      <c r="X103" s="37"/>
      <c r="Y103" s="43"/>
      <c r="Z103" s="37"/>
      <c r="AA103" s="37"/>
      <c r="AB103" s="37"/>
      <c r="AC103" s="37"/>
      <c r="AD103" s="37"/>
      <c r="AE103" s="37"/>
      <c r="AF103" s="37"/>
      <c r="AG103" s="37"/>
      <c r="AH103" s="32"/>
    </row>
    <row r="104" spans="1:34" hidden="1" x14ac:dyDescent="0.25">
      <c r="B104" s="30" t="s">
        <v>501</v>
      </c>
      <c r="C104" s="31" t="s">
        <v>508</v>
      </c>
      <c r="D104" s="32" t="s">
        <v>511</v>
      </c>
      <c r="E104" s="30">
        <v>60</v>
      </c>
      <c r="F104" s="30" t="s">
        <v>22</v>
      </c>
      <c r="G104" s="32" t="s">
        <v>61</v>
      </c>
      <c r="H104" s="32" t="s">
        <v>50</v>
      </c>
      <c r="I104" s="32" t="s">
        <v>497</v>
      </c>
      <c r="J104" s="30" t="s">
        <v>500</v>
      </c>
      <c r="K104" s="33">
        <f>IFERROR(AVERAGEIFS('[1]Controle de Produção'!$E:$E,'[1]Controle de Produção'!$N:$N,E104,'[1]Controle de Produção'!$S:$S,J104,'[1]Controle de Produção'!$R:$R,I104),0)</f>
        <v>674.69639400444999</v>
      </c>
      <c r="L104" s="33">
        <f>IFERROR(AVERAGEIFS('[1]Controle de Produção'!$E:$E,'[1]Controle de Produção'!$S:$S,J104,'[1]Controle de Produção'!$R:$R,I104),0)</f>
        <v>674.69639400444999</v>
      </c>
      <c r="M104" s="34">
        <v>192</v>
      </c>
      <c r="N104" s="35"/>
      <c r="O104" s="30" t="s">
        <v>1044</v>
      </c>
      <c r="P104" s="33"/>
      <c r="Q104" s="33"/>
      <c r="R104" s="36" t="b">
        <v>1</v>
      </c>
      <c r="S104" s="36" t="b">
        <v>1</v>
      </c>
      <c r="T104" s="36" t="b">
        <v>1</v>
      </c>
      <c r="U104" s="36" t="b">
        <v>1</v>
      </c>
      <c r="V104" s="36" t="b">
        <v>1</v>
      </c>
      <c r="W104" s="33" t="s">
        <v>954</v>
      </c>
      <c r="X104" s="37"/>
      <c r="Y104" s="43"/>
      <c r="Z104" s="37"/>
      <c r="AA104" s="37"/>
      <c r="AB104" s="37"/>
      <c r="AC104" s="37"/>
      <c r="AD104" s="37"/>
      <c r="AE104" s="37"/>
      <c r="AF104" s="37"/>
      <c r="AG104" s="37"/>
      <c r="AH104" s="32"/>
    </row>
    <row r="105" spans="1:34" hidden="1" x14ac:dyDescent="0.25">
      <c r="B105" s="30" t="s">
        <v>504</v>
      </c>
      <c r="C105" s="31" t="s">
        <v>509</v>
      </c>
      <c r="D105" s="32" t="s">
        <v>511</v>
      </c>
      <c r="E105" s="30">
        <v>60</v>
      </c>
      <c r="F105" s="30" t="s">
        <v>22</v>
      </c>
      <c r="G105" s="32" t="s">
        <v>61</v>
      </c>
      <c r="H105" s="32" t="s">
        <v>233</v>
      </c>
      <c r="I105" s="32" t="s">
        <v>498</v>
      </c>
      <c r="J105" s="30" t="s">
        <v>12</v>
      </c>
      <c r="K105" s="33">
        <f>IFERROR(AVERAGEIFS('[1]Controle de Produção'!$E:$E,'[1]Controle de Produção'!$N:$N,E105,'[1]Controle de Produção'!$S:$S,J105,'[1]Controle de Produção'!$R:$R,I105),0)</f>
        <v>0</v>
      </c>
      <c r="L105" s="33">
        <f>IFERROR(AVERAGEIFS('[1]Controle de Produção'!$E:$E,'[1]Controle de Produção'!$S:$S,J105,'[1]Controle de Produção'!$R:$R,I105),0)</f>
        <v>0</v>
      </c>
      <c r="M105" s="34"/>
      <c r="N105" s="35"/>
      <c r="O105" s="30"/>
      <c r="P105" s="33"/>
      <c r="Q105" s="33"/>
      <c r="R105" s="36" t="b">
        <v>1</v>
      </c>
      <c r="S105" s="36" t="b">
        <v>0</v>
      </c>
      <c r="T105" s="36" t="b">
        <v>0</v>
      </c>
      <c r="U105" s="36" t="b">
        <v>0</v>
      </c>
      <c r="V105" s="36" t="b">
        <v>0</v>
      </c>
      <c r="W105" s="33" t="s">
        <v>953</v>
      </c>
      <c r="X105" s="37"/>
      <c r="Y105" s="43"/>
      <c r="Z105" s="37"/>
      <c r="AA105" s="37"/>
      <c r="AB105" s="37"/>
      <c r="AC105" s="37"/>
      <c r="AD105" s="37"/>
      <c r="AE105" s="37"/>
      <c r="AF105" s="37"/>
      <c r="AG105" s="37"/>
      <c r="AH105" s="32"/>
    </row>
    <row r="106" spans="1:34" hidden="1" x14ac:dyDescent="0.25">
      <c r="B106" s="30" t="s">
        <v>79</v>
      </c>
      <c r="C106" s="39" t="s">
        <v>80</v>
      </c>
      <c r="D106" s="30" t="s">
        <v>81</v>
      </c>
      <c r="E106" s="30">
        <v>120</v>
      </c>
      <c r="F106" s="30" t="s">
        <v>22</v>
      </c>
      <c r="G106" s="30" t="s">
        <v>61</v>
      </c>
      <c r="H106" s="32" t="s">
        <v>50</v>
      </c>
      <c r="I106" s="30" t="s">
        <v>62</v>
      </c>
      <c r="J106" s="30" t="s">
        <v>18</v>
      </c>
      <c r="K106" s="33">
        <f>IFERROR(AVERAGEIFS('[1]Controle de Produção'!$E:$E,'[1]Controle de Produção'!$N:$N,E106,'[1]Controle de Produção'!$S:$S,J106,'[1]Controle de Produção'!$R:$R,I106),0)</f>
        <v>907.28092268564944</v>
      </c>
      <c r="L106" s="33">
        <f>IFERROR(AVERAGEIFS('[1]Controle de Produção'!$E:$E,'[1]Controle de Produção'!$S:$S,J106,'[1]Controle de Produção'!$R:$R,I106),0)</f>
        <v>843.58780095852239</v>
      </c>
      <c r="M106" s="34">
        <v>60</v>
      </c>
      <c r="N106" s="35"/>
      <c r="O106" s="30" t="s">
        <v>1029</v>
      </c>
      <c r="P106" s="33"/>
      <c r="Q106" s="33"/>
      <c r="R106" s="36" t="b">
        <v>1</v>
      </c>
      <c r="S106" s="36" t="b">
        <v>1</v>
      </c>
      <c r="T106" s="36" t="b">
        <v>1</v>
      </c>
      <c r="U106" s="36" t="b">
        <v>1</v>
      </c>
      <c r="V106" s="36" t="b">
        <v>1</v>
      </c>
      <c r="W106" s="33" t="s">
        <v>954</v>
      </c>
      <c r="X106" s="37"/>
      <c r="Y106" s="43"/>
      <c r="Z106" s="37"/>
      <c r="AA106" s="37"/>
      <c r="AB106" s="37"/>
      <c r="AC106" s="37"/>
      <c r="AD106" s="37"/>
      <c r="AE106" s="37"/>
      <c r="AF106" s="37"/>
      <c r="AG106" s="37"/>
      <c r="AH106" s="30"/>
    </row>
    <row r="107" spans="1:34" hidden="1" x14ac:dyDescent="0.25">
      <c r="B107" s="30" t="s">
        <v>82</v>
      </c>
      <c r="C107" s="39" t="s">
        <v>83</v>
      </c>
      <c r="D107" s="30" t="s">
        <v>81</v>
      </c>
      <c r="E107" s="30">
        <v>120</v>
      </c>
      <c r="F107" s="30" t="s">
        <v>22</v>
      </c>
      <c r="G107" s="30" t="s">
        <v>61</v>
      </c>
      <c r="H107" s="32" t="s">
        <v>50</v>
      </c>
      <c r="I107" s="30" t="s">
        <v>62</v>
      </c>
      <c r="J107" s="30" t="s">
        <v>18</v>
      </c>
      <c r="K107" s="33">
        <f>IFERROR(AVERAGEIFS('[1]Controle de Produção'!$E:$E,'[1]Controle de Produção'!$N:$N,E107,'[1]Controle de Produção'!$S:$S,J107,'[1]Controle de Produção'!$R:$R,I107),0)</f>
        <v>907.28092268564944</v>
      </c>
      <c r="L107" s="33">
        <f>IFERROR(AVERAGEIFS('[1]Controle de Produção'!$E:$E,'[1]Controle de Produção'!$S:$S,J107,'[1]Controle de Produção'!$R:$R,I107),0)</f>
        <v>843.58780095852239</v>
      </c>
      <c r="M107" s="34">
        <v>60</v>
      </c>
      <c r="N107" s="35"/>
      <c r="O107" s="30" t="s">
        <v>1031</v>
      </c>
      <c r="P107" s="33"/>
      <c r="Q107" s="33"/>
      <c r="R107" s="36" t="b">
        <v>1</v>
      </c>
      <c r="S107" s="36" t="b">
        <v>1</v>
      </c>
      <c r="T107" s="36" t="b">
        <v>1</v>
      </c>
      <c r="U107" s="36" t="b">
        <v>1</v>
      </c>
      <c r="V107" s="36" t="b">
        <v>1</v>
      </c>
      <c r="W107" s="33" t="s">
        <v>954</v>
      </c>
      <c r="X107" s="37"/>
      <c r="Y107" s="43"/>
      <c r="Z107" s="37"/>
      <c r="AA107" s="37"/>
      <c r="AB107" s="37"/>
      <c r="AC107" s="37"/>
      <c r="AD107" s="37"/>
      <c r="AE107" s="37"/>
      <c r="AF107" s="37"/>
      <c r="AG107" s="37"/>
      <c r="AH107" s="30"/>
    </row>
    <row r="108" spans="1:34" hidden="1" x14ac:dyDescent="0.25">
      <c r="B108" s="30" t="s">
        <v>84</v>
      </c>
      <c r="C108" s="39" t="s">
        <v>85</v>
      </c>
      <c r="D108" s="30" t="s">
        <v>81</v>
      </c>
      <c r="E108" s="30">
        <v>120</v>
      </c>
      <c r="F108" s="30" t="s">
        <v>22</v>
      </c>
      <c r="G108" s="30" t="s">
        <v>61</v>
      </c>
      <c r="H108" s="32" t="s">
        <v>50</v>
      </c>
      <c r="I108" s="30" t="s">
        <v>62</v>
      </c>
      <c r="J108" s="30" t="s">
        <v>18</v>
      </c>
      <c r="K108" s="33">
        <f>IFERROR(AVERAGEIFS('[1]Controle de Produção'!$E:$E,'[1]Controle de Produção'!$N:$N,E108,'[1]Controle de Produção'!$S:$S,J108,'[1]Controle de Produção'!$R:$R,I108),0)</f>
        <v>907.28092268564944</v>
      </c>
      <c r="L108" s="33">
        <f>IFERROR(AVERAGEIFS('[1]Controle de Produção'!$E:$E,'[1]Controle de Produção'!$S:$S,J108,'[1]Controle de Produção'!$R:$R,I108),0)</f>
        <v>843.58780095852239</v>
      </c>
      <c r="M108" s="34">
        <v>60</v>
      </c>
      <c r="N108" s="35"/>
      <c r="O108" s="30" t="s">
        <v>1033</v>
      </c>
      <c r="P108" s="33"/>
      <c r="Q108" s="33"/>
      <c r="R108" s="36" t="b">
        <v>1</v>
      </c>
      <c r="S108" s="36" t="b">
        <v>1</v>
      </c>
      <c r="T108" s="36" t="b">
        <v>1</v>
      </c>
      <c r="U108" s="36" t="b">
        <v>1</v>
      </c>
      <c r="V108" s="36" t="b">
        <v>1</v>
      </c>
      <c r="W108" s="33" t="s">
        <v>954</v>
      </c>
      <c r="X108" s="37"/>
      <c r="Y108" s="43"/>
      <c r="Z108" s="37"/>
      <c r="AA108" s="37"/>
      <c r="AB108" s="37"/>
      <c r="AC108" s="37"/>
      <c r="AD108" s="37"/>
      <c r="AE108" s="37"/>
      <c r="AF108" s="37"/>
      <c r="AG108" s="37"/>
      <c r="AH108" s="30"/>
    </row>
    <row r="109" spans="1:34" hidden="1" x14ac:dyDescent="0.25">
      <c r="B109" s="30" t="s">
        <v>86</v>
      </c>
      <c r="C109" s="39" t="s">
        <v>87</v>
      </c>
      <c r="D109" s="30" t="s">
        <v>81</v>
      </c>
      <c r="E109" s="30">
        <v>150</v>
      </c>
      <c r="F109" s="30" t="s">
        <v>88</v>
      </c>
      <c r="G109" s="30" t="s">
        <v>61</v>
      </c>
      <c r="H109" s="30" t="s">
        <v>10</v>
      </c>
      <c r="I109" s="30" t="s">
        <v>68</v>
      </c>
      <c r="J109" s="30" t="s">
        <v>12</v>
      </c>
      <c r="K109" s="33">
        <f>IFERROR(AVERAGEIFS('[1]Controle de Produção'!$E:$E,'[1]Controle de Produção'!$N:$N,E109,'[1]Controle de Produção'!$S:$S,J109,'[1]Controle de Produção'!$R:$R,I109),0)</f>
        <v>735.19352868281169</v>
      </c>
      <c r="L109" s="33">
        <f>IFERROR(AVERAGEIFS('[1]Controle de Produção'!$E:$E,'[1]Controle de Produção'!$S:$S,J109,'[1]Controle de Produção'!$R:$R,I109),0)</f>
        <v>721.11737989561891</v>
      </c>
      <c r="M109" s="34">
        <v>60</v>
      </c>
      <c r="N109" s="35"/>
      <c r="O109" s="30" t="s">
        <v>1035</v>
      </c>
      <c r="P109" s="33"/>
      <c r="Q109" s="33"/>
      <c r="R109" s="36" t="b">
        <v>1</v>
      </c>
      <c r="S109" s="36" t="b">
        <v>1</v>
      </c>
      <c r="T109" s="36" t="b">
        <v>1</v>
      </c>
      <c r="U109" s="36" t="b">
        <v>1</v>
      </c>
      <c r="V109" s="36" t="b">
        <v>1</v>
      </c>
      <c r="W109" s="33" t="s">
        <v>954</v>
      </c>
      <c r="X109" s="37"/>
      <c r="Y109" s="43"/>
      <c r="Z109" s="37"/>
      <c r="AA109" s="37"/>
      <c r="AB109" s="37"/>
      <c r="AC109" s="37"/>
      <c r="AD109" s="37"/>
      <c r="AE109" s="37"/>
      <c r="AF109" s="37"/>
      <c r="AG109" s="37"/>
      <c r="AH109" s="30"/>
    </row>
    <row r="110" spans="1:34" hidden="1" x14ac:dyDescent="0.25">
      <c r="B110" s="30" t="s">
        <v>89</v>
      </c>
      <c r="C110" s="39" t="s">
        <v>90</v>
      </c>
      <c r="D110" s="30" t="s">
        <v>81</v>
      </c>
      <c r="E110" s="30">
        <v>150</v>
      </c>
      <c r="F110" s="30" t="s">
        <v>88</v>
      </c>
      <c r="G110" s="30" t="s">
        <v>61</v>
      </c>
      <c r="H110" s="30" t="s">
        <v>10</v>
      </c>
      <c r="I110" s="30" t="s">
        <v>68</v>
      </c>
      <c r="J110" s="30" t="s">
        <v>12</v>
      </c>
      <c r="K110" s="33">
        <f>IFERROR(AVERAGEIFS('[1]Controle de Produção'!$E:$E,'[1]Controle de Produção'!$N:$N,E110,'[1]Controle de Produção'!$S:$S,J110,'[1]Controle de Produção'!$R:$R,I110),0)</f>
        <v>735.19352868281169</v>
      </c>
      <c r="L110" s="33">
        <f>IFERROR(AVERAGEIFS('[1]Controle de Produção'!$E:$E,'[1]Controle de Produção'!$S:$S,J110,'[1]Controle de Produção'!$R:$R,I110),0)</f>
        <v>721.11737989561891</v>
      </c>
      <c r="M110" s="34">
        <v>60</v>
      </c>
      <c r="N110" s="35"/>
      <c r="O110" s="30" t="s">
        <v>1036</v>
      </c>
      <c r="P110" s="33"/>
      <c r="Q110" s="33"/>
      <c r="R110" s="36" t="b">
        <v>1</v>
      </c>
      <c r="S110" s="36" t="b">
        <v>1</v>
      </c>
      <c r="T110" s="36" t="b">
        <v>1</v>
      </c>
      <c r="U110" s="36" t="b">
        <v>1</v>
      </c>
      <c r="V110" s="36" t="b">
        <v>1</v>
      </c>
      <c r="W110" s="33" t="s">
        <v>954</v>
      </c>
      <c r="X110" s="37"/>
      <c r="Y110" s="43"/>
      <c r="Z110" s="37"/>
      <c r="AA110" s="37"/>
      <c r="AB110" s="37"/>
      <c r="AC110" s="37"/>
      <c r="AD110" s="37"/>
      <c r="AE110" s="37"/>
      <c r="AF110" s="37"/>
      <c r="AG110" s="37"/>
      <c r="AH110" s="30"/>
    </row>
    <row r="111" spans="1:34" hidden="1" x14ac:dyDescent="0.25">
      <c r="B111" s="30" t="s">
        <v>91</v>
      </c>
      <c r="C111" s="39" t="s">
        <v>92</v>
      </c>
      <c r="D111" s="30" t="s">
        <v>81</v>
      </c>
      <c r="E111" s="30">
        <v>150</v>
      </c>
      <c r="F111" s="30" t="s">
        <v>88</v>
      </c>
      <c r="G111" s="30" t="s">
        <v>61</v>
      </c>
      <c r="H111" s="30" t="s">
        <v>10</v>
      </c>
      <c r="I111" s="30" t="s">
        <v>68</v>
      </c>
      <c r="J111" s="30" t="s">
        <v>12</v>
      </c>
      <c r="K111" s="33">
        <f>IFERROR(AVERAGEIFS('[1]Controle de Produção'!$E:$E,'[1]Controle de Produção'!$N:$N,E111,'[1]Controle de Produção'!$S:$S,J111,'[1]Controle de Produção'!$R:$R,I111),0)</f>
        <v>735.19352868281169</v>
      </c>
      <c r="L111" s="33">
        <f>IFERROR(AVERAGEIFS('[1]Controle de Produção'!$E:$E,'[1]Controle de Produção'!$S:$S,J111,'[1]Controle de Produção'!$R:$R,I111),0)</f>
        <v>721.11737989561891</v>
      </c>
      <c r="M111" s="34">
        <v>60</v>
      </c>
      <c r="N111" s="35"/>
      <c r="O111" s="30" t="s">
        <v>1038</v>
      </c>
      <c r="P111" s="33"/>
      <c r="Q111" s="33"/>
      <c r="R111" s="36" t="b">
        <v>1</v>
      </c>
      <c r="S111" s="36" t="b">
        <v>1</v>
      </c>
      <c r="T111" s="36" t="b">
        <v>1</v>
      </c>
      <c r="U111" s="36" t="b">
        <v>1</v>
      </c>
      <c r="V111" s="36" t="b">
        <v>1</v>
      </c>
      <c r="W111" s="33" t="s">
        <v>954</v>
      </c>
      <c r="X111" s="37"/>
      <c r="Y111" s="43"/>
      <c r="Z111" s="37"/>
      <c r="AA111" s="37"/>
      <c r="AB111" s="37"/>
      <c r="AC111" s="37"/>
      <c r="AD111" s="37"/>
      <c r="AE111" s="37"/>
      <c r="AF111" s="37"/>
      <c r="AG111" s="37"/>
      <c r="AH111" s="30"/>
    </row>
    <row r="112" spans="1:34" hidden="1" x14ac:dyDescent="0.25">
      <c r="B112" s="30" t="s">
        <v>93</v>
      </c>
      <c r="C112" s="39" t="s">
        <v>94</v>
      </c>
      <c r="D112" s="30" t="s">
        <v>81</v>
      </c>
      <c r="E112" s="30">
        <v>120</v>
      </c>
      <c r="F112" s="30" t="s">
        <v>22</v>
      </c>
      <c r="G112" s="30" t="s">
        <v>61</v>
      </c>
      <c r="H112" s="30" t="s">
        <v>10</v>
      </c>
      <c r="I112" s="30" t="s">
        <v>41</v>
      </c>
      <c r="J112" s="30" t="s">
        <v>25</v>
      </c>
      <c r="K112" s="33">
        <f>IFERROR(AVERAGEIFS('[1]Controle de Produção'!$E:$E,'[1]Controle de Produção'!$N:$N,E112,'[1]Controle de Produção'!$S:$S,J112,'[1]Controle de Produção'!$R:$R,I112),0)</f>
        <v>720.64303187074404</v>
      </c>
      <c r="L112" s="33">
        <f>IFERROR(AVERAGEIFS('[1]Controle de Produção'!$E:$E,'[1]Controle de Produção'!$S:$S,J112,'[1]Controle de Produção'!$R:$R,I112),0)</f>
        <v>613.39886035164977</v>
      </c>
      <c r="M112" s="34">
        <v>60</v>
      </c>
      <c r="N112" s="35"/>
      <c r="O112" s="30" t="s">
        <v>1040</v>
      </c>
      <c r="P112" s="33"/>
      <c r="Q112" s="33"/>
      <c r="R112" s="36" t="b">
        <v>1</v>
      </c>
      <c r="S112" s="36" t="b">
        <v>1</v>
      </c>
      <c r="T112" s="36" t="b">
        <v>1</v>
      </c>
      <c r="U112" s="36" t="b">
        <v>1</v>
      </c>
      <c r="V112" s="36" t="b">
        <v>1</v>
      </c>
      <c r="W112" s="33" t="s">
        <v>954</v>
      </c>
      <c r="X112" s="37"/>
      <c r="Y112" s="43"/>
      <c r="Z112" s="37"/>
      <c r="AA112" s="37"/>
      <c r="AB112" s="37"/>
      <c r="AC112" s="37"/>
      <c r="AD112" s="37"/>
      <c r="AE112" s="37"/>
      <c r="AF112" s="37"/>
      <c r="AG112" s="37"/>
      <c r="AH112" s="30"/>
    </row>
    <row r="113" spans="2:34" hidden="1" x14ac:dyDescent="0.25">
      <c r="B113" s="30" t="s">
        <v>95</v>
      </c>
      <c r="C113" s="39" t="s">
        <v>96</v>
      </c>
      <c r="D113" s="30" t="s">
        <v>81</v>
      </c>
      <c r="E113" s="30">
        <v>120</v>
      </c>
      <c r="F113" s="30" t="s">
        <v>22</v>
      </c>
      <c r="G113" s="30" t="s">
        <v>61</v>
      </c>
      <c r="H113" s="30" t="s">
        <v>10</v>
      </c>
      <c r="I113" s="30" t="s">
        <v>41</v>
      </c>
      <c r="J113" s="30" t="s">
        <v>25</v>
      </c>
      <c r="K113" s="33">
        <f>IFERROR(AVERAGEIFS('[1]Controle de Produção'!$E:$E,'[1]Controle de Produção'!$N:$N,E113,'[1]Controle de Produção'!$S:$S,J113,'[1]Controle de Produção'!$R:$R,I113),0)</f>
        <v>720.64303187074404</v>
      </c>
      <c r="L113" s="33">
        <f>IFERROR(AVERAGEIFS('[1]Controle de Produção'!$E:$E,'[1]Controle de Produção'!$S:$S,J113,'[1]Controle de Produção'!$R:$R,I113),0)</f>
        <v>613.39886035164977</v>
      </c>
      <c r="M113" s="34">
        <v>60</v>
      </c>
      <c r="N113" s="35"/>
      <c r="O113" s="30" t="s">
        <v>1042</v>
      </c>
      <c r="P113" s="33"/>
      <c r="Q113" s="33"/>
      <c r="R113" s="36" t="b">
        <v>1</v>
      </c>
      <c r="S113" s="36" t="b">
        <v>1</v>
      </c>
      <c r="T113" s="36" t="b">
        <v>1</v>
      </c>
      <c r="U113" s="36" t="b">
        <v>1</v>
      </c>
      <c r="V113" s="36" t="b">
        <v>1</v>
      </c>
      <c r="W113" s="33" t="s">
        <v>954</v>
      </c>
      <c r="X113" s="37"/>
      <c r="Y113" s="43"/>
      <c r="Z113" s="37"/>
      <c r="AA113" s="37"/>
      <c r="AB113" s="37"/>
      <c r="AC113" s="37"/>
      <c r="AD113" s="37"/>
      <c r="AE113" s="37"/>
      <c r="AF113" s="37"/>
      <c r="AG113" s="37"/>
      <c r="AH113" s="30"/>
    </row>
    <row r="114" spans="2:34" hidden="1" x14ac:dyDescent="0.25">
      <c r="B114" s="30" t="s">
        <v>97</v>
      </c>
      <c r="C114" s="39" t="s">
        <v>98</v>
      </c>
      <c r="D114" s="30" t="s">
        <v>81</v>
      </c>
      <c r="E114" s="30">
        <v>120</v>
      </c>
      <c r="F114" s="30" t="s">
        <v>22</v>
      </c>
      <c r="G114" s="30" t="s">
        <v>61</v>
      </c>
      <c r="H114" s="30" t="s">
        <v>10</v>
      </c>
      <c r="I114" s="30" t="s">
        <v>41</v>
      </c>
      <c r="J114" s="30" t="s">
        <v>25</v>
      </c>
      <c r="K114" s="33">
        <f>IFERROR(AVERAGEIFS('[1]Controle de Produção'!$E:$E,'[1]Controle de Produção'!$N:$N,E114,'[1]Controle de Produção'!$S:$S,J114,'[1]Controle de Produção'!$R:$R,I114),0)</f>
        <v>720.64303187074404</v>
      </c>
      <c r="L114" s="33">
        <f>IFERROR(AVERAGEIFS('[1]Controle de Produção'!$E:$E,'[1]Controle de Produção'!$S:$S,J114,'[1]Controle de Produção'!$R:$R,I114),0)</f>
        <v>613.39886035164977</v>
      </c>
      <c r="M114" s="34">
        <v>60</v>
      </c>
      <c r="N114" s="35"/>
      <c r="O114" s="30" t="s">
        <v>1043</v>
      </c>
      <c r="P114" s="33"/>
      <c r="Q114" s="33"/>
      <c r="R114" s="36" t="b">
        <v>1</v>
      </c>
      <c r="S114" s="36" t="b">
        <v>1</v>
      </c>
      <c r="T114" s="36" t="b">
        <v>1</v>
      </c>
      <c r="U114" s="36" t="b">
        <v>1</v>
      </c>
      <c r="V114" s="36" t="b">
        <v>1</v>
      </c>
      <c r="W114" s="33" t="s">
        <v>954</v>
      </c>
      <c r="X114" s="37"/>
      <c r="Y114" s="43"/>
      <c r="Z114" s="37"/>
      <c r="AA114" s="37"/>
      <c r="AB114" s="37"/>
      <c r="AC114" s="37"/>
      <c r="AD114" s="37"/>
      <c r="AE114" s="37"/>
      <c r="AF114" s="37"/>
      <c r="AG114" s="37"/>
      <c r="AH114" s="30"/>
    </row>
    <row r="115" spans="2:34" hidden="1" x14ac:dyDescent="0.25">
      <c r="B115" s="30" t="s">
        <v>99</v>
      </c>
      <c r="C115" s="39" t="s">
        <v>100</v>
      </c>
      <c r="D115" s="30" t="s">
        <v>101</v>
      </c>
      <c r="E115" s="30">
        <v>120</v>
      </c>
      <c r="F115" s="30" t="s">
        <v>22</v>
      </c>
      <c r="G115" s="30" t="s">
        <v>61</v>
      </c>
      <c r="H115" s="30" t="s">
        <v>10</v>
      </c>
      <c r="I115" s="30" t="s">
        <v>499</v>
      </c>
      <c r="J115" s="30" t="s">
        <v>25</v>
      </c>
      <c r="K115" s="33">
        <f>IFERROR(AVERAGEIFS('[1]Controle de Produção'!$E:$E,'[1]Controle de Produção'!$N:$N,E115,'[1]Controle de Produção'!$S:$S,J115,'[1]Controle de Produção'!$R:$R,I115),0)</f>
        <v>525.69944893312152</v>
      </c>
      <c r="L115" s="33">
        <f>IFERROR(AVERAGEIFS('[1]Controle de Produção'!$E:$E,'[1]Controle de Produção'!$S:$S,J115,'[1]Controle de Produção'!$R:$R,I115),0)</f>
        <v>525.69944893312152</v>
      </c>
      <c r="M115" s="34">
        <v>60</v>
      </c>
      <c r="N115" s="35"/>
      <c r="O115" s="30"/>
      <c r="P115" s="33"/>
      <c r="Q115" s="33"/>
      <c r="R115" s="36" t="b">
        <v>1</v>
      </c>
      <c r="S115" s="36" t="b">
        <v>1</v>
      </c>
      <c r="T115" s="36" t="b">
        <v>1</v>
      </c>
      <c r="U115" s="36" t="b">
        <v>0</v>
      </c>
      <c r="V115" s="36" t="b">
        <v>0</v>
      </c>
      <c r="W115" s="33" t="s">
        <v>954</v>
      </c>
      <c r="X115" s="37"/>
      <c r="Y115" s="43"/>
      <c r="Z115" s="37"/>
      <c r="AA115" s="37"/>
      <c r="AB115" s="37"/>
      <c r="AC115" s="37"/>
      <c r="AD115" s="37"/>
      <c r="AE115" s="37"/>
      <c r="AF115" s="37"/>
      <c r="AG115" s="37"/>
      <c r="AH115" s="30"/>
    </row>
    <row r="116" spans="2:34" hidden="1" x14ac:dyDescent="0.25">
      <c r="B116" s="30" t="s">
        <v>505</v>
      </c>
      <c r="C116" s="31" t="s">
        <v>510</v>
      </c>
      <c r="D116" s="32"/>
      <c r="E116" s="30">
        <v>150</v>
      </c>
      <c r="F116" s="30" t="s">
        <v>88</v>
      </c>
      <c r="G116" s="32" t="s">
        <v>61</v>
      </c>
      <c r="H116" s="32" t="s">
        <v>10</v>
      </c>
      <c r="I116" s="30" t="s">
        <v>499</v>
      </c>
      <c r="J116" s="30" t="s">
        <v>25</v>
      </c>
      <c r="K116" s="33">
        <f>IFERROR(AVERAGEIFS('[1]Controle de Produção'!$E:$E,'[1]Controle de Produção'!$N:$N,E116,'[1]Controle de Produção'!$S:$S,J116,'[1]Controle de Produção'!$R:$R,I116),0)</f>
        <v>0</v>
      </c>
      <c r="L116" s="33">
        <f>IFERROR(AVERAGEIFS('[1]Controle de Produção'!$E:$E,'[1]Controle de Produção'!$S:$S,J116,'[1]Controle de Produção'!$R:$R,I116),0)</f>
        <v>525.69944893312152</v>
      </c>
      <c r="M116" s="34"/>
      <c r="N116" s="35"/>
      <c r="O116" s="30"/>
      <c r="P116" s="33"/>
      <c r="Q116" s="33"/>
      <c r="R116" s="36" t="b">
        <v>1</v>
      </c>
      <c r="S116" s="36" t="b">
        <v>0</v>
      </c>
      <c r="T116" s="36" t="b">
        <v>0</v>
      </c>
      <c r="U116" s="36" t="b">
        <v>0</v>
      </c>
      <c r="V116" s="36" t="b">
        <v>0</v>
      </c>
      <c r="W116" s="33" t="s">
        <v>953</v>
      </c>
      <c r="X116" s="37"/>
      <c r="Y116" s="43"/>
      <c r="Z116" s="37"/>
      <c r="AA116" s="37"/>
      <c r="AB116" s="37"/>
      <c r="AC116" s="37"/>
      <c r="AD116" s="37"/>
      <c r="AE116" s="37"/>
      <c r="AF116" s="37"/>
      <c r="AG116" s="37"/>
      <c r="AH116" s="32"/>
    </row>
    <row r="117" spans="2:34" hidden="1" x14ac:dyDescent="0.25">
      <c r="B117" s="30" t="s">
        <v>1048</v>
      </c>
      <c r="C117" s="31" t="s">
        <v>1017</v>
      </c>
      <c r="D117" s="32" t="s">
        <v>1016</v>
      </c>
      <c r="E117" s="30">
        <v>57</v>
      </c>
      <c r="F117" s="30" t="s">
        <v>22</v>
      </c>
      <c r="G117" s="32" t="s">
        <v>1047</v>
      </c>
      <c r="H117" s="32" t="s">
        <v>50</v>
      </c>
      <c r="I117" s="32" t="s">
        <v>147</v>
      </c>
      <c r="J117" s="30" t="s">
        <v>18</v>
      </c>
      <c r="K117" s="33">
        <f>IFERROR(AVERAGEIFS('[1]Controle de Produção'!$E:$E,'[1]Controle de Produção'!$N:$N,E117,'[1]Controle de Produção'!$S:$S,J117,'[1]Controle de Produção'!$R:$R,I117),0)</f>
        <v>283.68451656247368</v>
      </c>
      <c r="L117" s="33">
        <f>IFERROR(AVERAGEIFS('[1]Controle de Produção'!$E:$E,'[1]Controle de Produção'!$S:$S,J117,'[1]Controle de Produção'!$R:$R,I117),0)</f>
        <v>175.26407181919058</v>
      </c>
      <c r="M117" s="34">
        <v>50</v>
      </c>
      <c r="N117" s="35"/>
      <c r="O117" s="30"/>
      <c r="P117" s="33"/>
      <c r="Q117" s="33"/>
      <c r="R117" s="36" t="b">
        <v>1</v>
      </c>
      <c r="S117" s="36" t="b">
        <v>1</v>
      </c>
      <c r="T117" s="36" t="b">
        <v>1</v>
      </c>
      <c r="U117" s="36" t="b">
        <v>1</v>
      </c>
      <c r="V117" s="36" t="b">
        <v>1</v>
      </c>
      <c r="W117" s="33" t="s">
        <v>954</v>
      </c>
      <c r="X117" s="37"/>
      <c r="Y117" s="43"/>
      <c r="Z117" s="37"/>
      <c r="AA117" s="37"/>
      <c r="AB117" s="37"/>
      <c r="AC117" s="37"/>
      <c r="AD117" s="37"/>
      <c r="AE117" s="37"/>
      <c r="AF117" s="37"/>
      <c r="AG117" s="37"/>
      <c r="AH117" s="32"/>
    </row>
    <row r="118" spans="2:34" hidden="1" x14ac:dyDescent="0.25">
      <c r="B118" s="30" t="s">
        <v>1049</v>
      </c>
      <c r="C118" s="31" t="s">
        <v>1018</v>
      </c>
      <c r="D118" s="32" t="s">
        <v>1016</v>
      </c>
      <c r="E118" s="30">
        <v>57</v>
      </c>
      <c r="F118" s="30" t="s">
        <v>22</v>
      </c>
      <c r="G118" s="32" t="s">
        <v>1047</v>
      </c>
      <c r="H118" s="32" t="s">
        <v>50</v>
      </c>
      <c r="I118" s="32" t="s">
        <v>147</v>
      </c>
      <c r="J118" s="30" t="s">
        <v>18</v>
      </c>
      <c r="K118" s="33">
        <f>IFERROR(AVERAGEIFS('[1]Controle de Produção'!$E:$E,'[1]Controle de Produção'!$N:$N,E118,'[1]Controle de Produção'!$S:$S,J118,'[1]Controle de Produção'!$R:$R,I118),0)</f>
        <v>283.68451656247368</v>
      </c>
      <c r="L118" s="33">
        <f>IFERROR(AVERAGEIFS('[1]Controle de Produção'!$E:$E,'[1]Controle de Produção'!$S:$S,J118,'[1]Controle de Produção'!$R:$R,I118),0)</f>
        <v>175.26407181919058</v>
      </c>
      <c r="M118" s="34">
        <v>50</v>
      </c>
      <c r="N118" s="35"/>
      <c r="O118" s="30"/>
      <c r="P118" s="33"/>
      <c r="Q118" s="33"/>
      <c r="R118" s="36" t="b">
        <v>1</v>
      </c>
      <c r="S118" s="36" t="b">
        <v>1</v>
      </c>
      <c r="T118" s="36" t="b">
        <v>1</v>
      </c>
      <c r="U118" s="36" t="b">
        <v>1</v>
      </c>
      <c r="V118" s="36" t="b">
        <v>1</v>
      </c>
      <c r="W118" s="33" t="s">
        <v>954</v>
      </c>
      <c r="X118" s="37"/>
      <c r="Y118" s="43"/>
      <c r="Z118" s="37"/>
      <c r="AA118" s="37"/>
      <c r="AB118" s="37"/>
      <c r="AC118" s="37"/>
      <c r="AD118" s="37"/>
      <c r="AE118" s="37"/>
      <c r="AF118" s="37"/>
      <c r="AG118" s="37"/>
      <c r="AH118" s="32"/>
    </row>
    <row r="119" spans="2:34" hidden="1" x14ac:dyDescent="0.25">
      <c r="B119" s="30" t="s">
        <v>1050</v>
      </c>
      <c r="C119" s="31" t="s">
        <v>1019</v>
      </c>
      <c r="D119" s="32" t="s">
        <v>1016</v>
      </c>
      <c r="E119" s="30">
        <v>50</v>
      </c>
      <c r="F119" s="30" t="s">
        <v>22</v>
      </c>
      <c r="G119" s="32" t="s">
        <v>1047</v>
      </c>
      <c r="H119" s="32" t="s">
        <v>50</v>
      </c>
      <c r="I119" s="32" t="s">
        <v>147</v>
      </c>
      <c r="J119" s="30" t="s">
        <v>18</v>
      </c>
      <c r="K119" s="33">
        <f>IFERROR(AVERAGEIFS('[1]Controle de Produção'!$E:$E,'[1]Controle de Produção'!$N:$N,E119,'[1]Controle de Produção'!$S:$S,J119,'[1]Controle de Produção'!$R:$R,I119),0)</f>
        <v>149.54331583814363</v>
      </c>
      <c r="L119" s="33">
        <f>IFERROR(AVERAGEIFS('[1]Controle de Produção'!$E:$E,'[1]Controle de Produção'!$S:$S,J119,'[1]Controle de Produção'!$R:$R,I119),0)</f>
        <v>175.26407181919058</v>
      </c>
      <c r="M119" s="34">
        <v>50</v>
      </c>
      <c r="N119" s="35"/>
      <c r="O119" s="30"/>
      <c r="P119" s="33"/>
      <c r="Q119" s="33"/>
      <c r="R119" s="36" t="b">
        <v>1</v>
      </c>
      <c r="S119" s="36" t="b">
        <v>1</v>
      </c>
      <c r="T119" s="36" t="b">
        <v>1</v>
      </c>
      <c r="U119" s="36" t="b">
        <v>1</v>
      </c>
      <c r="V119" s="36" t="b">
        <v>1</v>
      </c>
      <c r="W119" s="33" t="s">
        <v>954</v>
      </c>
      <c r="X119" s="37"/>
      <c r="Y119" s="43"/>
      <c r="Z119" s="37"/>
      <c r="AA119" s="37"/>
      <c r="AB119" s="37"/>
      <c r="AC119" s="37"/>
      <c r="AD119" s="37"/>
      <c r="AE119" s="37"/>
      <c r="AF119" s="37"/>
      <c r="AG119" s="37"/>
      <c r="AH119" s="32"/>
    </row>
    <row r="120" spans="2:34" hidden="1" x14ac:dyDescent="0.25">
      <c r="B120" s="30" t="s">
        <v>1051</v>
      </c>
      <c r="C120" s="31" t="s">
        <v>1020</v>
      </c>
      <c r="D120" s="32" t="s">
        <v>1016</v>
      </c>
      <c r="E120" s="30">
        <v>57</v>
      </c>
      <c r="F120" s="30" t="s">
        <v>22</v>
      </c>
      <c r="G120" s="32" t="s">
        <v>1047</v>
      </c>
      <c r="H120" s="32" t="s">
        <v>50</v>
      </c>
      <c r="I120" s="32" t="s">
        <v>147</v>
      </c>
      <c r="J120" s="30" t="s">
        <v>18</v>
      </c>
      <c r="K120" s="33">
        <f>IFERROR(AVERAGEIFS('[1]Controle de Produção'!$E:$E,'[1]Controle de Produção'!$N:$N,E120,'[1]Controle de Produção'!$S:$S,J120,'[1]Controle de Produção'!$R:$R,I120),0)</f>
        <v>283.68451656247368</v>
      </c>
      <c r="L120" s="33">
        <f>IFERROR(AVERAGEIFS('[1]Controle de Produção'!$E:$E,'[1]Controle de Produção'!$S:$S,J120,'[1]Controle de Produção'!$R:$R,I120),0)</f>
        <v>175.26407181919058</v>
      </c>
      <c r="M120" s="34">
        <v>50</v>
      </c>
      <c r="N120" s="35"/>
      <c r="O120" s="30"/>
      <c r="P120" s="33"/>
      <c r="Q120" s="33"/>
      <c r="R120" s="36" t="b">
        <v>0</v>
      </c>
      <c r="S120" s="36" t="b">
        <v>0</v>
      </c>
      <c r="T120" s="36" t="b">
        <v>0</v>
      </c>
      <c r="U120" s="36" t="b">
        <v>0</v>
      </c>
      <c r="V120" s="36" t="b">
        <v>0</v>
      </c>
      <c r="W120" s="33" t="s">
        <v>954</v>
      </c>
      <c r="X120" s="37"/>
      <c r="Y120" s="43"/>
      <c r="Z120" s="37"/>
      <c r="AA120" s="37"/>
      <c r="AB120" s="37"/>
      <c r="AC120" s="37"/>
      <c r="AD120" s="37"/>
      <c r="AE120" s="37"/>
      <c r="AF120" s="37"/>
      <c r="AG120" s="37"/>
      <c r="AH120" s="32"/>
    </row>
    <row r="121" spans="2:34" hidden="1" x14ac:dyDescent="0.25">
      <c r="B121" s="30" t="s">
        <v>1182</v>
      </c>
      <c r="C121" s="31" t="s">
        <v>1183</v>
      </c>
      <c r="D121" s="32"/>
      <c r="E121" s="30">
        <v>120</v>
      </c>
      <c r="F121" s="30" t="s">
        <v>22</v>
      </c>
      <c r="G121" s="32" t="s">
        <v>1202</v>
      </c>
      <c r="H121" s="32" t="s">
        <v>50</v>
      </c>
      <c r="I121" s="32" t="s">
        <v>62</v>
      </c>
      <c r="J121" s="30" t="s">
        <v>18</v>
      </c>
      <c r="K121" s="33">
        <f>IFERROR(AVERAGEIFS('[1]Controle de Produção'!$E:$E,'[1]Controle de Produção'!$N:$N,E121,'[1]Controle de Produção'!$S:$S,J121,'[1]Controle de Produção'!$R:$R,I121),0)</f>
        <v>907.28092268564944</v>
      </c>
      <c r="L121" s="33">
        <f>IFERROR(AVERAGEIFS('[1]Controle de Produção'!$E:$E,'[1]Controle de Produção'!$S:$S,J121,'[1]Controle de Produção'!$R:$R,I121),0)</f>
        <v>843.58780095852239</v>
      </c>
      <c r="M121" s="46"/>
      <c r="N121" s="35"/>
      <c r="O121" s="47"/>
      <c r="P121" s="33"/>
      <c r="Q121" s="33"/>
      <c r="R121" s="36" t="b">
        <v>0</v>
      </c>
      <c r="S121" s="36" t="b">
        <v>0</v>
      </c>
      <c r="T121" s="36" t="b">
        <v>0</v>
      </c>
      <c r="U121" s="36" t="b">
        <v>0</v>
      </c>
      <c r="V121" s="36" t="b">
        <v>0</v>
      </c>
      <c r="W121" s="33" t="s">
        <v>954</v>
      </c>
      <c r="X121" s="37"/>
      <c r="Y121" s="48">
        <v>1.2</v>
      </c>
      <c r="Z121" s="37"/>
      <c r="AA121" s="37"/>
      <c r="AB121" s="37"/>
      <c r="AC121" s="37"/>
      <c r="AD121" s="37"/>
      <c r="AE121" s="37"/>
      <c r="AF121" s="37"/>
      <c r="AG121" s="37"/>
      <c r="AH121" s="32"/>
    </row>
    <row r="122" spans="2:34" hidden="1" x14ac:dyDescent="0.25">
      <c r="B122" s="30" t="s">
        <v>1191</v>
      </c>
      <c r="C122" s="31" t="s">
        <v>1303</v>
      </c>
      <c r="D122" s="32"/>
      <c r="E122" s="30">
        <v>120</v>
      </c>
      <c r="F122" s="30" t="s">
        <v>22</v>
      </c>
      <c r="G122" s="32" t="s">
        <v>1202</v>
      </c>
      <c r="H122" s="32" t="s">
        <v>50</v>
      </c>
      <c r="I122" s="32" t="s">
        <v>62</v>
      </c>
      <c r="J122" s="30" t="s">
        <v>18</v>
      </c>
      <c r="K122" s="33">
        <f>IFERROR(AVERAGEIFS('[1]Controle de Produção'!$E:$E,'[1]Controle de Produção'!$N:$N,E122,'[1]Controle de Produção'!$S:$S,J122,'[1]Controle de Produção'!$R:$R,I122),0)</f>
        <v>907.28092268564944</v>
      </c>
      <c r="L122" s="33">
        <f>IFERROR(AVERAGEIFS('[1]Controle de Produção'!$E:$E,'[1]Controle de Produção'!$S:$S,J122,'[1]Controle de Produção'!$R:$R,I122),0)</f>
        <v>843.58780095852239</v>
      </c>
      <c r="M122" s="46">
        <v>60</v>
      </c>
      <c r="N122" s="35"/>
      <c r="O122" s="47"/>
      <c r="P122" s="33"/>
      <c r="Q122" s="33"/>
      <c r="R122" s="36" t="b">
        <v>0</v>
      </c>
      <c r="S122" s="36" t="b">
        <v>0</v>
      </c>
      <c r="T122" s="36" t="b">
        <v>0</v>
      </c>
      <c r="U122" s="36" t="b">
        <v>0</v>
      </c>
      <c r="V122" s="36" t="b">
        <v>0</v>
      </c>
      <c r="W122" s="33" t="s">
        <v>954</v>
      </c>
      <c r="X122" s="37"/>
      <c r="Y122" s="48">
        <v>1.2</v>
      </c>
      <c r="Z122" s="37"/>
      <c r="AA122" s="37"/>
      <c r="AB122" s="37"/>
      <c r="AC122" s="37"/>
      <c r="AD122" s="37"/>
      <c r="AE122" s="37"/>
      <c r="AF122" s="37"/>
      <c r="AG122" s="37"/>
      <c r="AH122" s="32"/>
    </row>
    <row r="123" spans="2:34" hidden="1" x14ac:dyDescent="0.25">
      <c r="B123" s="30" t="s">
        <v>1192</v>
      </c>
      <c r="C123" s="31" t="s">
        <v>1184</v>
      </c>
      <c r="D123" s="32"/>
      <c r="E123" s="30">
        <v>200</v>
      </c>
      <c r="F123" s="30" t="s">
        <v>22</v>
      </c>
      <c r="G123" s="32" t="s">
        <v>1202</v>
      </c>
      <c r="H123" s="32" t="s">
        <v>50</v>
      </c>
      <c r="I123" s="32" t="s">
        <v>62</v>
      </c>
      <c r="J123" s="30" t="s">
        <v>18</v>
      </c>
      <c r="K123" s="33">
        <f>IFERROR(AVERAGEIFS('[1]Controle de Produção'!$E:$E,'[1]Controle de Produção'!$N:$N,E123,'[1]Controle de Produção'!$S:$S,J123,'[1]Controle de Produção'!$R:$R,I123),0)</f>
        <v>936.45348453259976</v>
      </c>
      <c r="L123" s="33">
        <f>IFERROR(AVERAGEIFS('[1]Controle de Produção'!$E:$E,'[1]Controle de Produção'!$S:$S,J123,'[1]Controle de Produção'!$R:$R,I123),0)</f>
        <v>843.58780095852239</v>
      </c>
      <c r="M123" s="34">
        <v>48</v>
      </c>
      <c r="N123" s="35"/>
      <c r="O123" s="47"/>
      <c r="P123" s="33"/>
      <c r="Q123" s="33"/>
      <c r="R123" s="36" t="b">
        <v>0</v>
      </c>
      <c r="S123" s="36" t="b">
        <v>0</v>
      </c>
      <c r="T123" s="36" t="b">
        <v>0</v>
      </c>
      <c r="U123" s="36" t="b">
        <v>0</v>
      </c>
      <c r="V123" s="36" t="b">
        <v>0</v>
      </c>
      <c r="W123" s="33" t="s">
        <v>954</v>
      </c>
      <c r="X123" s="37"/>
      <c r="Y123" s="48">
        <v>1.2</v>
      </c>
      <c r="Z123" s="37"/>
      <c r="AA123" s="37"/>
      <c r="AB123" s="37"/>
      <c r="AC123" s="37"/>
      <c r="AD123" s="37"/>
      <c r="AE123" s="37"/>
      <c r="AF123" s="37"/>
      <c r="AG123" s="37"/>
      <c r="AH123" s="32"/>
    </row>
    <row r="124" spans="2:34" hidden="1" x14ac:dyDescent="0.25">
      <c r="B124" s="30" t="s">
        <v>1193</v>
      </c>
      <c r="C124" s="31" t="s">
        <v>1185</v>
      </c>
      <c r="D124" s="32"/>
      <c r="E124" s="30">
        <v>200</v>
      </c>
      <c r="F124" s="30" t="s">
        <v>22</v>
      </c>
      <c r="G124" s="32" t="s">
        <v>1202</v>
      </c>
      <c r="H124" s="32" t="s">
        <v>50</v>
      </c>
      <c r="I124" s="32" t="s">
        <v>62</v>
      </c>
      <c r="J124" s="30" t="s">
        <v>18</v>
      </c>
      <c r="K124" s="33">
        <f>IFERROR(AVERAGEIFS('[1]Controle de Produção'!$E:$E,'[1]Controle de Produção'!$N:$N,E124,'[1]Controle de Produção'!$S:$S,J124,'[1]Controle de Produção'!$R:$R,I124),0)</f>
        <v>936.45348453259976</v>
      </c>
      <c r="L124" s="33">
        <f>IFERROR(AVERAGEIFS('[1]Controle de Produção'!$E:$E,'[1]Controle de Produção'!$S:$S,J124,'[1]Controle de Produção'!$R:$R,I124),0)</f>
        <v>843.58780095852239</v>
      </c>
      <c r="M124" s="34">
        <v>48</v>
      </c>
      <c r="N124" s="35"/>
      <c r="O124" s="47"/>
      <c r="P124" s="33"/>
      <c r="Q124" s="33"/>
      <c r="R124" s="36" t="b">
        <v>0</v>
      </c>
      <c r="S124" s="36" t="b">
        <v>0</v>
      </c>
      <c r="T124" s="36" t="b">
        <v>0</v>
      </c>
      <c r="U124" s="36" t="b">
        <v>0</v>
      </c>
      <c r="V124" s="36" t="b">
        <v>0</v>
      </c>
      <c r="W124" s="33" t="s">
        <v>954</v>
      </c>
      <c r="X124" s="37"/>
      <c r="Y124" s="48">
        <v>1.2</v>
      </c>
      <c r="Z124" s="37"/>
      <c r="AA124" s="37"/>
      <c r="AB124" s="37"/>
      <c r="AC124" s="37"/>
      <c r="AD124" s="37"/>
      <c r="AE124" s="37"/>
      <c r="AF124" s="37"/>
      <c r="AG124" s="37"/>
      <c r="AH124" s="32"/>
    </row>
    <row r="125" spans="2:34" hidden="1" x14ac:dyDescent="0.25">
      <c r="B125" s="30" t="s">
        <v>1194</v>
      </c>
      <c r="C125" s="31" t="s">
        <v>1186</v>
      </c>
      <c r="D125" s="32"/>
      <c r="E125" s="30">
        <v>200</v>
      </c>
      <c r="F125" s="30" t="s">
        <v>22</v>
      </c>
      <c r="G125" s="32" t="s">
        <v>1202</v>
      </c>
      <c r="H125" s="32" t="s">
        <v>50</v>
      </c>
      <c r="I125" s="32" t="s">
        <v>62</v>
      </c>
      <c r="J125" s="30" t="s">
        <v>18</v>
      </c>
      <c r="K125" s="33">
        <f>IFERROR(AVERAGEIFS('[1]Controle de Produção'!$E:$E,'[1]Controle de Produção'!$N:$N,E125,'[1]Controle de Produção'!$S:$S,J125,'[1]Controle de Produção'!$R:$R,I125),0)</f>
        <v>936.45348453259976</v>
      </c>
      <c r="L125" s="33">
        <f>IFERROR(AVERAGEIFS('[1]Controle de Produção'!$E:$E,'[1]Controle de Produção'!$S:$S,J125,'[1]Controle de Produção'!$R:$R,I125),0)</f>
        <v>843.58780095852239</v>
      </c>
      <c r="M125" s="34">
        <v>48</v>
      </c>
      <c r="N125" s="35"/>
      <c r="O125" s="47"/>
      <c r="P125" s="33"/>
      <c r="Q125" s="33"/>
      <c r="R125" s="36" t="b">
        <v>0</v>
      </c>
      <c r="S125" s="36" t="b">
        <v>0</v>
      </c>
      <c r="T125" s="36" t="b">
        <v>0</v>
      </c>
      <c r="U125" s="36" t="b">
        <v>0</v>
      </c>
      <c r="V125" s="36" t="b">
        <v>0</v>
      </c>
      <c r="W125" s="33" t="s">
        <v>954</v>
      </c>
      <c r="X125" s="37"/>
      <c r="Y125" s="48">
        <v>1.2</v>
      </c>
      <c r="Z125" s="37"/>
      <c r="AA125" s="37"/>
      <c r="AB125" s="37"/>
      <c r="AC125" s="37"/>
      <c r="AD125" s="37"/>
      <c r="AE125" s="37"/>
      <c r="AF125" s="37"/>
      <c r="AG125" s="37"/>
      <c r="AH125" s="32"/>
    </row>
    <row r="126" spans="2:34" hidden="1" x14ac:dyDescent="0.25">
      <c r="B126" s="30" t="s">
        <v>1195</v>
      </c>
      <c r="C126" s="31" t="s">
        <v>1187</v>
      </c>
      <c r="D126" s="32"/>
      <c r="E126" s="30">
        <v>200</v>
      </c>
      <c r="F126" s="30" t="s">
        <v>22</v>
      </c>
      <c r="G126" s="32" t="s">
        <v>1202</v>
      </c>
      <c r="H126" s="32" t="s">
        <v>50</v>
      </c>
      <c r="I126" s="32" t="s">
        <v>62</v>
      </c>
      <c r="J126" s="30" t="s">
        <v>18</v>
      </c>
      <c r="K126" s="33">
        <f>IFERROR(AVERAGEIFS('[1]Controle de Produção'!$E:$E,'[1]Controle de Produção'!$N:$N,E126,'[1]Controle de Produção'!$S:$S,J126,'[1]Controle de Produção'!$R:$R,I126),0)</f>
        <v>936.45348453259976</v>
      </c>
      <c r="L126" s="33">
        <f>IFERROR(AVERAGEIFS('[1]Controle de Produção'!$E:$E,'[1]Controle de Produção'!$S:$S,J126,'[1]Controle de Produção'!$R:$R,I126),0)</f>
        <v>843.58780095852239</v>
      </c>
      <c r="M126" s="34">
        <v>48</v>
      </c>
      <c r="N126" s="35"/>
      <c r="O126" s="47"/>
      <c r="P126" s="33"/>
      <c r="Q126" s="33"/>
      <c r="R126" s="36" t="b">
        <v>0</v>
      </c>
      <c r="S126" s="36" t="b">
        <v>0</v>
      </c>
      <c r="T126" s="36" t="b">
        <v>0</v>
      </c>
      <c r="U126" s="36" t="b">
        <v>0</v>
      </c>
      <c r="V126" s="36" t="b">
        <v>0</v>
      </c>
      <c r="W126" s="33" t="s">
        <v>954</v>
      </c>
      <c r="X126" s="37"/>
      <c r="Y126" s="48">
        <v>1.2</v>
      </c>
      <c r="Z126" s="37"/>
      <c r="AA126" s="37"/>
      <c r="AB126" s="37"/>
      <c r="AC126" s="37"/>
      <c r="AD126" s="37"/>
      <c r="AE126" s="37"/>
      <c r="AF126" s="37"/>
      <c r="AG126" s="37"/>
      <c r="AH126" s="32"/>
    </row>
    <row r="127" spans="2:34" hidden="1" x14ac:dyDescent="0.25">
      <c r="B127" s="30" t="s">
        <v>1198</v>
      </c>
      <c r="C127" s="31" t="s">
        <v>1188</v>
      </c>
      <c r="D127" s="32"/>
      <c r="E127" s="30">
        <v>120</v>
      </c>
      <c r="F127" s="30" t="s">
        <v>22</v>
      </c>
      <c r="G127" s="32" t="s">
        <v>1202</v>
      </c>
      <c r="H127" s="32" t="s">
        <v>10</v>
      </c>
      <c r="I127" s="32" t="s">
        <v>41</v>
      </c>
      <c r="J127" s="30" t="s">
        <v>25</v>
      </c>
      <c r="K127" s="33">
        <f>IFERROR(AVERAGEIFS('[1]Controle de Produção'!$E:$E,'[1]Controle de Produção'!$N:$N,E127,'[1]Controle de Produção'!$S:$S,J127,'[1]Controle de Produção'!$R:$R,I127),0)</f>
        <v>720.64303187074404</v>
      </c>
      <c r="L127" s="33">
        <f>IFERROR(AVERAGEIFS('[1]Controle de Produção'!$E:$E,'[1]Controle de Produção'!$S:$S,J127,'[1]Controle de Produção'!$R:$R,I127),0)</f>
        <v>613.39886035164977</v>
      </c>
      <c r="M127" s="46"/>
      <c r="N127" s="35"/>
      <c r="O127" s="47"/>
      <c r="P127" s="33"/>
      <c r="Q127" s="33"/>
      <c r="R127" s="36" t="b">
        <v>0</v>
      </c>
      <c r="S127" s="36" t="b">
        <v>0</v>
      </c>
      <c r="T127" s="36" t="b">
        <v>0</v>
      </c>
      <c r="U127" s="36" t="b">
        <v>0</v>
      </c>
      <c r="V127" s="36" t="b">
        <v>0</v>
      </c>
      <c r="W127" s="33" t="s">
        <v>954</v>
      </c>
      <c r="X127" s="37"/>
      <c r="Y127" s="48">
        <v>1.2</v>
      </c>
      <c r="Z127" s="37"/>
      <c r="AA127" s="37"/>
      <c r="AB127" s="37"/>
      <c r="AC127" s="37"/>
      <c r="AD127" s="37"/>
      <c r="AE127" s="37"/>
      <c r="AF127" s="37"/>
      <c r="AG127" s="37"/>
      <c r="AH127" s="32"/>
    </row>
    <row r="128" spans="2:34" hidden="1" x14ac:dyDescent="0.25">
      <c r="B128" s="30" t="s">
        <v>1199</v>
      </c>
      <c r="C128" s="31" t="s">
        <v>1304</v>
      </c>
      <c r="D128" s="32"/>
      <c r="E128" s="30">
        <v>120</v>
      </c>
      <c r="F128" s="30" t="s">
        <v>22</v>
      </c>
      <c r="G128" s="32" t="s">
        <v>1202</v>
      </c>
      <c r="H128" s="32" t="s">
        <v>10</v>
      </c>
      <c r="I128" s="32" t="s">
        <v>41</v>
      </c>
      <c r="J128" s="30" t="s">
        <v>25</v>
      </c>
      <c r="K128" s="33">
        <f>IFERROR(AVERAGEIFS('[1]Controle de Produção'!$E:$E,'[1]Controle de Produção'!$N:$N,E128,'[1]Controle de Produção'!$S:$S,J128,'[1]Controle de Produção'!$R:$R,I128),0)</f>
        <v>720.64303187074404</v>
      </c>
      <c r="L128" s="33">
        <f>IFERROR(AVERAGEIFS('[1]Controle de Produção'!$E:$E,'[1]Controle de Produção'!$S:$S,J128,'[1]Controle de Produção'!$R:$R,I128),0)</f>
        <v>613.39886035164977</v>
      </c>
      <c r="M128" s="46">
        <v>60</v>
      </c>
      <c r="N128" s="35"/>
      <c r="O128" s="47"/>
      <c r="P128" s="33"/>
      <c r="Q128" s="33"/>
      <c r="R128" s="36" t="b">
        <v>0</v>
      </c>
      <c r="S128" s="36" t="b">
        <v>0</v>
      </c>
      <c r="T128" s="36" t="b">
        <v>0</v>
      </c>
      <c r="U128" s="36" t="b">
        <v>0</v>
      </c>
      <c r="V128" s="36" t="b">
        <v>0</v>
      </c>
      <c r="W128" s="33" t="s">
        <v>954</v>
      </c>
      <c r="X128" s="37"/>
      <c r="Y128" s="48">
        <v>1.2</v>
      </c>
      <c r="Z128" s="37"/>
      <c r="AA128" s="37"/>
      <c r="AB128" s="37"/>
      <c r="AC128" s="37"/>
      <c r="AD128" s="37"/>
      <c r="AE128" s="37"/>
      <c r="AF128" s="37"/>
      <c r="AG128" s="37"/>
      <c r="AH128" s="32"/>
    </row>
    <row r="129" spans="2:34" hidden="1" x14ac:dyDescent="0.25">
      <c r="B129" s="30" t="s">
        <v>1200</v>
      </c>
      <c r="C129" s="31" t="s">
        <v>1190</v>
      </c>
      <c r="D129" s="32"/>
      <c r="E129" s="30">
        <v>150</v>
      </c>
      <c r="F129" s="30" t="s">
        <v>22</v>
      </c>
      <c r="G129" s="32" t="s">
        <v>1202</v>
      </c>
      <c r="H129" s="32" t="s">
        <v>233</v>
      </c>
      <c r="I129" s="32" t="s">
        <v>1204</v>
      </c>
      <c r="J129" s="30" t="s">
        <v>18</v>
      </c>
      <c r="K129" s="33">
        <f>IFERROR(AVERAGEIFS('[1]Controle de Produção'!$E:$E,'[1]Controle de Produção'!$N:$N,E129,'[1]Controle de Produção'!$S:$S,J129,'[1]Controle de Produção'!$R:$R,I129),0)</f>
        <v>0</v>
      </c>
      <c r="L129" s="33">
        <f>IFERROR(AVERAGEIFS('[1]Controle de Produção'!$E:$E,'[1]Controle de Produção'!$S:$S,J129,'[1]Controle de Produção'!$R:$R,I129),0)</f>
        <v>0</v>
      </c>
      <c r="M129" s="46"/>
      <c r="N129" s="35"/>
      <c r="O129" s="47"/>
      <c r="P129" s="33"/>
      <c r="Q129" s="33"/>
      <c r="R129" s="36" t="b">
        <v>0</v>
      </c>
      <c r="S129" s="36" t="b">
        <v>0</v>
      </c>
      <c r="T129" s="36" t="b">
        <v>0</v>
      </c>
      <c r="U129" s="36" t="b">
        <v>0</v>
      </c>
      <c r="V129" s="36" t="b">
        <v>0</v>
      </c>
      <c r="W129" s="33" t="s">
        <v>954</v>
      </c>
      <c r="X129" s="37"/>
      <c r="Y129" s="48">
        <v>1.2</v>
      </c>
      <c r="Z129" s="37"/>
      <c r="AA129" s="37"/>
      <c r="AB129" s="37"/>
      <c r="AC129" s="37"/>
      <c r="AD129" s="37"/>
      <c r="AE129" s="37"/>
      <c r="AF129" s="37"/>
      <c r="AG129" s="37"/>
      <c r="AH129" s="32"/>
    </row>
    <row r="130" spans="2:34" hidden="1" x14ac:dyDescent="0.25">
      <c r="B130" s="30" t="s">
        <v>1201</v>
      </c>
      <c r="C130" s="31" t="s">
        <v>1306</v>
      </c>
      <c r="D130" s="32"/>
      <c r="E130" s="30">
        <v>150</v>
      </c>
      <c r="F130" s="30" t="s">
        <v>22</v>
      </c>
      <c r="G130" s="32" t="s">
        <v>1202</v>
      </c>
      <c r="H130" s="32" t="s">
        <v>233</v>
      </c>
      <c r="I130" s="32" t="s">
        <v>1204</v>
      </c>
      <c r="J130" s="30" t="s">
        <v>18</v>
      </c>
      <c r="K130" s="33">
        <f>IFERROR(AVERAGEIFS('[1]Controle de Produção'!$E:$E,'[1]Controle de Produção'!$N:$N,E130,'[1]Controle de Produção'!$S:$S,J130,'[1]Controle de Produção'!$R:$R,I130),0)</f>
        <v>0</v>
      </c>
      <c r="L130" s="33">
        <f>IFERROR(AVERAGEIFS('[1]Controle de Produção'!$E:$E,'[1]Controle de Produção'!$S:$S,J130,'[1]Controle de Produção'!$R:$R,I130),0)</f>
        <v>0</v>
      </c>
      <c r="M130" s="46"/>
      <c r="N130" s="35"/>
      <c r="O130" s="47"/>
      <c r="P130" s="33"/>
      <c r="Q130" s="33"/>
      <c r="R130" s="36" t="b">
        <v>0</v>
      </c>
      <c r="S130" s="36" t="b">
        <v>0</v>
      </c>
      <c r="T130" s="36" t="b">
        <v>0</v>
      </c>
      <c r="U130" s="36" t="b">
        <v>0</v>
      </c>
      <c r="V130" s="36" t="b">
        <v>0</v>
      </c>
      <c r="W130" s="33" t="s">
        <v>954</v>
      </c>
      <c r="X130" s="37"/>
      <c r="Y130" s="48">
        <v>1.2</v>
      </c>
      <c r="Z130" s="37"/>
      <c r="AA130" s="37"/>
      <c r="AB130" s="37"/>
      <c r="AC130" s="37"/>
      <c r="AD130" s="37"/>
      <c r="AE130" s="37"/>
      <c r="AF130" s="37"/>
      <c r="AG130" s="37"/>
      <c r="AH130" s="32"/>
    </row>
    <row r="131" spans="2:34" hidden="1" x14ac:dyDescent="0.25">
      <c r="B131" s="30" t="s">
        <v>1196</v>
      </c>
      <c r="C131" s="31" t="s">
        <v>1189</v>
      </c>
      <c r="D131" s="32"/>
      <c r="E131" s="30">
        <v>120</v>
      </c>
      <c r="F131" s="30" t="s">
        <v>22</v>
      </c>
      <c r="G131" s="32" t="s">
        <v>1202</v>
      </c>
      <c r="H131" s="32" t="s">
        <v>10</v>
      </c>
      <c r="I131" s="32" t="s">
        <v>1203</v>
      </c>
      <c r="J131" s="30" t="s">
        <v>500</v>
      </c>
      <c r="K131" s="33">
        <f>IFERROR(AVERAGEIFS('[1]Controle de Produção'!$E:$E,'[1]Controle de Produção'!$N:$N,E131,'[1]Controle de Produção'!$S:$S,J131,'[1]Controle de Produção'!$R:$R,I131),0)</f>
        <v>0</v>
      </c>
      <c r="L131" s="33">
        <f>IFERROR(AVERAGEIFS('[1]Controle de Produção'!$E:$E,'[1]Controle de Produção'!$S:$S,J131,'[1]Controle de Produção'!$R:$R,I131),0)</f>
        <v>635.22144280095847</v>
      </c>
      <c r="M131" s="46"/>
      <c r="N131" s="35"/>
      <c r="O131" s="47"/>
      <c r="P131" s="33"/>
      <c r="Q131" s="33"/>
      <c r="R131" s="36" t="b">
        <v>0</v>
      </c>
      <c r="S131" s="36" t="b">
        <v>0</v>
      </c>
      <c r="T131" s="36" t="b">
        <v>0</v>
      </c>
      <c r="U131" s="36" t="b">
        <v>0</v>
      </c>
      <c r="V131" s="36" t="b">
        <v>0</v>
      </c>
      <c r="W131" s="33" t="s">
        <v>954</v>
      </c>
      <c r="X131" s="37"/>
      <c r="Y131" s="48">
        <v>1.2</v>
      </c>
      <c r="Z131" s="37"/>
      <c r="AA131" s="37"/>
      <c r="AB131" s="37"/>
      <c r="AC131" s="37"/>
      <c r="AD131" s="37"/>
      <c r="AE131" s="37"/>
      <c r="AF131" s="37"/>
      <c r="AG131" s="37"/>
      <c r="AH131" s="32"/>
    </row>
    <row r="132" spans="2:34" hidden="1" x14ac:dyDescent="0.25">
      <c r="B132" s="30" t="s">
        <v>1197</v>
      </c>
      <c r="C132" s="31" t="s">
        <v>1305</v>
      </c>
      <c r="D132" s="32"/>
      <c r="E132" s="30">
        <v>120</v>
      </c>
      <c r="F132" s="30" t="s">
        <v>22</v>
      </c>
      <c r="G132" s="32" t="s">
        <v>1202</v>
      </c>
      <c r="H132" s="32" t="s">
        <v>10</v>
      </c>
      <c r="I132" s="32" t="s">
        <v>1203</v>
      </c>
      <c r="J132" s="30" t="s">
        <v>500</v>
      </c>
      <c r="K132" s="33">
        <f>IFERROR(AVERAGEIFS('[1]Controle de Produção'!$E:$E,'[1]Controle de Produção'!$N:$N,E132,'[1]Controle de Produção'!$S:$S,J132,'[1]Controle de Produção'!$R:$R,I132),0)</f>
        <v>0</v>
      </c>
      <c r="L132" s="33">
        <f>IFERROR(AVERAGEIFS('[1]Controle de Produção'!$E:$E,'[1]Controle de Produção'!$S:$S,J132,'[1]Controle de Produção'!$R:$R,I132),0)</f>
        <v>635.22144280095847</v>
      </c>
      <c r="M132" s="46"/>
      <c r="N132" s="35"/>
      <c r="O132" s="47"/>
      <c r="P132" s="33"/>
      <c r="Q132" s="33"/>
      <c r="R132" s="36" t="b">
        <v>0</v>
      </c>
      <c r="S132" s="36" t="b">
        <v>0</v>
      </c>
      <c r="T132" s="36" t="b">
        <v>0</v>
      </c>
      <c r="U132" s="36" t="b">
        <v>0</v>
      </c>
      <c r="V132" s="36" t="b">
        <v>0</v>
      </c>
      <c r="W132" s="33" t="s">
        <v>954</v>
      </c>
      <c r="X132" s="37"/>
      <c r="Y132" s="48">
        <v>1.2</v>
      </c>
      <c r="Z132" s="37"/>
      <c r="AA132" s="37"/>
      <c r="AB132" s="37"/>
      <c r="AC132" s="37"/>
      <c r="AD132" s="37"/>
      <c r="AE132" s="37"/>
      <c r="AF132" s="37"/>
      <c r="AG132" s="37"/>
      <c r="AH132" s="32"/>
    </row>
    <row r="133" spans="2:34" hidden="1" x14ac:dyDescent="0.25">
      <c r="B133" s="30" t="s">
        <v>1155</v>
      </c>
      <c r="C133" s="31" t="s">
        <v>1180</v>
      </c>
      <c r="D133" s="32" t="s">
        <v>1057</v>
      </c>
      <c r="E133" s="32">
        <v>100</v>
      </c>
      <c r="F133" s="32" t="s">
        <v>22</v>
      </c>
      <c r="G133" s="32" t="s">
        <v>1056</v>
      </c>
      <c r="H133" s="32" t="s">
        <v>50</v>
      </c>
      <c r="I133" s="32" t="s">
        <v>147</v>
      </c>
      <c r="J133" s="30" t="s">
        <v>18</v>
      </c>
      <c r="K133" s="33">
        <f>IFERROR(AVERAGEIFS('[1]Controle de Produção'!$E:$E,'[1]Controle de Produção'!$N:$N,E133,'[1]Controle de Produção'!$S:$S,J133,'[1]Controle de Produção'!$R:$R,I133),0)</f>
        <v>151.82043921908374</v>
      </c>
      <c r="L133" s="33">
        <f>IFERROR(AVERAGEIFS('[1]Controle de Produção'!$E:$E,'[1]Controle de Produção'!$S:$S,J133,'[1]Controle de Produção'!$R:$R,I133),0)</f>
        <v>175.26407181919058</v>
      </c>
      <c r="M133" s="34">
        <v>50</v>
      </c>
      <c r="N133" s="35"/>
      <c r="O133" s="30"/>
      <c r="P133" s="33"/>
      <c r="Q133" s="33"/>
      <c r="R133" s="36" t="b">
        <v>0</v>
      </c>
      <c r="S133" s="36" t="b">
        <v>0</v>
      </c>
      <c r="T133" s="36" t="b">
        <v>0</v>
      </c>
      <c r="U133" s="36" t="b">
        <v>0</v>
      </c>
      <c r="V133" s="36" t="b">
        <v>0</v>
      </c>
      <c r="W133" s="33" t="s">
        <v>954</v>
      </c>
      <c r="X133" s="37"/>
      <c r="Y133" s="43">
        <v>6.71</v>
      </c>
      <c r="Z133" s="37"/>
      <c r="AA133" s="37"/>
      <c r="AB133" s="37"/>
      <c r="AC133" s="37"/>
      <c r="AD133" s="37"/>
      <c r="AE133" s="37"/>
      <c r="AF133" s="37"/>
      <c r="AG133" s="37"/>
      <c r="AH133" s="32"/>
    </row>
    <row r="134" spans="2:34" hidden="1" x14ac:dyDescent="0.25">
      <c r="B134" s="30" t="s">
        <v>1156</v>
      </c>
      <c r="C134" s="31" t="s">
        <v>1157</v>
      </c>
      <c r="D134" s="32" t="s">
        <v>1057</v>
      </c>
      <c r="E134" s="32">
        <v>100</v>
      </c>
      <c r="F134" s="32" t="s">
        <v>22</v>
      </c>
      <c r="G134" s="32" t="s">
        <v>1056</v>
      </c>
      <c r="H134" s="32" t="s">
        <v>50</v>
      </c>
      <c r="I134" s="32" t="s">
        <v>147</v>
      </c>
      <c r="J134" s="30" t="s">
        <v>18</v>
      </c>
      <c r="K134" s="33">
        <f>IFERROR(AVERAGEIFS('[1]Controle de Produção'!$E:$E,'[1]Controle de Produção'!$N:$N,E134,'[1]Controle de Produção'!$S:$S,J134,'[1]Controle de Produção'!$R:$R,I134),0)</f>
        <v>151.82043921908374</v>
      </c>
      <c r="L134" s="33">
        <f>IFERROR(AVERAGEIFS('[1]Controle de Produção'!$E:$E,'[1]Controle de Produção'!$S:$S,J134,'[1]Controle de Produção'!$R:$R,I134),0)</f>
        <v>175.26407181919058</v>
      </c>
      <c r="M134" s="34">
        <v>50</v>
      </c>
      <c r="N134" s="35"/>
      <c r="O134" s="30"/>
      <c r="P134" s="33"/>
      <c r="Q134" s="33"/>
      <c r="R134" s="36" t="b">
        <v>0</v>
      </c>
      <c r="S134" s="36" t="b">
        <v>0</v>
      </c>
      <c r="T134" s="36" t="b">
        <v>0</v>
      </c>
      <c r="U134" s="36" t="b">
        <v>0</v>
      </c>
      <c r="V134" s="36" t="b">
        <v>0</v>
      </c>
      <c r="W134" s="33" t="s">
        <v>954</v>
      </c>
      <c r="X134" s="37"/>
      <c r="Y134" s="43">
        <v>6.71</v>
      </c>
      <c r="Z134" s="37"/>
      <c r="AA134" s="37"/>
      <c r="AB134" s="37"/>
      <c r="AC134" s="37"/>
      <c r="AD134" s="37"/>
      <c r="AE134" s="37"/>
      <c r="AF134" s="37"/>
      <c r="AG134" s="37"/>
      <c r="AH134" s="32"/>
    </row>
    <row r="135" spans="2:34" hidden="1" x14ac:dyDescent="0.25">
      <c r="B135" s="30" t="s">
        <v>411</v>
      </c>
      <c r="C135" s="39" t="s">
        <v>405</v>
      </c>
      <c r="D135" s="30" t="s">
        <v>417</v>
      </c>
      <c r="E135" s="30">
        <v>325</v>
      </c>
      <c r="F135" s="30" t="s">
        <v>22</v>
      </c>
      <c r="G135" s="30" t="s">
        <v>404</v>
      </c>
      <c r="H135" s="30" t="s">
        <v>227</v>
      </c>
      <c r="I135" s="30" t="s">
        <v>418</v>
      </c>
      <c r="J135" s="30" t="s">
        <v>18</v>
      </c>
      <c r="K135" s="33">
        <f>IFERROR(AVERAGEIFS('[1]Controle de Produção'!$E:$E,'[1]Controle de Produção'!$N:$N,E135,'[1]Controle de Produção'!$S:$S,J135,'[1]Controle de Produção'!$R:$R,I135),0)</f>
        <v>809.87848196512618</v>
      </c>
      <c r="L135" s="33">
        <f>IFERROR(AVERAGEIFS('[1]Controle de Produção'!$E:$E,'[1]Controle de Produção'!$S:$S,J135,'[1]Controle de Produção'!$R:$R,I135),0)</f>
        <v>809.87848196512618</v>
      </c>
      <c r="M135" s="34">
        <v>48</v>
      </c>
      <c r="N135" s="35"/>
      <c r="O135" s="30"/>
      <c r="P135" s="33"/>
      <c r="Q135" s="33"/>
      <c r="R135" s="36" t="b">
        <v>1</v>
      </c>
      <c r="S135" s="36" t="b">
        <v>0</v>
      </c>
      <c r="T135" s="36" t="b">
        <v>0</v>
      </c>
      <c r="U135" s="36" t="b">
        <v>1</v>
      </c>
      <c r="V135" s="36" t="b">
        <v>0</v>
      </c>
      <c r="W135" s="33" t="s">
        <v>954</v>
      </c>
      <c r="X135" s="37"/>
      <c r="Y135" s="43"/>
      <c r="Z135" s="37"/>
      <c r="AA135" s="37"/>
      <c r="AB135" s="37"/>
      <c r="AC135" s="37"/>
      <c r="AD135" s="37"/>
      <c r="AE135" s="37"/>
      <c r="AF135" s="37"/>
      <c r="AG135" s="37"/>
      <c r="AH135" s="30"/>
    </row>
    <row r="136" spans="2:34" hidden="1" x14ac:dyDescent="0.25">
      <c r="B136" s="30" t="s">
        <v>412</v>
      </c>
      <c r="C136" s="39" t="s">
        <v>406</v>
      </c>
      <c r="D136" s="30" t="s">
        <v>417</v>
      </c>
      <c r="E136" s="30">
        <v>325</v>
      </c>
      <c r="F136" s="30" t="s">
        <v>22</v>
      </c>
      <c r="G136" s="30" t="s">
        <v>404</v>
      </c>
      <c r="H136" s="30" t="s">
        <v>227</v>
      </c>
      <c r="I136" s="30" t="s">
        <v>418</v>
      </c>
      <c r="J136" s="30" t="s">
        <v>18</v>
      </c>
      <c r="K136" s="33">
        <f>IFERROR(AVERAGEIFS('[1]Controle de Produção'!$E:$E,'[1]Controle de Produção'!$N:$N,E136,'[1]Controle de Produção'!$S:$S,J136,'[1]Controle de Produção'!$R:$R,I136),0)</f>
        <v>809.87848196512618</v>
      </c>
      <c r="L136" s="33">
        <f>IFERROR(AVERAGEIFS('[1]Controle de Produção'!$E:$E,'[1]Controle de Produção'!$S:$S,J136,'[1]Controle de Produção'!$R:$R,I136),0)</f>
        <v>809.87848196512618</v>
      </c>
      <c r="M136" s="34">
        <v>48</v>
      </c>
      <c r="N136" s="35"/>
      <c r="O136" s="30"/>
      <c r="P136" s="33"/>
      <c r="Q136" s="33"/>
      <c r="R136" s="36" t="b">
        <v>1</v>
      </c>
      <c r="S136" s="36" t="b">
        <v>0</v>
      </c>
      <c r="T136" s="36" t="b">
        <v>0</v>
      </c>
      <c r="U136" s="36" t="b">
        <v>1</v>
      </c>
      <c r="V136" s="36" t="b">
        <v>0</v>
      </c>
      <c r="W136" s="33" t="s">
        <v>954</v>
      </c>
      <c r="X136" s="37"/>
      <c r="Y136" s="43"/>
      <c r="Z136" s="37"/>
      <c r="AA136" s="37"/>
      <c r="AB136" s="37"/>
      <c r="AC136" s="37"/>
      <c r="AD136" s="37"/>
      <c r="AE136" s="37"/>
      <c r="AF136" s="37"/>
      <c r="AG136" s="37"/>
      <c r="AH136" s="30"/>
    </row>
    <row r="137" spans="2:34" hidden="1" x14ac:dyDescent="0.25">
      <c r="B137" s="30" t="s">
        <v>413</v>
      </c>
      <c r="C137" s="39" t="s">
        <v>407</v>
      </c>
      <c r="D137" s="30" t="s">
        <v>417</v>
      </c>
      <c r="E137" s="30">
        <v>325</v>
      </c>
      <c r="F137" s="30" t="s">
        <v>22</v>
      </c>
      <c r="G137" s="30" t="s">
        <v>404</v>
      </c>
      <c r="H137" s="30" t="s">
        <v>227</v>
      </c>
      <c r="I137" s="30" t="s">
        <v>418</v>
      </c>
      <c r="J137" s="30" t="s">
        <v>18</v>
      </c>
      <c r="K137" s="33">
        <f>IFERROR(AVERAGEIFS('[1]Controle de Produção'!$E:$E,'[1]Controle de Produção'!$N:$N,E137,'[1]Controle de Produção'!$S:$S,J137,'[1]Controle de Produção'!$R:$R,I137),0)</f>
        <v>809.87848196512618</v>
      </c>
      <c r="L137" s="33">
        <f>IFERROR(AVERAGEIFS('[1]Controle de Produção'!$E:$E,'[1]Controle de Produção'!$S:$S,J137,'[1]Controle de Produção'!$R:$R,I137),0)</f>
        <v>809.87848196512618</v>
      </c>
      <c r="M137" s="34">
        <v>48</v>
      </c>
      <c r="N137" s="35"/>
      <c r="O137" s="30"/>
      <c r="P137" s="33"/>
      <c r="Q137" s="33"/>
      <c r="R137" s="36" t="b">
        <v>1</v>
      </c>
      <c r="S137" s="36" t="b">
        <v>0</v>
      </c>
      <c r="T137" s="36" t="b">
        <v>0</v>
      </c>
      <c r="U137" s="36" t="b">
        <v>1</v>
      </c>
      <c r="V137" s="36" t="b">
        <v>0</v>
      </c>
      <c r="W137" s="33" t="s">
        <v>954</v>
      </c>
      <c r="X137" s="37"/>
      <c r="Y137" s="43"/>
      <c r="Z137" s="37"/>
      <c r="AA137" s="37"/>
      <c r="AB137" s="37"/>
      <c r="AC137" s="37"/>
      <c r="AD137" s="37"/>
      <c r="AE137" s="37"/>
      <c r="AF137" s="37"/>
      <c r="AG137" s="37"/>
      <c r="AH137" s="30"/>
    </row>
    <row r="138" spans="2:34" hidden="1" x14ac:dyDescent="0.25">
      <c r="B138" s="30" t="s">
        <v>414</v>
      </c>
      <c r="C138" s="39" t="s">
        <v>408</v>
      </c>
      <c r="D138" s="30" t="s">
        <v>417</v>
      </c>
      <c r="E138" s="30">
        <v>325</v>
      </c>
      <c r="F138" s="30" t="s">
        <v>22</v>
      </c>
      <c r="G138" s="30" t="s">
        <v>404</v>
      </c>
      <c r="H138" s="30" t="s">
        <v>227</v>
      </c>
      <c r="I138" s="30" t="s">
        <v>418</v>
      </c>
      <c r="J138" s="30" t="s">
        <v>18</v>
      </c>
      <c r="K138" s="33">
        <f>IFERROR(AVERAGEIFS('[1]Controle de Produção'!$E:$E,'[1]Controle de Produção'!$N:$N,E138,'[1]Controle de Produção'!$S:$S,J138,'[1]Controle de Produção'!$R:$R,I138),0)</f>
        <v>809.87848196512618</v>
      </c>
      <c r="L138" s="33">
        <f>IFERROR(AVERAGEIFS('[1]Controle de Produção'!$E:$E,'[1]Controle de Produção'!$S:$S,J138,'[1]Controle de Produção'!$R:$R,I138),0)</f>
        <v>809.87848196512618</v>
      </c>
      <c r="M138" s="34">
        <v>48</v>
      </c>
      <c r="N138" s="35"/>
      <c r="O138" s="30"/>
      <c r="P138" s="33"/>
      <c r="Q138" s="33"/>
      <c r="R138" s="36" t="b">
        <v>1</v>
      </c>
      <c r="S138" s="36" t="b">
        <v>0</v>
      </c>
      <c r="T138" s="36" t="b">
        <v>0</v>
      </c>
      <c r="U138" s="36" t="b">
        <v>1</v>
      </c>
      <c r="V138" s="36" t="b">
        <v>0</v>
      </c>
      <c r="W138" s="33" t="s">
        <v>954</v>
      </c>
      <c r="X138" s="37"/>
      <c r="Y138" s="43"/>
      <c r="Z138" s="37"/>
      <c r="AA138" s="37"/>
      <c r="AB138" s="37"/>
      <c r="AC138" s="37"/>
      <c r="AD138" s="37"/>
      <c r="AE138" s="37"/>
      <c r="AF138" s="37"/>
      <c r="AG138" s="37"/>
      <c r="AH138" s="30"/>
    </row>
    <row r="139" spans="2:34" hidden="1" x14ac:dyDescent="0.25">
      <c r="B139" s="30" t="s">
        <v>415</v>
      </c>
      <c r="C139" s="39" t="s">
        <v>409</v>
      </c>
      <c r="D139" s="30" t="s">
        <v>417</v>
      </c>
      <c r="E139" s="30">
        <v>325</v>
      </c>
      <c r="F139" s="30" t="s">
        <v>22</v>
      </c>
      <c r="G139" s="30" t="s">
        <v>404</v>
      </c>
      <c r="H139" s="30" t="s">
        <v>227</v>
      </c>
      <c r="I139" s="30" t="s">
        <v>418</v>
      </c>
      <c r="J139" s="30" t="s">
        <v>18</v>
      </c>
      <c r="K139" s="33">
        <f>IFERROR(AVERAGEIFS('[1]Controle de Produção'!$E:$E,'[1]Controle de Produção'!$N:$N,E139,'[1]Controle de Produção'!$S:$S,J139,'[1]Controle de Produção'!$R:$R,I139),0)</f>
        <v>809.87848196512618</v>
      </c>
      <c r="L139" s="33">
        <f>IFERROR(AVERAGEIFS('[1]Controle de Produção'!$E:$E,'[1]Controle de Produção'!$S:$S,J139,'[1]Controle de Produção'!$R:$R,I139),0)</f>
        <v>809.87848196512618</v>
      </c>
      <c r="M139" s="34">
        <v>48</v>
      </c>
      <c r="N139" s="35"/>
      <c r="O139" s="30"/>
      <c r="P139" s="33"/>
      <c r="Q139" s="33"/>
      <c r="R139" s="36" t="b">
        <v>1</v>
      </c>
      <c r="S139" s="36" t="b">
        <v>0</v>
      </c>
      <c r="T139" s="36" t="b">
        <v>0</v>
      </c>
      <c r="U139" s="36" t="b">
        <v>1</v>
      </c>
      <c r="V139" s="36" t="b">
        <v>0</v>
      </c>
      <c r="W139" s="33" t="s">
        <v>954</v>
      </c>
      <c r="X139" s="37"/>
      <c r="Y139" s="43"/>
      <c r="Z139" s="37"/>
      <c r="AA139" s="37"/>
      <c r="AB139" s="37"/>
      <c r="AC139" s="37"/>
      <c r="AD139" s="37"/>
      <c r="AE139" s="37"/>
      <c r="AF139" s="37"/>
      <c r="AG139" s="37"/>
      <c r="AH139" s="30"/>
    </row>
    <row r="140" spans="2:34" hidden="1" x14ac:dyDescent="0.25">
      <c r="B140" s="30" t="s">
        <v>416</v>
      </c>
      <c r="C140" s="39" t="s">
        <v>410</v>
      </c>
      <c r="D140" s="30" t="s">
        <v>417</v>
      </c>
      <c r="E140" s="30">
        <v>325</v>
      </c>
      <c r="F140" s="30" t="s">
        <v>22</v>
      </c>
      <c r="G140" s="30" t="s">
        <v>404</v>
      </c>
      <c r="H140" s="30" t="s">
        <v>227</v>
      </c>
      <c r="I140" s="30" t="s">
        <v>418</v>
      </c>
      <c r="J140" s="30" t="s">
        <v>18</v>
      </c>
      <c r="K140" s="33">
        <f>IFERROR(AVERAGEIFS('[1]Controle de Produção'!$E:$E,'[1]Controle de Produção'!$N:$N,E140,'[1]Controle de Produção'!$S:$S,J140,'[1]Controle de Produção'!$R:$R,I140),0)</f>
        <v>809.87848196512618</v>
      </c>
      <c r="L140" s="33">
        <f>IFERROR(AVERAGEIFS('[1]Controle de Produção'!$E:$E,'[1]Controle de Produção'!$S:$S,J140,'[1]Controle de Produção'!$R:$R,I140),0)</f>
        <v>809.87848196512618</v>
      </c>
      <c r="M140" s="34">
        <v>48</v>
      </c>
      <c r="N140" s="35"/>
      <c r="O140" s="30"/>
      <c r="P140" s="33"/>
      <c r="Q140" s="33"/>
      <c r="R140" s="36" t="b">
        <v>1</v>
      </c>
      <c r="S140" s="36" t="b">
        <v>0</v>
      </c>
      <c r="T140" s="36" t="b">
        <v>0</v>
      </c>
      <c r="U140" s="36" t="b">
        <v>1</v>
      </c>
      <c r="V140" s="36" t="b">
        <v>0</v>
      </c>
      <c r="W140" s="33" t="s">
        <v>954</v>
      </c>
      <c r="X140" s="37"/>
      <c r="Y140" s="43">
        <v>0.85999999999999988</v>
      </c>
      <c r="Z140" s="37"/>
      <c r="AA140" s="37"/>
      <c r="AB140" s="37"/>
      <c r="AC140" s="37"/>
      <c r="AD140" s="37"/>
      <c r="AE140" s="37"/>
      <c r="AF140" s="37"/>
      <c r="AG140" s="37"/>
      <c r="AH140" s="30"/>
    </row>
    <row r="141" spans="2:34" hidden="1" x14ac:dyDescent="0.25">
      <c r="B141" s="30" t="s">
        <v>1026</v>
      </c>
      <c r="C141" s="39" t="s">
        <v>1025</v>
      </c>
      <c r="D141" s="30" t="s">
        <v>417</v>
      </c>
      <c r="E141" s="30">
        <v>325</v>
      </c>
      <c r="F141" s="30" t="s">
        <v>22</v>
      </c>
      <c r="G141" s="30" t="s">
        <v>404</v>
      </c>
      <c r="H141" s="30" t="s">
        <v>227</v>
      </c>
      <c r="I141" s="30" t="s">
        <v>418</v>
      </c>
      <c r="J141" s="30" t="s">
        <v>18</v>
      </c>
      <c r="K141" s="33">
        <f>IFERROR(AVERAGEIFS('[1]Controle de Produção'!$E:$E,'[1]Controle de Produção'!$N:$N,E141,'[1]Controle de Produção'!$S:$S,J141,'[1]Controle de Produção'!$R:$R,I141),0)</f>
        <v>809.87848196512618</v>
      </c>
      <c r="L141" s="33">
        <f>IFERROR(AVERAGEIFS('[1]Controle de Produção'!$E:$E,'[1]Controle de Produção'!$S:$S,J141,'[1]Controle de Produção'!$R:$R,I141),0)</f>
        <v>809.87848196512618</v>
      </c>
      <c r="M141" s="34">
        <v>48</v>
      </c>
      <c r="N141" s="35"/>
      <c r="O141" s="30"/>
      <c r="P141" s="33"/>
      <c r="Q141" s="33"/>
      <c r="R141" s="36" t="b">
        <v>1</v>
      </c>
      <c r="S141" s="36" t="b">
        <v>0</v>
      </c>
      <c r="T141" s="36" t="b">
        <v>0</v>
      </c>
      <c r="U141" s="36" t="b">
        <v>1</v>
      </c>
      <c r="V141" s="36" t="b">
        <v>0</v>
      </c>
      <c r="W141" s="33" t="s">
        <v>954</v>
      </c>
      <c r="X141" s="37"/>
      <c r="Y141" s="43"/>
      <c r="Z141" s="37"/>
      <c r="AA141" s="37"/>
      <c r="AB141" s="37"/>
      <c r="AC141" s="37"/>
      <c r="AD141" s="37"/>
      <c r="AE141" s="37"/>
      <c r="AF141" s="37"/>
      <c r="AG141" s="37"/>
      <c r="AH141" s="30"/>
    </row>
    <row r="142" spans="2:34" hidden="1" x14ac:dyDescent="0.25">
      <c r="B142" s="30" t="s">
        <v>246</v>
      </c>
      <c r="C142" s="31" t="s">
        <v>247</v>
      </c>
      <c r="D142" s="30" t="s">
        <v>248</v>
      </c>
      <c r="E142" s="30">
        <v>210</v>
      </c>
      <c r="F142" s="30" t="s">
        <v>22</v>
      </c>
      <c r="G142" s="32" t="s">
        <v>249</v>
      </c>
      <c r="H142" s="30" t="s">
        <v>50</v>
      </c>
      <c r="I142" s="30" t="s">
        <v>62</v>
      </c>
      <c r="J142" s="30" t="s">
        <v>18</v>
      </c>
      <c r="K142" s="33">
        <f>IFERROR(AVERAGEIFS('[1]Controle de Produção'!$E:$E,'[1]Controle de Produção'!$N:$N,E142,'[1]Controle de Produção'!$S:$S,J142,'[1]Controle de Produção'!$R:$R,I142),0)</f>
        <v>697.12965571937229</v>
      </c>
      <c r="L142" s="33">
        <f>IFERROR(AVERAGEIFS('[1]Controle de Produção'!$E:$E,'[1]Controle de Produção'!$S:$S,J142,'[1]Controle de Produção'!$R:$R,I142),0)</f>
        <v>843.58780095852239</v>
      </c>
      <c r="M142" s="34">
        <v>12</v>
      </c>
      <c r="N142" s="35"/>
      <c r="O142" s="30"/>
      <c r="P142" s="33"/>
      <c r="Q142" s="33"/>
      <c r="R142" s="36" t="b">
        <v>1</v>
      </c>
      <c r="S142" s="36" t="b">
        <v>0</v>
      </c>
      <c r="T142" s="36" t="b">
        <v>0</v>
      </c>
      <c r="U142" s="36" t="b">
        <v>0</v>
      </c>
      <c r="V142" s="36" t="b">
        <v>0</v>
      </c>
      <c r="W142" s="33" t="s">
        <v>954</v>
      </c>
      <c r="X142" s="37"/>
      <c r="Y142" s="43">
        <v>2.0200000000000005</v>
      </c>
      <c r="Z142" s="37"/>
      <c r="AA142" s="37"/>
      <c r="AB142" s="37"/>
      <c r="AC142" s="37"/>
      <c r="AD142" s="37"/>
      <c r="AE142" s="37"/>
      <c r="AF142" s="37"/>
      <c r="AG142" s="37"/>
      <c r="AH142" s="32"/>
    </row>
    <row r="143" spans="2:34" hidden="1" x14ac:dyDescent="0.25">
      <c r="B143" s="30" t="s">
        <v>250</v>
      </c>
      <c r="C143" s="39" t="s">
        <v>251</v>
      </c>
      <c r="D143" s="30" t="s">
        <v>248</v>
      </c>
      <c r="E143" s="30">
        <v>210</v>
      </c>
      <c r="F143" s="30" t="s">
        <v>22</v>
      </c>
      <c r="G143" s="32" t="s">
        <v>249</v>
      </c>
      <c r="H143" s="30" t="s">
        <v>50</v>
      </c>
      <c r="I143" s="30" t="s">
        <v>62</v>
      </c>
      <c r="J143" s="30" t="s">
        <v>18</v>
      </c>
      <c r="K143" s="33">
        <f>IFERROR(AVERAGEIFS('[1]Controle de Produção'!$E:$E,'[1]Controle de Produção'!$N:$N,E143,'[1]Controle de Produção'!$S:$S,J143,'[1]Controle de Produção'!$R:$R,I143),0)</f>
        <v>697.12965571937229</v>
      </c>
      <c r="L143" s="33">
        <f>IFERROR(AVERAGEIFS('[1]Controle de Produção'!$E:$E,'[1]Controle de Produção'!$S:$S,J143,'[1]Controle de Produção'!$R:$R,I143),0)</f>
        <v>843.58780095852239</v>
      </c>
      <c r="M143" s="34">
        <v>12</v>
      </c>
      <c r="N143" s="35"/>
      <c r="O143" s="30"/>
      <c r="P143" s="33"/>
      <c r="Q143" s="33"/>
      <c r="R143" s="36" t="b">
        <v>1</v>
      </c>
      <c r="S143" s="36" t="b">
        <v>0</v>
      </c>
      <c r="T143" s="36" t="b">
        <v>0</v>
      </c>
      <c r="U143" s="36" t="b">
        <v>0</v>
      </c>
      <c r="V143" s="36" t="b">
        <v>0</v>
      </c>
      <c r="W143" s="33" t="s">
        <v>954</v>
      </c>
      <c r="X143" s="37"/>
      <c r="Y143" s="43">
        <v>2.0200000000000005</v>
      </c>
      <c r="Z143" s="37"/>
      <c r="AA143" s="37"/>
      <c r="AB143" s="37"/>
      <c r="AC143" s="37"/>
      <c r="AD143" s="37"/>
      <c r="AE143" s="37"/>
      <c r="AF143" s="37"/>
      <c r="AG143" s="37"/>
      <c r="AH143" s="32"/>
    </row>
    <row r="144" spans="2:34" hidden="1" x14ac:dyDescent="0.25">
      <c r="B144" s="30" t="s">
        <v>252</v>
      </c>
      <c r="C144" s="39" t="s">
        <v>253</v>
      </c>
      <c r="D144" s="30" t="s">
        <v>248</v>
      </c>
      <c r="E144" s="30">
        <v>210</v>
      </c>
      <c r="F144" s="30" t="s">
        <v>22</v>
      </c>
      <c r="G144" s="32" t="s">
        <v>249</v>
      </c>
      <c r="H144" s="30" t="s">
        <v>50</v>
      </c>
      <c r="I144" s="30" t="s">
        <v>62</v>
      </c>
      <c r="J144" s="30" t="s">
        <v>18</v>
      </c>
      <c r="K144" s="33">
        <f>IFERROR(AVERAGEIFS('[1]Controle de Produção'!$E:$E,'[1]Controle de Produção'!$N:$N,E144,'[1]Controle de Produção'!$S:$S,J144,'[1]Controle de Produção'!$R:$R,I144),0)</f>
        <v>697.12965571937229</v>
      </c>
      <c r="L144" s="33">
        <f>IFERROR(AVERAGEIFS('[1]Controle de Produção'!$E:$E,'[1]Controle de Produção'!$S:$S,J144,'[1]Controle de Produção'!$R:$R,I144),0)</f>
        <v>843.58780095852239</v>
      </c>
      <c r="M144" s="34">
        <v>12</v>
      </c>
      <c r="N144" s="35"/>
      <c r="O144" s="30"/>
      <c r="P144" s="33"/>
      <c r="Q144" s="33"/>
      <c r="R144" s="36" t="b">
        <v>1</v>
      </c>
      <c r="S144" s="36" t="b">
        <v>0</v>
      </c>
      <c r="T144" s="36" t="b">
        <v>0</v>
      </c>
      <c r="U144" s="36" t="b">
        <v>0</v>
      </c>
      <c r="V144" s="36" t="b">
        <v>0</v>
      </c>
      <c r="W144" s="33" t="s">
        <v>954</v>
      </c>
      <c r="X144" s="37"/>
      <c r="Y144" s="43">
        <v>2.0200000000000005</v>
      </c>
      <c r="Z144" s="37"/>
      <c r="AA144" s="37"/>
      <c r="AB144" s="37"/>
      <c r="AC144" s="37"/>
      <c r="AD144" s="37"/>
      <c r="AE144" s="37"/>
      <c r="AF144" s="37"/>
      <c r="AG144" s="37"/>
      <c r="AH144" s="32"/>
    </row>
    <row r="145" spans="2:34" hidden="1" x14ac:dyDescent="0.25">
      <c r="B145" s="30" t="s">
        <v>254</v>
      </c>
      <c r="C145" s="39" t="s">
        <v>255</v>
      </c>
      <c r="D145" s="30" t="s">
        <v>248</v>
      </c>
      <c r="E145" s="30">
        <v>210</v>
      </c>
      <c r="F145" s="30" t="s">
        <v>22</v>
      </c>
      <c r="G145" s="32" t="s">
        <v>249</v>
      </c>
      <c r="H145" s="30" t="s">
        <v>50</v>
      </c>
      <c r="I145" s="30" t="s">
        <v>62</v>
      </c>
      <c r="J145" s="30" t="s">
        <v>18</v>
      </c>
      <c r="K145" s="33">
        <f>IFERROR(AVERAGEIFS('[1]Controle de Produção'!$E:$E,'[1]Controle de Produção'!$N:$N,E145,'[1]Controle de Produção'!$S:$S,J145,'[1]Controle de Produção'!$R:$R,I145),0)</f>
        <v>697.12965571937229</v>
      </c>
      <c r="L145" s="33">
        <f>IFERROR(AVERAGEIFS('[1]Controle de Produção'!$E:$E,'[1]Controle de Produção'!$S:$S,J145,'[1]Controle de Produção'!$R:$R,I145),0)</f>
        <v>843.58780095852239</v>
      </c>
      <c r="M145" s="34">
        <v>12</v>
      </c>
      <c r="N145" s="35"/>
      <c r="O145" s="30"/>
      <c r="P145" s="33"/>
      <c r="Q145" s="33"/>
      <c r="R145" s="36" t="b">
        <v>1</v>
      </c>
      <c r="S145" s="36" t="b">
        <v>0</v>
      </c>
      <c r="T145" s="36" t="b">
        <v>0</v>
      </c>
      <c r="U145" s="36" t="b">
        <v>0</v>
      </c>
      <c r="V145" s="36" t="b">
        <v>0</v>
      </c>
      <c r="W145" s="33" t="s">
        <v>954</v>
      </c>
      <c r="X145" s="37"/>
      <c r="Y145" s="43">
        <v>2.0200000000000005</v>
      </c>
      <c r="Z145" s="37"/>
      <c r="AA145" s="37"/>
      <c r="AB145" s="37"/>
      <c r="AC145" s="37"/>
      <c r="AD145" s="37"/>
      <c r="AE145" s="37"/>
      <c r="AF145" s="37"/>
      <c r="AG145" s="37"/>
      <c r="AH145" s="32"/>
    </row>
    <row r="146" spans="2:34" hidden="1" x14ac:dyDescent="0.25">
      <c r="B146" s="30" t="s">
        <v>256</v>
      </c>
      <c r="C146" s="39" t="s">
        <v>257</v>
      </c>
      <c r="D146" s="30" t="s">
        <v>248</v>
      </c>
      <c r="E146" s="30">
        <v>210</v>
      </c>
      <c r="F146" s="30" t="s">
        <v>22</v>
      </c>
      <c r="G146" s="32" t="s">
        <v>249</v>
      </c>
      <c r="H146" s="30" t="s">
        <v>50</v>
      </c>
      <c r="I146" s="30" t="s">
        <v>62</v>
      </c>
      <c r="J146" s="30" t="s">
        <v>18</v>
      </c>
      <c r="K146" s="33">
        <f>IFERROR(AVERAGEIFS('[1]Controle de Produção'!$E:$E,'[1]Controle de Produção'!$N:$N,E146,'[1]Controle de Produção'!$S:$S,J146,'[1]Controle de Produção'!$R:$R,I146),0)</f>
        <v>697.12965571937229</v>
      </c>
      <c r="L146" s="33">
        <f>IFERROR(AVERAGEIFS('[1]Controle de Produção'!$E:$E,'[1]Controle de Produção'!$S:$S,J146,'[1]Controle de Produção'!$R:$R,I146),0)</f>
        <v>843.58780095852239</v>
      </c>
      <c r="M146" s="34">
        <v>12</v>
      </c>
      <c r="N146" s="35"/>
      <c r="O146" s="30"/>
      <c r="P146" s="33"/>
      <c r="Q146" s="33"/>
      <c r="R146" s="36" t="b">
        <v>1</v>
      </c>
      <c r="S146" s="36" t="b">
        <v>0</v>
      </c>
      <c r="T146" s="36" t="b">
        <v>0</v>
      </c>
      <c r="U146" s="36" t="b">
        <v>0</v>
      </c>
      <c r="V146" s="36" t="b">
        <v>0</v>
      </c>
      <c r="W146" s="33" t="s">
        <v>954</v>
      </c>
      <c r="X146" s="37"/>
      <c r="Y146" s="43">
        <v>2.0200000000000005</v>
      </c>
      <c r="Z146" s="37"/>
      <c r="AA146" s="37"/>
      <c r="AB146" s="37"/>
      <c r="AC146" s="37"/>
      <c r="AD146" s="37"/>
      <c r="AE146" s="37"/>
      <c r="AF146" s="37"/>
      <c r="AG146" s="37"/>
      <c r="AH146" s="32"/>
    </row>
    <row r="147" spans="2:34" hidden="1" x14ac:dyDescent="0.25">
      <c r="B147" s="30" t="s">
        <v>258</v>
      </c>
      <c r="C147" s="39" t="s">
        <v>496</v>
      </c>
      <c r="D147" s="30" t="s">
        <v>248</v>
      </c>
      <c r="E147" s="30">
        <v>210</v>
      </c>
      <c r="F147" s="30" t="s">
        <v>22</v>
      </c>
      <c r="G147" s="32" t="s">
        <v>249</v>
      </c>
      <c r="H147" s="30" t="s">
        <v>50</v>
      </c>
      <c r="I147" s="30" t="s">
        <v>62</v>
      </c>
      <c r="J147" s="30" t="s">
        <v>18</v>
      </c>
      <c r="K147" s="33">
        <f>IFERROR(AVERAGEIFS('[1]Controle de Produção'!$E:$E,'[1]Controle de Produção'!$N:$N,E147,'[1]Controle de Produção'!$S:$S,J147,'[1]Controle de Produção'!$R:$R,I147),0)</f>
        <v>697.12965571937229</v>
      </c>
      <c r="L147" s="33">
        <f>IFERROR(AVERAGEIFS('[1]Controle de Produção'!$E:$E,'[1]Controle de Produção'!$S:$S,J147,'[1]Controle de Produção'!$R:$R,I147),0)</f>
        <v>843.58780095852239</v>
      </c>
      <c r="M147" s="34">
        <v>12</v>
      </c>
      <c r="N147" s="35"/>
      <c r="O147" s="30"/>
      <c r="P147" s="33"/>
      <c r="Q147" s="33"/>
      <c r="R147" s="36" t="b">
        <v>1</v>
      </c>
      <c r="S147" s="36" t="b">
        <v>0</v>
      </c>
      <c r="T147" s="36" t="b">
        <v>0</v>
      </c>
      <c r="U147" s="36" t="b">
        <v>0</v>
      </c>
      <c r="V147" s="36" t="b">
        <v>0</v>
      </c>
      <c r="W147" s="33" t="s">
        <v>954</v>
      </c>
      <c r="X147" s="37"/>
      <c r="Y147" s="43">
        <v>2.0200000000000005</v>
      </c>
      <c r="Z147" s="37"/>
      <c r="AA147" s="37"/>
      <c r="AB147" s="37"/>
      <c r="AC147" s="37"/>
      <c r="AD147" s="37"/>
      <c r="AE147" s="37"/>
      <c r="AF147" s="37"/>
      <c r="AG147" s="37"/>
      <c r="AH147" s="32"/>
    </row>
    <row r="148" spans="2:34" hidden="1" x14ac:dyDescent="0.25">
      <c r="B148" s="30" t="s">
        <v>1088</v>
      </c>
      <c r="C148" s="39" t="s">
        <v>1096</v>
      </c>
      <c r="D148" s="30"/>
      <c r="E148" s="30">
        <v>200</v>
      </c>
      <c r="F148" s="30" t="s">
        <v>88</v>
      </c>
      <c r="G148" s="32" t="s">
        <v>1179</v>
      </c>
      <c r="H148" s="30" t="s">
        <v>10</v>
      </c>
      <c r="I148" s="30" t="s">
        <v>41</v>
      </c>
      <c r="J148" s="30" t="s">
        <v>25</v>
      </c>
      <c r="K148" s="33">
        <f>IFERROR(AVERAGEIFS('[1]Controle de Produção'!$E:$E,'[1]Controle de Produção'!$N:$N,E148,'[1]Controle de Produção'!$S:$S,J148,'[1]Controle de Produção'!$R:$R,I148),0)</f>
        <v>514.67351586405687</v>
      </c>
      <c r="L148" s="33">
        <f>IFERROR(AVERAGEIFS('[1]Controle de Produção'!$E:$E,'[1]Controle de Produção'!$S:$S,J148,'[1]Controle de Produção'!$R:$R,I148),0)</f>
        <v>613.39886035164977</v>
      </c>
      <c r="M148" s="34">
        <v>48</v>
      </c>
      <c r="N148" s="35"/>
      <c r="O148" s="30" t="s">
        <v>1104</v>
      </c>
      <c r="P148" s="33">
        <v>7908420116819</v>
      </c>
      <c r="Q148" s="33">
        <v>17908420116816</v>
      </c>
      <c r="R148" s="36" t="b">
        <v>1</v>
      </c>
      <c r="S148" s="36" t="b">
        <v>1</v>
      </c>
      <c r="T148" s="36" t="b">
        <v>1</v>
      </c>
      <c r="U148" s="36" t="b">
        <v>0</v>
      </c>
      <c r="V148" s="36" t="b">
        <v>0</v>
      </c>
      <c r="W148" s="33" t="s">
        <v>954</v>
      </c>
      <c r="X148" s="37"/>
      <c r="Y148" s="43">
        <v>2</v>
      </c>
      <c r="Z148" s="37"/>
      <c r="AA148" s="37"/>
      <c r="AB148" s="37"/>
      <c r="AC148" s="37"/>
      <c r="AD148" s="37"/>
      <c r="AE148" s="37"/>
      <c r="AF148" s="37"/>
      <c r="AG148" s="37"/>
      <c r="AH148" s="32"/>
    </row>
    <row r="149" spans="2:34" hidden="1" x14ac:dyDescent="0.25">
      <c r="B149" s="30" t="s">
        <v>1089</v>
      </c>
      <c r="C149" s="39" t="s">
        <v>1097</v>
      </c>
      <c r="D149" s="30"/>
      <c r="E149" s="30">
        <v>200</v>
      </c>
      <c r="F149" s="30" t="s">
        <v>88</v>
      </c>
      <c r="G149" s="32" t="s">
        <v>1179</v>
      </c>
      <c r="H149" s="30" t="s">
        <v>10</v>
      </c>
      <c r="I149" s="30" t="s">
        <v>41</v>
      </c>
      <c r="J149" s="30" t="s">
        <v>25</v>
      </c>
      <c r="K149" s="33">
        <f>IFERROR(AVERAGEIFS('[1]Controle de Produção'!$E:$E,'[1]Controle de Produção'!$N:$N,E149,'[1]Controle de Produção'!$S:$S,J149,'[1]Controle de Produção'!$R:$R,I149),0)</f>
        <v>514.67351586405687</v>
      </c>
      <c r="L149" s="33">
        <f>IFERROR(AVERAGEIFS('[1]Controle de Produção'!$E:$E,'[1]Controle de Produção'!$S:$S,J149,'[1]Controle de Produção'!$R:$R,I149),0)</f>
        <v>613.39886035164977</v>
      </c>
      <c r="M149" s="34">
        <v>48</v>
      </c>
      <c r="N149" s="35"/>
      <c r="O149" s="30" t="s">
        <v>1105</v>
      </c>
      <c r="P149" s="33">
        <v>7908420116826</v>
      </c>
      <c r="Q149" s="33">
        <v>17908420116823</v>
      </c>
      <c r="R149" s="36" t="b">
        <v>1</v>
      </c>
      <c r="S149" s="36" t="b">
        <v>1</v>
      </c>
      <c r="T149" s="36" t="b">
        <v>1</v>
      </c>
      <c r="U149" s="36" t="b">
        <v>0</v>
      </c>
      <c r="V149" s="36" t="b">
        <v>0</v>
      </c>
      <c r="W149" s="33" t="s">
        <v>954</v>
      </c>
      <c r="X149" s="37"/>
      <c r="Y149" s="43">
        <v>2</v>
      </c>
      <c r="Z149" s="37"/>
      <c r="AA149" s="37"/>
      <c r="AB149" s="37"/>
      <c r="AC149" s="37"/>
      <c r="AD149" s="37"/>
      <c r="AE149" s="37"/>
      <c r="AF149" s="37"/>
      <c r="AG149" s="37"/>
      <c r="AH149" s="32"/>
    </row>
    <row r="150" spans="2:34" hidden="1" x14ac:dyDescent="0.25">
      <c r="B150" s="30" t="s">
        <v>1090</v>
      </c>
      <c r="C150" s="39" t="s">
        <v>1098</v>
      </c>
      <c r="D150" s="30"/>
      <c r="E150" s="30">
        <v>200</v>
      </c>
      <c r="F150" s="30" t="s">
        <v>88</v>
      </c>
      <c r="G150" s="32" t="s">
        <v>1179</v>
      </c>
      <c r="H150" s="30" t="s">
        <v>10</v>
      </c>
      <c r="I150" s="30" t="s">
        <v>41</v>
      </c>
      <c r="J150" s="30" t="s">
        <v>25</v>
      </c>
      <c r="K150" s="33">
        <f>IFERROR(AVERAGEIFS('[1]Controle de Produção'!$E:$E,'[1]Controle de Produção'!$N:$N,E150,'[1]Controle de Produção'!$S:$S,J150,'[1]Controle de Produção'!$R:$R,I150),0)</f>
        <v>514.67351586405687</v>
      </c>
      <c r="L150" s="33">
        <f>IFERROR(AVERAGEIFS('[1]Controle de Produção'!$E:$E,'[1]Controle de Produção'!$S:$S,J150,'[1]Controle de Produção'!$R:$R,I150),0)</f>
        <v>613.39886035164977</v>
      </c>
      <c r="M150" s="34">
        <v>48</v>
      </c>
      <c r="N150" s="35"/>
      <c r="O150" s="30" t="s">
        <v>1106</v>
      </c>
      <c r="P150" s="33">
        <v>7908420116833</v>
      </c>
      <c r="Q150" s="33">
        <v>17908420116830</v>
      </c>
      <c r="R150" s="36" t="b">
        <v>1</v>
      </c>
      <c r="S150" s="36" t="b">
        <v>1</v>
      </c>
      <c r="T150" s="36" t="b">
        <v>1</v>
      </c>
      <c r="U150" s="36" t="b">
        <v>0</v>
      </c>
      <c r="V150" s="36" t="b">
        <v>0</v>
      </c>
      <c r="W150" s="33" t="s">
        <v>954</v>
      </c>
      <c r="X150" s="37"/>
      <c r="Y150" s="43">
        <v>2</v>
      </c>
      <c r="Z150" s="37"/>
      <c r="AA150" s="37"/>
      <c r="AB150" s="37"/>
      <c r="AC150" s="37"/>
      <c r="AD150" s="37"/>
      <c r="AE150" s="37"/>
      <c r="AF150" s="37"/>
      <c r="AG150" s="37"/>
      <c r="AH150" s="32"/>
    </row>
    <row r="151" spans="2:34" hidden="1" x14ac:dyDescent="0.25">
      <c r="B151" s="30" t="s">
        <v>1091</v>
      </c>
      <c r="C151" s="39" t="s">
        <v>1099</v>
      </c>
      <c r="D151" s="30"/>
      <c r="E151" s="30">
        <v>200</v>
      </c>
      <c r="F151" s="30" t="s">
        <v>88</v>
      </c>
      <c r="G151" s="32" t="s">
        <v>1179</v>
      </c>
      <c r="H151" s="30" t="s">
        <v>10</v>
      </c>
      <c r="I151" s="30" t="s">
        <v>41</v>
      </c>
      <c r="J151" s="30" t="s">
        <v>25</v>
      </c>
      <c r="K151" s="33">
        <f>IFERROR(AVERAGEIFS('[1]Controle de Produção'!$E:$E,'[1]Controle de Produção'!$N:$N,E151,'[1]Controle de Produção'!$S:$S,J151,'[1]Controle de Produção'!$R:$R,I151),0)</f>
        <v>514.67351586405687</v>
      </c>
      <c r="L151" s="33">
        <f>IFERROR(AVERAGEIFS('[1]Controle de Produção'!$E:$E,'[1]Controle de Produção'!$S:$S,J151,'[1]Controle de Produção'!$R:$R,I151),0)</f>
        <v>613.39886035164977</v>
      </c>
      <c r="M151" s="34">
        <v>48</v>
      </c>
      <c r="N151" s="35"/>
      <c r="O151" s="30" t="s">
        <v>1107</v>
      </c>
      <c r="P151" s="33">
        <v>7908420116840</v>
      </c>
      <c r="Q151" s="33">
        <v>17908420116847</v>
      </c>
      <c r="R151" s="36" t="b">
        <v>1</v>
      </c>
      <c r="S151" s="36" t="b">
        <v>1</v>
      </c>
      <c r="T151" s="36" t="b">
        <v>1</v>
      </c>
      <c r="U151" s="36" t="b">
        <v>0</v>
      </c>
      <c r="V151" s="36" t="b">
        <v>0</v>
      </c>
      <c r="W151" s="33" t="s">
        <v>954</v>
      </c>
      <c r="X151" s="37"/>
      <c r="Y151" s="43">
        <v>2</v>
      </c>
      <c r="Z151" s="37"/>
      <c r="AA151" s="37"/>
      <c r="AB151" s="37"/>
      <c r="AC151" s="37"/>
      <c r="AD151" s="37"/>
      <c r="AE151" s="37"/>
      <c r="AF151" s="37"/>
      <c r="AG151" s="37"/>
      <c r="AH151" s="32"/>
    </row>
    <row r="152" spans="2:34" hidden="1" x14ac:dyDescent="0.25">
      <c r="B152" s="30" t="s">
        <v>1092</v>
      </c>
      <c r="C152" s="39" t="s">
        <v>1100</v>
      </c>
      <c r="D152" s="30"/>
      <c r="E152" s="30">
        <v>200</v>
      </c>
      <c r="F152" s="30" t="s">
        <v>88</v>
      </c>
      <c r="G152" s="32" t="s">
        <v>1179</v>
      </c>
      <c r="H152" s="30" t="s">
        <v>10</v>
      </c>
      <c r="I152" s="30" t="s">
        <v>41</v>
      </c>
      <c r="J152" s="30" t="s">
        <v>25</v>
      </c>
      <c r="K152" s="33">
        <f>IFERROR(AVERAGEIFS('[1]Controle de Produção'!$E:$E,'[1]Controle de Produção'!$N:$N,E152,'[1]Controle de Produção'!$S:$S,J152,'[1]Controle de Produção'!$R:$R,I152),0)</f>
        <v>514.67351586405687</v>
      </c>
      <c r="L152" s="33">
        <f>IFERROR(AVERAGEIFS('[1]Controle de Produção'!$E:$E,'[1]Controle de Produção'!$S:$S,J152,'[1]Controle de Produção'!$R:$R,I152),0)</f>
        <v>613.39886035164977</v>
      </c>
      <c r="M152" s="34">
        <v>48</v>
      </c>
      <c r="N152" s="35"/>
      <c r="O152" s="30" t="s">
        <v>1108</v>
      </c>
      <c r="P152" s="33">
        <v>7908420116857</v>
      </c>
      <c r="Q152" s="33">
        <v>17908420116854</v>
      </c>
      <c r="R152" s="36" t="b">
        <v>1</v>
      </c>
      <c r="S152" s="36" t="b">
        <v>1</v>
      </c>
      <c r="T152" s="36" t="b">
        <v>1</v>
      </c>
      <c r="U152" s="36" t="b">
        <v>0</v>
      </c>
      <c r="V152" s="36" t="b">
        <v>0</v>
      </c>
      <c r="W152" s="33" t="s">
        <v>954</v>
      </c>
      <c r="X152" s="37"/>
      <c r="Y152" s="43">
        <v>2</v>
      </c>
      <c r="Z152" s="37"/>
      <c r="AA152" s="37"/>
      <c r="AB152" s="37"/>
      <c r="AC152" s="37"/>
      <c r="AD152" s="37"/>
      <c r="AE152" s="37"/>
      <c r="AF152" s="37"/>
      <c r="AG152" s="37"/>
      <c r="AH152" s="32"/>
    </row>
    <row r="153" spans="2:34" hidden="1" x14ac:dyDescent="0.25">
      <c r="B153" s="30" t="s">
        <v>1093</v>
      </c>
      <c r="C153" s="39" t="s">
        <v>1101</v>
      </c>
      <c r="D153" s="30"/>
      <c r="E153" s="30">
        <v>200</v>
      </c>
      <c r="F153" s="30" t="s">
        <v>88</v>
      </c>
      <c r="G153" s="32" t="s">
        <v>1179</v>
      </c>
      <c r="H153" s="30" t="s">
        <v>10</v>
      </c>
      <c r="I153" s="30" t="s">
        <v>41</v>
      </c>
      <c r="J153" s="30" t="s">
        <v>25</v>
      </c>
      <c r="K153" s="33">
        <f>IFERROR(AVERAGEIFS('[1]Controle de Produção'!$E:$E,'[1]Controle de Produção'!$N:$N,E153,'[1]Controle de Produção'!$S:$S,J153,'[1]Controle de Produção'!$R:$R,I153),0)</f>
        <v>514.67351586405687</v>
      </c>
      <c r="L153" s="33">
        <f>IFERROR(AVERAGEIFS('[1]Controle de Produção'!$E:$E,'[1]Controle de Produção'!$S:$S,J153,'[1]Controle de Produção'!$R:$R,I153),0)</f>
        <v>613.39886035164977</v>
      </c>
      <c r="M153" s="34">
        <v>48</v>
      </c>
      <c r="N153" s="35"/>
      <c r="O153" s="30" t="s">
        <v>1109</v>
      </c>
      <c r="P153" s="33">
        <v>7908420116864</v>
      </c>
      <c r="Q153" s="33">
        <v>17908420116861</v>
      </c>
      <c r="R153" s="36" t="b">
        <v>1</v>
      </c>
      <c r="S153" s="36" t="b">
        <v>1</v>
      </c>
      <c r="T153" s="36" t="b">
        <v>1</v>
      </c>
      <c r="U153" s="36" t="b">
        <v>0</v>
      </c>
      <c r="V153" s="36" t="b">
        <v>0</v>
      </c>
      <c r="W153" s="33" t="s">
        <v>954</v>
      </c>
      <c r="X153" s="37"/>
      <c r="Y153" s="43">
        <v>2</v>
      </c>
      <c r="Z153" s="37"/>
      <c r="AA153" s="37"/>
      <c r="AB153" s="37"/>
      <c r="AC153" s="37"/>
      <c r="AD153" s="37"/>
      <c r="AE153" s="37"/>
      <c r="AF153" s="37"/>
      <c r="AG153" s="37"/>
      <c r="AH153" s="32"/>
    </row>
    <row r="154" spans="2:34" hidden="1" x14ac:dyDescent="0.25">
      <c r="B154" s="30" t="s">
        <v>1094</v>
      </c>
      <c r="C154" s="39" t="s">
        <v>1102</v>
      </c>
      <c r="D154" s="30"/>
      <c r="E154" s="30">
        <v>200</v>
      </c>
      <c r="F154" s="30" t="s">
        <v>88</v>
      </c>
      <c r="G154" s="32" t="s">
        <v>1179</v>
      </c>
      <c r="H154" s="30" t="s">
        <v>10</v>
      </c>
      <c r="I154" s="30" t="s">
        <v>41</v>
      </c>
      <c r="J154" s="30" t="s">
        <v>25</v>
      </c>
      <c r="K154" s="33">
        <f>IFERROR(AVERAGEIFS('[1]Controle de Produção'!$E:$E,'[1]Controle de Produção'!$N:$N,E154,'[1]Controle de Produção'!$S:$S,J154,'[1]Controle de Produção'!$R:$R,I154),0)</f>
        <v>514.67351586405687</v>
      </c>
      <c r="L154" s="33">
        <f>IFERROR(AVERAGEIFS('[1]Controle de Produção'!$E:$E,'[1]Controle de Produção'!$S:$S,J154,'[1]Controle de Produção'!$R:$R,I154),0)</f>
        <v>613.39886035164977</v>
      </c>
      <c r="M154" s="34">
        <v>48</v>
      </c>
      <c r="N154" s="35"/>
      <c r="O154" s="30" t="s">
        <v>1110</v>
      </c>
      <c r="P154" s="33">
        <v>7908420116871</v>
      </c>
      <c r="Q154" s="33">
        <v>17908420116878</v>
      </c>
      <c r="R154" s="36" t="b">
        <v>1</v>
      </c>
      <c r="S154" s="36" t="b">
        <v>1</v>
      </c>
      <c r="T154" s="36" t="b">
        <v>1</v>
      </c>
      <c r="U154" s="36" t="b">
        <v>0</v>
      </c>
      <c r="V154" s="36" t="b">
        <v>0</v>
      </c>
      <c r="W154" s="33" t="s">
        <v>954</v>
      </c>
      <c r="X154" s="37"/>
      <c r="Y154" s="43">
        <v>2</v>
      </c>
      <c r="Z154" s="37"/>
      <c r="AA154" s="37"/>
      <c r="AB154" s="37"/>
      <c r="AC154" s="37"/>
      <c r="AD154" s="37"/>
      <c r="AE154" s="37"/>
      <c r="AF154" s="37"/>
      <c r="AG154" s="37"/>
      <c r="AH154" s="32"/>
    </row>
    <row r="155" spans="2:34" hidden="1" x14ac:dyDescent="0.25">
      <c r="B155" s="30" t="s">
        <v>1095</v>
      </c>
      <c r="C155" s="39" t="s">
        <v>1103</v>
      </c>
      <c r="D155" s="30"/>
      <c r="E155" s="30">
        <v>200</v>
      </c>
      <c r="F155" s="30" t="s">
        <v>88</v>
      </c>
      <c r="G155" s="32" t="s">
        <v>1179</v>
      </c>
      <c r="H155" s="30" t="s">
        <v>10</v>
      </c>
      <c r="I155" s="30" t="s">
        <v>41</v>
      </c>
      <c r="J155" s="30" t="s">
        <v>25</v>
      </c>
      <c r="K155" s="33">
        <f>IFERROR(AVERAGEIFS('[1]Controle de Produção'!$E:$E,'[1]Controle de Produção'!$N:$N,E155,'[1]Controle de Produção'!$S:$S,J155,'[1]Controle de Produção'!$R:$R,I155),0)</f>
        <v>514.67351586405687</v>
      </c>
      <c r="L155" s="33">
        <f>IFERROR(AVERAGEIFS('[1]Controle de Produção'!$E:$E,'[1]Controle de Produção'!$S:$S,J155,'[1]Controle de Produção'!$R:$R,I155),0)</f>
        <v>613.39886035164977</v>
      </c>
      <c r="M155" s="34">
        <v>48</v>
      </c>
      <c r="N155" s="35"/>
      <c r="O155" s="30" t="s">
        <v>1111</v>
      </c>
      <c r="P155" s="33">
        <v>7908420116888</v>
      </c>
      <c r="Q155" s="33">
        <v>17908420116885</v>
      </c>
      <c r="R155" s="36" t="b">
        <v>1</v>
      </c>
      <c r="S155" s="36" t="b">
        <v>1</v>
      </c>
      <c r="T155" s="36" t="b">
        <v>1</v>
      </c>
      <c r="U155" s="36" t="b">
        <v>0</v>
      </c>
      <c r="V155" s="36" t="b">
        <v>0</v>
      </c>
      <c r="W155" s="33" t="s">
        <v>954</v>
      </c>
      <c r="X155" s="37"/>
      <c r="Y155" s="43">
        <v>2</v>
      </c>
      <c r="Z155" s="37"/>
      <c r="AA155" s="37"/>
      <c r="AB155" s="37"/>
      <c r="AC155" s="37"/>
      <c r="AD155" s="37"/>
      <c r="AE155" s="37"/>
      <c r="AF155" s="37"/>
      <c r="AG155" s="37"/>
      <c r="AH155" s="32"/>
    </row>
    <row r="156" spans="2:34" hidden="1" x14ac:dyDescent="0.25">
      <c r="B156" s="30" t="s">
        <v>1114</v>
      </c>
      <c r="C156" s="39" t="s">
        <v>1181</v>
      </c>
      <c r="D156" s="30"/>
      <c r="E156" s="30">
        <v>57</v>
      </c>
      <c r="F156" s="30" t="s">
        <v>22</v>
      </c>
      <c r="G156" s="32" t="s">
        <v>1179</v>
      </c>
      <c r="H156" s="32" t="s">
        <v>50</v>
      </c>
      <c r="I156" s="30" t="s">
        <v>497</v>
      </c>
      <c r="J156" s="30" t="s">
        <v>18</v>
      </c>
      <c r="K156" s="33">
        <f>IFERROR(AVERAGEIFS('[1]Controle de Produção'!$E:$E,'[1]Controle de Produção'!$N:$N,E156,'[1]Controle de Produção'!$S:$S,J156,'[1]Controle de Produção'!$R:$R,I156),0)</f>
        <v>0</v>
      </c>
      <c r="L156" s="33">
        <f>IFERROR(AVERAGEIFS('[1]Controle de Produção'!$E:$E,'[1]Controle de Produção'!$S:$S,J156,'[1]Controle de Produção'!$R:$R,I156),0)</f>
        <v>0</v>
      </c>
      <c r="M156" s="34">
        <v>36</v>
      </c>
      <c r="N156" s="35"/>
      <c r="O156" s="30" t="s">
        <v>1115</v>
      </c>
      <c r="P156" s="33"/>
      <c r="Q156" s="33"/>
      <c r="R156" s="36" t="b">
        <v>1</v>
      </c>
      <c r="S156" s="36" t="b">
        <v>1</v>
      </c>
      <c r="T156" s="36" t="b">
        <v>1</v>
      </c>
      <c r="U156" s="36" t="b">
        <v>0</v>
      </c>
      <c r="V156" s="36" t="b">
        <v>0</v>
      </c>
      <c r="W156" s="33" t="s">
        <v>954</v>
      </c>
      <c r="X156" s="37"/>
      <c r="Y156" s="43">
        <v>3</v>
      </c>
      <c r="Z156" s="37"/>
      <c r="AA156" s="37"/>
      <c r="AB156" s="37"/>
      <c r="AC156" s="37"/>
      <c r="AD156" s="37"/>
      <c r="AE156" s="37"/>
      <c r="AF156" s="37"/>
      <c r="AG156" s="37"/>
      <c r="AH156" s="32"/>
    </row>
    <row r="157" spans="2:34" hidden="1" x14ac:dyDescent="0.25">
      <c r="B157" s="30" t="s">
        <v>652</v>
      </c>
      <c r="C157" s="31" t="s">
        <v>667</v>
      </c>
      <c r="D157" s="32" t="s">
        <v>195</v>
      </c>
      <c r="E157" s="30">
        <v>120</v>
      </c>
      <c r="F157" s="30" t="s">
        <v>22</v>
      </c>
      <c r="G157" s="32" t="s">
        <v>521</v>
      </c>
      <c r="H157" s="32" t="s">
        <v>50</v>
      </c>
      <c r="I157" s="32" t="s">
        <v>62</v>
      </c>
      <c r="J157" s="30" t="s">
        <v>18</v>
      </c>
      <c r="K157" s="33">
        <f>IFERROR(AVERAGEIFS('[1]Controle de Produção'!$E:$E,'[1]Controle de Produção'!$N:$N,E157,'[1]Controle de Produção'!$S:$S,J157,'[1]Controle de Produção'!$R:$R,I157),0)</f>
        <v>907.28092268564944</v>
      </c>
      <c r="L157" s="33">
        <f>IFERROR(AVERAGEIFS('[1]Controle de Produção'!$E:$E,'[1]Controle de Produção'!$S:$S,J157,'[1]Controle de Produção'!$R:$R,I157),0)</f>
        <v>843.58780095852239</v>
      </c>
      <c r="M157" s="34">
        <v>48</v>
      </c>
      <c r="N157" s="35"/>
      <c r="O157" s="30"/>
      <c r="P157" s="33"/>
      <c r="Q157" s="33"/>
      <c r="R157" s="36" t="b">
        <v>1</v>
      </c>
      <c r="S157" s="36" t="b">
        <v>0</v>
      </c>
      <c r="T157" s="36" t="b">
        <v>0</v>
      </c>
      <c r="U157" s="36" t="b">
        <v>0</v>
      </c>
      <c r="V157" s="36" t="b">
        <v>0</v>
      </c>
      <c r="W157" s="33" t="s">
        <v>954</v>
      </c>
      <c r="X157" s="37"/>
      <c r="Y157" s="43"/>
      <c r="Z157" s="37"/>
      <c r="AA157" s="37"/>
      <c r="AB157" s="37"/>
      <c r="AC157" s="37"/>
      <c r="AD157" s="37"/>
      <c r="AE157" s="37"/>
      <c r="AF157" s="37"/>
      <c r="AG157" s="37"/>
      <c r="AH157" s="32"/>
    </row>
    <row r="158" spans="2:34" hidden="1" x14ac:dyDescent="0.25">
      <c r="B158" s="30" t="s">
        <v>653</v>
      </c>
      <c r="C158" s="31" t="s">
        <v>668</v>
      </c>
      <c r="D158" s="32" t="s">
        <v>195</v>
      </c>
      <c r="E158" s="30">
        <v>120</v>
      </c>
      <c r="F158" s="30" t="s">
        <v>22</v>
      </c>
      <c r="G158" s="32" t="s">
        <v>521</v>
      </c>
      <c r="H158" s="32" t="s">
        <v>50</v>
      </c>
      <c r="I158" s="32" t="s">
        <v>62</v>
      </c>
      <c r="J158" s="30" t="s">
        <v>18</v>
      </c>
      <c r="K158" s="33">
        <f>IFERROR(AVERAGEIFS('[1]Controle de Produção'!$E:$E,'[1]Controle de Produção'!$N:$N,E158,'[1]Controle de Produção'!$S:$S,J158,'[1]Controle de Produção'!$R:$R,I158),0)</f>
        <v>907.28092268564944</v>
      </c>
      <c r="L158" s="33">
        <f>IFERROR(AVERAGEIFS('[1]Controle de Produção'!$E:$E,'[1]Controle de Produção'!$S:$S,J158,'[1]Controle de Produção'!$R:$R,I158),0)</f>
        <v>843.58780095852239</v>
      </c>
      <c r="M158" s="34">
        <v>48</v>
      </c>
      <c r="N158" s="35"/>
      <c r="O158" s="30"/>
      <c r="P158" s="33"/>
      <c r="Q158" s="33"/>
      <c r="R158" s="36" t="b">
        <v>1</v>
      </c>
      <c r="S158" s="36" t="b">
        <v>0</v>
      </c>
      <c r="T158" s="36" t="b">
        <v>0</v>
      </c>
      <c r="U158" s="36" t="b">
        <v>0</v>
      </c>
      <c r="V158" s="36" t="b">
        <v>0</v>
      </c>
      <c r="W158" s="33" t="s">
        <v>954</v>
      </c>
      <c r="X158" s="37"/>
      <c r="Y158" s="43"/>
      <c r="Z158" s="37"/>
      <c r="AA158" s="37"/>
      <c r="AB158" s="37"/>
      <c r="AC158" s="37"/>
      <c r="AD158" s="37"/>
      <c r="AE158" s="37"/>
      <c r="AF158" s="37"/>
      <c r="AG158" s="37"/>
      <c r="AH158" s="32"/>
    </row>
    <row r="159" spans="2:34" hidden="1" x14ac:dyDescent="0.25">
      <c r="B159" s="30" t="s">
        <v>654</v>
      </c>
      <c r="C159" s="31" t="s">
        <v>669</v>
      </c>
      <c r="D159" s="32" t="s">
        <v>195</v>
      </c>
      <c r="E159" s="30">
        <v>120</v>
      </c>
      <c r="F159" s="30" t="s">
        <v>22</v>
      </c>
      <c r="G159" s="32" t="s">
        <v>521</v>
      </c>
      <c r="H159" s="32" t="s">
        <v>50</v>
      </c>
      <c r="I159" s="32" t="s">
        <v>62</v>
      </c>
      <c r="J159" s="30" t="s">
        <v>18</v>
      </c>
      <c r="K159" s="33">
        <f>IFERROR(AVERAGEIFS('[1]Controle de Produção'!$E:$E,'[1]Controle de Produção'!$N:$N,E159,'[1]Controle de Produção'!$S:$S,J159,'[1]Controle de Produção'!$R:$R,I159),0)</f>
        <v>907.28092268564944</v>
      </c>
      <c r="L159" s="33">
        <f>IFERROR(AVERAGEIFS('[1]Controle de Produção'!$E:$E,'[1]Controle de Produção'!$S:$S,J159,'[1]Controle de Produção'!$R:$R,I159),0)</f>
        <v>843.58780095852239</v>
      </c>
      <c r="M159" s="34">
        <v>48</v>
      </c>
      <c r="N159" s="35"/>
      <c r="O159" s="30"/>
      <c r="P159" s="33"/>
      <c r="Q159" s="33"/>
      <c r="R159" s="36" t="b">
        <v>1</v>
      </c>
      <c r="S159" s="36" t="b">
        <v>0</v>
      </c>
      <c r="T159" s="36" t="b">
        <v>0</v>
      </c>
      <c r="U159" s="36" t="b">
        <v>0</v>
      </c>
      <c r="V159" s="36" t="b">
        <v>0</v>
      </c>
      <c r="W159" s="33" t="s">
        <v>954</v>
      </c>
      <c r="X159" s="37"/>
      <c r="Y159" s="43"/>
      <c r="Z159" s="37"/>
      <c r="AA159" s="37"/>
      <c r="AB159" s="37"/>
      <c r="AC159" s="37"/>
      <c r="AD159" s="37"/>
      <c r="AE159" s="37"/>
      <c r="AF159" s="37"/>
      <c r="AG159" s="37"/>
      <c r="AH159" s="32"/>
    </row>
    <row r="160" spans="2:34" hidden="1" x14ac:dyDescent="0.25">
      <c r="B160" s="30" t="s">
        <v>655</v>
      </c>
      <c r="C160" s="31" t="s">
        <v>670</v>
      </c>
      <c r="D160" s="32" t="s">
        <v>195</v>
      </c>
      <c r="E160" s="30">
        <v>120</v>
      </c>
      <c r="F160" s="30" t="s">
        <v>22</v>
      </c>
      <c r="G160" s="32" t="s">
        <v>521</v>
      </c>
      <c r="H160" s="32" t="s">
        <v>50</v>
      </c>
      <c r="I160" s="32" t="s">
        <v>62</v>
      </c>
      <c r="J160" s="30" t="s">
        <v>18</v>
      </c>
      <c r="K160" s="33">
        <f>IFERROR(AVERAGEIFS('[1]Controle de Produção'!$E:$E,'[1]Controle de Produção'!$N:$N,E160,'[1]Controle de Produção'!$S:$S,J160,'[1]Controle de Produção'!$R:$R,I160),0)</f>
        <v>907.28092268564944</v>
      </c>
      <c r="L160" s="33">
        <f>IFERROR(AVERAGEIFS('[1]Controle de Produção'!$E:$E,'[1]Controle de Produção'!$S:$S,J160,'[1]Controle de Produção'!$R:$R,I160),0)</f>
        <v>843.58780095852239</v>
      </c>
      <c r="M160" s="34">
        <v>48</v>
      </c>
      <c r="N160" s="35"/>
      <c r="O160" s="30"/>
      <c r="P160" s="33"/>
      <c r="Q160" s="33"/>
      <c r="R160" s="36" t="b">
        <v>1</v>
      </c>
      <c r="S160" s="36" t="b">
        <v>0</v>
      </c>
      <c r="T160" s="36" t="b">
        <v>0</v>
      </c>
      <c r="U160" s="36" t="b">
        <v>0</v>
      </c>
      <c r="V160" s="36" t="b">
        <v>0</v>
      </c>
      <c r="W160" s="33" t="s">
        <v>954</v>
      </c>
      <c r="X160" s="37"/>
      <c r="Y160" s="43"/>
      <c r="Z160" s="37"/>
      <c r="AA160" s="37"/>
      <c r="AB160" s="37"/>
      <c r="AC160" s="37"/>
      <c r="AD160" s="37"/>
      <c r="AE160" s="37"/>
      <c r="AF160" s="37"/>
      <c r="AG160" s="37"/>
      <c r="AH160" s="32"/>
    </row>
    <row r="161" spans="2:34" hidden="1" x14ac:dyDescent="0.25">
      <c r="B161" s="30" t="s">
        <v>656</v>
      </c>
      <c r="C161" s="31" t="s">
        <v>730</v>
      </c>
      <c r="D161" s="32" t="s">
        <v>195</v>
      </c>
      <c r="E161" s="30">
        <v>120</v>
      </c>
      <c r="F161" s="30" t="s">
        <v>22</v>
      </c>
      <c r="G161" s="32" t="s">
        <v>521</v>
      </c>
      <c r="H161" s="32" t="s">
        <v>50</v>
      </c>
      <c r="I161" s="32" t="s">
        <v>62</v>
      </c>
      <c r="J161" s="30" t="s">
        <v>18</v>
      </c>
      <c r="K161" s="33">
        <f>IFERROR(AVERAGEIFS('[1]Controle de Produção'!$E:$E,'[1]Controle de Produção'!$N:$N,E161,'[1]Controle de Produção'!$S:$S,J161,'[1]Controle de Produção'!$R:$R,I161),0)</f>
        <v>907.28092268564944</v>
      </c>
      <c r="L161" s="33">
        <f>IFERROR(AVERAGEIFS('[1]Controle de Produção'!$E:$E,'[1]Controle de Produção'!$S:$S,J161,'[1]Controle de Produção'!$R:$R,I161),0)</f>
        <v>843.58780095852239</v>
      </c>
      <c r="M161" s="34">
        <v>48</v>
      </c>
      <c r="N161" s="35"/>
      <c r="O161" s="30"/>
      <c r="P161" s="33"/>
      <c r="Q161" s="33"/>
      <c r="R161" s="36" t="b">
        <v>1</v>
      </c>
      <c r="S161" s="36" t="b">
        <v>0</v>
      </c>
      <c r="T161" s="36" t="b">
        <v>0</v>
      </c>
      <c r="U161" s="36" t="b">
        <v>0</v>
      </c>
      <c r="V161" s="36" t="b">
        <v>0</v>
      </c>
      <c r="W161" s="33" t="s">
        <v>954</v>
      </c>
      <c r="X161" s="37"/>
      <c r="Y161" s="43"/>
      <c r="Z161" s="37"/>
      <c r="AA161" s="37"/>
      <c r="AB161" s="37"/>
      <c r="AC161" s="37"/>
      <c r="AD161" s="37"/>
      <c r="AE161" s="37"/>
      <c r="AF161" s="37"/>
      <c r="AG161" s="37"/>
      <c r="AH161" s="32"/>
    </row>
    <row r="162" spans="2:34" hidden="1" x14ac:dyDescent="0.25">
      <c r="B162" s="30" t="s">
        <v>657</v>
      </c>
      <c r="C162" s="31" t="s">
        <v>671</v>
      </c>
      <c r="D162" s="32" t="s">
        <v>195</v>
      </c>
      <c r="E162" s="30">
        <v>120</v>
      </c>
      <c r="F162" s="30" t="s">
        <v>22</v>
      </c>
      <c r="G162" s="32" t="s">
        <v>521</v>
      </c>
      <c r="H162" s="32" t="s">
        <v>50</v>
      </c>
      <c r="I162" s="32" t="s">
        <v>62</v>
      </c>
      <c r="J162" s="30" t="s">
        <v>18</v>
      </c>
      <c r="K162" s="33">
        <f>IFERROR(AVERAGEIFS('[1]Controle de Produção'!$E:$E,'[1]Controle de Produção'!$N:$N,E162,'[1]Controle de Produção'!$S:$S,J162,'[1]Controle de Produção'!$R:$R,I162),0)</f>
        <v>907.28092268564944</v>
      </c>
      <c r="L162" s="33">
        <f>IFERROR(AVERAGEIFS('[1]Controle de Produção'!$E:$E,'[1]Controle de Produção'!$S:$S,J162,'[1]Controle de Produção'!$R:$R,I162),0)</f>
        <v>843.58780095852239</v>
      </c>
      <c r="M162" s="34">
        <v>48</v>
      </c>
      <c r="N162" s="35"/>
      <c r="O162" s="30"/>
      <c r="P162" s="33"/>
      <c r="Q162" s="33"/>
      <c r="R162" s="36" t="b">
        <v>1</v>
      </c>
      <c r="S162" s="36" t="b">
        <v>0</v>
      </c>
      <c r="T162" s="36" t="b">
        <v>0</v>
      </c>
      <c r="U162" s="36" t="b">
        <v>0</v>
      </c>
      <c r="V162" s="36" t="b">
        <v>0</v>
      </c>
      <c r="W162" s="33" t="s">
        <v>954</v>
      </c>
      <c r="X162" s="37"/>
      <c r="Y162" s="43"/>
      <c r="Z162" s="37"/>
      <c r="AA162" s="37"/>
      <c r="AB162" s="37"/>
      <c r="AC162" s="37"/>
      <c r="AD162" s="37"/>
      <c r="AE162" s="37"/>
      <c r="AF162" s="37"/>
      <c r="AG162" s="37"/>
      <c r="AH162" s="32"/>
    </row>
    <row r="163" spans="2:34" hidden="1" x14ac:dyDescent="0.25">
      <c r="B163" s="30" t="s">
        <v>834</v>
      </c>
      <c r="C163" s="31" t="s">
        <v>840</v>
      </c>
      <c r="D163" s="32" t="s">
        <v>195</v>
      </c>
      <c r="E163" s="30">
        <v>190</v>
      </c>
      <c r="F163" s="30" t="s">
        <v>22</v>
      </c>
      <c r="G163" s="32" t="s">
        <v>521</v>
      </c>
      <c r="H163" s="30" t="s">
        <v>10</v>
      </c>
      <c r="I163" s="32" t="s">
        <v>228</v>
      </c>
      <c r="J163" s="30" t="s">
        <v>12</v>
      </c>
      <c r="K163" s="33">
        <f>IFERROR(AVERAGEIFS('[1]Controle de Produção'!$E:$E,'[1]Controle de Produção'!$N:$N,E163,'[1]Controle de Produção'!$S:$S,J163,'[1]Controle de Produção'!$R:$R,I163),0)</f>
        <v>757.64759556879915</v>
      </c>
      <c r="L163" s="33">
        <f>IFERROR(AVERAGEIFS('[1]Controle de Produção'!$E:$E,'[1]Controle de Produção'!$S:$S,J163,'[1]Controle de Produção'!$R:$R,I163),0)</f>
        <v>732.04943503841741</v>
      </c>
      <c r="M163" s="34">
        <v>24</v>
      </c>
      <c r="N163" s="35"/>
      <c r="O163" s="30"/>
      <c r="P163" s="33"/>
      <c r="Q163" s="33"/>
      <c r="R163" s="36" t="b">
        <v>1</v>
      </c>
      <c r="S163" s="36" t="b">
        <v>0</v>
      </c>
      <c r="T163" s="36" t="b">
        <v>0</v>
      </c>
      <c r="U163" s="36" t="b">
        <v>0</v>
      </c>
      <c r="V163" s="36" t="b">
        <v>0</v>
      </c>
      <c r="W163" s="33" t="s">
        <v>954</v>
      </c>
      <c r="X163" s="37"/>
      <c r="Y163" s="43"/>
      <c r="Z163" s="37"/>
      <c r="AA163" s="37"/>
      <c r="AB163" s="37"/>
      <c r="AC163" s="37"/>
      <c r="AD163" s="37"/>
      <c r="AE163" s="37"/>
      <c r="AF163" s="37"/>
      <c r="AG163" s="37"/>
      <c r="AH163" s="32"/>
    </row>
    <row r="164" spans="2:34" hidden="1" x14ac:dyDescent="0.25">
      <c r="B164" s="30" t="s">
        <v>835</v>
      </c>
      <c r="C164" s="31" t="s">
        <v>841</v>
      </c>
      <c r="D164" s="32" t="s">
        <v>195</v>
      </c>
      <c r="E164" s="30">
        <v>190</v>
      </c>
      <c r="F164" s="30" t="s">
        <v>22</v>
      </c>
      <c r="G164" s="32" t="s">
        <v>521</v>
      </c>
      <c r="H164" s="30" t="s">
        <v>10</v>
      </c>
      <c r="I164" s="32" t="s">
        <v>228</v>
      </c>
      <c r="J164" s="30" t="s">
        <v>12</v>
      </c>
      <c r="K164" s="33">
        <f>IFERROR(AVERAGEIFS('[1]Controle de Produção'!$E:$E,'[1]Controle de Produção'!$N:$N,E164,'[1]Controle de Produção'!$S:$S,J164,'[1]Controle de Produção'!$R:$R,I164),0)</f>
        <v>757.64759556879915</v>
      </c>
      <c r="L164" s="33">
        <f>IFERROR(AVERAGEIFS('[1]Controle de Produção'!$E:$E,'[1]Controle de Produção'!$S:$S,J164,'[1]Controle de Produção'!$R:$R,I164),0)</f>
        <v>732.04943503841741</v>
      </c>
      <c r="M164" s="34">
        <v>24</v>
      </c>
      <c r="N164" s="35"/>
      <c r="O164" s="30"/>
      <c r="P164" s="33"/>
      <c r="Q164" s="33"/>
      <c r="R164" s="36" t="b">
        <v>1</v>
      </c>
      <c r="S164" s="36" t="b">
        <v>0</v>
      </c>
      <c r="T164" s="36" t="b">
        <v>0</v>
      </c>
      <c r="U164" s="36" t="b">
        <v>0</v>
      </c>
      <c r="V164" s="36" t="b">
        <v>0</v>
      </c>
      <c r="W164" s="33" t="s">
        <v>954</v>
      </c>
      <c r="X164" s="37"/>
      <c r="Y164" s="43"/>
      <c r="Z164" s="37"/>
      <c r="AA164" s="37"/>
      <c r="AB164" s="37"/>
      <c r="AC164" s="37"/>
      <c r="AD164" s="37"/>
      <c r="AE164" s="37"/>
      <c r="AF164" s="37"/>
      <c r="AG164" s="37"/>
      <c r="AH164" s="32"/>
    </row>
    <row r="165" spans="2:34" hidden="1" x14ac:dyDescent="0.25">
      <c r="B165" s="30" t="s">
        <v>836</v>
      </c>
      <c r="C165" s="31" t="s">
        <v>842</v>
      </c>
      <c r="D165" s="32" t="s">
        <v>195</v>
      </c>
      <c r="E165" s="30">
        <v>190</v>
      </c>
      <c r="F165" s="30" t="s">
        <v>22</v>
      </c>
      <c r="G165" s="32" t="s">
        <v>521</v>
      </c>
      <c r="H165" s="30" t="s">
        <v>10</v>
      </c>
      <c r="I165" s="32" t="s">
        <v>228</v>
      </c>
      <c r="J165" s="30" t="s">
        <v>12</v>
      </c>
      <c r="K165" s="33">
        <f>IFERROR(AVERAGEIFS('[1]Controle de Produção'!$E:$E,'[1]Controle de Produção'!$N:$N,E165,'[1]Controle de Produção'!$S:$S,J165,'[1]Controle de Produção'!$R:$R,I165),0)</f>
        <v>757.64759556879915</v>
      </c>
      <c r="L165" s="33">
        <f>IFERROR(AVERAGEIFS('[1]Controle de Produção'!$E:$E,'[1]Controle de Produção'!$S:$S,J165,'[1]Controle de Produção'!$R:$R,I165),0)</f>
        <v>732.04943503841741</v>
      </c>
      <c r="M165" s="34">
        <v>24</v>
      </c>
      <c r="N165" s="35"/>
      <c r="O165" s="30"/>
      <c r="P165" s="33"/>
      <c r="Q165" s="33"/>
      <c r="R165" s="36" t="b">
        <v>1</v>
      </c>
      <c r="S165" s="36" t="b">
        <v>0</v>
      </c>
      <c r="T165" s="36" t="b">
        <v>0</v>
      </c>
      <c r="U165" s="36" t="b">
        <v>0</v>
      </c>
      <c r="V165" s="36" t="b">
        <v>0</v>
      </c>
      <c r="W165" s="33" t="s">
        <v>954</v>
      </c>
      <c r="X165" s="37"/>
      <c r="Y165" s="43"/>
      <c r="Z165" s="37"/>
      <c r="AA165" s="37"/>
      <c r="AB165" s="37"/>
      <c r="AC165" s="37"/>
      <c r="AD165" s="37"/>
      <c r="AE165" s="37"/>
      <c r="AF165" s="37"/>
      <c r="AG165" s="37"/>
      <c r="AH165" s="32"/>
    </row>
    <row r="166" spans="2:34" hidden="1" x14ac:dyDescent="0.25">
      <c r="B166" s="30" t="s">
        <v>837</v>
      </c>
      <c r="C166" s="31" t="s">
        <v>843</v>
      </c>
      <c r="D166" s="32" t="s">
        <v>195</v>
      </c>
      <c r="E166" s="30">
        <v>190</v>
      </c>
      <c r="F166" s="30" t="s">
        <v>22</v>
      </c>
      <c r="G166" s="32" t="s">
        <v>521</v>
      </c>
      <c r="H166" s="30" t="s">
        <v>10</v>
      </c>
      <c r="I166" s="32" t="s">
        <v>228</v>
      </c>
      <c r="J166" s="30" t="s">
        <v>12</v>
      </c>
      <c r="K166" s="33">
        <f>IFERROR(AVERAGEIFS('[1]Controle de Produção'!$E:$E,'[1]Controle de Produção'!$N:$N,E166,'[1]Controle de Produção'!$S:$S,J166,'[1]Controle de Produção'!$R:$R,I166),0)</f>
        <v>757.64759556879915</v>
      </c>
      <c r="L166" s="33">
        <f>IFERROR(AVERAGEIFS('[1]Controle de Produção'!$E:$E,'[1]Controle de Produção'!$S:$S,J166,'[1]Controle de Produção'!$R:$R,I166),0)</f>
        <v>732.04943503841741</v>
      </c>
      <c r="M166" s="34">
        <v>24</v>
      </c>
      <c r="N166" s="35"/>
      <c r="O166" s="30"/>
      <c r="P166" s="33"/>
      <c r="Q166" s="33"/>
      <c r="R166" s="36" t="b">
        <v>1</v>
      </c>
      <c r="S166" s="36" t="b">
        <v>0</v>
      </c>
      <c r="T166" s="36" t="b">
        <v>0</v>
      </c>
      <c r="U166" s="36" t="b">
        <v>0</v>
      </c>
      <c r="V166" s="36" t="b">
        <v>0</v>
      </c>
      <c r="W166" s="33" t="s">
        <v>954</v>
      </c>
      <c r="X166" s="37"/>
      <c r="Y166" s="43"/>
      <c r="Z166" s="37"/>
      <c r="AA166" s="37"/>
      <c r="AB166" s="37"/>
      <c r="AC166" s="37"/>
      <c r="AD166" s="37"/>
      <c r="AE166" s="37"/>
      <c r="AF166" s="37"/>
      <c r="AG166" s="37"/>
      <c r="AH166" s="32"/>
    </row>
    <row r="167" spans="2:34" hidden="1" x14ac:dyDescent="0.25">
      <c r="B167" s="30" t="s">
        <v>838</v>
      </c>
      <c r="C167" s="31" t="s">
        <v>844</v>
      </c>
      <c r="D167" s="32" t="s">
        <v>195</v>
      </c>
      <c r="E167" s="30">
        <v>190</v>
      </c>
      <c r="F167" s="30" t="s">
        <v>22</v>
      </c>
      <c r="G167" s="32" t="s">
        <v>521</v>
      </c>
      <c r="H167" s="30" t="s">
        <v>10</v>
      </c>
      <c r="I167" s="32" t="s">
        <v>228</v>
      </c>
      <c r="J167" s="30" t="s">
        <v>12</v>
      </c>
      <c r="K167" s="33">
        <f>IFERROR(AVERAGEIFS('[1]Controle de Produção'!$E:$E,'[1]Controle de Produção'!$N:$N,E167,'[1]Controle de Produção'!$S:$S,J167,'[1]Controle de Produção'!$R:$R,I167),0)</f>
        <v>757.64759556879915</v>
      </c>
      <c r="L167" s="33">
        <f>IFERROR(AVERAGEIFS('[1]Controle de Produção'!$E:$E,'[1]Controle de Produção'!$S:$S,J167,'[1]Controle de Produção'!$R:$R,I167),0)</f>
        <v>732.04943503841741</v>
      </c>
      <c r="M167" s="34">
        <v>24</v>
      </c>
      <c r="N167" s="35"/>
      <c r="O167" s="30"/>
      <c r="P167" s="33"/>
      <c r="Q167" s="33"/>
      <c r="R167" s="36" t="b">
        <v>1</v>
      </c>
      <c r="S167" s="36" t="b">
        <v>0</v>
      </c>
      <c r="T167" s="36" t="b">
        <v>0</v>
      </c>
      <c r="U167" s="36" t="b">
        <v>0</v>
      </c>
      <c r="V167" s="36" t="b">
        <v>0</v>
      </c>
      <c r="W167" s="33" t="s">
        <v>954</v>
      </c>
      <c r="X167" s="37"/>
      <c r="Y167" s="43"/>
      <c r="Z167" s="37"/>
      <c r="AA167" s="37"/>
      <c r="AB167" s="37"/>
      <c r="AC167" s="37"/>
      <c r="AD167" s="37"/>
      <c r="AE167" s="37"/>
      <c r="AF167" s="37"/>
      <c r="AG167" s="37"/>
      <c r="AH167" s="32"/>
    </row>
    <row r="168" spans="2:34" hidden="1" x14ac:dyDescent="0.25">
      <c r="B168" s="30" t="s">
        <v>839</v>
      </c>
      <c r="C168" s="31" t="s">
        <v>845</v>
      </c>
      <c r="D168" s="32" t="s">
        <v>195</v>
      </c>
      <c r="E168" s="30">
        <v>190</v>
      </c>
      <c r="F168" s="30" t="s">
        <v>22</v>
      </c>
      <c r="G168" s="32" t="s">
        <v>521</v>
      </c>
      <c r="H168" s="30" t="s">
        <v>10</v>
      </c>
      <c r="I168" s="32" t="s">
        <v>228</v>
      </c>
      <c r="J168" s="30" t="s">
        <v>12</v>
      </c>
      <c r="K168" s="33">
        <f>IFERROR(AVERAGEIFS('[1]Controle de Produção'!$E:$E,'[1]Controle de Produção'!$N:$N,E168,'[1]Controle de Produção'!$S:$S,J168,'[1]Controle de Produção'!$R:$R,I168),0)</f>
        <v>757.64759556879915</v>
      </c>
      <c r="L168" s="33">
        <f>IFERROR(AVERAGEIFS('[1]Controle de Produção'!$E:$E,'[1]Controle de Produção'!$S:$S,J168,'[1]Controle de Produção'!$R:$R,I168),0)</f>
        <v>732.04943503841741</v>
      </c>
      <c r="M168" s="34">
        <v>24</v>
      </c>
      <c r="N168" s="35"/>
      <c r="O168" s="30"/>
      <c r="P168" s="33"/>
      <c r="Q168" s="33"/>
      <c r="R168" s="36" t="b">
        <v>1</v>
      </c>
      <c r="S168" s="36" t="b">
        <v>0</v>
      </c>
      <c r="T168" s="36" t="b">
        <v>0</v>
      </c>
      <c r="U168" s="36" t="b">
        <v>0</v>
      </c>
      <c r="V168" s="36" t="b">
        <v>0</v>
      </c>
      <c r="W168" s="33" t="s">
        <v>954</v>
      </c>
      <c r="X168" s="37"/>
      <c r="Y168" s="43"/>
      <c r="Z168" s="37"/>
      <c r="AA168" s="37"/>
      <c r="AB168" s="37"/>
      <c r="AC168" s="37"/>
      <c r="AD168" s="37"/>
      <c r="AE168" s="37"/>
      <c r="AF168" s="37"/>
      <c r="AG168" s="37"/>
      <c r="AH168" s="32"/>
    </row>
    <row r="169" spans="2:34" hidden="1" x14ac:dyDescent="0.25">
      <c r="B169" s="30" t="s">
        <v>689</v>
      </c>
      <c r="C169" s="31" t="s">
        <v>684</v>
      </c>
      <c r="D169" s="32" t="s">
        <v>195</v>
      </c>
      <c r="E169" s="30">
        <v>180</v>
      </c>
      <c r="F169" s="30" t="s">
        <v>22</v>
      </c>
      <c r="G169" s="32" t="s">
        <v>521</v>
      </c>
      <c r="H169" s="32" t="s">
        <v>10</v>
      </c>
      <c r="I169" s="32" t="s">
        <v>68</v>
      </c>
      <c r="J169" s="30" t="s">
        <v>25</v>
      </c>
      <c r="K169" s="33">
        <f>IFERROR(AVERAGEIFS('[1]Controle de Produção'!$E:$E,'[1]Controle de Produção'!$N:$N,E169,'[1]Controle de Produção'!$S:$S,J169,'[1]Controle de Produção'!$R:$R,I169),0)</f>
        <v>0</v>
      </c>
      <c r="L169" s="33">
        <f>IFERROR(AVERAGEIFS('[1]Controle de Produção'!$E:$E,'[1]Controle de Produção'!$S:$S,J169,'[1]Controle de Produção'!$R:$R,I169),0)</f>
        <v>0</v>
      </c>
      <c r="M169" s="34">
        <v>24</v>
      </c>
      <c r="N169" s="35"/>
      <c r="O169" s="30"/>
      <c r="P169" s="33"/>
      <c r="Q169" s="33"/>
      <c r="R169" s="36" t="b">
        <v>0</v>
      </c>
      <c r="S169" s="36" t="b">
        <v>0</v>
      </c>
      <c r="T169" s="36" t="b">
        <v>0</v>
      </c>
      <c r="U169" s="36" t="b">
        <v>0</v>
      </c>
      <c r="V169" s="36" t="b">
        <v>0</v>
      </c>
      <c r="W169" s="33" t="s">
        <v>954</v>
      </c>
      <c r="X169" s="37"/>
      <c r="Y169" s="43"/>
      <c r="Z169" s="37"/>
      <c r="AA169" s="37"/>
      <c r="AB169" s="37"/>
      <c r="AC169" s="37"/>
      <c r="AD169" s="37"/>
      <c r="AE169" s="37"/>
      <c r="AF169" s="37"/>
      <c r="AG169" s="37"/>
      <c r="AH169" s="32"/>
    </row>
    <row r="170" spans="2:34" hidden="1" x14ac:dyDescent="0.25">
      <c r="B170" s="30" t="s">
        <v>690</v>
      </c>
      <c r="C170" s="31" t="s">
        <v>685</v>
      </c>
      <c r="D170" s="32" t="s">
        <v>195</v>
      </c>
      <c r="E170" s="30">
        <v>180</v>
      </c>
      <c r="F170" s="30" t="s">
        <v>22</v>
      </c>
      <c r="G170" s="32" t="s">
        <v>521</v>
      </c>
      <c r="H170" s="32" t="s">
        <v>10</v>
      </c>
      <c r="I170" s="32" t="s">
        <v>68</v>
      </c>
      <c r="J170" s="30" t="s">
        <v>25</v>
      </c>
      <c r="K170" s="33">
        <f>IFERROR(AVERAGEIFS('[1]Controle de Produção'!$E:$E,'[1]Controle de Produção'!$N:$N,E170,'[1]Controle de Produção'!$S:$S,J170,'[1]Controle de Produção'!$R:$R,I170),0)</f>
        <v>0</v>
      </c>
      <c r="L170" s="33">
        <f>IFERROR(AVERAGEIFS('[1]Controle de Produção'!$E:$E,'[1]Controle de Produção'!$S:$S,J170,'[1]Controle de Produção'!$R:$R,I170),0)</f>
        <v>0</v>
      </c>
      <c r="M170" s="34">
        <v>24</v>
      </c>
      <c r="N170" s="35"/>
      <c r="O170" s="30"/>
      <c r="P170" s="33"/>
      <c r="Q170" s="33"/>
      <c r="R170" s="36" t="b">
        <v>0</v>
      </c>
      <c r="S170" s="36" t="b">
        <v>0</v>
      </c>
      <c r="T170" s="36" t="b">
        <v>0</v>
      </c>
      <c r="U170" s="36" t="b">
        <v>0</v>
      </c>
      <c r="V170" s="36" t="b">
        <v>0</v>
      </c>
      <c r="W170" s="33" t="s">
        <v>954</v>
      </c>
      <c r="X170" s="37"/>
      <c r="Y170" s="43"/>
      <c r="Z170" s="37"/>
      <c r="AA170" s="37"/>
      <c r="AB170" s="37"/>
      <c r="AC170" s="37"/>
      <c r="AD170" s="37"/>
      <c r="AE170" s="37"/>
      <c r="AF170" s="37"/>
      <c r="AG170" s="37"/>
      <c r="AH170" s="32"/>
    </row>
    <row r="171" spans="2:34" hidden="1" x14ac:dyDescent="0.25">
      <c r="B171" s="30" t="s">
        <v>691</v>
      </c>
      <c r="C171" s="31" t="s">
        <v>686</v>
      </c>
      <c r="D171" s="32" t="s">
        <v>195</v>
      </c>
      <c r="E171" s="30">
        <v>180</v>
      </c>
      <c r="F171" s="30" t="s">
        <v>22</v>
      </c>
      <c r="G171" s="32" t="s">
        <v>521</v>
      </c>
      <c r="H171" s="32" t="s">
        <v>10</v>
      </c>
      <c r="I171" s="32" t="s">
        <v>68</v>
      </c>
      <c r="J171" s="30" t="s">
        <v>25</v>
      </c>
      <c r="K171" s="33">
        <f>IFERROR(AVERAGEIFS('[1]Controle de Produção'!$E:$E,'[1]Controle de Produção'!$N:$N,E171,'[1]Controle de Produção'!$S:$S,J171,'[1]Controle de Produção'!$R:$R,I171),0)</f>
        <v>0</v>
      </c>
      <c r="L171" s="33">
        <f>IFERROR(AVERAGEIFS('[1]Controle de Produção'!$E:$E,'[1]Controle de Produção'!$S:$S,J171,'[1]Controle de Produção'!$R:$R,I171),0)</f>
        <v>0</v>
      </c>
      <c r="M171" s="34">
        <v>24</v>
      </c>
      <c r="N171" s="35"/>
      <c r="O171" s="30"/>
      <c r="P171" s="33"/>
      <c r="Q171" s="33"/>
      <c r="R171" s="36" t="b">
        <v>0</v>
      </c>
      <c r="S171" s="36" t="b">
        <v>0</v>
      </c>
      <c r="T171" s="36" t="b">
        <v>0</v>
      </c>
      <c r="U171" s="36" t="b">
        <v>0</v>
      </c>
      <c r="V171" s="36" t="b">
        <v>0</v>
      </c>
      <c r="W171" s="33" t="s">
        <v>954</v>
      </c>
      <c r="X171" s="37"/>
      <c r="Y171" s="43"/>
      <c r="Z171" s="37"/>
      <c r="AA171" s="37"/>
      <c r="AB171" s="37"/>
      <c r="AC171" s="37"/>
      <c r="AD171" s="37"/>
      <c r="AE171" s="37"/>
      <c r="AF171" s="37"/>
      <c r="AG171" s="37"/>
      <c r="AH171" s="32"/>
    </row>
    <row r="172" spans="2:34" hidden="1" x14ac:dyDescent="0.25">
      <c r="B172" s="30" t="s">
        <v>692</v>
      </c>
      <c r="C172" s="31" t="s">
        <v>687</v>
      </c>
      <c r="D172" s="32" t="s">
        <v>195</v>
      </c>
      <c r="E172" s="30">
        <v>180</v>
      </c>
      <c r="F172" s="30" t="s">
        <v>22</v>
      </c>
      <c r="G172" s="32" t="s">
        <v>521</v>
      </c>
      <c r="H172" s="32" t="s">
        <v>10</v>
      </c>
      <c r="I172" s="32" t="s">
        <v>68</v>
      </c>
      <c r="J172" s="30" t="s">
        <v>25</v>
      </c>
      <c r="K172" s="33">
        <f>IFERROR(AVERAGEIFS('[1]Controle de Produção'!$E:$E,'[1]Controle de Produção'!$N:$N,E172,'[1]Controle de Produção'!$S:$S,J172,'[1]Controle de Produção'!$R:$R,I172),0)</f>
        <v>0</v>
      </c>
      <c r="L172" s="33">
        <f>IFERROR(AVERAGEIFS('[1]Controle de Produção'!$E:$E,'[1]Controle de Produção'!$S:$S,J172,'[1]Controle de Produção'!$R:$R,I172),0)</f>
        <v>0</v>
      </c>
      <c r="M172" s="34">
        <v>24</v>
      </c>
      <c r="N172" s="35"/>
      <c r="O172" s="30"/>
      <c r="P172" s="33"/>
      <c r="Q172" s="33"/>
      <c r="R172" s="36" t="b">
        <v>0</v>
      </c>
      <c r="S172" s="36" t="b">
        <v>0</v>
      </c>
      <c r="T172" s="36" t="b">
        <v>0</v>
      </c>
      <c r="U172" s="36" t="b">
        <v>0</v>
      </c>
      <c r="V172" s="36" t="b">
        <v>0</v>
      </c>
      <c r="W172" s="33" t="s">
        <v>954</v>
      </c>
      <c r="X172" s="37"/>
      <c r="Y172" s="43"/>
      <c r="Z172" s="37"/>
      <c r="AA172" s="37"/>
      <c r="AB172" s="37"/>
      <c r="AC172" s="37"/>
      <c r="AD172" s="37"/>
      <c r="AE172" s="37"/>
      <c r="AF172" s="37"/>
      <c r="AG172" s="37"/>
      <c r="AH172" s="32"/>
    </row>
    <row r="173" spans="2:34" hidden="1" x14ac:dyDescent="0.25">
      <c r="B173" s="30" t="s">
        <v>693</v>
      </c>
      <c r="C173" s="31" t="s">
        <v>731</v>
      </c>
      <c r="D173" s="32" t="s">
        <v>195</v>
      </c>
      <c r="E173" s="30">
        <v>180</v>
      </c>
      <c r="F173" s="30" t="s">
        <v>22</v>
      </c>
      <c r="G173" s="32" t="s">
        <v>521</v>
      </c>
      <c r="H173" s="32" t="s">
        <v>10</v>
      </c>
      <c r="I173" s="32" t="s">
        <v>68</v>
      </c>
      <c r="J173" s="30" t="s">
        <v>25</v>
      </c>
      <c r="K173" s="33">
        <f>IFERROR(AVERAGEIFS('[1]Controle de Produção'!$E:$E,'[1]Controle de Produção'!$N:$N,E173,'[1]Controle de Produção'!$S:$S,J173,'[1]Controle de Produção'!$R:$R,I173),0)</f>
        <v>0</v>
      </c>
      <c r="L173" s="33">
        <f>IFERROR(AVERAGEIFS('[1]Controle de Produção'!$E:$E,'[1]Controle de Produção'!$S:$S,J173,'[1]Controle de Produção'!$R:$R,I173),0)</f>
        <v>0</v>
      </c>
      <c r="M173" s="34">
        <v>24</v>
      </c>
      <c r="N173" s="35"/>
      <c r="O173" s="30"/>
      <c r="P173" s="33"/>
      <c r="Q173" s="33"/>
      <c r="R173" s="36" t="b">
        <v>0</v>
      </c>
      <c r="S173" s="36" t="b">
        <v>0</v>
      </c>
      <c r="T173" s="36" t="b">
        <v>0</v>
      </c>
      <c r="U173" s="36" t="b">
        <v>0</v>
      </c>
      <c r="V173" s="36" t="b">
        <v>0</v>
      </c>
      <c r="W173" s="33" t="s">
        <v>954</v>
      </c>
      <c r="X173" s="37"/>
      <c r="Y173" s="43"/>
      <c r="Z173" s="37"/>
      <c r="AA173" s="37"/>
      <c r="AB173" s="37"/>
      <c r="AC173" s="37"/>
      <c r="AD173" s="37"/>
      <c r="AE173" s="37"/>
      <c r="AF173" s="37"/>
      <c r="AG173" s="37"/>
      <c r="AH173" s="32"/>
    </row>
    <row r="174" spans="2:34" hidden="1" x14ac:dyDescent="0.25">
      <c r="B174" s="30" t="s">
        <v>694</v>
      </c>
      <c r="C174" s="31" t="s">
        <v>688</v>
      </c>
      <c r="D174" s="32" t="s">
        <v>195</v>
      </c>
      <c r="E174" s="30">
        <v>180</v>
      </c>
      <c r="F174" s="30" t="s">
        <v>22</v>
      </c>
      <c r="G174" s="32" t="s">
        <v>521</v>
      </c>
      <c r="H174" s="32" t="s">
        <v>10</v>
      </c>
      <c r="I174" s="32" t="s">
        <v>68</v>
      </c>
      <c r="J174" s="30" t="s">
        <v>25</v>
      </c>
      <c r="K174" s="33">
        <f>IFERROR(AVERAGEIFS('[1]Controle de Produção'!$E:$E,'[1]Controle de Produção'!$N:$N,E174,'[1]Controle de Produção'!$S:$S,J174,'[1]Controle de Produção'!$R:$R,I174),0)</f>
        <v>0</v>
      </c>
      <c r="L174" s="33">
        <f>IFERROR(AVERAGEIFS('[1]Controle de Produção'!$E:$E,'[1]Controle de Produção'!$S:$S,J174,'[1]Controle de Produção'!$R:$R,I174),0)</f>
        <v>0</v>
      </c>
      <c r="M174" s="34">
        <v>24</v>
      </c>
      <c r="N174" s="35"/>
      <c r="O174" s="30"/>
      <c r="P174" s="33"/>
      <c r="Q174" s="33"/>
      <c r="R174" s="36" t="b">
        <v>0</v>
      </c>
      <c r="S174" s="36" t="b">
        <v>0</v>
      </c>
      <c r="T174" s="36" t="b">
        <v>0</v>
      </c>
      <c r="U174" s="36" t="b">
        <v>0</v>
      </c>
      <c r="V174" s="36" t="b">
        <v>0</v>
      </c>
      <c r="W174" s="33" t="s">
        <v>954</v>
      </c>
      <c r="X174" s="37"/>
      <c r="Y174" s="43"/>
      <c r="Z174" s="37"/>
      <c r="AA174" s="37"/>
      <c r="AB174" s="37"/>
      <c r="AC174" s="37"/>
      <c r="AD174" s="37"/>
      <c r="AE174" s="37"/>
      <c r="AF174" s="37"/>
      <c r="AG174" s="37"/>
      <c r="AH174" s="32"/>
    </row>
    <row r="175" spans="2:34" hidden="1" x14ac:dyDescent="0.25">
      <c r="B175" s="30" t="s">
        <v>658</v>
      </c>
      <c r="C175" s="31" t="s">
        <v>672</v>
      </c>
      <c r="D175" s="32" t="s">
        <v>195</v>
      </c>
      <c r="E175" s="30">
        <v>180</v>
      </c>
      <c r="F175" s="30" t="s">
        <v>22</v>
      </c>
      <c r="G175" s="32" t="s">
        <v>521</v>
      </c>
      <c r="H175" s="30" t="s">
        <v>10</v>
      </c>
      <c r="I175" s="30" t="s">
        <v>41</v>
      </c>
      <c r="J175" s="30" t="s">
        <v>25</v>
      </c>
      <c r="K175" s="33">
        <f>IFERROR(AVERAGEIFS('[1]Controle de Produção'!$E:$E,'[1]Controle de Produção'!$N:$N,E175,'[1]Controle de Produção'!$S:$S,J175,'[1]Controle de Produção'!$R:$R,I175),0)</f>
        <v>707.29411869028115</v>
      </c>
      <c r="L175" s="33">
        <f>IFERROR(AVERAGEIFS('[1]Controle de Produção'!$E:$E,'[1]Controle de Produção'!$S:$S,J175,'[1]Controle de Produção'!$R:$R,I175),0)</f>
        <v>613.39886035164977</v>
      </c>
      <c r="M175" s="34">
        <v>24</v>
      </c>
      <c r="N175" s="35"/>
      <c r="O175" s="30"/>
      <c r="P175" s="33"/>
      <c r="Q175" s="33"/>
      <c r="R175" s="36" t="b">
        <v>0</v>
      </c>
      <c r="S175" s="36" t="b">
        <v>0</v>
      </c>
      <c r="T175" s="36" t="b">
        <v>0</v>
      </c>
      <c r="U175" s="36" t="b">
        <v>0</v>
      </c>
      <c r="V175" s="36" t="b">
        <v>0</v>
      </c>
      <c r="W175" s="33" t="s">
        <v>954</v>
      </c>
      <c r="X175" s="37"/>
      <c r="Y175" s="43"/>
      <c r="Z175" s="37"/>
      <c r="AA175" s="37"/>
      <c r="AB175" s="37"/>
      <c r="AC175" s="37"/>
      <c r="AD175" s="37"/>
      <c r="AE175" s="37"/>
      <c r="AF175" s="37"/>
      <c r="AG175" s="37"/>
      <c r="AH175" s="32"/>
    </row>
    <row r="176" spans="2:34" hidden="1" x14ac:dyDescent="0.25">
      <c r="B176" s="30" t="s">
        <v>659</v>
      </c>
      <c r="C176" s="31" t="s">
        <v>673</v>
      </c>
      <c r="D176" s="32" t="s">
        <v>195</v>
      </c>
      <c r="E176" s="30">
        <v>180</v>
      </c>
      <c r="F176" s="30" t="s">
        <v>22</v>
      </c>
      <c r="G176" s="32" t="s">
        <v>521</v>
      </c>
      <c r="H176" s="30" t="s">
        <v>10</v>
      </c>
      <c r="I176" s="30" t="s">
        <v>41</v>
      </c>
      <c r="J176" s="30" t="s">
        <v>25</v>
      </c>
      <c r="K176" s="33">
        <f>IFERROR(AVERAGEIFS('[1]Controle de Produção'!$E:$E,'[1]Controle de Produção'!$N:$N,E176,'[1]Controle de Produção'!$S:$S,J176,'[1]Controle de Produção'!$R:$R,I176),0)</f>
        <v>707.29411869028115</v>
      </c>
      <c r="L176" s="33">
        <f>IFERROR(AVERAGEIFS('[1]Controle de Produção'!$E:$E,'[1]Controle de Produção'!$S:$S,J176,'[1]Controle de Produção'!$R:$R,I176),0)</f>
        <v>613.39886035164977</v>
      </c>
      <c r="M176" s="34">
        <v>24</v>
      </c>
      <c r="N176" s="35"/>
      <c r="O176" s="30"/>
      <c r="P176" s="33"/>
      <c r="Q176" s="33"/>
      <c r="R176" s="36" t="b">
        <v>0</v>
      </c>
      <c r="S176" s="36" t="b">
        <v>0</v>
      </c>
      <c r="T176" s="36" t="b">
        <v>0</v>
      </c>
      <c r="U176" s="36" t="b">
        <v>0</v>
      </c>
      <c r="V176" s="36" t="b">
        <v>0</v>
      </c>
      <c r="W176" s="33" t="s">
        <v>954</v>
      </c>
      <c r="X176" s="37"/>
      <c r="Y176" s="43"/>
      <c r="Z176" s="37"/>
      <c r="AA176" s="37"/>
      <c r="AB176" s="37"/>
      <c r="AC176" s="37"/>
      <c r="AD176" s="37"/>
      <c r="AE176" s="37"/>
      <c r="AF176" s="37"/>
      <c r="AG176" s="37"/>
      <c r="AH176" s="32"/>
    </row>
    <row r="177" spans="2:34" hidden="1" x14ac:dyDescent="0.25">
      <c r="B177" s="30" t="s">
        <v>660</v>
      </c>
      <c r="C177" s="31" t="s">
        <v>674</v>
      </c>
      <c r="D177" s="32" t="s">
        <v>195</v>
      </c>
      <c r="E177" s="30">
        <v>180</v>
      </c>
      <c r="F177" s="30" t="s">
        <v>22</v>
      </c>
      <c r="G177" s="32" t="s">
        <v>521</v>
      </c>
      <c r="H177" s="30" t="s">
        <v>10</v>
      </c>
      <c r="I177" s="30" t="s">
        <v>41</v>
      </c>
      <c r="J177" s="30" t="s">
        <v>25</v>
      </c>
      <c r="K177" s="33">
        <f>IFERROR(AVERAGEIFS('[1]Controle de Produção'!$E:$E,'[1]Controle de Produção'!$N:$N,E177,'[1]Controle de Produção'!$S:$S,J177,'[1]Controle de Produção'!$R:$R,I177),0)</f>
        <v>707.29411869028115</v>
      </c>
      <c r="L177" s="33">
        <f>IFERROR(AVERAGEIFS('[1]Controle de Produção'!$E:$E,'[1]Controle de Produção'!$S:$S,J177,'[1]Controle de Produção'!$R:$R,I177),0)</f>
        <v>613.39886035164977</v>
      </c>
      <c r="M177" s="34">
        <v>24</v>
      </c>
      <c r="N177" s="35"/>
      <c r="O177" s="30"/>
      <c r="P177" s="33"/>
      <c r="Q177" s="33"/>
      <c r="R177" s="36" t="b">
        <v>0</v>
      </c>
      <c r="S177" s="36" t="b">
        <v>0</v>
      </c>
      <c r="T177" s="36" t="b">
        <v>0</v>
      </c>
      <c r="U177" s="36" t="b">
        <v>0</v>
      </c>
      <c r="V177" s="36" t="b">
        <v>0</v>
      </c>
      <c r="W177" s="33" t="s">
        <v>954</v>
      </c>
      <c r="X177" s="37"/>
      <c r="Y177" s="43"/>
      <c r="Z177" s="37"/>
      <c r="AA177" s="37"/>
      <c r="AB177" s="37"/>
      <c r="AC177" s="37"/>
      <c r="AD177" s="37"/>
      <c r="AE177" s="37"/>
      <c r="AF177" s="37"/>
      <c r="AG177" s="37"/>
      <c r="AH177" s="32"/>
    </row>
    <row r="178" spans="2:34" hidden="1" x14ac:dyDescent="0.25">
      <c r="B178" s="30" t="s">
        <v>661</v>
      </c>
      <c r="C178" s="31" t="s">
        <v>675</v>
      </c>
      <c r="D178" s="32" t="s">
        <v>195</v>
      </c>
      <c r="E178" s="30">
        <v>180</v>
      </c>
      <c r="F178" s="30" t="s">
        <v>22</v>
      </c>
      <c r="G178" s="32" t="s">
        <v>521</v>
      </c>
      <c r="H178" s="30" t="s">
        <v>10</v>
      </c>
      <c r="I178" s="30" t="s">
        <v>41</v>
      </c>
      <c r="J178" s="30" t="s">
        <v>25</v>
      </c>
      <c r="K178" s="33">
        <f>IFERROR(AVERAGEIFS('[1]Controle de Produção'!$E:$E,'[1]Controle de Produção'!$N:$N,E178,'[1]Controle de Produção'!$S:$S,J178,'[1]Controle de Produção'!$R:$R,I178),0)</f>
        <v>707.29411869028115</v>
      </c>
      <c r="L178" s="33">
        <f>IFERROR(AVERAGEIFS('[1]Controle de Produção'!$E:$E,'[1]Controle de Produção'!$S:$S,J178,'[1]Controle de Produção'!$R:$R,I178),0)</f>
        <v>613.39886035164977</v>
      </c>
      <c r="M178" s="34">
        <v>24</v>
      </c>
      <c r="N178" s="35"/>
      <c r="O178" s="30"/>
      <c r="P178" s="33"/>
      <c r="Q178" s="33"/>
      <c r="R178" s="36" t="b">
        <v>0</v>
      </c>
      <c r="S178" s="36" t="b">
        <v>0</v>
      </c>
      <c r="T178" s="36" t="b">
        <v>0</v>
      </c>
      <c r="U178" s="36" t="b">
        <v>0</v>
      </c>
      <c r="V178" s="36" t="b">
        <v>0</v>
      </c>
      <c r="W178" s="33" t="s">
        <v>954</v>
      </c>
      <c r="X178" s="37"/>
      <c r="Y178" s="43"/>
      <c r="Z178" s="37"/>
      <c r="AA178" s="37"/>
      <c r="AB178" s="37"/>
      <c r="AC178" s="37"/>
      <c r="AD178" s="37"/>
      <c r="AE178" s="37"/>
      <c r="AF178" s="37"/>
      <c r="AG178" s="37"/>
      <c r="AH178" s="32"/>
    </row>
    <row r="179" spans="2:34" hidden="1" x14ac:dyDescent="0.25">
      <c r="B179" s="30" t="s">
        <v>662</v>
      </c>
      <c r="C179" s="31" t="s">
        <v>729</v>
      </c>
      <c r="D179" s="32" t="s">
        <v>195</v>
      </c>
      <c r="E179" s="30">
        <v>180</v>
      </c>
      <c r="F179" s="30" t="s">
        <v>22</v>
      </c>
      <c r="G179" s="32" t="s">
        <v>521</v>
      </c>
      <c r="H179" s="30" t="s">
        <v>10</v>
      </c>
      <c r="I179" s="30" t="s">
        <v>41</v>
      </c>
      <c r="J179" s="30" t="s">
        <v>25</v>
      </c>
      <c r="K179" s="33">
        <f>IFERROR(AVERAGEIFS('[1]Controle de Produção'!$E:$E,'[1]Controle de Produção'!$N:$N,E179,'[1]Controle de Produção'!$S:$S,J179,'[1]Controle de Produção'!$R:$R,I179),0)</f>
        <v>707.29411869028115</v>
      </c>
      <c r="L179" s="33">
        <f>IFERROR(AVERAGEIFS('[1]Controle de Produção'!$E:$E,'[1]Controle de Produção'!$S:$S,J179,'[1]Controle de Produção'!$R:$R,I179),0)</f>
        <v>613.39886035164977</v>
      </c>
      <c r="M179" s="34">
        <v>24</v>
      </c>
      <c r="N179" s="35"/>
      <c r="O179" s="30"/>
      <c r="P179" s="33"/>
      <c r="Q179" s="33"/>
      <c r="R179" s="36" t="b">
        <v>0</v>
      </c>
      <c r="S179" s="36" t="b">
        <v>0</v>
      </c>
      <c r="T179" s="36" t="b">
        <v>0</v>
      </c>
      <c r="U179" s="36" t="b">
        <v>0</v>
      </c>
      <c r="V179" s="36" t="b">
        <v>0</v>
      </c>
      <c r="W179" s="33" t="s">
        <v>954</v>
      </c>
      <c r="X179" s="37"/>
      <c r="Y179" s="43"/>
      <c r="Z179" s="37"/>
      <c r="AA179" s="37"/>
      <c r="AB179" s="37"/>
      <c r="AC179" s="37"/>
      <c r="AD179" s="37"/>
      <c r="AE179" s="37"/>
      <c r="AF179" s="37"/>
      <c r="AG179" s="37"/>
      <c r="AH179" s="32"/>
    </row>
    <row r="180" spans="2:34" hidden="1" x14ac:dyDescent="0.25">
      <c r="B180" s="30" t="s">
        <v>663</v>
      </c>
      <c r="C180" s="31" t="s">
        <v>676</v>
      </c>
      <c r="D180" s="32" t="s">
        <v>195</v>
      </c>
      <c r="E180" s="30">
        <v>180</v>
      </c>
      <c r="F180" s="30" t="s">
        <v>22</v>
      </c>
      <c r="G180" s="32" t="s">
        <v>521</v>
      </c>
      <c r="H180" s="30" t="s">
        <v>10</v>
      </c>
      <c r="I180" s="30" t="s">
        <v>41</v>
      </c>
      <c r="J180" s="30" t="s">
        <v>25</v>
      </c>
      <c r="K180" s="33">
        <f>IFERROR(AVERAGEIFS('[1]Controle de Produção'!$E:$E,'[1]Controle de Produção'!$N:$N,E180,'[1]Controle de Produção'!$S:$S,J180,'[1]Controle de Produção'!$R:$R,I180),0)</f>
        <v>707.29411869028115</v>
      </c>
      <c r="L180" s="33">
        <f>IFERROR(AVERAGEIFS('[1]Controle de Produção'!$E:$E,'[1]Controle de Produção'!$S:$S,J180,'[1]Controle de Produção'!$R:$R,I180),0)</f>
        <v>613.39886035164977</v>
      </c>
      <c r="M180" s="34">
        <v>24</v>
      </c>
      <c r="N180" s="35"/>
      <c r="O180" s="30"/>
      <c r="P180" s="33"/>
      <c r="Q180" s="33"/>
      <c r="R180" s="36" t="b">
        <v>0</v>
      </c>
      <c r="S180" s="36" t="b">
        <v>0</v>
      </c>
      <c r="T180" s="36" t="b">
        <v>0</v>
      </c>
      <c r="U180" s="36" t="b">
        <v>0</v>
      </c>
      <c r="V180" s="36" t="b">
        <v>0</v>
      </c>
      <c r="W180" s="33" t="s">
        <v>954</v>
      </c>
      <c r="X180" s="37"/>
      <c r="Y180" s="43"/>
      <c r="Z180" s="37"/>
      <c r="AA180" s="37"/>
      <c r="AB180" s="37"/>
      <c r="AC180" s="37"/>
      <c r="AD180" s="37"/>
      <c r="AE180" s="37"/>
      <c r="AF180" s="37"/>
      <c r="AG180" s="37"/>
      <c r="AH180" s="32"/>
    </row>
    <row r="181" spans="2:34" hidden="1" x14ac:dyDescent="0.25">
      <c r="B181" s="30" t="s">
        <v>664</v>
      </c>
      <c r="C181" s="31" t="s">
        <v>677</v>
      </c>
      <c r="D181" s="32" t="s">
        <v>520</v>
      </c>
      <c r="E181" s="30">
        <v>100</v>
      </c>
      <c r="F181" s="30" t="s">
        <v>22</v>
      </c>
      <c r="G181" s="32" t="s">
        <v>521</v>
      </c>
      <c r="H181" s="30" t="s">
        <v>15</v>
      </c>
      <c r="I181" s="32" t="s">
        <v>20</v>
      </c>
      <c r="J181" s="30" t="s">
        <v>500</v>
      </c>
      <c r="K181" s="33">
        <f>IFERROR(AVERAGEIFS('[1]Controle de Produção'!$E:$E,'[1]Controle de Produção'!$N:$N,E181,'[1]Controle de Produção'!$S:$S,J181,'[1]Controle de Produção'!$R:$R,I181),0)</f>
        <v>1014.0280751673542</v>
      </c>
      <c r="L181" s="33">
        <f>IFERROR(AVERAGEIFS('[1]Controle de Produção'!$E:$E,'[1]Controle de Produção'!$S:$S,J181,'[1]Controle de Produção'!$R:$R,I181),0)</f>
        <v>1014.0280751673542</v>
      </c>
      <c r="M181" s="34">
        <v>100</v>
      </c>
      <c r="N181" s="35"/>
      <c r="O181" s="30"/>
      <c r="P181" s="33"/>
      <c r="Q181" s="33"/>
      <c r="R181" s="36" t="b">
        <v>0</v>
      </c>
      <c r="S181" s="36" t="b">
        <v>0</v>
      </c>
      <c r="T181" s="36" t="b">
        <v>0</v>
      </c>
      <c r="U181" s="36" t="b">
        <v>0</v>
      </c>
      <c r="V181" s="36" t="b">
        <v>0</v>
      </c>
      <c r="W181" s="33" t="s">
        <v>954</v>
      </c>
      <c r="X181" s="37"/>
      <c r="Y181" s="43"/>
      <c r="Z181" s="37"/>
      <c r="AA181" s="37"/>
      <c r="AB181" s="37"/>
      <c r="AC181" s="37"/>
      <c r="AD181" s="37"/>
      <c r="AE181" s="37"/>
      <c r="AF181" s="37"/>
      <c r="AG181" s="37"/>
      <c r="AH181" s="32"/>
    </row>
    <row r="182" spans="2:34" hidden="1" x14ac:dyDescent="0.25">
      <c r="B182" s="30" t="s">
        <v>665</v>
      </c>
      <c r="C182" s="31" t="s">
        <v>683</v>
      </c>
      <c r="D182" s="32" t="s">
        <v>520</v>
      </c>
      <c r="E182" s="30">
        <v>100</v>
      </c>
      <c r="F182" s="30" t="s">
        <v>22</v>
      </c>
      <c r="G182" s="32" t="s">
        <v>521</v>
      </c>
      <c r="H182" s="30" t="s">
        <v>15</v>
      </c>
      <c r="I182" s="32" t="s">
        <v>20</v>
      </c>
      <c r="J182" s="30" t="s">
        <v>500</v>
      </c>
      <c r="K182" s="33">
        <f>IFERROR(AVERAGEIFS('[1]Controle de Produção'!$E:$E,'[1]Controle de Produção'!$N:$N,E182,'[1]Controle de Produção'!$S:$S,J182,'[1]Controle de Produção'!$R:$R,I182),0)</f>
        <v>1014.0280751673542</v>
      </c>
      <c r="L182" s="33">
        <f>IFERROR(AVERAGEIFS('[1]Controle de Produção'!$E:$E,'[1]Controle de Produção'!$S:$S,J182,'[1]Controle de Produção'!$R:$R,I182),0)</f>
        <v>1014.0280751673542</v>
      </c>
      <c r="M182" s="34">
        <v>100</v>
      </c>
      <c r="N182" s="35"/>
      <c r="O182" s="30"/>
      <c r="P182" s="33"/>
      <c r="Q182" s="33"/>
      <c r="R182" s="36" t="b">
        <v>0</v>
      </c>
      <c r="S182" s="36" t="b">
        <v>0</v>
      </c>
      <c r="T182" s="36" t="b">
        <v>0</v>
      </c>
      <c r="U182" s="36" t="b">
        <v>0</v>
      </c>
      <c r="V182" s="36" t="b">
        <v>0</v>
      </c>
      <c r="W182" s="33" t="s">
        <v>954</v>
      </c>
      <c r="X182" s="37"/>
      <c r="Y182" s="43"/>
      <c r="Z182" s="37"/>
      <c r="AA182" s="37"/>
      <c r="AB182" s="37"/>
      <c r="AC182" s="37"/>
      <c r="AD182" s="37"/>
      <c r="AE182" s="37"/>
      <c r="AF182" s="37"/>
      <c r="AG182" s="37"/>
      <c r="AH182" s="32"/>
    </row>
    <row r="183" spans="2:34" hidden="1" x14ac:dyDescent="0.25">
      <c r="B183" s="30" t="s">
        <v>666</v>
      </c>
      <c r="C183" s="31" t="s">
        <v>678</v>
      </c>
      <c r="D183" s="32" t="s">
        <v>520</v>
      </c>
      <c r="E183" s="30">
        <v>100</v>
      </c>
      <c r="F183" s="30" t="s">
        <v>22</v>
      </c>
      <c r="G183" s="32" t="s">
        <v>521</v>
      </c>
      <c r="H183" s="30" t="s">
        <v>15</v>
      </c>
      <c r="I183" s="32" t="s">
        <v>20</v>
      </c>
      <c r="J183" s="30" t="s">
        <v>500</v>
      </c>
      <c r="K183" s="33">
        <f>IFERROR(AVERAGEIFS('[1]Controle de Produção'!$E:$E,'[1]Controle de Produção'!$N:$N,E183,'[1]Controle de Produção'!$S:$S,J183,'[1]Controle de Produção'!$R:$R,I183),0)</f>
        <v>1014.0280751673542</v>
      </c>
      <c r="L183" s="33">
        <f>IFERROR(AVERAGEIFS('[1]Controle de Produção'!$E:$E,'[1]Controle de Produção'!$S:$S,J183,'[1]Controle de Produção'!$R:$R,I183),0)</f>
        <v>1014.0280751673542</v>
      </c>
      <c r="M183" s="34">
        <v>100</v>
      </c>
      <c r="N183" s="35"/>
      <c r="O183" s="30"/>
      <c r="P183" s="33"/>
      <c r="Q183" s="33"/>
      <c r="R183" s="36" t="b">
        <v>0</v>
      </c>
      <c r="S183" s="36" t="b">
        <v>0</v>
      </c>
      <c r="T183" s="36" t="b">
        <v>0</v>
      </c>
      <c r="U183" s="36" t="b">
        <v>0</v>
      </c>
      <c r="V183" s="36" t="b">
        <v>0</v>
      </c>
      <c r="W183" s="33" t="s">
        <v>954</v>
      </c>
      <c r="X183" s="37"/>
      <c r="Y183" s="43"/>
      <c r="Z183" s="37"/>
      <c r="AA183" s="37"/>
      <c r="AB183" s="37"/>
      <c r="AC183" s="37"/>
      <c r="AD183" s="37"/>
      <c r="AE183" s="37"/>
      <c r="AF183" s="37"/>
      <c r="AG183" s="37"/>
      <c r="AH183" s="32"/>
    </row>
    <row r="184" spans="2:34" hidden="1" x14ac:dyDescent="0.25">
      <c r="B184" s="30" t="s">
        <v>517</v>
      </c>
      <c r="C184" s="31" t="s">
        <v>514</v>
      </c>
      <c r="D184" s="32" t="s">
        <v>520</v>
      </c>
      <c r="E184" s="30">
        <v>500</v>
      </c>
      <c r="F184" s="30" t="s">
        <v>22</v>
      </c>
      <c r="G184" s="32" t="s">
        <v>521</v>
      </c>
      <c r="H184" s="32" t="s">
        <v>15</v>
      </c>
      <c r="I184" s="32" t="s">
        <v>24</v>
      </c>
      <c r="J184" s="30" t="s">
        <v>25</v>
      </c>
      <c r="K184" s="33">
        <f>IFERROR(AVERAGEIFS('[1]Controle de Produção'!$E:$E,'[1]Controle de Produção'!$N:$N,E184,'[1]Controle de Produção'!$S:$S,J184,'[1]Controle de Produção'!$R:$R,I184),0)</f>
        <v>512.24035716198557</v>
      </c>
      <c r="L184" s="33">
        <f>IFERROR(AVERAGEIFS('[1]Controle de Produção'!$E:$E,'[1]Controle de Produção'!$S:$S,J184,'[1]Controle de Produção'!$R:$R,I184),0)</f>
        <v>519.13260484234854</v>
      </c>
      <c r="M184" s="34">
        <v>40</v>
      </c>
      <c r="N184" s="35"/>
      <c r="O184" s="30"/>
      <c r="P184" s="33"/>
      <c r="Q184" s="33"/>
      <c r="R184" s="36" t="b">
        <v>0</v>
      </c>
      <c r="S184" s="36" t="b">
        <v>0</v>
      </c>
      <c r="T184" s="36" t="b">
        <v>0</v>
      </c>
      <c r="U184" s="36" t="b">
        <v>0</v>
      </c>
      <c r="V184" s="36" t="b">
        <v>0</v>
      </c>
      <c r="W184" s="33" t="s">
        <v>954</v>
      </c>
      <c r="X184" s="37"/>
      <c r="Y184" s="43"/>
      <c r="Z184" s="37"/>
      <c r="AA184" s="37"/>
      <c r="AB184" s="37"/>
      <c r="AC184" s="37"/>
      <c r="AD184" s="37"/>
      <c r="AE184" s="37"/>
      <c r="AF184" s="37"/>
      <c r="AG184" s="37"/>
      <c r="AH184" s="32"/>
    </row>
    <row r="185" spans="2:34" hidden="1" x14ac:dyDescent="0.25">
      <c r="B185" s="30" t="s">
        <v>518</v>
      </c>
      <c r="C185" s="31" t="s">
        <v>515</v>
      </c>
      <c r="D185" s="32" t="s">
        <v>520</v>
      </c>
      <c r="E185" s="30">
        <v>500</v>
      </c>
      <c r="F185" s="30" t="s">
        <v>22</v>
      </c>
      <c r="G185" s="32" t="s">
        <v>521</v>
      </c>
      <c r="H185" s="32" t="s">
        <v>15</v>
      </c>
      <c r="I185" s="32" t="s">
        <v>24</v>
      </c>
      <c r="J185" s="30" t="s">
        <v>25</v>
      </c>
      <c r="K185" s="33">
        <f>IFERROR(AVERAGEIFS('[1]Controle de Produção'!$E:$E,'[1]Controle de Produção'!$N:$N,E185,'[1]Controle de Produção'!$S:$S,J185,'[1]Controle de Produção'!$R:$R,I185),0)</f>
        <v>512.24035716198557</v>
      </c>
      <c r="L185" s="33">
        <f>IFERROR(AVERAGEIFS('[1]Controle de Produção'!$E:$E,'[1]Controle de Produção'!$S:$S,J185,'[1]Controle de Produção'!$R:$R,I185),0)</f>
        <v>519.13260484234854</v>
      </c>
      <c r="M185" s="34">
        <v>40</v>
      </c>
      <c r="N185" s="35"/>
      <c r="O185" s="30"/>
      <c r="P185" s="33"/>
      <c r="Q185" s="33"/>
      <c r="R185" s="36" t="b">
        <v>0</v>
      </c>
      <c r="S185" s="36" t="b">
        <v>0</v>
      </c>
      <c r="T185" s="36" t="b">
        <v>0</v>
      </c>
      <c r="U185" s="36" t="b">
        <v>0</v>
      </c>
      <c r="V185" s="36" t="b">
        <v>0</v>
      </c>
      <c r="W185" s="33" t="s">
        <v>954</v>
      </c>
      <c r="X185" s="37"/>
      <c r="Y185" s="43"/>
      <c r="Z185" s="37"/>
      <c r="AA185" s="37"/>
      <c r="AB185" s="37"/>
      <c r="AC185" s="37"/>
      <c r="AD185" s="37"/>
      <c r="AE185" s="37"/>
      <c r="AF185" s="37"/>
      <c r="AG185" s="37"/>
      <c r="AH185" s="32"/>
    </row>
    <row r="186" spans="2:34" hidden="1" x14ac:dyDescent="0.25">
      <c r="B186" s="30" t="s">
        <v>519</v>
      </c>
      <c r="C186" s="31" t="s">
        <v>516</v>
      </c>
      <c r="D186" s="32" t="s">
        <v>520</v>
      </c>
      <c r="E186" s="30">
        <v>500</v>
      </c>
      <c r="F186" s="30" t="s">
        <v>22</v>
      </c>
      <c r="G186" s="32" t="s">
        <v>521</v>
      </c>
      <c r="H186" s="32" t="s">
        <v>15</v>
      </c>
      <c r="I186" s="32" t="s">
        <v>24</v>
      </c>
      <c r="J186" s="30" t="s">
        <v>25</v>
      </c>
      <c r="K186" s="33">
        <f>IFERROR(AVERAGEIFS('[1]Controle de Produção'!$E:$E,'[1]Controle de Produção'!$N:$N,E186,'[1]Controle de Produção'!$S:$S,J186,'[1]Controle de Produção'!$R:$R,I186),0)</f>
        <v>512.24035716198557</v>
      </c>
      <c r="L186" s="33">
        <f>IFERROR(AVERAGEIFS('[1]Controle de Produção'!$E:$E,'[1]Controle de Produção'!$S:$S,J186,'[1]Controle de Produção'!$R:$R,I186),0)</f>
        <v>519.13260484234854</v>
      </c>
      <c r="M186" s="34">
        <v>40</v>
      </c>
      <c r="N186" s="35"/>
      <c r="O186" s="30"/>
      <c r="P186" s="33"/>
      <c r="Q186" s="33"/>
      <c r="R186" s="36" t="b">
        <v>0</v>
      </c>
      <c r="S186" s="36" t="b">
        <v>0</v>
      </c>
      <c r="T186" s="36" t="b">
        <v>0</v>
      </c>
      <c r="U186" s="36" t="b">
        <v>0</v>
      </c>
      <c r="V186" s="36" t="b">
        <v>0</v>
      </c>
      <c r="W186" s="33" t="s">
        <v>954</v>
      </c>
      <c r="X186" s="37"/>
      <c r="Y186" s="43"/>
      <c r="Z186" s="37"/>
      <c r="AA186" s="37"/>
      <c r="AB186" s="37"/>
      <c r="AC186" s="37"/>
      <c r="AD186" s="37"/>
      <c r="AE186" s="37"/>
      <c r="AF186" s="37"/>
      <c r="AG186" s="37"/>
      <c r="AH186" s="32"/>
    </row>
    <row r="187" spans="2:34" hidden="1" x14ac:dyDescent="0.25">
      <c r="B187" s="30" t="s">
        <v>650</v>
      </c>
      <c r="C187" s="31" t="s">
        <v>1055</v>
      </c>
      <c r="D187" s="32" t="s">
        <v>243</v>
      </c>
      <c r="E187" s="30">
        <v>1000</v>
      </c>
      <c r="F187" s="30" t="s">
        <v>22</v>
      </c>
      <c r="G187" s="32" t="s">
        <v>242</v>
      </c>
      <c r="H187" s="32" t="s">
        <v>243</v>
      </c>
      <c r="I187" s="32" t="s">
        <v>243</v>
      </c>
      <c r="J187" s="30" t="s">
        <v>18</v>
      </c>
      <c r="K187" s="33">
        <f>IFERROR(AVERAGEIFS('[1]Controle de Produção'!$E:$E,'[1]Controle de Produção'!$N:$N,E187,'[1]Controle de Produção'!$S:$S,J187,'[1]Controle de Produção'!$R:$R,I187),0)</f>
        <v>231.92539965636129</v>
      </c>
      <c r="L187" s="33">
        <f>IFERROR(AVERAGEIFS('[1]Controle de Produção'!$E:$E,'[1]Controle de Produção'!$S:$S,J187,'[1]Controle de Produção'!$R:$R,I187),0)</f>
        <v>235.57716351767166</v>
      </c>
      <c r="M187" s="34">
        <v>15</v>
      </c>
      <c r="N187" s="35"/>
      <c r="O187" s="30"/>
      <c r="P187" s="33"/>
      <c r="Q187" s="33"/>
      <c r="R187" s="36" t="b">
        <v>1</v>
      </c>
      <c r="S187" s="36" t="b">
        <v>0</v>
      </c>
      <c r="T187" s="36" t="b">
        <v>0</v>
      </c>
      <c r="U187" s="36" t="b">
        <v>1</v>
      </c>
      <c r="V187" s="36" t="b">
        <v>0</v>
      </c>
      <c r="W187" s="33" t="s">
        <v>954</v>
      </c>
      <c r="X187" s="37"/>
      <c r="Y187" s="43"/>
      <c r="Z187" s="37"/>
      <c r="AA187" s="37"/>
      <c r="AB187" s="37"/>
      <c r="AC187" s="37"/>
      <c r="AD187" s="37"/>
      <c r="AE187" s="37"/>
      <c r="AF187" s="37"/>
      <c r="AG187" s="37"/>
      <c r="AH187" s="32" t="s">
        <v>244</v>
      </c>
    </row>
    <row r="188" spans="2:34" hidden="1" x14ac:dyDescent="0.25">
      <c r="B188" s="30" t="s">
        <v>1052</v>
      </c>
      <c r="C188" s="31" t="s">
        <v>1053</v>
      </c>
      <c r="D188" s="32" t="s">
        <v>243</v>
      </c>
      <c r="E188" s="30">
        <v>500</v>
      </c>
      <c r="F188" s="30" t="s">
        <v>22</v>
      </c>
      <c r="G188" s="32" t="s">
        <v>242</v>
      </c>
      <c r="H188" s="32" t="s">
        <v>243</v>
      </c>
      <c r="I188" s="32" t="s">
        <v>243</v>
      </c>
      <c r="J188" s="30" t="s">
        <v>18</v>
      </c>
      <c r="K188" s="33">
        <f>IFERROR(AVERAGEIFS('[1]Controle de Produção'!$E:$E,'[1]Controle de Produção'!$N:$N,E188,'[1]Controle de Produção'!$S:$S,J188,'[1]Controle de Produção'!$R:$R,I188),0)</f>
        <v>242.51551485416127</v>
      </c>
      <c r="L188" s="33">
        <f>IFERROR(AVERAGEIFS('[1]Controle de Produção'!$E:$E,'[1]Controle de Produção'!$S:$S,J188,'[1]Controle de Produção'!$R:$R,I188),0)</f>
        <v>235.57716351767166</v>
      </c>
      <c r="M188" s="34">
        <v>15</v>
      </c>
      <c r="N188" s="35"/>
      <c r="O188" s="30"/>
      <c r="P188" s="33"/>
      <c r="Q188" s="33"/>
      <c r="R188" s="36" t="b">
        <v>0</v>
      </c>
      <c r="S188" s="36" t="b">
        <v>0</v>
      </c>
      <c r="T188" s="36" t="b">
        <v>0</v>
      </c>
      <c r="U188" s="36" t="b">
        <v>0</v>
      </c>
      <c r="V188" s="36" t="b">
        <v>0</v>
      </c>
      <c r="W188" s="33" t="s">
        <v>954</v>
      </c>
      <c r="X188" s="37"/>
      <c r="Y188" s="43"/>
      <c r="Z188" s="37"/>
      <c r="AA188" s="37"/>
      <c r="AB188" s="37"/>
      <c r="AC188" s="37"/>
      <c r="AD188" s="37"/>
      <c r="AE188" s="37"/>
      <c r="AF188" s="37"/>
      <c r="AG188" s="37"/>
      <c r="AH188" s="32" t="s">
        <v>244</v>
      </c>
    </row>
    <row r="189" spans="2:34" hidden="1" x14ac:dyDescent="0.25">
      <c r="B189" s="30" t="s">
        <v>240</v>
      </c>
      <c r="C189" s="31" t="s">
        <v>1054</v>
      </c>
      <c r="D189" s="32" t="s">
        <v>241</v>
      </c>
      <c r="E189" s="30">
        <v>1000</v>
      </c>
      <c r="F189" s="30" t="s">
        <v>22</v>
      </c>
      <c r="G189" s="32" t="s">
        <v>242</v>
      </c>
      <c r="H189" s="32" t="s">
        <v>243</v>
      </c>
      <c r="I189" s="32" t="s">
        <v>243</v>
      </c>
      <c r="J189" s="30" t="s">
        <v>18</v>
      </c>
      <c r="K189" s="33">
        <f>IFERROR(AVERAGEIFS('[1]Controle de Produção'!$E:$E,'[1]Controle de Produção'!$N:$N,E189,'[1]Controle de Produção'!$S:$S,J189,'[1]Controle de Produção'!$R:$R,I189),0)</f>
        <v>231.92539965636129</v>
      </c>
      <c r="L189" s="33">
        <f>IFERROR(AVERAGEIFS('[1]Controle de Produção'!$E:$E,'[1]Controle de Produção'!$S:$S,J189,'[1]Controle de Produção'!$R:$R,I189),0)</f>
        <v>235.57716351767166</v>
      </c>
      <c r="M189" s="34">
        <v>15</v>
      </c>
      <c r="N189" s="35"/>
      <c r="O189" s="30"/>
      <c r="P189" s="33"/>
      <c r="Q189" s="33"/>
      <c r="R189" s="36" t="b">
        <v>1</v>
      </c>
      <c r="S189" s="36" t="b">
        <v>0</v>
      </c>
      <c r="T189" s="36" t="b">
        <v>0</v>
      </c>
      <c r="U189" s="36" t="b">
        <v>0</v>
      </c>
      <c r="V189" s="36" t="b">
        <v>0</v>
      </c>
      <c r="W189" s="33" t="s">
        <v>954</v>
      </c>
      <c r="X189" s="37"/>
      <c r="Y189" s="43"/>
      <c r="Z189" s="37"/>
      <c r="AA189" s="37"/>
      <c r="AB189" s="37"/>
      <c r="AC189" s="37"/>
      <c r="AD189" s="37"/>
      <c r="AE189" s="37"/>
      <c r="AF189" s="37"/>
      <c r="AG189" s="37"/>
      <c r="AH189" s="32" t="s">
        <v>244</v>
      </c>
    </row>
    <row r="190" spans="2:34" hidden="1" x14ac:dyDescent="0.25">
      <c r="B190" s="30" t="s">
        <v>1112</v>
      </c>
      <c r="C190" s="31" t="s">
        <v>1113</v>
      </c>
      <c r="D190" s="32" t="s">
        <v>241</v>
      </c>
      <c r="E190" s="30">
        <v>500</v>
      </c>
      <c r="F190" s="30" t="s">
        <v>22</v>
      </c>
      <c r="G190" s="32" t="s">
        <v>242</v>
      </c>
      <c r="H190" s="32" t="s">
        <v>243</v>
      </c>
      <c r="I190" s="32" t="s">
        <v>243</v>
      </c>
      <c r="J190" s="30" t="s">
        <v>18</v>
      </c>
      <c r="K190" s="33">
        <f>IFERROR(AVERAGEIFS('[1]Controle de Produção'!$E:$E,'[1]Controle de Produção'!$N:$N,E190,'[1]Controle de Produção'!$S:$S,J190,'[1]Controle de Produção'!$R:$R,I190),0)</f>
        <v>242.51551485416127</v>
      </c>
      <c r="L190" s="33">
        <f>IFERROR(AVERAGEIFS('[1]Controle de Produção'!$E:$E,'[1]Controle de Produção'!$S:$S,J190,'[1]Controle de Produção'!$R:$R,I190),0)</f>
        <v>235.57716351767166</v>
      </c>
      <c r="M190" s="34">
        <v>15</v>
      </c>
      <c r="N190" s="35"/>
      <c r="O190" s="30"/>
      <c r="P190" s="33"/>
      <c r="Q190" s="33"/>
      <c r="R190" s="36" t="b">
        <v>0</v>
      </c>
      <c r="S190" s="36" t="b">
        <v>0</v>
      </c>
      <c r="T190" s="36" t="b">
        <v>0</v>
      </c>
      <c r="U190" s="36" t="b">
        <v>0</v>
      </c>
      <c r="V190" s="36" t="b">
        <v>0</v>
      </c>
      <c r="W190" s="33" t="s">
        <v>954</v>
      </c>
      <c r="X190" s="37"/>
      <c r="Y190" s="43"/>
      <c r="Z190" s="37"/>
      <c r="AA190" s="37"/>
      <c r="AB190" s="37"/>
      <c r="AC190" s="37"/>
      <c r="AD190" s="37"/>
      <c r="AE190" s="37"/>
      <c r="AF190" s="37"/>
      <c r="AG190" s="37"/>
      <c r="AH190" s="32" t="s">
        <v>244</v>
      </c>
    </row>
    <row r="191" spans="2:34" hidden="1" x14ac:dyDescent="0.25">
      <c r="B191" s="30" t="s">
        <v>102</v>
      </c>
      <c r="C191" s="31" t="s">
        <v>103</v>
      </c>
      <c r="D191" s="32" t="s">
        <v>104</v>
      </c>
      <c r="E191" s="32">
        <v>300</v>
      </c>
      <c r="F191" s="32" t="s">
        <v>22</v>
      </c>
      <c r="G191" s="32" t="s">
        <v>105</v>
      </c>
      <c r="H191" s="32" t="s">
        <v>15</v>
      </c>
      <c r="I191" s="32" t="s">
        <v>106</v>
      </c>
      <c r="J191" s="30" t="s">
        <v>107</v>
      </c>
      <c r="K191" s="33">
        <f>IFERROR(AVERAGEIFS('[1]Controle de Produção'!$E:$E,'[1]Controle de Produção'!$N:$N,E191,'[1]Controle de Produção'!$S:$S,J191,'[1]Controle de Produção'!$R:$R,I191),0)</f>
        <v>566.55014016892869</v>
      </c>
      <c r="L191" s="33">
        <f>IFERROR(AVERAGEIFS('[1]Controle de Produção'!$E:$E,'[1]Controle de Produção'!$S:$S,J191,'[1]Controle de Produção'!$R:$R,I191),0)</f>
        <v>566.55014016892869</v>
      </c>
      <c r="M191" s="34">
        <v>36</v>
      </c>
      <c r="N191" s="35"/>
      <c r="O191" s="30"/>
      <c r="P191" s="33"/>
      <c r="Q191" s="33"/>
      <c r="R191" s="36" t="b">
        <v>1</v>
      </c>
      <c r="S191" s="36" t="b">
        <v>0</v>
      </c>
      <c r="T191" s="36" t="b">
        <v>0</v>
      </c>
      <c r="U191" s="36" t="b">
        <v>0</v>
      </c>
      <c r="V191" s="36" t="b">
        <v>0</v>
      </c>
      <c r="W191" s="33" t="s">
        <v>953</v>
      </c>
      <c r="X191" s="37"/>
      <c r="Y191" s="43"/>
      <c r="Z191" s="37"/>
      <c r="AA191" s="37"/>
      <c r="AB191" s="37"/>
      <c r="AC191" s="37"/>
      <c r="AD191" s="37"/>
      <c r="AE191" s="37"/>
      <c r="AF191" s="37"/>
      <c r="AG191" s="37"/>
      <c r="AH191" s="32"/>
    </row>
    <row r="192" spans="2:34" hidden="1" x14ac:dyDescent="0.25">
      <c r="B192" s="30" t="s">
        <v>108</v>
      </c>
      <c r="C192" s="31" t="s">
        <v>109</v>
      </c>
      <c r="D192" s="32" t="s">
        <v>104</v>
      </c>
      <c r="E192" s="32">
        <v>300</v>
      </c>
      <c r="F192" s="32" t="s">
        <v>22</v>
      </c>
      <c r="G192" s="32" t="s">
        <v>105</v>
      </c>
      <c r="H192" s="32" t="s">
        <v>15</v>
      </c>
      <c r="I192" s="32" t="s">
        <v>106</v>
      </c>
      <c r="J192" s="30" t="s">
        <v>107</v>
      </c>
      <c r="K192" s="33">
        <f>IFERROR(AVERAGEIFS('[1]Controle de Produção'!$E:$E,'[1]Controle de Produção'!$N:$N,E192,'[1]Controle de Produção'!$S:$S,J192,'[1]Controle de Produção'!$R:$R,I192),0)</f>
        <v>566.55014016892869</v>
      </c>
      <c r="L192" s="33">
        <f>IFERROR(AVERAGEIFS('[1]Controle de Produção'!$E:$E,'[1]Controle de Produção'!$S:$S,J192,'[1]Controle de Produção'!$R:$R,I192),0)</f>
        <v>566.55014016892869</v>
      </c>
      <c r="M192" s="34">
        <v>36</v>
      </c>
      <c r="N192" s="35"/>
      <c r="O192" s="30"/>
      <c r="P192" s="33"/>
      <c r="Q192" s="33"/>
      <c r="R192" s="36" t="b">
        <v>1</v>
      </c>
      <c r="S192" s="36" t="b">
        <v>0</v>
      </c>
      <c r="T192" s="36" t="b">
        <v>0</v>
      </c>
      <c r="U192" s="36" t="b">
        <v>0</v>
      </c>
      <c r="V192" s="36" t="b">
        <v>0</v>
      </c>
      <c r="W192" s="33" t="s">
        <v>953</v>
      </c>
      <c r="X192" s="37"/>
      <c r="Y192" s="43"/>
      <c r="Z192" s="37"/>
      <c r="AA192" s="37"/>
      <c r="AB192" s="37"/>
      <c r="AC192" s="37"/>
      <c r="AD192" s="37"/>
      <c r="AE192" s="37"/>
      <c r="AF192" s="37"/>
      <c r="AG192" s="37"/>
      <c r="AH192" s="32"/>
    </row>
    <row r="193" spans="2:34" hidden="1" x14ac:dyDescent="0.25">
      <c r="B193" s="30" t="s">
        <v>110</v>
      </c>
      <c r="C193" s="31" t="s">
        <v>111</v>
      </c>
      <c r="D193" s="32" t="s">
        <v>104</v>
      </c>
      <c r="E193" s="32">
        <v>300</v>
      </c>
      <c r="F193" s="32" t="s">
        <v>22</v>
      </c>
      <c r="G193" s="32" t="s">
        <v>105</v>
      </c>
      <c r="H193" s="32" t="s">
        <v>15</v>
      </c>
      <c r="I193" s="32" t="s">
        <v>106</v>
      </c>
      <c r="J193" s="30" t="s">
        <v>107</v>
      </c>
      <c r="K193" s="33">
        <f>IFERROR(AVERAGEIFS('[1]Controle de Produção'!$E:$E,'[1]Controle de Produção'!$N:$N,E193,'[1]Controle de Produção'!$S:$S,J193,'[1]Controle de Produção'!$R:$R,I193),0)</f>
        <v>566.55014016892869</v>
      </c>
      <c r="L193" s="33">
        <f>IFERROR(AVERAGEIFS('[1]Controle de Produção'!$E:$E,'[1]Controle de Produção'!$S:$S,J193,'[1]Controle de Produção'!$R:$R,I193),0)</f>
        <v>566.55014016892869</v>
      </c>
      <c r="M193" s="34">
        <v>36</v>
      </c>
      <c r="N193" s="35"/>
      <c r="O193" s="30"/>
      <c r="P193" s="33"/>
      <c r="Q193" s="33"/>
      <c r="R193" s="36" t="b">
        <v>1</v>
      </c>
      <c r="S193" s="36" t="b">
        <v>0</v>
      </c>
      <c r="T193" s="36" t="b">
        <v>0</v>
      </c>
      <c r="U193" s="36" t="b">
        <v>0</v>
      </c>
      <c r="V193" s="36" t="b">
        <v>0</v>
      </c>
      <c r="W193" s="33" t="s">
        <v>953</v>
      </c>
      <c r="X193" s="37"/>
      <c r="Y193" s="43"/>
      <c r="Z193" s="37"/>
      <c r="AA193" s="37"/>
      <c r="AB193" s="37"/>
      <c r="AC193" s="37"/>
      <c r="AD193" s="37"/>
      <c r="AE193" s="37"/>
      <c r="AF193" s="37"/>
      <c r="AG193" s="37"/>
      <c r="AH193" s="32"/>
    </row>
    <row r="194" spans="2:34" hidden="1" x14ac:dyDescent="0.25">
      <c r="B194" s="30" t="s">
        <v>112</v>
      </c>
      <c r="C194" s="31" t="s">
        <v>420</v>
      </c>
      <c r="D194" s="32" t="s">
        <v>104</v>
      </c>
      <c r="E194" s="32">
        <v>250</v>
      </c>
      <c r="F194" s="32" t="s">
        <v>22</v>
      </c>
      <c r="G194" s="32" t="s">
        <v>105</v>
      </c>
      <c r="H194" s="32" t="s">
        <v>15</v>
      </c>
      <c r="I194" s="32" t="s">
        <v>16</v>
      </c>
      <c r="J194" s="30" t="s">
        <v>25</v>
      </c>
      <c r="K194" s="33">
        <f>IFERROR(AVERAGEIFS('[1]Controle de Produção'!$E:$E,'[1]Controle de Produção'!$N:$N,E194,'[1]Controle de Produção'!$S:$S,J194,'[1]Controle de Produção'!$R:$R,I194),0)</f>
        <v>571.39859273161176</v>
      </c>
      <c r="L194" s="33">
        <f>IFERROR(AVERAGEIFS('[1]Controle de Produção'!$E:$E,'[1]Controle de Produção'!$S:$S,J194,'[1]Controle de Produção'!$R:$R,I194),0)</f>
        <v>571.39859273161176</v>
      </c>
      <c r="M194" s="34"/>
      <c r="N194" s="35"/>
      <c r="O194" s="30"/>
      <c r="P194" s="33"/>
      <c r="Q194" s="33"/>
      <c r="R194" s="36" t="b">
        <v>1</v>
      </c>
      <c r="S194" s="36" t="b">
        <v>0</v>
      </c>
      <c r="T194" s="36" t="b">
        <v>0</v>
      </c>
      <c r="U194" s="36" t="b">
        <v>0</v>
      </c>
      <c r="V194" s="36" t="b">
        <v>0</v>
      </c>
      <c r="W194" s="33" t="s">
        <v>953</v>
      </c>
      <c r="X194" s="37"/>
      <c r="Y194" s="43"/>
      <c r="Z194" s="37"/>
      <c r="AA194" s="37"/>
      <c r="AB194" s="37"/>
      <c r="AC194" s="37"/>
      <c r="AD194" s="37"/>
      <c r="AE194" s="37"/>
      <c r="AF194" s="37"/>
      <c r="AG194" s="37"/>
      <c r="AH194" s="32"/>
    </row>
    <row r="195" spans="2:34" hidden="1" x14ac:dyDescent="0.25">
      <c r="B195" s="30" t="s">
        <v>113</v>
      </c>
      <c r="C195" s="31" t="s">
        <v>421</v>
      </c>
      <c r="D195" s="32" t="s">
        <v>104</v>
      </c>
      <c r="E195" s="32">
        <v>250</v>
      </c>
      <c r="F195" s="32" t="s">
        <v>22</v>
      </c>
      <c r="G195" s="32" t="s">
        <v>105</v>
      </c>
      <c r="H195" s="32" t="s">
        <v>15</v>
      </c>
      <c r="I195" s="32" t="s">
        <v>16</v>
      </c>
      <c r="J195" s="30" t="s">
        <v>25</v>
      </c>
      <c r="K195" s="33">
        <f>IFERROR(AVERAGEIFS('[1]Controle de Produção'!$E:$E,'[1]Controle de Produção'!$N:$N,E195,'[1]Controle de Produção'!$S:$S,J195,'[1]Controle de Produção'!$R:$R,I195),0)</f>
        <v>571.39859273161176</v>
      </c>
      <c r="L195" s="33">
        <f>IFERROR(AVERAGEIFS('[1]Controle de Produção'!$E:$E,'[1]Controle de Produção'!$S:$S,J195,'[1]Controle de Produção'!$R:$R,I195),0)</f>
        <v>571.39859273161176</v>
      </c>
      <c r="M195" s="34"/>
      <c r="N195" s="35"/>
      <c r="O195" s="30"/>
      <c r="P195" s="33"/>
      <c r="Q195" s="33"/>
      <c r="R195" s="36" t="b">
        <v>1</v>
      </c>
      <c r="S195" s="36" t="b">
        <v>0</v>
      </c>
      <c r="T195" s="36" t="b">
        <v>0</v>
      </c>
      <c r="U195" s="36" t="b">
        <v>0</v>
      </c>
      <c r="V195" s="36" t="b">
        <v>0</v>
      </c>
      <c r="W195" s="33" t="s">
        <v>953</v>
      </c>
      <c r="X195" s="37"/>
      <c r="Y195" s="43"/>
      <c r="Z195" s="37"/>
      <c r="AA195" s="37"/>
      <c r="AB195" s="37"/>
      <c r="AC195" s="37"/>
      <c r="AD195" s="37"/>
      <c r="AE195" s="37"/>
      <c r="AF195" s="37"/>
      <c r="AG195" s="37"/>
      <c r="AH195" s="32"/>
    </row>
    <row r="196" spans="2:34" hidden="1" x14ac:dyDescent="0.25">
      <c r="B196" s="30" t="s">
        <v>114</v>
      </c>
      <c r="C196" s="31" t="s">
        <v>422</v>
      </c>
      <c r="D196" s="32" t="s">
        <v>104</v>
      </c>
      <c r="E196" s="32">
        <v>250</v>
      </c>
      <c r="F196" s="32" t="s">
        <v>22</v>
      </c>
      <c r="G196" s="32" t="s">
        <v>105</v>
      </c>
      <c r="H196" s="32" t="s">
        <v>15</v>
      </c>
      <c r="I196" s="32" t="s">
        <v>16</v>
      </c>
      <c r="J196" s="30" t="s">
        <v>25</v>
      </c>
      <c r="K196" s="33">
        <f>IFERROR(AVERAGEIFS('[1]Controle de Produção'!$E:$E,'[1]Controle de Produção'!$N:$N,E196,'[1]Controle de Produção'!$S:$S,J196,'[1]Controle de Produção'!$R:$R,I196),0)</f>
        <v>571.39859273161176</v>
      </c>
      <c r="L196" s="33">
        <f>IFERROR(AVERAGEIFS('[1]Controle de Produção'!$E:$E,'[1]Controle de Produção'!$S:$S,J196,'[1]Controle de Produção'!$R:$R,I196),0)</f>
        <v>571.39859273161176</v>
      </c>
      <c r="M196" s="34"/>
      <c r="N196" s="35"/>
      <c r="O196" s="30"/>
      <c r="P196" s="33"/>
      <c r="Q196" s="33"/>
      <c r="R196" s="36" t="b">
        <v>1</v>
      </c>
      <c r="S196" s="36" t="b">
        <v>0</v>
      </c>
      <c r="T196" s="36" t="b">
        <v>0</v>
      </c>
      <c r="U196" s="36" t="b">
        <v>0</v>
      </c>
      <c r="V196" s="36" t="b">
        <v>0</v>
      </c>
      <c r="W196" s="33" t="s">
        <v>953</v>
      </c>
      <c r="X196" s="37"/>
      <c r="Y196" s="43"/>
      <c r="Z196" s="37"/>
      <c r="AA196" s="37"/>
      <c r="AB196" s="37"/>
      <c r="AC196" s="37"/>
      <c r="AD196" s="37"/>
      <c r="AE196" s="37"/>
      <c r="AF196" s="37"/>
      <c r="AG196" s="37"/>
      <c r="AH196" s="32"/>
    </row>
    <row r="197" spans="2:34" hidden="1" x14ac:dyDescent="0.25">
      <c r="B197" s="30" t="s">
        <v>115</v>
      </c>
      <c r="C197" s="31" t="s">
        <v>116</v>
      </c>
      <c r="D197" s="32" t="s">
        <v>104</v>
      </c>
      <c r="E197" s="32">
        <v>250</v>
      </c>
      <c r="F197" s="32" t="s">
        <v>88</v>
      </c>
      <c r="G197" s="32" t="s">
        <v>105</v>
      </c>
      <c r="H197" s="32" t="s">
        <v>15</v>
      </c>
      <c r="I197" s="32" t="s">
        <v>117</v>
      </c>
      <c r="J197" s="30" t="s">
        <v>25</v>
      </c>
      <c r="K197" s="33">
        <f>IFERROR(AVERAGEIFS('[1]Controle de Produção'!$E:$E,'[1]Controle de Produção'!$N:$N,E197,'[1]Controle de Produção'!$S:$S,J197,'[1]Controle de Produção'!$R:$R,I197),0)</f>
        <v>860.16297133346836</v>
      </c>
      <c r="L197" s="33">
        <f>IFERROR(AVERAGEIFS('[1]Controle de Produção'!$E:$E,'[1]Controle de Produção'!$S:$S,J197,'[1]Controle de Produção'!$R:$R,I197),0)</f>
        <v>860.16297133346836</v>
      </c>
      <c r="M197" s="34"/>
      <c r="N197" s="35"/>
      <c r="O197" s="30"/>
      <c r="P197" s="33"/>
      <c r="Q197" s="33"/>
      <c r="R197" s="36" t="b">
        <v>1</v>
      </c>
      <c r="S197" s="36" t="b">
        <v>0</v>
      </c>
      <c r="T197" s="36" t="b">
        <v>0</v>
      </c>
      <c r="U197" s="36" t="b">
        <v>0</v>
      </c>
      <c r="V197" s="36" t="b">
        <v>0</v>
      </c>
      <c r="W197" s="33" t="s">
        <v>953</v>
      </c>
      <c r="X197" s="37"/>
      <c r="Y197" s="43"/>
      <c r="Z197" s="37"/>
      <c r="AA197" s="37"/>
      <c r="AB197" s="37"/>
      <c r="AC197" s="37"/>
      <c r="AD197" s="37"/>
      <c r="AE197" s="37"/>
      <c r="AF197" s="37"/>
      <c r="AG197" s="37"/>
      <c r="AH197" s="32"/>
    </row>
    <row r="198" spans="2:34" hidden="1" x14ac:dyDescent="0.25">
      <c r="B198" s="30" t="s">
        <v>118</v>
      </c>
      <c r="C198" s="31" t="s">
        <v>119</v>
      </c>
      <c r="D198" s="32" t="s">
        <v>104</v>
      </c>
      <c r="E198" s="32">
        <v>250</v>
      </c>
      <c r="F198" s="32" t="s">
        <v>88</v>
      </c>
      <c r="G198" s="32" t="s">
        <v>105</v>
      </c>
      <c r="H198" s="32" t="s">
        <v>15</v>
      </c>
      <c r="I198" s="32" t="s">
        <v>117</v>
      </c>
      <c r="J198" s="30" t="s">
        <v>25</v>
      </c>
      <c r="K198" s="33">
        <f>IFERROR(AVERAGEIFS('[1]Controle de Produção'!$E:$E,'[1]Controle de Produção'!$N:$N,E198,'[1]Controle de Produção'!$S:$S,J198,'[1]Controle de Produção'!$R:$R,I198),0)</f>
        <v>860.16297133346836</v>
      </c>
      <c r="L198" s="33">
        <f>IFERROR(AVERAGEIFS('[1]Controle de Produção'!$E:$E,'[1]Controle de Produção'!$S:$S,J198,'[1]Controle de Produção'!$R:$R,I198),0)</f>
        <v>860.16297133346836</v>
      </c>
      <c r="M198" s="34"/>
      <c r="N198" s="35"/>
      <c r="O198" s="30"/>
      <c r="P198" s="33"/>
      <c r="Q198" s="33"/>
      <c r="R198" s="36" t="b">
        <v>1</v>
      </c>
      <c r="S198" s="36" t="b">
        <v>0</v>
      </c>
      <c r="T198" s="36" t="b">
        <v>0</v>
      </c>
      <c r="U198" s="36" t="b">
        <v>0</v>
      </c>
      <c r="V198" s="36" t="b">
        <v>0</v>
      </c>
      <c r="W198" s="33" t="s">
        <v>953</v>
      </c>
      <c r="X198" s="37"/>
      <c r="Y198" s="43"/>
      <c r="Z198" s="37"/>
      <c r="AA198" s="37"/>
      <c r="AB198" s="37"/>
      <c r="AC198" s="37"/>
      <c r="AD198" s="37"/>
      <c r="AE198" s="37"/>
      <c r="AF198" s="37"/>
      <c r="AG198" s="37"/>
      <c r="AH198" s="32"/>
    </row>
    <row r="199" spans="2:34" hidden="1" x14ac:dyDescent="0.25">
      <c r="B199" s="30" t="s">
        <v>120</v>
      </c>
      <c r="C199" s="31" t="s">
        <v>121</v>
      </c>
      <c r="D199" s="32" t="s">
        <v>104</v>
      </c>
      <c r="E199" s="32">
        <v>250</v>
      </c>
      <c r="F199" s="32" t="s">
        <v>88</v>
      </c>
      <c r="G199" s="32" t="s">
        <v>105</v>
      </c>
      <c r="H199" s="32" t="s">
        <v>15</v>
      </c>
      <c r="I199" s="32" t="s">
        <v>117</v>
      </c>
      <c r="J199" s="30" t="s">
        <v>25</v>
      </c>
      <c r="K199" s="33">
        <f>IFERROR(AVERAGEIFS('[1]Controle de Produção'!$E:$E,'[1]Controle de Produção'!$N:$N,E199,'[1]Controle de Produção'!$S:$S,J199,'[1]Controle de Produção'!$R:$R,I199),0)</f>
        <v>860.16297133346836</v>
      </c>
      <c r="L199" s="33">
        <f>IFERROR(AVERAGEIFS('[1]Controle de Produção'!$E:$E,'[1]Controle de Produção'!$S:$S,J199,'[1]Controle de Produção'!$R:$R,I199),0)</f>
        <v>860.16297133346836</v>
      </c>
      <c r="M199" s="34"/>
      <c r="N199" s="35"/>
      <c r="O199" s="30"/>
      <c r="P199" s="33"/>
      <c r="Q199" s="33"/>
      <c r="R199" s="36" t="b">
        <v>1</v>
      </c>
      <c r="S199" s="36" t="b">
        <v>0</v>
      </c>
      <c r="T199" s="36" t="b">
        <v>0</v>
      </c>
      <c r="U199" s="36" t="b">
        <v>0</v>
      </c>
      <c r="V199" s="36" t="b">
        <v>0</v>
      </c>
      <c r="W199" s="33" t="s">
        <v>953</v>
      </c>
      <c r="X199" s="37"/>
      <c r="Y199" s="43"/>
      <c r="Z199" s="37"/>
      <c r="AA199" s="37"/>
      <c r="AB199" s="37"/>
      <c r="AC199" s="37"/>
      <c r="AD199" s="37"/>
      <c r="AE199" s="37"/>
      <c r="AF199" s="37"/>
      <c r="AG199" s="37"/>
      <c r="AH199" s="32"/>
    </row>
    <row r="200" spans="2:34" hidden="1" x14ac:dyDescent="0.25">
      <c r="B200" s="30" t="s">
        <v>122</v>
      </c>
      <c r="C200" s="31" t="s">
        <v>123</v>
      </c>
      <c r="D200" s="32" t="s">
        <v>104</v>
      </c>
      <c r="E200" s="32">
        <v>300</v>
      </c>
      <c r="F200" s="32" t="s">
        <v>22</v>
      </c>
      <c r="G200" s="32" t="s">
        <v>105</v>
      </c>
      <c r="H200" s="32" t="s">
        <v>15</v>
      </c>
      <c r="I200" s="32" t="s">
        <v>124</v>
      </c>
      <c r="J200" s="30" t="s">
        <v>12</v>
      </c>
      <c r="K200" s="33">
        <f>IFERROR(AVERAGEIFS('[1]Controle de Produção'!$E:$E,'[1]Controle de Produção'!$N:$N,E200,'[1]Controle de Produção'!$S:$S,J200,'[1]Controle de Produção'!$R:$R,I200),0)</f>
        <v>682.70218347916432</v>
      </c>
      <c r="L200" s="33">
        <f>IFERROR(AVERAGEIFS('[1]Controle de Produção'!$E:$E,'[1]Controle de Produção'!$S:$S,J200,'[1]Controle de Produção'!$R:$R,I200),0)</f>
        <v>682.70218347916432</v>
      </c>
      <c r="M200" s="34">
        <v>36</v>
      </c>
      <c r="N200" s="35"/>
      <c r="O200" s="30"/>
      <c r="P200" s="33"/>
      <c r="Q200" s="33"/>
      <c r="R200" s="36" t="b">
        <v>1</v>
      </c>
      <c r="S200" s="36" t="b">
        <v>0</v>
      </c>
      <c r="T200" s="36" t="b">
        <v>0</v>
      </c>
      <c r="U200" s="36" t="b">
        <v>0</v>
      </c>
      <c r="V200" s="36" t="b">
        <v>0</v>
      </c>
      <c r="W200" s="33" t="s">
        <v>953</v>
      </c>
      <c r="X200" s="37"/>
      <c r="Y200" s="43"/>
      <c r="Z200" s="37"/>
      <c r="AA200" s="37"/>
      <c r="AB200" s="37"/>
      <c r="AC200" s="37"/>
      <c r="AD200" s="37"/>
      <c r="AE200" s="37"/>
      <c r="AF200" s="37"/>
      <c r="AG200" s="37"/>
      <c r="AH200" s="32"/>
    </row>
    <row r="201" spans="2:34" hidden="1" x14ac:dyDescent="0.25">
      <c r="B201" s="30" t="s">
        <v>125</v>
      </c>
      <c r="C201" s="31" t="s">
        <v>126</v>
      </c>
      <c r="D201" s="32" t="s">
        <v>104</v>
      </c>
      <c r="E201" s="32">
        <v>300</v>
      </c>
      <c r="F201" s="32" t="s">
        <v>22</v>
      </c>
      <c r="G201" s="32" t="s">
        <v>105</v>
      </c>
      <c r="H201" s="32" t="s">
        <v>15</v>
      </c>
      <c r="I201" s="32" t="s">
        <v>124</v>
      </c>
      <c r="J201" s="30" t="s">
        <v>12</v>
      </c>
      <c r="K201" s="33">
        <f>IFERROR(AVERAGEIFS('[1]Controle de Produção'!$E:$E,'[1]Controle de Produção'!$N:$N,E201,'[1]Controle de Produção'!$S:$S,J201,'[1]Controle de Produção'!$R:$R,I201),0)</f>
        <v>682.70218347916432</v>
      </c>
      <c r="L201" s="33">
        <f>IFERROR(AVERAGEIFS('[1]Controle de Produção'!$E:$E,'[1]Controle de Produção'!$S:$S,J201,'[1]Controle de Produção'!$R:$R,I201),0)</f>
        <v>682.70218347916432</v>
      </c>
      <c r="M201" s="34">
        <v>36</v>
      </c>
      <c r="N201" s="35"/>
      <c r="O201" s="30"/>
      <c r="P201" s="33"/>
      <c r="Q201" s="33"/>
      <c r="R201" s="36" t="b">
        <v>1</v>
      </c>
      <c r="S201" s="36" t="b">
        <v>0</v>
      </c>
      <c r="T201" s="36" t="b">
        <v>0</v>
      </c>
      <c r="U201" s="36" t="b">
        <v>0</v>
      </c>
      <c r="V201" s="36" t="b">
        <v>0</v>
      </c>
      <c r="W201" s="33" t="s">
        <v>953</v>
      </c>
      <c r="X201" s="37"/>
      <c r="Y201" s="43"/>
      <c r="Z201" s="37"/>
      <c r="AA201" s="37"/>
      <c r="AB201" s="37"/>
      <c r="AC201" s="37"/>
      <c r="AD201" s="37"/>
      <c r="AE201" s="37"/>
      <c r="AF201" s="37"/>
      <c r="AG201" s="37"/>
      <c r="AH201" s="32"/>
    </row>
    <row r="202" spans="2:34" hidden="1" x14ac:dyDescent="0.25">
      <c r="B202" s="30" t="s">
        <v>419</v>
      </c>
      <c r="C202" s="31" t="s">
        <v>127</v>
      </c>
      <c r="D202" s="32" t="s">
        <v>104</v>
      </c>
      <c r="E202" s="32">
        <v>300</v>
      </c>
      <c r="F202" s="32" t="s">
        <v>22</v>
      </c>
      <c r="G202" s="32" t="s">
        <v>105</v>
      </c>
      <c r="H202" s="32" t="s">
        <v>15</v>
      </c>
      <c r="I202" s="32" t="s">
        <v>124</v>
      </c>
      <c r="J202" s="30" t="s">
        <v>12</v>
      </c>
      <c r="K202" s="33">
        <f>IFERROR(AVERAGEIFS('[1]Controle de Produção'!$E:$E,'[1]Controle de Produção'!$N:$N,E202,'[1]Controle de Produção'!$S:$S,J202,'[1]Controle de Produção'!$R:$R,I202),0)</f>
        <v>682.70218347916432</v>
      </c>
      <c r="L202" s="33">
        <f>IFERROR(AVERAGEIFS('[1]Controle de Produção'!$E:$E,'[1]Controle de Produção'!$S:$S,J202,'[1]Controle de Produção'!$R:$R,I202),0)</f>
        <v>682.70218347916432</v>
      </c>
      <c r="M202" s="34">
        <v>36</v>
      </c>
      <c r="N202" s="35"/>
      <c r="O202" s="30"/>
      <c r="P202" s="33"/>
      <c r="Q202" s="33"/>
      <c r="R202" s="36" t="b">
        <v>1</v>
      </c>
      <c r="S202" s="36" t="b">
        <v>0</v>
      </c>
      <c r="T202" s="36" t="b">
        <v>0</v>
      </c>
      <c r="U202" s="36" t="b">
        <v>0</v>
      </c>
      <c r="V202" s="36" t="b">
        <v>0</v>
      </c>
      <c r="W202" s="33" t="s">
        <v>953</v>
      </c>
      <c r="X202" s="37"/>
      <c r="Y202" s="43"/>
      <c r="Z202" s="37"/>
      <c r="AA202" s="37"/>
      <c r="AB202" s="37"/>
      <c r="AC202" s="37"/>
      <c r="AD202" s="37"/>
      <c r="AE202" s="37"/>
      <c r="AF202" s="37"/>
      <c r="AG202" s="37"/>
      <c r="AH202" s="32"/>
    </row>
    <row r="203" spans="2:34" hidden="1" x14ac:dyDescent="0.25">
      <c r="B203" s="30" t="s">
        <v>128</v>
      </c>
      <c r="C203" s="31" t="s">
        <v>129</v>
      </c>
      <c r="D203" s="32" t="s">
        <v>130</v>
      </c>
      <c r="E203" s="30">
        <v>200</v>
      </c>
      <c r="F203" s="30" t="s">
        <v>22</v>
      </c>
      <c r="G203" s="32" t="s">
        <v>105</v>
      </c>
      <c r="H203" s="32" t="s">
        <v>50</v>
      </c>
      <c r="I203" s="32" t="s">
        <v>62</v>
      </c>
      <c r="J203" s="30" t="s">
        <v>18</v>
      </c>
      <c r="K203" s="33">
        <f>IFERROR(AVERAGEIFS('[1]Controle de Produção'!$E:$E,'[1]Controle de Produção'!$N:$N,E203,'[1]Controle de Produção'!$S:$S,J203,'[1]Controle de Produção'!$R:$R,I203),0)</f>
        <v>936.45348453259976</v>
      </c>
      <c r="L203" s="33">
        <f>IFERROR(AVERAGEIFS('[1]Controle de Produção'!$E:$E,'[1]Controle de Produção'!$S:$S,J203,'[1]Controle de Produção'!$R:$R,I203),0)</f>
        <v>843.58780095852239</v>
      </c>
      <c r="M203" s="34">
        <v>48</v>
      </c>
      <c r="N203" s="35"/>
      <c r="O203" s="30"/>
      <c r="P203" s="33"/>
      <c r="Q203" s="33"/>
      <c r="R203" s="36" t="b">
        <v>1</v>
      </c>
      <c r="S203" s="36" t="b">
        <v>0</v>
      </c>
      <c r="T203" s="36" t="b">
        <v>0</v>
      </c>
      <c r="U203" s="36" t="b">
        <v>0</v>
      </c>
      <c r="V203" s="36" t="b">
        <v>0</v>
      </c>
      <c r="W203" s="33" t="s">
        <v>953</v>
      </c>
      <c r="X203" s="37"/>
      <c r="Y203" s="43"/>
      <c r="Z203" s="37"/>
      <c r="AA203" s="37"/>
      <c r="AB203" s="37"/>
      <c r="AC203" s="37"/>
      <c r="AD203" s="37"/>
      <c r="AE203" s="37"/>
      <c r="AF203" s="37"/>
      <c r="AG203" s="37"/>
      <c r="AH203" s="32"/>
    </row>
    <row r="204" spans="2:34" hidden="1" x14ac:dyDescent="0.25">
      <c r="B204" s="30" t="s">
        <v>131</v>
      </c>
      <c r="C204" s="31" t="s">
        <v>132</v>
      </c>
      <c r="D204" s="32" t="s">
        <v>130</v>
      </c>
      <c r="E204" s="30">
        <v>200</v>
      </c>
      <c r="F204" s="30" t="s">
        <v>22</v>
      </c>
      <c r="G204" s="32" t="s">
        <v>105</v>
      </c>
      <c r="H204" s="32" t="s">
        <v>50</v>
      </c>
      <c r="I204" s="32" t="s">
        <v>62</v>
      </c>
      <c r="J204" s="30" t="s">
        <v>18</v>
      </c>
      <c r="K204" s="33">
        <f>IFERROR(AVERAGEIFS('[1]Controle de Produção'!$E:$E,'[1]Controle de Produção'!$N:$N,E204,'[1]Controle de Produção'!$S:$S,J204,'[1]Controle de Produção'!$R:$R,I204),0)</f>
        <v>936.45348453259976</v>
      </c>
      <c r="L204" s="33">
        <f>IFERROR(AVERAGEIFS('[1]Controle de Produção'!$E:$E,'[1]Controle de Produção'!$S:$S,J204,'[1]Controle de Produção'!$R:$R,I204),0)</f>
        <v>843.58780095852239</v>
      </c>
      <c r="M204" s="34">
        <v>48</v>
      </c>
      <c r="N204" s="35"/>
      <c r="O204" s="30"/>
      <c r="P204" s="33"/>
      <c r="Q204" s="33"/>
      <c r="R204" s="36" t="b">
        <v>1</v>
      </c>
      <c r="S204" s="36" t="b">
        <v>0</v>
      </c>
      <c r="T204" s="36" t="b">
        <v>0</v>
      </c>
      <c r="U204" s="36" t="b">
        <v>0</v>
      </c>
      <c r="V204" s="36" t="b">
        <v>0</v>
      </c>
      <c r="W204" s="33" t="s">
        <v>953</v>
      </c>
      <c r="X204" s="37"/>
      <c r="Y204" s="43"/>
      <c r="Z204" s="37"/>
      <c r="AA204" s="37"/>
      <c r="AB204" s="37"/>
      <c r="AC204" s="37"/>
      <c r="AD204" s="37"/>
      <c r="AE204" s="37"/>
      <c r="AF204" s="37"/>
      <c r="AG204" s="37"/>
      <c r="AH204" s="32"/>
    </row>
    <row r="205" spans="2:34" hidden="1" x14ac:dyDescent="0.25">
      <c r="B205" s="30" t="s">
        <v>133</v>
      </c>
      <c r="C205" s="31" t="s">
        <v>134</v>
      </c>
      <c r="D205" s="32" t="s">
        <v>130</v>
      </c>
      <c r="E205" s="30">
        <v>200</v>
      </c>
      <c r="F205" s="30" t="s">
        <v>22</v>
      </c>
      <c r="G205" s="32" t="s">
        <v>105</v>
      </c>
      <c r="H205" s="32" t="s">
        <v>50</v>
      </c>
      <c r="I205" s="32" t="s">
        <v>62</v>
      </c>
      <c r="J205" s="30" t="s">
        <v>18</v>
      </c>
      <c r="K205" s="33">
        <f>IFERROR(AVERAGEIFS('[1]Controle de Produção'!$E:$E,'[1]Controle de Produção'!$N:$N,E205,'[1]Controle de Produção'!$S:$S,J205,'[1]Controle de Produção'!$R:$R,I205),0)</f>
        <v>936.45348453259976</v>
      </c>
      <c r="L205" s="33">
        <f>IFERROR(AVERAGEIFS('[1]Controle de Produção'!$E:$E,'[1]Controle de Produção'!$S:$S,J205,'[1]Controle de Produção'!$R:$R,I205),0)</f>
        <v>843.58780095852239</v>
      </c>
      <c r="M205" s="34">
        <v>48</v>
      </c>
      <c r="N205" s="35"/>
      <c r="O205" s="30"/>
      <c r="P205" s="33"/>
      <c r="Q205" s="33"/>
      <c r="R205" s="36" t="b">
        <v>1</v>
      </c>
      <c r="S205" s="36" t="b">
        <v>0</v>
      </c>
      <c r="T205" s="36" t="b">
        <v>0</v>
      </c>
      <c r="U205" s="36" t="b">
        <v>0</v>
      </c>
      <c r="V205" s="36" t="b">
        <v>0</v>
      </c>
      <c r="W205" s="33" t="s">
        <v>953</v>
      </c>
      <c r="X205" s="37"/>
      <c r="Y205" s="43"/>
      <c r="Z205" s="37"/>
      <c r="AA205" s="37"/>
      <c r="AB205" s="37"/>
      <c r="AC205" s="37"/>
      <c r="AD205" s="37"/>
      <c r="AE205" s="37"/>
      <c r="AF205" s="37"/>
      <c r="AG205" s="37"/>
      <c r="AH205" s="32"/>
    </row>
    <row r="206" spans="2:34" hidden="1" x14ac:dyDescent="0.25">
      <c r="B206" s="30" t="s">
        <v>135</v>
      </c>
      <c r="C206" s="31" t="s">
        <v>136</v>
      </c>
      <c r="D206" s="32" t="s">
        <v>130</v>
      </c>
      <c r="E206" s="30">
        <v>200</v>
      </c>
      <c r="F206" s="30" t="s">
        <v>22</v>
      </c>
      <c r="G206" s="32" t="s">
        <v>105</v>
      </c>
      <c r="H206" s="32" t="s">
        <v>50</v>
      </c>
      <c r="I206" s="32" t="s">
        <v>62</v>
      </c>
      <c r="J206" s="30" t="s">
        <v>18</v>
      </c>
      <c r="K206" s="33">
        <f>IFERROR(AVERAGEIFS('[1]Controle de Produção'!$E:$E,'[1]Controle de Produção'!$N:$N,E206,'[1]Controle de Produção'!$S:$S,J206,'[1]Controle de Produção'!$R:$R,I206),0)</f>
        <v>936.45348453259976</v>
      </c>
      <c r="L206" s="33">
        <f>IFERROR(AVERAGEIFS('[1]Controle de Produção'!$E:$E,'[1]Controle de Produção'!$S:$S,J206,'[1]Controle de Produção'!$R:$R,I206),0)</f>
        <v>843.58780095852239</v>
      </c>
      <c r="M206" s="34">
        <v>48</v>
      </c>
      <c r="N206" s="35"/>
      <c r="O206" s="30"/>
      <c r="P206" s="33"/>
      <c r="Q206" s="33"/>
      <c r="R206" s="36" t="b">
        <v>1</v>
      </c>
      <c r="S206" s="36" t="b">
        <v>0</v>
      </c>
      <c r="T206" s="36" t="b">
        <v>0</v>
      </c>
      <c r="U206" s="36" t="b">
        <v>0</v>
      </c>
      <c r="V206" s="36" t="b">
        <v>0</v>
      </c>
      <c r="W206" s="33" t="s">
        <v>953</v>
      </c>
      <c r="X206" s="37"/>
      <c r="Y206" s="43"/>
      <c r="Z206" s="37"/>
      <c r="AA206" s="37"/>
      <c r="AB206" s="37"/>
      <c r="AC206" s="37"/>
      <c r="AD206" s="37"/>
      <c r="AE206" s="37"/>
      <c r="AF206" s="37"/>
      <c r="AG206" s="37"/>
      <c r="AH206" s="32"/>
    </row>
    <row r="207" spans="2:34" hidden="1" x14ac:dyDescent="0.25">
      <c r="B207" s="30" t="s">
        <v>137</v>
      </c>
      <c r="C207" s="31" t="s">
        <v>138</v>
      </c>
      <c r="D207" s="32" t="s">
        <v>130</v>
      </c>
      <c r="E207" s="30">
        <v>200</v>
      </c>
      <c r="F207" s="30" t="s">
        <v>22</v>
      </c>
      <c r="G207" s="32" t="s">
        <v>105</v>
      </c>
      <c r="H207" s="32" t="s">
        <v>50</v>
      </c>
      <c r="I207" s="32" t="s">
        <v>62</v>
      </c>
      <c r="J207" s="30" t="s">
        <v>18</v>
      </c>
      <c r="K207" s="33">
        <f>IFERROR(AVERAGEIFS('[1]Controle de Produção'!$E:$E,'[1]Controle de Produção'!$N:$N,E207,'[1]Controle de Produção'!$S:$S,J207,'[1]Controle de Produção'!$R:$R,I207),0)</f>
        <v>936.45348453259976</v>
      </c>
      <c r="L207" s="33">
        <f>IFERROR(AVERAGEIFS('[1]Controle de Produção'!$E:$E,'[1]Controle de Produção'!$S:$S,J207,'[1]Controle de Produção'!$R:$R,I207),0)</f>
        <v>843.58780095852239</v>
      </c>
      <c r="M207" s="34">
        <v>48</v>
      </c>
      <c r="N207" s="35"/>
      <c r="O207" s="30"/>
      <c r="P207" s="33"/>
      <c r="Q207" s="33"/>
      <c r="R207" s="36" t="b">
        <v>1</v>
      </c>
      <c r="S207" s="36" t="b">
        <v>0</v>
      </c>
      <c r="T207" s="36" t="b">
        <v>0</v>
      </c>
      <c r="U207" s="36" t="b">
        <v>0</v>
      </c>
      <c r="V207" s="36" t="b">
        <v>0</v>
      </c>
      <c r="W207" s="33" t="s">
        <v>953</v>
      </c>
      <c r="X207" s="37"/>
      <c r="Y207" s="43"/>
      <c r="Z207" s="37"/>
      <c r="AA207" s="37"/>
      <c r="AB207" s="37"/>
      <c r="AC207" s="37"/>
      <c r="AD207" s="37"/>
      <c r="AE207" s="37"/>
      <c r="AF207" s="37"/>
      <c r="AG207" s="37"/>
      <c r="AH207" s="32"/>
    </row>
    <row r="208" spans="2:34" hidden="1" x14ac:dyDescent="0.25">
      <c r="B208" s="30" t="s">
        <v>139</v>
      </c>
      <c r="C208" s="31" t="s">
        <v>140</v>
      </c>
      <c r="D208" s="32" t="s">
        <v>130</v>
      </c>
      <c r="E208" s="30">
        <v>200</v>
      </c>
      <c r="F208" s="30" t="s">
        <v>22</v>
      </c>
      <c r="G208" s="32" t="s">
        <v>105</v>
      </c>
      <c r="H208" s="32" t="s">
        <v>50</v>
      </c>
      <c r="I208" s="32" t="s">
        <v>62</v>
      </c>
      <c r="J208" s="30" t="s">
        <v>18</v>
      </c>
      <c r="K208" s="33">
        <f>IFERROR(AVERAGEIFS('[1]Controle de Produção'!$E:$E,'[1]Controle de Produção'!$N:$N,E208,'[1]Controle de Produção'!$S:$S,J208,'[1]Controle de Produção'!$R:$R,I208),0)</f>
        <v>936.45348453259976</v>
      </c>
      <c r="L208" s="33">
        <f>IFERROR(AVERAGEIFS('[1]Controle de Produção'!$E:$E,'[1]Controle de Produção'!$S:$S,J208,'[1]Controle de Produção'!$R:$R,I208),0)</f>
        <v>843.58780095852239</v>
      </c>
      <c r="M208" s="34">
        <v>48</v>
      </c>
      <c r="N208" s="35"/>
      <c r="O208" s="30"/>
      <c r="P208" s="33"/>
      <c r="Q208" s="33"/>
      <c r="R208" s="36" t="b">
        <v>1</v>
      </c>
      <c r="S208" s="36" t="b">
        <v>0</v>
      </c>
      <c r="T208" s="36" t="b">
        <v>0</v>
      </c>
      <c r="U208" s="36" t="b">
        <v>0</v>
      </c>
      <c r="V208" s="36" t="b">
        <v>0</v>
      </c>
      <c r="W208" s="33" t="s">
        <v>953</v>
      </c>
      <c r="X208" s="37"/>
      <c r="Y208" s="43"/>
      <c r="Z208" s="37"/>
      <c r="AA208" s="37"/>
      <c r="AB208" s="37"/>
      <c r="AC208" s="37"/>
      <c r="AD208" s="37"/>
      <c r="AE208" s="37"/>
      <c r="AF208" s="37"/>
      <c r="AG208" s="37"/>
      <c r="AH208" s="32"/>
    </row>
    <row r="209" spans="2:34" hidden="1" x14ac:dyDescent="0.25">
      <c r="B209" s="30" t="s">
        <v>141</v>
      </c>
      <c r="C209" s="31" t="s">
        <v>142</v>
      </c>
      <c r="D209" s="32" t="s">
        <v>130</v>
      </c>
      <c r="E209" s="30">
        <v>200</v>
      </c>
      <c r="F209" s="30" t="s">
        <v>22</v>
      </c>
      <c r="G209" s="32" t="s">
        <v>105</v>
      </c>
      <c r="H209" s="32" t="s">
        <v>50</v>
      </c>
      <c r="I209" s="32" t="s">
        <v>62</v>
      </c>
      <c r="J209" s="30" t="s">
        <v>18</v>
      </c>
      <c r="K209" s="33">
        <f>IFERROR(AVERAGEIFS('[1]Controle de Produção'!$E:$E,'[1]Controle de Produção'!$N:$N,E209,'[1]Controle de Produção'!$S:$S,J209,'[1]Controle de Produção'!$R:$R,I209),0)</f>
        <v>936.45348453259976</v>
      </c>
      <c r="L209" s="33">
        <f>IFERROR(AVERAGEIFS('[1]Controle de Produção'!$E:$E,'[1]Controle de Produção'!$S:$S,J209,'[1]Controle de Produção'!$R:$R,I209),0)</f>
        <v>843.58780095852239</v>
      </c>
      <c r="M209" s="34">
        <v>48</v>
      </c>
      <c r="N209" s="35"/>
      <c r="O209" s="30"/>
      <c r="P209" s="33"/>
      <c r="Q209" s="33"/>
      <c r="R209" s="36" t="b">
        <v>0</v>
      </c>
      <c r="S209" s="36" t="b">
        <v>0</v>
      </c>
      <c r="T209" s="36" t="b">
        <v>0</v>
      </c>
      <c r="U209" s="36" t="b">
        <v>0</v>
      </c>
      <c r="V209" s="36" t="b">
        <v>0</v>
      </c>
      <c r="W209" s="33" t="s">
        <v>953</v>
      </c>
      <c r="X209" s="37"/>
      <c r="Y209" s="43"/>
      <c r="Z209" s="37"/>
      <c r="AA209" s="37"/>
      <c r="AB209" s="37"/>
      <c r="AC209" s="37"/>
      <c r="AD209" s="37"/>
      <c r="AE209" s="37"/>
      <c r="AF209" s="37"/>
      <c r="AG209" s="37"/>
      <c r="AH209" s="32"/>
    </row>
    <row r="210" spans="2:34" hidden="1" x14ac:dyDescent="0.25">
      <c r="B210" s="30" t="s">
        <v>738</v>
      </c>
      <c r="C210" s="31" t="s">
        <v>17</v>
      </c>
      <c r="D210" s="32" t="s">
        <v>737</v>
      </c>
      <c r="E210" s="30">
        <v>150</v>
      </c>
      <c r="F210" s="30" t="s">
        <v>22</v>
      </c>
      <c r="G210" s="32" t="s">
        <v>736</v>
      </c>
      <c r="H210" s="32" t="s">
        <v>10</v>
      </c>
      <c r="I210" s="32" t="s">
        <v>1203</v>
      </c>
      <c r="J210" s="30" t="s">
        <v>500</v>
      </c>
      <c r="K210" s="33">
        <f>IFERROR(AVERAGEIFS('[1]Controle de Produção'!$E:$E,'[1]Controle de Produção'!$N:$N,E210,'[1]Controle de Produção'!$S:$S,J210,'[1]Controle de Produção'!$R:$R,I210),0)</f>
        <v>635.22144280095847</v>
      </c>
      <c r="L210" s="33">
        <f>IFERROR(AVERAGEIFS('[1]Controle de Produção'!$E:$E,'[1]Controle de Produção'!$S:$S,J210,'[1]Controle de Produção'!$R:$R,I210),0)</f>
        <v>635.22144280095847</v>
      </c>
      <c r="M210" s="34">
        <v>72</v>
      </c>
      <c r="N210" s="35"/>
      <c r="O210" s="30"/>
      <c r="P210" s="33"/>
      <c r="Q210" s="33"/>
      <c r="R210" s="36" t="b">
        <v>0</v>
      </c>
      <c r="S210" s="36" t="b">
        <v>0</v>
      </c>
      <c r="T210" s="36" t="b">
        <v>0</v>
      </c>
      <c r="U210" s="36" t="b">
        <v>0</v>
      </c>
      <c r="V210" s="36" t="b">
        <v>0</v>
      </c>
      <c r="W210" s="33" t="s">
        <v>954</v>
      </c>
      <c r="X210" s="37"/>
      <c r="Y210" s="43">
        <v>1</v>
      </c>
      <c r="Z210" s="37"/>
      <c r="AA210" s="37"/>
      <c r="AB210" s="37"/>
      <c r="AC210" s="37"/>
      <c r="AD210" s="37"/>
      <c r="AE210" s="37"/>
      <c r="AF210" s="37"/>
      <c r="AG210" s="37"/>
      <c r="AH210" s="32" t="s">
        <v>741</v>
      </c>
    </row>
    <row r="211" spans="2:34" hidden="1" x14ac:dyDescent="0.25">
      <c r="B211" s="30" t="s">
        <v>739</v>
      </c>
      <c r="C211" s="31" t="s">
        <v>740</v>
      </c>
      <c r="D211" s="32" t="s">
        <v>737</v>
      </c>
      <c r="E211" s="30">
        <v>150</v>
      </c>
      <c r="F211" s="30" t="s">
        <v>22</v>
      </c>
      <c r="G211" s="32" t="s">
        <v>736</v>
      </c>
      <c r="H211" s="32" t="s">
        <v>10</v>
      </c>
      <c r="I211" s="32" t="s">
        <v>1203</v>
      </c>
      <c r="J211" s="30" t="s">
        <v>500</v>
      </c>
      <c r="K211" s="33">
        <f>IFERROR(AVERAGEIFS('[1]Controle de Produção'!$E:$E,'[1]Controle de Produção'!$N:$N,E211,'[1]Controle de Produção'!$S:$S,J211,'[1]Controle de Produção'!$R:$R,I211),0)</f>
        <v>635.22144280095847</v>
      </c>
      <c r="L211" s="33">
        <f>IFERROR(AVERAGEIFS('[1]Controle de Produção'!$E:$E,'[1]Controle de Produção'!$S:$S,J211,'[1]Controle de Produção'!$R:$R,I211),0)</f>
        <v>635.22144280095847</v>
      </c>
      <c r="M211" s="34">
        <v>72</v>
      </c>
      <c r="N211" s="35"/>
      <c r="O211" s="30"/>
      <c r="P211" s="33"/>
      <c r="Q211" s="33"/>
      <c r="R211" s="36" t="b">
        <v>0</v>
      </c>
      <c r="S211" s="36" t="b">
        <v>0</v>
      </c>
      <c r="T211" s="36" t="b">
        <v>0</v>
      </c>
      <c r="U211" s="36" t="b">
        <v>0</v>
      </c>
      <c r="V211" s="36" t="b">
        <v>0</v>
      </c>
      <c r="W211" s="33" t="s">
        <v>954</v>
      </c>
      <c r="X211" s="37"/>
      <c r="Y211" s="43">
        <v>1</v>
      </c>
      <c r="Z211" s="37"/>
      <c r="AA211" s="37"/>
      <c r="AB211" s="37"/>
      <c r="AC211" s="37"/>
      <c r="AD211" s="37"/>
      <c r="AE211" s="37"/>
      <c r="AF211" s="37"/>
      <c r="AG211" s="37"/>
      <c r="AH211" s="32" t="s">
        <v>741</v>
      </c>
    </row>
    <row r="212" spans="2:34" hidden="1" x14ac:dyDescent="0.25">
      <c r="B212" s="30" t="s">
        <v>143</v>
      </c>
      <c r="C212" s="31" t="s">
        <v>144</v>
      </c>
      <c r="D212" s="32" t="s">
        <v>145</v>
      </c>
      <c r="E212" s="32">
        <v>50</v>
      </c>
      <c r="F212" s="32" t="s">
        <v>22</v>
      </c>
      <c r="G212" s="32" t="s">
        <v>146</v>
      </c>
      <c r="H212" s="32" t="s">
        <v>50</v>
      </c>
      <c r="I212" s="32" t="s">
        <v>147</v>
      </c>
      <c r="J212" s="30" t="s">
        <v>18</v>
      </c>
      <c r="K212" s="33">
        <f>IFERROR(AVERAGEIFS('[1]Controle de Produção'!$E:$E,'[1]Controle de Produção'!$N:$N,E212,'[1]Controle de Produção'!$S:$S,J212,'[1]Controle de Produção'!$R:$R,I212),0)</f>
        <v>149.54331583814363</v>
      </c>
      <c r="L212" s="33">
        <f>IFERROR(AVERAGEIFS('[1]Controle de Produção'!$E:$E,'[1]Controle de Produção'!$S:$S,J212,'[1]Controle de Produção'!$R:$R,I212),0)</f>
        <v>175.26407181919058</v>
      </c>
      <c r="M212" s="34"/>
      <c r="N212" s="35"/>
      <c r="O212" s="30"/>
      <c r="P212" s="33"/>
      <c r="Q212" s="33"/>
      <c r="R212" s="36" t="b">
        <v>1</v>
      </c>
      <c r="S212" s="36" t="b">
        <v>0</v>
      </c>
      <c r="T212" s="36" t="b">
        <v>0</v>
      </c>
      <c r="U212" s="36" t="b">
        <v>0</v>
      </c>
      <c r="V212" s="36" t="b">
        <v>0</v>
      </c>
      <c r="W212" s="33" t="s">
        <v>954</v>
      </c>
      <c r="X212" s="37"/>
      <c r="Y212" s="43"/>
      <c r="Z212" s="37"/>
      <c r="AA212" s="37"/>
      <c r="AB212" s="37"/>
      <c r="AC212" s="37"/>
      <c r="AD212" s="37"/>
      <c r="AE212" s="37"/>
      <c r="AF212" s="37"/>
      <c r="AG212" s="37"/>
      <c r="AH212" s="32"/>
    </row>
    <row r="213" spans="2:34" hidden="1" x14ac:dyDescent="0.25">
      <c r="B213" s="30" t="s">
        <v>148</v>
      </c>
      <c r="C213" s="31" t="s">
        <v>149</v>
      </c>
      <c r="D213" s="32" t="s">
        <v>145</v>
      </c>
      <c r="E213" s="32">
        <v>50</v>
      </c>
      <c r="F213" s="32" t="s">
        <v>22</v>
      </c>
      <c r="G213" s="32" t="s">
        <v>146</v>
      </c>
      <c r="H213" s="32" t="s">
        <v>50</v>
      </c>
      <c r="I213" s="32" t="s">
        <v>147</v>
      </c>
      <c r="J213" s="30" t="s">
        <v>18</v>
      </c>
      <c r="K213" s="33">
        <f>IFERROR(AVERAGEIFS('[1]Controle de Produção'!$E:$E,'[1]Controle de Produção'!$N:$N,E213,'[1]Controle de Produção'!$S:$S,J213,'[1]Controle de Produção'!$R:$R,I213),0)</f>
        <v>149.54331583814363</v>
      </c>
      <c r="L213" s="33">
        <f>IFERROR(AVERAGEIFS('[1]Controle de Produção'!$E:$E,'[1]Controle de Produção'!$S:$S,J213,'[1]Controle de Produção'!$R:$R,I213),0)</f>
        <v>175.26407181919058</v>
      </c>
      <c r="M213" s="34"/>
      <c r="N213" s="35"/>
      <c r="O213" s="30"/>
      <c r="P213" s="33"/>
      <c r="Q213" s="33"/>
      <c r="R213" s="36" t="b">
        <v>1</v>
      </c>
      <c r="S213" s="36" t="b">
        <v>0</v>
      </c>
      <c r="T213" s="36" t="b">
        <v>0</v>
      </c>
      <c r="U213" s="36" t="b">
        <v>0</v>
      </c>
      <c r="V213" s="36" t="b">
        <v>0</v>
      </c>
      <c r="W213" s="33" t="s">
        <v>954</v>
      </c>
      <c r="X213" s="37"/>
      <c r="Y213" s="43"/>
      <c r="Z213" s="37"/>
      <c r="AA213" s="37"/>
      <c r="AB213" s="37"/>
      <c r="AC213" s="37"/>
      <c r="AD213" s="37"/>
      <c r="AE213" s="37"/>
      <c r="AF213" s="37"/>
      <c r="AG213" s="37"/>
      <c r="AH213" s="32"/>
    </row>
    <row r="214" spans="2:34" hidden="1" x14ac:dyDescent="0.25">
      <c r="B214" s="30" t="s">
        <v>150</v>
      </c>
      <c r="C214" s="31" t="s">
        <v>151</v>
      </c>
      <c r="D214" s="32" t="s">
        <v>145</v>
      </c>
      <c r="E214" s="32">
        <v>50</v>
      </c>
      <c r="F214" s="32" t="s">
        <v>22</v>
      </c>
      <c r="G214" s="32" t="s">
        <v>146</v>
      </c>
      <c r="H214" s="32" t="s">
        <v>50</v>
      </c>
      <c r="I214" s="32" t="s">
        <v>147</v>
      </c>
      <c r="J214" s="30" t="s">
        <v>18</v>
      </c>
      <c r="K214" s="33">
        <f>IFERROR(AVERAGEIFS('[1]Controle de Produção'!$E:$E,'[1]Controle de Produção'!$N:$N,E214,'[1]Controle de Produção'!$S:$S,J214,'[1]Controle de Produção'!$R:$R,I214),0)</f>
        <v>149.54331583814363</v>
      </c>
      <c r="L214" s="33">
        <f>IFERROR(AVERAGEIFS('[1]Controle de Produção'!$E:$E,'[1]Controle de Produção'!$S:$S,J214,'[1]Controle de Produção'!$R:$R,I214),0)</f>
        <v>175.26407181919058</v>
      </c>
      <c r="M214" s="34"/>
      <c r="N214" s="35"/>
      <c r="O214" s="30"/>
      <c r="P214" s="33"/>
      <c r="Q214" s="33"/>
      <c r="R214" s="36" t="b">
        <v>1</v>
      </c>
      <c r="S214" s="36" t="b">
        <v>0</v>
      </c>
      <c r="T214" s="36" t="b">
        <v>0</v>
      </c>
      <c r="U214" s="36" t="b">
        <v>0</v>
      </c>
      <c r="V214" s="36" t="b">
        <v>0</v>
      </c>
      <c r="W214" s="33" t="s">
        <v>954</v>
      </c>
      <c r="X214" s="37"/>
      <c r="Y214" s="43"/>
      <c r="Z214" s="37"/>
      <c r="AA214" s="37"/>
      <c r="AB214" s="37"/>
      <c r="AC214" s="37"/>
      <c r="AD214" s="37"/>
      <c r="AE214" s="37"/>
      <c r="AF214" s="37"/>
      <c r="AG214" s="37"/>
      <c r="AH214" s="32"/>
    </row>
    <row r="215" spans="2:34" hidden="1" x14ac:dyDescent="0.25">
      <c r="B215" s="30" t="s">
        <v>152</v>
      </c>
      <c r="C215" s="31" t="s">
        <v>153</v>
      </c>
      <c r="D215" s="32" t="s">
        <v>145</v>
      </c>
      <c r="E215" s="32">
        <v>50</v>
      </c>
      <c r="F215" s="32" t="s">
        <v>22</v>
      </c>
      <c r="G215" s="32" t="s">
        <v>146</v>
      </c>
      <c r="H215" s="32" t="s">
        <v>50</v>
      </c>
      <c r="I215" s="32" t="s">
        <v>147</v>
      </c>
      <c r="J215" s="30" t="s">
        <v>18</v>
      </c>
      <c r="K215" s="33">
        <f>IFERROR(AVERAGEIFS('[1]Controle de Produção'!$E:$E,'[1]Controle de Produção'!$N:$N,E215,'[1]Controle de Produção'!$S:$S,J215,'[1]Controle de Produção'!$R:$R,I215),0)</f>
        <v>149.54331583814363</v>
      </c>
      <c r="L215" s="33">
        <f>IFERROR(AVERAGEIFS('[1]Controle de Produção'!$E:$E,'[1]Controle de Produção'!$S:$S,J215,'[1]Controle de Produção'!$R:$R,I215),0)</f>
        <v>175.26407181919058</v>
      </c>
      <c r="M215" s="34"/>
      <c r="N215" s="35"/>
      <c r="O215" s="30"/>
      <c r="P215" s="33"/>
      <c r="Q215" s="33"/>
      <c r="R215" s="36" t="b">
        <v>1</v>
      </c>
      <c r="S215" s="36" t="b">
        <v>0</v>
      </c>
      <c r="T215" s="36" t="b">
        <v>0</v>
      </c>
      <c r="U215" s="36" t="b">
        <v>0</v>
      </c>
      <c r="V215" s="36" t="b">
        <v>0</v>
      </c>
      <c r="W215" s="33" t="s">
        <v>954</v>
      </c>
      <c r="X215" s="37"/>
      <c r="Y215" s="43"/>
      <c r="Z215" s="37"/>
      <c r="AA215" s="37"/>
      <c r="AB215" s="37"/>
      <c r="AC215" s="37"/>
      <c r="AD215" s="37"/>
      <c r="AE215" s="37"/>
      <c r="AF215" s="37"/>
      <c r="AG215" s="37"/>
      <c r="AH215" s="32"/>
    </row>
    <row r="216" spans="2:34" hidden="1" x14ac:dyDescent="0.25">
      <c r="B216" s="30" t="s">
        <v>154</v>
      </c>
      <c r="C216" s="31" t="s">
        <v>155</v>
      </c>
      <c r="D216" s="32" t="s">
        <v>145</v>
      </c>
      <c r="E216" s="32">
        <v>50</v>
      </c>
      <c r="F216" s="32" t="s">
        <v>22</v>
      </c>
      <c r="G216" s="32" t="s">
        <v>146</v>
      </c>
      <c r="H216" s="32" t="s">
        <v>50</v>
      </c>
      <c r="I216" s="32" t="s">
        <v>147</v>
      </c>
      <c r="J216" s="30" t="s">
        <v>18</v>
      </c>
      <c r="K216" s="33">
        <f>IFERROR(AVERAGEIFS('[1]Controle de Produção'!$E:$E,'[1]Controle de Produção'!$N:$N,E216,'[1]Controle de Produção'!$S:$S,J216,'[1]Controle de Produção'!$R:$R,I216),0)</f>
        <v>149.54331583814363</v>
      </c>
      <c r="L216" s="33">
        <f>IFERROR(AVERAGEIFS('[1]Controle de Produção'!$E:$E,'[1]Controle de Produção'!$S:$S,J216,'[1]Controle de Produção'!$R:$R,I216),0)</f>
        <v>175.26407181919058</v>
      </c>
      <c r="M216" s="34"/>
      <c r="N216" s="35"/>
      <c r="O216" s="30"/>
      <c r="P216" s="33"/>
      <c r="Q216" s="33"/>
      <c r="R216" s="36" t="b">
        <v>1</v>
      </c>
      <c r="S216" s="36" t="b">
        <v>0</v>
      </c>
      <c r="T216" s="36" t="b">
        <v>0</v>
      </c>
      <c r="U216" s="36" t="b">
        <v>0</v>
      </c>
      <c r="V216" s="36" t="b">
        <v>0</v>
      </c>
      <c r="W216" s="33" t="s">
        <v>954</v>
      </c>
      <c r="X216" s="37"/>
      <c r="Y216" s="43"/>
      <c r="Z216" s="37"/>
      <c r="AA216" s="37"/>
      <c r="AB216" s="37"/>
      <c r="AC216" s="37"/>
      <c r="AD216" s="37"/>
      <c r="AE216" s="37"/>
      <c r="AF216" s="37"/>
      <c r="AG216" s="37"/>
      <c r="AH216" s="32"/>
    </row>
    <row r="217" spans="2:34" hidden="1" x14ac:dyDescent="0.25">
      <c r="B217" s="30" t="s">
        <v>156</v>
      </c>
      <c r="C217" s="31" t="s">
        <v>157</v>
      </c>
      <c r="D217" s="32" t="s">
        <v>145</v>
      </c>
      <c r="E217" s="32">
        <v>50</v>
      </c>
      <c r="F217" s="32" t="s">
        <v>22</v>
      </c>
      <c r="G217" s="32" t="s">
        <v>146</v>
      </c>
      <c r="H217" s="32" t="s">
        <v>50</v>
      </c>
      <c r="I217" s="32" t="s">
        <v>147</v>
      </c>
      <c r="J217" s="30" t="s">
        <v>18</v>
      </c>
      <c r="K217" s="33">
        <f>IFERROR(AVERAGEIFS('[1]Controle de Produção'!$E:$E,'[1]Controle de Produção'!$N:$N,E217,'[1]Controle de Produção'!$S:$S,J217,'[1]Controle de Produção'!$R:$R,I217),0)</f>
        <v>149.54331583814363</v>
      </c>
      <c r="L217" s="33">
        <f>IFERROR(AVERAGEIFS('[1]Controle de Produção'!$E:$E,'[1]Controle de Produção'!$S:$S,J217,'[1]Controle de Produção'!$R:$R,I217),0)</f>
        <v>175.26407181919058</v>
      </c>
      <c r="M217" s="34"/>
      <c r="N217" s="35"/>
      <c r="O217" s="30"/>
      <c r="P217" s="33"/>
      <c r="Q217" s="33"/>
      <c r="R217" s="36" t="b">
        <v>1</v>
      </c>
      <c r="S217" s="36" t="b">
        <v>0</v>
      </c>
      <c r="T217" s="36" t="b">
        <v>0</v>
      </c>
      <c r="U217" s="36" t="b">
        <v>0</v>
      </c>
      <c r="V217" s="36" t="b">
        <v>0</v>
      </c>
      <c r="W217" s="33" t="s">
        <v>954</v>
      </c>
      <c r="X217" s="37"/>
      <c r="Y217" s="43"/>
      <c r="Z217" s="37"/>
      <c r="AA217" s="37"/>
      <c r="AB217" s="37"/>
      <c r="AC217" s="37"/>
      <c r="AD217" s="37"/>
      <c r="AE217" s="37"/>
      <c r="AF217" s="37"/>
      <c r="AG217" s="37"/>
      <c r="AH217" s="32"/>
    </row>
    <row r="218" spans="2:34" hidden="1" x14ac:dyDescent="0.25">
      <c r="B218" s="30" t="s">
        <v>158</v>
      </c>
      <c r="C218" s="31" t="s">
        <v>159</v>
      </c>
      <c r="D218" s="32" t="s">
        <v>145</v>
      </c>
      <c r="E218" s="32">
        <v>50</v>
      </c>
      <c r="F218" s="32" t="s">
        <v>22</v>
      </c>
      <c r="G218" s="32" t="s">
        <v>146</v>
      </c>
      <c r="H218" s="32" t="s">
        <v>50</v>
      </c>
      <c r="I218" s="32" t="s">
        <v>147</v>
      </c>
      <c r="J218" s="30" t="s">
        <v>18</v>
      </c>
      <c r="K218" s="33">
        <f>IFERROR(AVERAGEIFS('[1]Controle de Produção'!$E:$E,'[1]Controle de Produção'!$N:$N,E218,'[1]Controle de Produção'!$S:$S,J218,'[1]Controle de Produção'!$R:$R,I218),0)</f>
        <v>149.54331583814363</v>
      </c>
      <c r="L218" s="33">
        <f>IFERROR(AVERAGEIFS('[1]Controle de Produção'!$E:$E,'[1]Controle de Produção'!$S:$S,J218,'[1]Controle de Produção'!$R:$R,I218),0)</f>
        <v>175.26407181919058</v>
      </c>
      <c r="M218" s="34"/>
      <c r="N218" s="35"/>
      <c r="O218" s="30"/>
      <c r="P218" s="33"/>
      <c r="Q218" s="33"/>
      <c r="R218" s="36" t="b">
        <v>1</v>
      </c>
      <c r="S218" s="36" t="b">
        <v>0</v>
      </c>
      <c r="T218" s="36" t="b">
        <v>0</v>
      </c>
      <c r="U218" s="36" t="b">
        <v>0</v>
      </c>
      <c r="V218" s="36" t="b">
        <v>0</v>
      </c>
      <c r="W218" s="33" t="s">
        <v>954</v>
      </c>
      <c r="X218" s="37"/>
      <c r="Y218" s="43"/>
      <c r="Z218" s="37"/>
      <c r="AA218" s="37"/>
      <c r="AB218" s="37"/>
      <c r="AC218" s="37"/>
      <c r="AD218" s="37"/>
      <c r="AE218" s="37"/>
      <c r="AF218" s="37"/>
      <c r="AG218" s="37"/>
      <c r="AH218" s="32"/>
    </row>
    <row r="219" spans="2:34" hidden="1" x14ac:dyDescent="0.25">
      <c r="B219" s="30" t="s">
        <v>160</v>
      </c>
      <c r="C219" s="31" t="s">
        <v>161</v>
      </c>
      <c r="D219" s="32" t="s">
        <v>145</v>
      </c>
      <c r="E219" s="32">
        <v>50</v>
      </c>
      <c r="F219" s="32" t="s">
        <v>22</v>
      </c>
      <c r="G219" s="32" t="s">
        <v>146</v>
      </c>
      <c r="H219" s="32" t="s">
        <v>50</v>
      </c>
      <c r="I219" s="32" t="s">
        <v>147</v>
      </c>
      <c r="J219" s="30" t="s">
        <v>18</v>
      </c>
      <c r="K219" s="33">
        <f>IFERROR(AVERAGEIFS('[1]Controle de Produção'!$E:$E,'[1]Controle de Produção'!$N:$N,E219,'[1]Controle de Produção'!$S:$S,J219,'[1]Controle de Produção'!$R:$R,I219),0)</f>
        <v>149.54331583814363</v>
      </c>
      <c r="L219" s="33">
        <f>IFERROR(AVERAGEIFS('[1]Controle de Produção'!$E:$E,'[1]Controle de Produção'!$S:$S,J219,'[1]Controle de Produção'!$R:$R,I219),0)</f>
        <v>175.26407181919058</v>
      </c>
      <c r="M219" s="34"/>
      <c r="N219" s="35"/>
      <c r="O219" s="30"/>
      <c r="P219" s="33"/>
      <c r="Q219" s="33"/>
      <c r="R219" s="36" t="b">
        <v>1</v>
      </c>
      <c r="S219" s="36" t="b">
        <v>0</v>
      </c>
      <c r="T219" s="36" t="b">
        <v>0</v>
      </c>
      <c r="U219" s="36" t="b">
        <v>0</v>
      </c>
      <c r="V219" s="36" t="b">
        <v>0</v>
      </c>
      <c r="W219" s="33" t="s">
        <v>954</v>
      </c>
      <c r="X219" s="37"/>
      <c r="Y219" s="43"/>
      <c r="Z219" s="37"/>
      <c r="AA219" s="37"/>
      <c r="AB219" s="37"/>
      <c r="AC219" s="37"/>
      <c r="AD219" s="37"/>
      <c r="AE219" s="37"/>
      <c r="AF219" s="37"/>
      <c r="AG219" s="37"/>
      <c r="AH219" s="32"/>
    </row>
    <row r="220" spans="2:34" hidden="1" x14ac:dyDescent="0.25">
      <c r="B220" s="30" t="s">
        <v>162</v>
      </c>
      <c r="C220" s="31" t="s">
        <v>163</v>
      </c>
      <c r="D220" s="32" t="s">
        <v>145</v>
      </c>
      <c r="E220" s="32">
        <v>50</v>
      </c>
      <c r="F220" s="32" t="s">
        <v>22</v>
      </c>
      <c r="G220" s="32" t="s">
        <v>146</v>
      </c>
      <c r="H220" s="32" t="s">
        <v>50</v>
      </c>
      <c r="I220" s="32" t="s">
        <v>147</v>
      </c>
      <c r="J220" s="30" t="s">
        <v>18</v>
      </c>
      <c r="K220" s="33">
        <f>IFERROR(AVERAGEIFS('[1]Controle de Produção'!$E:$E,'[1]Controle de Produção'!$N:$N,E220,'[1]Controle de Produção'!$S:$S,J220,'[1]Controle de Produção'!$R:$R,I220),0)</f>
        <v>149.54331583814363</v>
      </c>
      <c r="L220" s="33">
        <f>IFERROR(AVERAGEIFS('[1]Controle de Produção'!$E:$E,'[1]Controle de Produção'!$S:$S,J220,'[1]Controle de Produção'!$R:$R,I220),0)</f>
        <v>175.26407181919058</v>
      </c>
      <c r="M220" s="34"/>
      <c r="N220" s="35"/>
      <c r="O220" s="30"/>
      <c r="P220" s="33"/>
      <c r="Q220" s="33"/>
      <c r="R220" s="36" t="b">
        <v>1</v>
      </c>
      <c r="S220" s="36" t="b">
        <v>0</v>
      </c>
      <c r="T220" s="36" t="b">
        <v>0</v>
      </c>
      <c r="U220" s="36" t="b">
        <v>0</v>
      </c>
      <c r="V220" s="36" t="b">
        <v>0</v>
      </c>
      <c r="W220" s="33" t="s">
        <v>954</v>
      </c>
      <c r="X220" s="37"/>
      <c r="Y220" s="43"/>
      <c r="Z220" s="37"/>
      <c r="AA220" s="37"/>
      <c r="AB220" s="37"/>
      <c r="AC220" s="37"/>
      <c r="AD220" s="37"/>
      <c r="AE220" s="37"/>
      <c r="AF220" s="37"/>
      <c r="AG220" s="37"/>
      <c r="AH220" s="32"/>
    </row>
    <row r="221" spans="2:34" hidden="1" x14ac:dyDescent="0.25">
      <c r="B221" s="30" t="s">
        <v>164</v>
      </c>
      <c r="C221" s="31" t="s">
        <v>165</v>
      </c>
      <c r="D221" s="32" t="s">
        <v>145</v>
      </c>
      <c r="E221" s="32">
        <v>50</v>
      </c>
      <c r="F221" s="32" t="s">
        <v>22</v>
      </c>
      <c r="G221" s="32" t="s">
        <v>146</v>
      </c>
      <c r="H221" s="32" t="s">
        <v>50</v>
      </c>
      <c r="I221" s="32" t="s">
        <v>147</v>
      </c>
      <c r="J221" s="30" t="s">
        <v>18</v>
      </c>
      <c r="K221" s="33">
        <f>IFERROR(AVERAGEIFS('[1]Controle de Produção'!$E:$E,'[1]Controle de Produção'!$N:$N,E221,'[1]Controle de Produção'!$S:$S,J221,'[1]Controle de Produção'!$R:$R,I221),0)</f>
        <v>149.54331583814363</v>
      </c>
      <c r="L221" s="33">
        <f>IFERROR(AVERAGEIFS('[1]Controle de Produção'!$E:$E,'[1]Controle de Produção'!$S:$S,J221,'[1]Controle de Produção'!$R:$R,I221),0)</f>
        <v>175.26407181919058</v>
      </c>
      <c r="M221" s="34"/>
      <c r="N221" s="35"/>
      <c r="O221" s="30"/>
      <c r="P221" s="33"/>
      <c r="Q221" s="33"/>
      <c r="R221" s="36" t="b">
        <v>1</v>
      </c>
      <c r="S221" s="36" t="b">
        <v>0</v>
      </c>
      <c r="T221" s="36" t="b">
        <v>0</v>
      </c>
      <c r="U221" s="36" t="b">
        <v>0</v>
      </c>
      <c r="V221" s="36" t="b">
        <v>0</v>
      </c>
      <c r="W221" s="33" t="s">
        <v>954</v>
      </c>
      <c r="X221" s="37"/>
      <c r="Y221" s="43"/>
      <c r="Z221" s="37"/>
      <c r="AA221" s="37"/>
      <c r="AB221" s="37"/>
      <c r="AC221" s="37"/>
      <c r="AD221" s="37"/>
      <c r="AE221" s="37"/>
      <c r="AF221" s="37"/>
      <c r="AG221" s="37"/>
      <c r="AH221" s="32"/>
    </row>
    <row r="222" spans="2:34" hidden="1" x14ac:dyDescent="0.25">
      <c r="B222" s="30" t="s">
        <v>166</v>
      </c>
      <c r="C222" s="31" t="s">
        <v>167</v>
      </c>
      <c r="D222" s="32" t="s">
        <v>145</v>
      </c>
      <c r="E222" s="32">
        <v>50</v>
      </c>
      <c r="F222" s="32" t="s">
        <v>22</v>
      </c>
      <c r="G222" s="32" t="s">
        <v>146</v>
      </c>
      <c r="H222" s="32" t="s">
        <v>50</v>
      </c>
      <c r="I222" s="32" t="s">
        <v>147</v>
      </c>
      <c r="J222" s="30" t="s">
        <v>18</v>
      </c>
      <c r="K222" s="33">
        <f>IFERROR(AVERAGEIFS('[1]Controle de Produção'!$E:$E,'[1]Controle de Produção'!$N:$N,E222,'[1]Controle de Produção'!$S:$S,J222,'[1]Controle de Produção'!$R:$R,I222),0)</f>
        <v>149.54331583814363</v>
      </c>
      <c r="L222" s="33">
        <f>IFERROR(AVERAGEIFS('[1]Controle de Produção'!$E:$E,'[1]Controle de Produção'!$S:$S,J222,'[1]Controle de Produção'!$R:$R,I222),0)</f>
        <v>175.26407181919058</v>
      </c>
      <c r="M222" s="34"/>
      <c r="N222" s="35"/>
      <c r="O222" s="30"/>
      <c r="P222" s="33"/>
      <c r="Q222" s="33"/>
      <c r="R222" s="36" t="b">
        <v>1</v>
      </c>
      <c r="S222" s="36" t="b">
        <v>0</v>
      </c>
      <c r="T222" s="36" t="b">
        <v>0</v>
      </c>
      <c r="U222" s="36" t="b">
        <v>0</v>
      </c>
      <c r="V222" s="36" t="b">
        <v>0</v>
      </c>
      <c r="W222" s="33" t="s">
        <v>954</v>
      </c>
      <c r="X222" s="37"/>
      <c r="Y222" s="43"/>
      <c r="Z222" s="37"/>
      <c r="AA222" s="37"/>
      <c r="AB222" s="37"/>
      <c r="AC222" s="37"/>
      <c r="AD222" s="37"/>
      <c r="AE222" s="37"/>
      <c r="AF222" s="37"/>
      <c r="AG222" s="37"/>
      <c r="AH222" s="32"/>
    </row>
    <row r="223" spans="2:34" hidden="1" x14ac:dyDescent="0.25">
      <c r="B223" s="30" t="s">
        <v>168</v>
      </c>
      <c r="C223" s="31" t="s">
        <v>169</v>
      </c>
      <c r="D223" s="32" t="s">
        <v>145</v>
      </c>
      <c r="E223" s="32">
        <v>50</v>
      </c>
      <c r="F223" s="32" t="s">
        <v>22</v>
      </c>
      <c r="G223" s="32" t="s">
        <v>146</v>
      </c>
      <c r="H223" s="32" t="s">
        <v>50</v>
      </c>
      <c r="I223" s="32" t="s">
        <v>147</v>
      </c>
      <c r="J223" s="30" t="s">
        <v>18</v>
      </c>
      <c r="K223" s="33">
        <f>IFERROR(AVERAGEIFS('[1]Controle de Produção'!$E:$E,'[1]Controle de Produção'!$N:$N,E223,'[1]Controle de Produção'!$S:$S,J223,'[1]Controle de Produção'!$R:$R,I223),0)</f>
        <v>149.54331583814363</v>
      </c>
      <c r="L223" s="33">
        <f>IFERROR(AVERAGEIFS('[1]Controle de Produção'!$E:$E,'[1]Controle de Produção'!$S:$S,J223,'[1]Controle de Produção'!$R:$R,I223),0)</f>
        <v>175.26407181919058</v>
      </c>
      <c r="M223" s="34"/>
      <c r="N223" s="35"/>
      <c r="O223" s="30"/>
      <c r="P223" s="33"/>
      <c r="Q223" s="33"/>
      <c r="R223" s="36" t="b">
        <v>1</v>
      </c>
      <c r="S223" s="36" t="b">
        <v>0</v>
      </c>
      <c r="T223" s="36" t="b">
        <v>0</v>
      </c>
      <c r="U223" s="36" t="b">
        <v>0</v>
      </c>
      <c r="V223" s="36" t="b">
        <v>0</v>
      </c>
      <c r="W223" s="33" t="s">
        <v>954</v>
      </c>
      <c r="X223" s="37"/>
      <c r="Y223" s="43"/>
      <c r="Z223" s="37"/>
      <c r="AA223" s="37"/>
      <c r="AB223" s="37"/>
      <c r="AC223" s="37"/>
      <c r="AD223" s="37"/>
      <c r="AE223" s="37"/>
      <c r="AF223" s="37"/>
      <c r="AG223" s="37"/>
      <c r="AH223" s="32"/>
    </row>
    <row r="224" spans="2:34" hidden="1" x14ac:dyDescent="0.25">
      <c r="B224" s="30" t="s">
        <v>170</v>
      </c>
      <c r="C224" s="31" t="s">
        <v>171</v>
      </c>
      <c r="D224" s="32" t="s">
        <v>145</v>
      </c>
      <c r="E224" s="32">
        <v>50</v>
      </c>
      <c r="F224" s="32" t="s">
        <v>22</v>
      </c>
      <c r="G224" s="32" t="s">
        <v>146</v>
      </c>
      <c r="H224" s="32" t="s">
        <v>50</v>
      </c>
      <c r="I224" s="32" t="s">
        <v>147</v>
      </c>
      <c r="J224" s="30" t="s">
        <v>18</v>
      </c>
      <c r="K224" s="33">
        <f>IFERROR(AVERAGEIFS('[1]Controle de Produção'!$E:$E,'[1]Controle de Produção'!$N:$N,E224,'[1]Controle de Produção'!$S:$S,J224,'[1]Controle de Produção'!$R:$R,I224),0)</f>
        <v>149.54331583814363</v>
      </c>
      <c r="L224" s="33">
        <f>IFERROR(AVERAGEIFS('[1]Controle de Produção'!$E:$E,'[1]Controle de Produção'!$S:$S,J224,'[1]Controle de Produção'!$R:$R,I224),0)</f>
        <v>175.26407181919058</v>
      </c>
      <c r="M224" s="34"/>
      <c r="N224" s="35"/>
      <c r="O224" s="30"/>
      <c r="P224" s="33"/>
      <c r="Q224" s="33"/>
      <c r="R224" s="36" t="b">
        <v>1</v>
      </c>
      <c r="S224" s="36" t="b">
        <v>0</v>
      </c>
      <c r="T224" s="36" t="b">
        <v>0</v>
      </c>
      <c r="U224" s="36" t="b">
        <v>0</v>
      </c>
      <c r="V224" s="36" t="b">
        <v>0</v>
      </c>
      <c r="W224" s="33" t="s">
        <v>954</v>
      </c>
      <c r="X224" s="37"/>
      <c r="Y224" s="43"/>
      <c r="Z224" s="37"/>
      <c r="AA224" s="37"/>
      <c r="AB224" s="37"/>
      <c r="AC224" s="37"/>
      <c r="AD224" s="37"/>
      <c r="AE224" s="37"/>
      <c r="AF224" s="37"/>
      <c r="AG224" s="37"/>
      <c r="AH224" s="32"/>
    </row>
    <row r="225" spans="2:34" hidden="1" x14ac:dyDescent="0.25">
      <c r="B225" s="30" t="s">
        <v>695</v>
      </c>
      <c r="C225" s="31" t="s">
        <v>701</v>
      </c>
      <c r="D225" s="32" t="s">
        <v>145</v>
      </c>
      <c r="E225" s="32">
        <v>50</v>
      </c>
      <c r="F225" s="32" t="s">
        <v>22</v>
      </c>
      <c r="G225" s="32" t="s">
        <v>146</v>
      </c>
      <c r="H225" s="32" t="s">
        <v>50</v>
      </c>
      <c r="I225" s="32" t="s">
        <v>147</v>
      </c>
      <c r="J225" s="30" t="s">
        <v>18</v>
      </c>
      <c r="K225" s="33">
        <f>IFERROR(AVERAGEIFS('[1]Controle de Produção'!$E:$E,'[1]Controle de Produção'!$N:$N,E225,'[1]Controle de Produção'!$S:$S,J225,'[1]Controle de Produção'!$R:$R,I225),0)</f>
        <v>149.54331583814363</v>
      </c>
      <c r="L225" s="33">
        <f>IFERROR(AVERAGEIFS('[1]Controle de Produção'!$E:$E,'[1]Controle de Produção'!$S:$S,J225,'[1]Controle de Produção'!$R:$R,I225),0)</f>
        <v>175.26407181919058</v>
      </c>
      <c r="M225" s="34"/>
      <c r="N225" s="35"/>
      <c r="O225" s="30"/>
      <c r="P225" s="33"/>
      <c r="Q225" s="33"/>
      <c r="R225" s="36" t="b">
        <v>1</v>
      </c>
      <c r="S225" s="36" t="b">
        <v>0</v>
      </c>
      <c r="T225" s="36" t="b">
        <v>0</v>
      </c>
      <c r="U225" s="36" t="b">
        <v>0</v>
      </c>
      <c r="V225" s="36" t="b">
        <v>0</v>
      </c>
      <c r="W225" s="33" t="s">
        <v>954</v>
      </c>
      <c r="X225" s="37"/>
      <c r="Y225" s="43"/>
      <c r="Z225" s="37"/>
      <c r="AA225" s="37"/>
      <c r="AB225" s="37"/>
      <c r="AC225" s="37"/>
      <c r="AD225" s="37"/>
      <c r="AE225" s="37"/>
      <c r="AF225" s="37"/>
      <c r="AG225" s="37"/>
      <c r="AH225" s="32"/>
    </row>
    <row r="226" spans="2:34" hidden="1" x14ac:dyDescent="0.25">
      <c r="B226" s="30" t="s">
        <v>696</v>
      </c>
      <c r="C226" s="31" t="s">
        <v>702</v>
      </c>
      <c r="D226" s="32" t="s">
        <v>145</v>
      </c>
      <c r="E226" s="32">
        <v>50</v>
      </c>
      <c r="F226" s="32" t="s">
        <v>22</v>
      </c>
      <c r="G226" s="32" t="s">
        <v>146</v>
      </c>
      <c r="H226" s="32" t="s">
        <v>50</v>
      </c>
      <c r="I226" s="32" t="s">
        <v>147</v>
      </c>
      <c r="J226" s="30" t="s">
        <v>18</v>
      </c>
      <c r="K226" s="33">
        <f>IFERROR(AVERAGEIFS('[1]Controle de Produção'!$E:$E,'[1]Controle de Produção'!$N:$N,E226,'[1]Controle de Produção'!$S:$S,J226,'[1]Controle de Produção'!$R:$R,I226),0)</f>
        <v>149.54331583814363</v>
      </c>
      <c r="L226" s="33">
        <f>IFERROR(AVERAGEIFS('[1]Controle de Produção'!$E:$E,'[1]Controle de Produção'!$S:$S,J226,'[1]Controle de Produção'!$R:$R,I226),0)</f>
        <v>175.26407181919058</v>
      </c>
      <c r="M226" s="34"/>
      <c r="N226" s="35"/>
      <c r="O226" s="30"/>
      <c r="P226" s="33"/>
      <c r="Q226" s="33"/>
      <c r="R226" s="36" t="b">
        <v>1</v>
      </c>
      <c r="S226" s="36" t="b">
        <v>0</v>
      </c>
      <c r="T226" s="36" t="b">
        <v>0</v>
      </c>
      <c r="U226" s="36" t="b">
        <v>0</v>
      </c>
      <c r="V226" s="36" t="b">
        <v>0</v>
      </c>
      <c r="W226" s="33" t="s">
        <v>954</v>
      </c>
      <c r="X226" s="37"/>
      <c r="Y226" s="43"/>
      <c r="Z226" s="37"/>
      <c r="AA226" s="37"/>
      <c r="AB226" s="37"/>
      <c r="AC226" s="37"/>
      <c r="AD226" s="37"/>
      <c r="AE226" s="37"/>
      <c r="AF226" s="37"/>
      <c r="AG226" s="37"/>
      <c r="AH226" s="32"/>
    </row>
    <row r="227" spans="2:34" hidden="1" x14ac:dyDescent="0.25">
      <c r="B227" s="30" t="s">
        <v>697</v>
      </c>
      <c r="C227" s="31" t="s">
        <v>703</v>
      </c>
      <c r="D227" s="32" t="s">
        <v>145</v>
      </c>
      <c r="E227" s="32">
        <v>50</v>
      </c>
      <c r="F227" s="32" t="s">
        <v>22</v>
      </c>
      <c r="G227" s="32" t="s">
        <v>146</v>
      </c>
      <c r="H227" s="32" t="s">
        <v>50</v>
      </c>
      <c r="I227" s="32" t="s">
        <v>147</v>
      </c>
      <c r="J227" s="30" t="s">
        <v>18</v>
      </c>
      <c r="K227" s="33">
        <f>IFERROR(AVERAGEIFS('[1]Controle de Produção'!$E:$E,'[1]Controle de Produção'!$N:$N,E227,'[1]Controle de Produção'!$S:$S,J227,'[1]Controle de Produção'!$R:$R,I227),0)</f>
        <v>149.54331583814363</v>
      </c>
      <c r="L227" s="33">
        <f>IFERROR(AVERAGEIFS('[1]Controle de Produção'!$E:$E,'[1]Controle de Produção'!$S:$S,J227,'[1]Controle de Produção'!$R:$R,I227),0)</f>
        <v>175.26407181919058</v>
      </c>
      <c r="M227" s="34"/>
      <c r="N227" s="35"/>
      <c r="O227" s="30"/>
      <c r="P227" s="33"/>
      <c r="Q227" s="33"/>
      <c r="R227" s="36" t="b">
        <v>1</v>
      </c>
      <c r="S227" s="36" t="b">
        <v>0</v>
      </c>
      <c r="T227" s="36" t="b">
        <v>0</v>
      </c>
      <c r="U227" s="36" t="b">
        <v>0</v>
      </c>
      <c r="V227" s="36" t="b">
        <v>0</v>
      </c>
      <c r="W227" s="33" t="s">
        <v>954</v>
      </c>
      <c r="X227" s="37"/>
      <c r="Y227" s="43"/>
      <c r="Z227" s="37"/>
      <c r="AA227" s="37"/>
      <c r="AB227" s="37"/>
      <c r="AC227" s="37"/>
      <c r="AD227" s="37"/>
      <c r="AE227" s="37"/>
      <c r="AF227" s="37"/>
      <c r="AG227" s="37"/>
      <c r="AH227" s="32"/>
    </row>
    <row r="228" spans="2:34" hidden="1" x14ac:dyDescent="0.25">
      <c r="B228" s="30" t="s">
        <v>698</v>
      </c>
      <c r="C228" s="31" t="s">
        <v>704</v>
      </c>
      <c r="D228" s="32" t="s">
        <v>145</v>
      </c>
      <c r="E228" s="32">
        <v>50</v>
      </c>
      <c r="F228" s="32" t="s">
        <v>22</v>
      </c>
      <c r="G228" s="32" t="s">
        <v>146</v>
      </c>
      <c r="H228" s="32" t="s">
        <v>50</v>
      </c>
      <c r="I228" s="32" t="s">
        <v>147</v>
      </c>
      <c r="J228" s="30" t="s">
        <v>18</v>
      </c>
      <c r="K228" s="33">
        <f>IFERROR(AVERAGEIFS('[1]Controle de Produção'!$E:$E,'[1]Controle de Produção'!$N:$N,E228,'[1]Controle de Produção'!$S:$S,J228,'[1]Controle de Produção'!$R:$R,I228),0)</f>
        <v>149.54331583814363</v>
      </c>
      <c r="L228" s="33">
        <f>IFERROR(AVERAGEIFS('[1]Controle de Produção'!$E:$E,'[1]Controle de Produção'!$S:$S,J228,'[1]Controle de Produção'!$R:$R,I228),0)</f>
        <v>175.26407181919058</v>
      </c>
      <c r="M228" s="34"/>
      <c r="N228" s="35"/>
      <c r="O228" s="30"/>
      <c r="P228" s="33"/>
      <c r="Q228" s="33"/>
      <c r="R228" s="36" t="b">
        <v>1</v>
      </c>
      <c r="S228" s="36" t="b">
        <v>0</v>
      </c>
      <c r="T228" s="36" t="b">
        <v>0</v>
      </c>
      <c r="U228" s="36" t="b">
        <v>0</v>
      </c>
      <c r="V228" s="36" t="b">
        <v>0</v>
      </c>
      <c r="W228" s="33" t="s">
        <v>954</v>
      </c>
      <c r="X228" s="37"/>
      <c r="Y228" s="43"/>
      <c r="Z228" s="37"/>
      <c r="AA228" s="37"/>
      <c r="AB228" s="37"/>
      <c r="AC228" s="37"/>
      <c r="AD228" s="37"/>
      <c r="AE228" s="37"/>
      <c r="AF228" s="37"/>
      <c r="AG228" s="37"/>
      <c r="AH228" s="32"/>
    </row>
    <row r="229" spans="2:34" hidden="1" x14ac:dyDescent="0.25">
      <c r="B229" s="30" t="s">
        <v>699</v>
      </c>
      <c r="C229" s="31" t="s">
        <v>705</v>
      </c>
      <c r="D229" s="32" t="s">
        <v>145</v>
      </c>
      <c r="E229" s="32">
        <v>50</v>
      </c>
      <c r="F229" s="32" t="s">
        <v>22</v>
      </c>
      <c r="G229" s="32" t="s">
        <v>146</v>
      </c>
      <c r="H229" s="32" t="s">
        <v>50</v>
      </c>
      <c r="I229" s="32" t="s">
        <v>147</v>
      </c>
      <c r="J229" s="30" t="s">
        <v>18</v>
      </c>
      <c r="K229" s="33">
        <f>IFERROR(AVERAGEIFS('[1]Controle de Produção'!$E:$E,'[1]Controle de Produção'!$N:$N,E229,'[1]Controle de Produção'!$S:$S,J229,'[1]Controle de Produção'!$R:$R,I229),0)</f>
        <v>149.54331583814363</v>
      </c>
      <c r="L229" s="33">
        <f>IFERROR(AVERAGEIFS('[1]Controle de Produção'!$E:$E,'[1]Controle de Produção'!$S:$S,J229,'[1]Controle de Produção'!$R:$R,I229),0)</f>
        <v>175.26407181919058</v>
      </c>
      <c r="M229" s="34"/>
      <c r="N229" s="35"/>
      <c r="O229" s="30"/>
      <c r="P229" s="33"/>
      <c r="Q229" s="33"/>
      <c r="R229" s="36" t="b">
        <v>1</v>
      </c>
      <c r="S229" s="36" t="b">
        <v>0</v>
      </c>
      <c r="T229" s="36" t="b">
        <v>0</v>
      </c>
      <c r="U229" s="36" t="b">
        <v>0</v>
      </c>
      <c r="V229" s="36" t="b">
        <v>0</v>
      </c>
      <c r="W229" s="33" t="s">
        <v>954</v>
      </c>
      <c r="X229" s="37"/>
      <c r="Y229" s="43"/>
      <c r="Z229" s="37"/>
      <c r="AA229" s="37"/>
      <c r="AB229" s="37"/>
      <c r="AC229" s="37"/>
      <c r="AD229" s="37"/>
      <c r="AE229" s="37"/>
      <c r="AF229" s="37"/>
      <c r="AG229" s="37"/>
      <c r="AH229" s="32"/>
    </row>
    <row r="230" spans="2:34" hidden="1" x14ac:dyDescent="0.25">
      <c r="B230" s="30" t="s">
        <v>700</v>
      </c>
      <c r="C230" s="31" t="s">
        <v>706</v>
      </c>
      <c r="D230" s="32" t="s">
        <v>145</v>
      </c>
      <c r="E230" s="32">
        <v>50</v>
      </c>
      <c r="F230" s="32" t="s">
        <v>22</v>
      </c>
      <c r="G230" s="32" t="s">
        <v>146</v>
      </c>
      <c r="H230" s="32" t="s">
        <v>50</v>
      </c>
      <c r="I230" s="32" t="s">
        <v>147</v>
      </c>
      <c r="J230" s="30" t="s">
        <v>18</v>
      </c>
      <c r="K230" s="33">
        <f>IFERROR(AVERAGEIFS('[1]Controle de Produção'!$E:$E,'[1]Controle de Produção'!$N:$N,E230,'[1]Controle de Produção'!$S:$S,J230,'[1]Controle de Produção'!$R:$R,I230),0)</f>
        <v>149.54331583814363</v>
      </c>
      <c r="L230" s="33">
        <f>IFERROR(AVERAGEIFS('[1]Controle de Produção'!$E:$E,'[1]Controle de Produção'!$S:$S,J230,'[1]Controle de Produção'!$R:$R,I230),0)</f>
        <v>175.26407181919058</v>
      </c>
      <c r="M230" s="34"/>
      <c r="N230" s="35"/>
      <c r="O230" s="30"/>
      <c r="P230" s="33"/>
      <c r="Q230" s="33"/>
      <c r="R230" s="36" t="b">
        <v>1</v>
      </c>
      <c r="S230" s="36" t="b">
        <v>0</v>
      </c>
      <c r="T230" s="36" t="b">
        <v>0</v>
      </c>
      <c r="U230" s="36" t="b">
        <v>0</v>
      </c>
      <c r="V230" s="36" t="b">
        <v>0</v>
      </c>
      <c r="W230" s="33" t="s">
        <v>954</v>
      </c>
      <c r="X230" s="37"/>
      <c r="Y230" s="43"/>
      <c r="Z230" s="37"/>
      <c r="AA230" s="37"/>
      <c r="AB230" s="37"/>
      <c r="AC230" s="37"/>
      <c r="AD230" s="37"/>
      <c r="AE230" s="37"/>
      <c r="AF230" s="37"/>
      <c r="AG230" s="37"/>
      <c r="AH230" s="32"/>
    </row>
    <row r="231" spans="2:34" hidden="1" x14ac:dyDescent="0.25">
      <c r="B231" s="30" t="s">
        <v>728</v>
      </c>
      <c r="C231" s="31" t="s">
        <v>707</v>
      </c>
      <c r="D231" s="32" t="s">
        <v>145</v>
      </c>
      <c r="E231" s="32">
        <v>50</v>
      </c>
      <c r="F231" s="32" t="s">
        <v>22</v>
      </c>
      <c r="G231" s="32" t="s">
        <v>146</v>
      </c>
      <c r="H231" s="32" t="s">
        <v>50</v>
      </c>
      <c r="I231" s="32" t="s">
        <v>147</v>
      </c>
      <c r="J231" s="30" t="s">
        <v>18</v>
      </c>
      <c r="K231" s="33">
        <f>IFERROR(AVERAGEIFS('[1]Controle de Produção'!$E:$E,'[1]Controle de Produção'!$N:$N,E231,'[1]Controle de Produção'!$S:$S,J231,'[1]Controle de Produção'!$R:$R,I231),0)</f>
        <v>149.54331583814363</v>
      </c>
      <c r="L231" s="33">
        <f>IFERROR(AVERAGEIFS('[1]Controle de Produção'!$E:$E,'[1]Controle de Produção'!$S:$S,J231,'[1]Controle de Produção'!$R:$R,I231),0)</f>
        <v>175.26407181919058</v>
      </c>
      <c r="M231" s="34"/>
      <c r="N231" s="35"/>
      <c r="O231" s="30"/>
      <c r="P231" s="33"/>
      <c r="Q231" s="33"/>
      <c r="R231" s="36" t="b">
        <v>1</v>
      </c>
      <c r="S231" s="36" t="b">
        <v>0</v>
      </c>
      <c r="T231" s="36" t="b">
        <v>0</v>
      </c>
      <c r="U231" s="36" t="b">
        <v>0</v>
      </c>
      <c r="V231" s="36" t="b">
        <v>0</v>
      </c>
      <c r="W231" s="33" t="s">
        <v>954</v>
      </c>
      <c r="X231" s="37"/>
      <c r="Y231" s="43"/>
      <c r="Z231" s="37"/>
      <c r="AA231" s="37"/>
      <c r="AB231" s="37"/>
      <c r="AC231" s="37"/>
      <c r="AD231" s="37"/>
      <c r="AE231" s="37"/>
      <c r="AF231" s="37"/>
      <c r="AG231" s="37"/>
      <c r="AH231" s="32"/>
    </row>
    <row r="232" spans="2:34" hidden="1" x14ac:dyDescent="0.25">
      <c r="B232" s="30" t="s">
        <v>172</v>
      </c>
      <c r="C232" s="31" t="s">
        <v>173</v>
      </c>
      <c r="D232" s="32" t="s">
        <v>174</v>
      </c>
      <c r="E232" s="32">
        <v>50</v>
      </c>
      <c r="F232" s="32" t="s">
        <v>22</v>
      </c>
      <c r="G232" s="32" t="s">
        <v>146</v>
      </c>
      <c r="H232" s="32" t="s">
        <v>50</v>
      </c>
      <c r="I232" s="32" t="s">
        <v>147</v>
      </c>
      <c r="J232" s="30" t="s">
        <v>18</v>
      </c>
      <c r="K232" s="33">
        <f>IFERROR(AVERAGEIFS('[1]Controle de Produção'!$E:$E,'[1]Controle de Produção'!$N:$N,E232,'[1]Controle de Produção'!$S:$S,J232,'[1]Controle de Produção'!$R:$R,I232),0)</f>
        <v>149.54331583814363</v>
      </c>
      <c r="L232" s="33">
        <f>IFERROR(AVERAGEIFS('[1]Controle de Produção'!$E:$E,'[1]Controle de Produção'!$S:$S,J232,'[1]Controle de Produção'!$R:$R,I232),0)</f>
        <v>175.26407181919058</v>
      </c>
      <c r="M232" s="34"/>
      <c r="N232" s="35"/>
      <c r="O232" s="30"/>
      <c r="P232" s="33"/>
      <c r="Q232" s="33"/>
      <c r="R232" s="36" t="b">
        <v>1</v>
      </c>
      <c r="S232" s="36" t="b">
        <v>0</v>
      </c>
      <c r="T232" s="36" t="b">
        <v>0</v>
      </c>
      <c r="U232" s="36" t="b">
        <v>0</v>
      </c>
      <c r="V232" s="36" t="b">
        <v>0</v>
      </c>
      <c r="W232" s="33" t="s">
        <v>954</v>
      </c>
      <c r="X232" s="37"/>
      <c r="Y232" s="43"/>
      <c r="Z232" s="37"/>
      <c r="AA232" s="37"/>
      <c r="AB232" s="37"/>
      <c r="AC232" s="37"/>
      <c r="AD232" s="37"/>
      <c r="AE232" s="37"/>
      <c r="AF232" s="37"/>
      <c r="AG232" s="37"/>
      <c r="AH232" s="32"/>
    </row>
    <row r="233" spans="2:34" hidden="1" x14ac:dyDescent="0.25">
      <c r="B233" s="30" t="s">
        <v>1324</v>
      </c>
      <c r="C233" s="31" t="s">
        <v>1318</v>
      </c>
      <c r="D233" s="32"/>
      <c r="E233" s="32">
        <v>30</v>
      </c>
      <c r="F233" s="32" t="s">
        <v>22</v>
      </c>
      <c r="G233" s="32" t="s">
        <v>1325</v>
      </c>
      <c r="H233" s="32"/>
      <c r="I233" s="32"/>
      <c r="J233" s="30"/>
      <c r="K233" s="33"/>
      <c r="L233" s="33"/>
      <c r="M233" s="34"/>
      <c r="N233" s="35"/>
      <c r="O233" s="30"/>
      <c r="P233" s="33"/>
      <c r="Q233" s="33"/>
      <c r="R233" s="36" t="b">
        <v>0</v>
      </c>
      <c r="S233" s="36" t="b">
        <v>0</v>
      </c>
      <c r="T233" s="36" t="b">
        <v>0</v>
      </c>
      <c r="U233" s="36" t="b">
        <v>0</v>
      </c>
      <c r="V233" s="36" t="b">
        <v>0</v>
      </c>
      <c r="W233" s="33"/>
      <c r="X233" s="37"/>
      <c r="Y233" s="43"/>
      <c r="Z233" s="37"/>
      <c r="AA233" s="37"/>
      <c r="AB233" s="37"/>
      <c r="AC233" s="37"/>
      <c r="AD233" s="37"/>
      <c r="AE233" s="37"/>
      <c r="AF233" s="37"/>
      <c r="AG233" s="37"/>
      <c r="AH233" s="32"/>
    </row>
    <row r="234" spans="2:34" hidden="1" x14ac:dyDescent="0.25">
      <c r="B234" s="30"/>
      <c r="C234" s="31" t="s">
        <v>1319</v>
      </c>
      <c r="D234" s="32"/>
      <c r="E234" s="32">
        <v>200</v>
      </c>
      <c r="F234" s="32" t="s">
        <v>22</v>
      </c>
      <c r="G234" s="32" t="s">
        <v>1325</v>
      </c>
      <c r="H234" s="32"/>
      <c r="I234" s="32"/>
      <c r="J234" s="30"/>
      <c r="K234" s="33"/>
      <c r="L234" s="33"/>
      <c r="M234" s="34"/>
      <c r="N234" s="35"/>
      <c r="O234" s="30"/>
      <c r="P234" s="33"/>
      <c r="Q234" s="33"/>
      <c r="R234" s="36" t="b">
        <v>0</v>
      </c>
      <c r="S234" s="36" t="b">
        <v>0</v>
      </c>
      <c r="T234" s="36" t="b">
        <v>0</v>
      </c>
      <c r="U234" s="36" t="b">
        <v>0</v>
      </c>
      <c r="V234" s="36" t="b">
        <v>0</v>
      </c>
      <c r="W234" s="33"/>
      <c r="X234" s="37"/>
      <c r="Y234" s="43"/>
      <c r="Z234" s="37"/>
      <c r="AA234" s="37"/>
      <c r="AB234" s="37"/>
      <c r="AC234" s="37"/>
      <c r="AD234" s="37"/>
      <c r="AE234" s="37"/>
      <c r="AF234" s="37"/>
      <c r="AG234" s="37"/>
      <c r="AH234" s="32"/>
    </row>
    <row r="235" spans="2:34" hidden="1" x14ac:dyDescent="0.25">
      <c r="B235" s="30"/>
      <c r="C235" s="31" t="s">
        <v>1320</v>
      </c>
      <c r="D235" s="32"/>
      <c r="E235" s="32">
        <v>100</v>
      </c>
      <c r="F235" s="32" t="s">
        <v>22</v>
      </c>
      <c r="G235" s="32" t="s">
        <v>1325</v>
      </c>
      <c r="H235" s="32"/>
      <c r="I235" s="32"/>
      <c r="J235" s="30"/>
      <c r="K235" s="33"/>
      <c r="L235" s="33"/>
      <c r="M235" s="34"/>
      <c r="N235" s="35"/>
      <c r="O235" s="30"/>
      <c r="P235" s="33"/>
      <c r="Q235" s="33"/>
      <c r="R235" s="36" t="b">
        <v>0</v>
      </c>
      <c r="S235" s="36" t="b">
        <v>0</v>
      </c>
      <c r="T235" s="36" t="b">
        <v>0</v>
      </c>
      <c r="U235" s="36" t="b">
        <v>0</v>
      </c>
      <c r="V235" s="36" t="b">
        <v>0</v>
      </c>
      <c r="W235" s="33"/>
      <c r="X235" s="37"/>
      <c r="Y235" s="43"/>
      <c r="Z235" s="37"/>
      <c r="AA235" s="37"/>
      <c r="AB235" s="37"/>
      <c r="AC235" s="37"/>
      <c r="AD235" s="37"/>
      <c r="AE235" s="37"/>
      <c r="AF235" s="37"/>
      <c r="AG235" s="37"/>
      <c r="AH235" s="32"/>
    </row>
    <row r="236" spans="2:34" hidden="1" x14ac:dyDescent="0.25">
      <c r="B236" s="30"/>
      <c r="C236" s="31" t="s">
        <v>1321</v>
      </c>
      <c r="D236" s="32"/>
      <c r="E236" s="32">
        <v>50</v>
      </c>
      <c r="F236" s="32" t="s">
        <v>88</v>
      </c>
      <c r="G236" s="32" t="s">
        <v>1325</v>
      </c>
      <c r="H236" s="32"/>
      <c r="I236" s="32"/>
      <c r="J236" s="30"/>
      <c r="K236" s="33"/>
      <c r="L236" s="33"/>
      <c r="M236" s="34"/>
      <c r="N236" s="35"/>
      <c r="O236" s="30"/>
      <c r="P236" s="33"/>
      <c r="Q236" s="33"/>
      <c r="R236" s="36" t="b">
        <v>0</v>
      </c>
      <c r="S236" s="36" t="b">
        <v>0</v>
      </c>
      <c r="T236" s="36" t="b">
        <v>0</v>
      </c>
      <c r="U236" s="36" t="b">
        <v>0</v>
      </c>
      <c r="V236" s="36" t="b">
        <v>0</v>
      </c>
      <c r="W236" s="33"/>
      <c r="X236" s="37"/>
      <c r="Y236" s="43"/>
      <c r="Z236" s="37"/>
      <c r="AA236" s="37"/>
      <c r="AB236" s="37"/>
      <c r="AC236" s="37"/>
      <c r="AD236" s="37"/>
      <c r="AE236" s="37"/>
      <c r="AF236" s="37"/>
      <c r="AG236" s="37"/>
      <c r="AH236" s="32"/>
    </row>
    <row r="237" spans="2:34" hidden="1" x14ac:dyDescent="0.25">
      <c r="B237" s="30"/>
      <c r="C237" s="31" t="s">
        <v>1322</v>
      </c>
      <c r="D237" s="32"/>
      <c r="E237" s="32">
        <v>150</v>
      </c>
      <c r="F237" s="32" t="s">
        <v>22</v>
      </c>
      <c r="G237" s="32" t="s">
        <v>1325</v>
      </c>
      <c r="H237" s="32"/>
      <c r="I237" s="32"/>
      <c r="J237" s="30"/>
      <c r="K237" s="33"/>
      <c r="L237" s="33"/>
      <c r="M237" s="34"/>
      <c r="N237" s="35"/>
      <c r="O237" s="30"/>
      <c r="P237" s="33"/>
      <c r="Q237" s="33"/>
      <c r="R237" s="36" t="b">
        <v>0</v>
      </c>
      <c r="S237" s="36" t="b">
        <v>0</v>
      </c>
      <c r="T237" s="36" t="b">
        <v>0</v>
      </c>
      <c r="U237" s="36" t="b">
        <v>0</v>
      </c>
      <c r="V237" s="36" t="b">
        <v>0</v>
      </c>
      <c r="W237" s="33"/>
      <c r="X237" s="37"/>
      <c r="Y237" s="43"/>
      <c r="Z237" s="37"/>
      <c r="AA237" s="37"/>
      <c r="AB237" s="37"/>
      <c r="AC237" s="37"/>
      <c r="AD237" s="37"/>
      <c r="AE237" s="37"/>
      <c r="AF237" s="37"/>
      <c r="AG237" s="37"/>
      <c r="AH237" s="32"/>
    </row>
    <row r="238" spans="2:34" hidden="1" x14ac:dyDescent="0.25">
      <c r="B238" s="30"/>
      <c r="C238" s="31" t="s">
        <v>1323</v>
      </c>
      <c r="D238" s="32"/>
      <c r="E238" s="32">
        <v>100</v>
      </c>
      <c r="F238" s="32" t="s">
        <v>22</v>
      </c>
      <c r="G238" s="32" t="s">
        <v>1325</v>
      </c>
      <c r="H238" s="32"/>
      <c r="I238" s="32"/>
      <c r="J238" s="30"/>
      <c r="K238" s="33"/>
      <c r="L238" s="33"/>
      <c r="M238" s="34"/>
      <c r="N238" s="35"/>
      <c r="O238" s="30"/>
      <c r="P238" s="33"/>
      <c r="Q238" s="33"/>
      <c r="R238" s="36" t="b">
        <v>0</v>
      </c>
      <c r="S238" s="36" t="b">
        <v>0</v>
      </c>
      <c r="T238" s="36" t="b">
        <v>0</v>
      </c>
      <c r="U238" s="36" t="b">
        <v>0</v>
      </c>
      <c r="V238" s="36" t="b">
        <v>0</v>
      </c>
      <c r="W238" s="33"/>
      <c r="X238" s="37"/>
      <c r="Y238" s="43"/>
      <c r="Z238" s="37"/>
      <c r="AA238" s="37"/>
      <c r="AB238" s="37"/>
      <c r="AC238" s="37"/>
      <c r="AD238" s="37"/>
      <c r="AE238" s="37"/>
      <c r="AF238" s="37"/>
      <c r="AG238" s="37"/>
      <c r="AH238" s="32"/>
    </row>
    <row r="239" spans="2:34" hidden="1" x14ac:dyDescent="0.25">
      <c r="B239" s="30" t="s">
        <v>175</v>
      </c>
      <c r="C239" s="31" t="s">
        <v>176</v>
      </c>
      <c r="D239" s="32" t="s">
        <v>174</v>
      </c>
      <c r="E239" s="32">
        <v>50</v>
      </c>
      <c r="F239" s="32" t="s">
        <v>22</v>
      </c>
      <c r="G239" s="32" t="s">
        <v>146</v>
      </c>
      <c r="H239" s="32" t="s">
        <v>50</v>
      </c>
      <c r="I239" s="32" t="s">
        <v>147</v>
      </c>
      <c r="J239" s="30" t="s">
        <v>18</v>
      </c>
      <c r="K239" s="33">
        <f>IFERROR(AVERAGEIFS('[1]Controle de Produção'!$E:$E,'[1]Controle de Produção'!$N:$N,E239,'[1]Controle de Produção'!$S:$S,J239,'[1]Controle de Produção'!$R:$R,I239),0)</f>
        <v>149.54331583814363</v>
      </c>
      <c r="L239" s="33">
        <f>IFERROR(AVERAGEIFS('[1]Controle de Produção'!$E:$E,'[1]Controle de Produção'!$S:$S,J239,'[1]Controle de Produção'!$R:$R,I239),0)</f>
        <v>175.26407181919058</v>
      </c>
      <c r="M239" s="34"/>
      <c r="N239" s="35"/>
      <c r="O239" s="30"/>
      <c r="P239" s="33"/>
      <c r="Q239" s="33"/>
      <c r="R239" s="36" t="b">
        <v>1</v>
      </c>
      <c r="S239" s="36" t="b">
        <v>0</v>
      </c>
      <c r="T239" s="36" t="b">
        <v>0</v>
      </c>
      <c r="U239" s="36" t="b">
        <v>0</v>
      </c>
      <c r="V239" s="36" t="b">
        <v>0</v>
      </c>
      <c r="W239" s="33" t="s">
        <v>954</v>
      </c>
      <c r="X239" s="37"/>
      <c r="Y239" s="43"/>
      <c r="Z239" s="37"/>
      <c r="AA239" s="37"/>
      <c r="AB239" s="37"/>
      <c r="AC239" s="37"/>
      <c r="AD239" s="37"/>
      <c r="AE239" s="37"/>
      <c r="AF239" s="37"/>
      <c r="AG239" s="37"/>
      <c r="AH239" s="32"/>
    </row>
    <row r="240" spans="2:34" hidden="1" x14ac:dyDescent="0.25">
      <c r="B240" s="30" t="s">
        <v>177</v>
      </c>
      <c r="C240" s="31" t="s">
        <v>178</v>
      </c>
      <c r="D240" s="32" t="s">
        <v>174</v>
      </c>
      <c r="E240" s="32">
        <v>50</v>
      </c>
      <c r="F240" s="32" t="s">
        <v>22</v>
      </c>
      <c r="G240" s="32" t="s">
        <v>146</v>
      </c>
      <c r="H240" s="32" t="s">
        <v>50</v>
      </c>
      <c r="I240" s="32" t="s">
        <v>147</v>
      </c>
      <c r="J240" s="30" t="s">
        <v>18</v>
      </c>
      <c r="K240" s="33">
        <f>IFERROR(AVERAGEIFS('[1]Controle de Produção'!$E:$E,'[1]Controle de Produção'!$N:$N,E240,'[1]Controle de Produção'!$S:$S,J240,'[1]Controle de Produção'!$R:$R,I240),0)</f>
        <v>149.54331583814363</v>
      </c>
      <c r="L240" s="33">
        <f>IFERROR(AVERAGEIFS('[1]Controle de Produção'!$E:$E,'[1]Controle de Produção'!$S:$S,J240,'[1]Controle de Produção'!$R:$R,I240),0)</f>
        <v>175.26407181919058</v>
      </c>
      <c r="M240" s="34"/>
      <c r="N240" s="35"/>
      <c r="O240" s="30"/>
      <c r="P240" s="33"/>
      <c r="Q240" s="33"/>
      <c r="R240" s="36" t="b">
        <v>1</v>
      </c>
      <c r="S240" s="36" t="b">
        <v>0</v>
      </c>
      <c r="T240" s="36" t="b">
        <v>0</v>
      </c>
      <c r="U240" s="36" t="b">
        <v>0</v>
      </c>
      <c r="V240" s="36" t="b">
        <v>0</v>
      </c>
      <c r="W240" s="33" t="s">
        <v>954</v>
      </c>
      <c r="X240" s="37"/>
      <c r="Y240" s="43"/>
      <c r="Z240" s="37"/>
      <c r="AA240" s="37"/>
      <c r="AB240" s="37"/>
      <c r="AC240" s="37"/>
      <c r="AD240" s="37"/>
      <c r="AE240" s="37"/>
      <c r="AF240" s="37"/>
      <c r="AG240" s="37"/>
      <c r="AH240" s="32"/>
    </row>
    <row r="241" spans="2:34" hidden="1" x14ac:dyDescent="0.25">
      <c r="B241" s="30" t="s">
        <v>179</v>
      </c>
      <c r="C241" s="31" t="s">
        <v>180</v>
      </c>
      <c r="D241" s="32" t="s">
        <v>174</v>
      </c>
      <c r="E241" s="32">
        <v>50</v>
      </c>
      <c r="F241" s="32" t="s">
        <v>22</v>
      </c>
      <c r="G241" s="32" t="s">
        <v>146</v>
      </c>
      <c r="H241" s="32" t="s">
        <v>50</v>
      </c>
      <c r="I241" s="32" t="s">
        <v>147</v>
      </c>
      <c r="J241" s="30" t="s">
        <v>18</v>
      </c>
      <c r="K241" s="33">
        <f>IFERROR(AVERAGEIFS('[1]Controle de Produção'!$E:$E,'[1]Controle de Produção'!$N:$N,E241,'[1]Controle de Produção'!$S:$S,J241,'[1]Controle de Produção'!$R:$R,I241),0)</f>
        <v>149.54331583814363</v>
      </c>
      <c r="L241" s="33">
        <f>IFERROR(AVERAGEIFS('[1]Controle de Produção'!$E:$E,'[1]Controle de Produção'!$S:$S,J241,'[1]Controle de Produção'!$R:$R,I241),0)</f>
        <v>175.26407181919058</v>
      </c>
      <c r="M241" s="34"/>
      <c r="N241" s="35"/>
      <c r="O241" s="30"/>
      <c r="P241" s="33"/>
      <c r="Q241" s="33"/>
      <c r="R241" s="36" t="b">
        <v>1</v>
      </c>
      <c r="S241" s="36" t="b">
        <v>0</v>
      </c>
      <c r="T241" s="36" t="b">
        <v>0</v>
      </c>
      <c r="U241" s="36" t="b">
        <v>0</v>
      </c>
      <c r="V241" s="36" t="b">
        <v>0</v>
      </c>
      <c r="W241" s="33" t="s">
        <v>954</v>
      </c>
      <c r="X241" s="37"/>
      <c r="Y241" s="43"/>
      <c r="Z241" s="37"/>
      <c r="AA241" s="37"/>
      <c r="AB241" s="37"/>
      <c r="AC241" s="37"/>
      <c r="AD241" s="37"/>
      <c r="AE241" s="37"/>
      <c r="AF241" s="37"/>
      <c r="AG241" s="37"/>
      <c r="AH241" s="32"/>
    </row>
    <row r="242" spans="2:34" hidden="1" x14ac:dyDescent="0.25">
      <c r="B242" s="30" t="s">
        <v>181</v>
      </c>
      <c r="C242" s="31" t="s">
        <v>182</v>
      </c>
      <c r="D242" s="32" t="s">
        <v>174</v>
      </c>
      <c r="E242" s="32">
        <v>50</v>
      </c>
      <c r="F242" s="32" t="s">
        <v>22</v>
      </c>
      <c r="G242" s="32" t="s">
        <v>146</v>
      </c>
      <c r="H242" s="32" t="s">
        <v>50</v>
      </c>
      <c r="I242" s="32" t="s">
        <v>147</v>
      </c>
      <c r="J242" s="30" t="s">
        <v>18</v>
      </c>
      <c r="K242" s="33">
        <f>IFERROR(AVERAGEIFS('[1]Controle de Produção'!$E:$E,'[1]Controle de Produção'!$N:$N,E242,'[1]Controle de Produção'!$S:$S,J242,'[1]Controle de Produção'!$R:$R,I242),0)</f>
        <v>149.54331583814363</v>
      </c>
      <c r="L242" s="33">
        <f>IFERROR(AVERAGEIFS('[1]Controle de Produção'!$E:$E,'[1]Controle de Produção'!$S:$S,J242,'[1]Controle de Produção'!$R:$R,I242),0)</f>
        <v>175.26407181919058</v>
      </c>
      <c r="M242" s="34"/>
      <c r="N242" s="35"/>
      <c r="O242" s="30"/>
      <c r="P242" s="33"/>
      <c r="Q242" s="33"/>
      <c r="R242" s="36" t="b">
        <v>1</v>
      </c>
      <c r="S242" s="36" t="b">
        <v>0</v>
      </c>
      <c r="T242" s="36" t="b">
        <v>0</v>
      </c>
      <c r="U242" s="36" t="b">
        <v>0</v>
      </c>
      <c r="V242" s="36" t="b">
        <v>0</v>
      </c>
      <c r="W242" s="33" t="s">
        <v>954</v>
      </c>
      <c r="X242" s="37"/>
      <c r="Y242" s="43"/>
      <c r="Z242" s="37"/>
      <c r="AA242" s="37"/>
      <c r="AB242" s="37"/>
      <c r="AC242" s="37"/>
      <c r="AD242" s="37"/>
      <c r="AE242" s="37"/>
      <c r="AF242" s="37"/>
      <c r="AG242" s="37"/>
      <c r="AH242" s="32"/>
    </row>
    <row r="243" spans="2:34" hidden="1" x14ac:dyDescent="0.25">
      <c r="B243" s="30" t="s">
        <v>183</v>
      </c>
      <c r="C243" s="31" t="s">
        <v>184</v>
      </c>
      <c r="D243" s="32" t="s">
        <v>174</v>
      </c>
      <c r="E243" s="32">
        <v>50</v>
      </c>
      <c r="F243" s="32" t="s">
        <v>22</v>
      </c>
      <c r="G243" s="32" t="s">
        <v>146</v>
      </c>
      <c r="H243" s="32" t="s">
        <v>50</v>
      </c>
      <c r="I243" s="32" t="s">
        <v>147</v>
      </c>
      <c r="J243" s="30" t="s">
        <v>18</v>
      </c>
      <c r="K243" s="33">
        <f>IFERROR(AVERAGEIFS('[1]Controle de Produção'!$E:$E,'[1]Controle de Produção'!$N:$N,E243,'[1]Controle de Produção'!$S:$S,J243,'[1]Controle de Produção'!$R:$R,I243),0)</f>
        <v>149.54331583814363</v>
      </c>
      <c r="L243" s="33">
        <f>IFERROR(AVERAGEIFS('[1]Controle de Produção'!$E:$E,'[1]Controle de Produção'!$S:$S,J243,'[1]Controle de Produção'!$R:$R,I243),0)</f>
        <v>175.26407181919058</v>
      </c>
      <c r="M243" s="34"/>
      <c r="N243" s="35"/>
      <c r="O243" s="30"/>
      <c r="P243" s="33"/>
      <c r="Q243" s="33"/>
      <c r="R243" s="36" t="b">
        <v>1</v>
      </c>
      <c r="S243" s="36" t="b">
        <v>0</v>
      </c>
      <c r="T243" s="36" t="b">
        <v>0</v>
      </c>
      <c r="U243" s="36" t="b">
        <v>0</v>
      </c>
      <c r="V243" s="36" t="b">
        <v>0</v>
      </c>
      <c r="W243" s="33" t="s">
        <v>954</v>
      </c>
      <c r="X243" s="37"/>
      <c r="Y243" s="43"/>
      <c r="Z243" s="37"/>
      <c r="AA243" s="37"/>
      <c r="AB243" s="37"/>
      <c r="AC243" s="37"/>
      <c r="AD243" s="37"/>
      <c r="AE243" s="37"/>
      <c r="AF243" s="37"/>
      <c r="AG243" s="37"/>
      <c r="AH243" s="32"/>
    </row>
    <row r="244" spans="2:34" hidden="1" x14ac:dyDescent="0.25">
      <c r="B244" s="30" t="s">
        <v>185</v>
      </c>
      <c r="C244" s="31" t="s">
        <v>186</v>
      </c>
      <c r="D244" s="32" t="s">
        <v>174</v>
      </c>
      <c r="E244" s="32">
        <v>50</v>
      </c>
      <c r="F244" s="32" t="s">
        <v>22</v>
      </c>
      <c r="G244" s="32" t="s">
        <v>146</v>
      </c>
      <c r="H244" s="32" t="s">
        <v>50</v>
      </c>
      <c r="I244" s="32" t="s">
        <v>147</v>
      </c>
      <c r="J244" s="30" t="s">
        <v>18</v>
      </c>
      <c r="K244" s="33">
        <f>IFERROR(AVERAGEIFS('[1]Controle de Produção'!$E:$E,'[1]Controle de Produção'!$N:$N,E244,'[1]Controle de Produção'!$S:$S,J244,'[1]Controle de Produção'!$R:$R,I244),0)</f>
        <v>149.54331583814363</v>
      </c>
      <c r="L244" s="33">
        <f>IFERROR(AVERAGEIFS('[1]Controle de Produção'!$E:$E,'[1]Controle de Produção'!$S:$S,J244,'[1]Controle de Produção'!$R:$R,I244),0)</f>
        <v>175.26407181919058</v>
      </c>
      <c r="M244" s="34"/>
      <c r="N244" s="35"/>
      <c r="O244" s="30"/>
      <c r="P244" s="33"/>
      <c r="Q244" s="33"/>
      <c r="R244" s="36" t="b">
        <v>1</v>
      </c>
      <c r="S244" s="36" t="b">
        <v>0</v>
      </c>
      <c r="T244" s="36" t="b">
        <v>0</v>
      </c>
      <c r="U244" s="36" t="b">
        <v>0</v>
      </c>
      <c r="V244" s="36" t="b">
        <v>0</v>
      </c>
      <c r="W244" s="33" t="s">
        <v>954</v>
      </c>
      <c r="X244" s="37"/>
      <c r="Y244" s="43"/>
      <c r="Z244" s="37"/>
      <c r="AA244" s="37"/>
      <c r="AB244" s="37"/>
      <c r="AC244" s="37"/>
      <c r="AD244" s="37"/>
      <c r="AE244" s="37"/>
      <c r="AF244" s="37"/>
      <c r="AG244" s="37"/>
      <c r="AH244" s="32"/>
    </row>
    <row r="245" spans="2:34" hidden="1" x14ac:dyDescent="0.25">
      <c r="B245" s="30" t="s">
        <v>187</v>
      </c>
      <c r="C245" s="31" t="s">
        <v>188</v>
      </c>
      <c r="D245" s="32" t="s">
        <v>174</v>
      </c>
      <c r="E245" s="32">
        <v>50</v>
      </c>
      <c r="F245" s="32" t="s">
        <v>22</v>
      </c>
      <c r="G245" s="32" t="s">
        <v>146</v>
      </c>
      <c r="H245" s="32" t="s">
        <v>50</v>
      </c>
      <c r="I245" s="32" t="s">
        <v>147</v>
      </c>
      <c r="J245" s="30" t="s">
        <v>18</v>
      </c>
      <c r="K245" s="33">
        <f>IFERROR(AVERAGEIFS('[1]Controle de Produção'!$E:$E,'[1]Controle de Produção'!$N:$N,E245,'[1]Controle de Produção'!$S:$S,J245,'[1]Controle de Produção'!$R:$R,I245),0)</f>
        <v>149.54331583814363</v>
      </c>
      <c r="L245" s="33">
        <f>IFERROR(AVERAGEIFS('[1]Controle de Produção'!$E:$E,'[1]Controle de Produção'!$S:$S,J245,'[1]Controle de Produção'!$R:$R,I245),0)</f>
        <v>175.26407181919058</v>
      </c>
      <c r="M245" s="34"/>
      <c r="N245" s="35"/>
      <c r="O245" s="30"/>
      <c r="P245" s="33"/>
      <c r="Q245" s="33"/>
      <c r="R245" s="36" t="b">
        <v>1</v>
      </c>
      <c r="S245" s="36" t="b">
        <v>0</v>
      </c>
      <c r="T245" s="36" t="b">
        <v>0</v>
      </c>
      <c r="U245" s="36" t="b">
        <v>0</v>
      </c>
      <c r="V245" s="36" t="b">
        <v>0</v>
      </c>
      <c r="W245" s="33" t="s">
        <v>954</v>
      </c>
      <c r="X245" s="37"/>
      <c r="Y245" s="43"/>
      <c r="Z245" s="37"/>
      <c r="AA245" s="37"/>
      <c r="AB245" s="37"/>
      <c r="AC245" s="37"/>
      <c r="AD245" s="37"/>
      <c r="AE245" s="37"/>
      <c r="AF245" s="37"/>
      <c r="AG245" s="37"/>
      <c r="AH245" s="32"/>
    </row>
    <row r="246" spans="2:34" hidden="1" x14ac:dyDescent="0.25">
      <c r="B246" s="30" t="s">
        <v>189</v>
      </c>
      <c r="C246" s="31" t="s">
        <v>190</v>
      </c>
      <c r="D246" s="32" t="s">
        <v>174</v>
      </c>
      <c r="E246" s="32">
        <v>50</v>
      </c>
      <c r="F246" s="32" t="s">
        <v>22</v>
      </c>
      <c r="G246" s="32" t="s">
        <v>146</v>
      </c>
      <c r="H246" s="32" t="s">
        <v>50</v>
      </c>
      <c r="I246" s="32" t="s">
        <v>147</v>
      </c>
      <c r="J246" s="30" t="s">
        <v>18</v>
      </c>
      <c r="K246" s="33">
        <f>IFERROR(AVERAGEIFS('[1]Controle de Produção'!$E:$E,'[1]Controle de Produção'!$N:$N,E246,'[1]Controle de Produção'!$S:$S,J246,'[1]Controle de Produção'!$R:$R,I246),0)</f>
        <v>149.54331583814363</v>
      </c>
      <c r="L246" s="33">
        <f>IFERROR(AVERAGEIFS('[1]Controle de Produção'!$E:$E,'[1]Controle de Produção'!$S:$S,J246,'[1]Controle de Produção'!$R:$R,I246),0)</f>
        <v>175.26407181919058</v>
      </c>
      <c r="M246" s="34"/>
      <c r="N246" s="35"/>
      <c r="O246" s="30"/>
      <c r="P246" s="33"/>
      <c r="Q246" s="33"/>
      <c r="R246" s="36" t="b">
        <v>1</v>
      </c>
      <c r="S246" s="36" t="b">
        <v>0</v>
      </c>
      <c r="T246" s="36" t="b">
        <v>0</v>
      </c>
      <c r="U246" s="36" t="b">
        <v>0</v>
      </c>
      <c r="V246" s="36" t="b">
        <v>0</v>
      </c>
      <c r="W246" s="33" t="s">
        <v>954</v>
      </c>
      <c r="X246" s="37"/>
      <c r="Y246" s="43"/>
      <c r="Z246" s="37"/>
      <c r="AA246" s="37"/>
      <c r="AB246" s="37"/>
      <c r="AC246" s="37"/>
      <c r="AD246" s="37"/>
      <c r="AE246" s="37"/>
      <c r="AF246" s="37"/>
      <c r="AG246" s="37"/>
      <c r="AH246" s="32"/>
    </row>
    <row r="247" spans="2:34" hidden="1" x14ac:dyDescent="0.25">
      <c r="B247" s="30" t="s">
        <v>191</v>
      </c>
      <c r="C247" s="31" t="s">
        <v>192</v>
      </c>
      <c r="D247" s="32" t="s">
        <v>174</v>
      </c>
      <c r="E247" s="32">
        <v>50</v>
      </c>
      <c r="F247" s="32" t="s">
        <v>22</v>
      </c>
      <c r="G247" s="32" t="s">
        <v>146</v>
      </c>
      <c r="H247" s="32" t="s">
        <v>50</v>
      </c>
      <c r="I247" s="32" t="s">
        <v>147</v>
      </c>
      <c r="J247" s="30" t="s">
        <v>18</v>
      </c>
      <c r="K247" s="33">
        <f>IFERROR(AVERAGEIFS('[1]Controle de Produção'!$E:$E,'[1]Controle de Produção'!$N:$N,E247,'[1]Controle de Produção'!$S:$S,J247,'[1]Controle de Produção'!$R:$R,I247),0)</f>
        <v>149.54331583814363</v>
      </c>
      <c r="L247" s="33">
        <f>IFERROR(AVERAGEIFS('[1]Controle de Produção'!$E:$E,'[1]Controle de Produção'!$S:$S,J247,'[1]Controle de Produção'!$R:$R,I247),0)</f>
        <v>175.26407181919058</v>
      </c>
      <c r="M247" s="34"/>
      <c r="N247" s="35"/>
      <c r="O247" s="30"/>
      <c r="P247" s="33"/>
      <c r="Q247" s="33"/>
      <c r="R247" s="36" t="b">
        <v>1</v>
      </c>
      <c r="S247" s="36" t="b">
        <v>0</v>
      </c>
      <c r="T247" s="36" t="b">
        <v>0</v>
      </c>
      <c r="U247" s="36" t="b">
        <v>0</v>
      </c>
      <c r="V247" s="36" t="b">
        <v>0</v>
      </c>
      <c r="W247" s="33" t="s">
        <v>954</v>
      </c>
      <c r="X247" s="37"/>
      <c r="Y247" s="43"/>
      <c r="Z247" s="37"/>
      <c r="AA247" s="37"/>
      <c r="AB247" s="37"/>
      <c r="AC247" s="37"/>
      <c r="AD247" s="37"/>
      <c r="AE247" s="37"/>
      <c r="AF247" s="37"/>
      <c r="AG247" s="37"/>
      <c r="AH247" s="32"/>
    </row>
    <row r="248" spans="2:34" hidden="1" x14ac:dyDescent="0.25">
      <c r="B248" s="30" t="s">
        <v>708</v>
      </c>
      <c r="C248" s="31" t="s">
        <v>718</v>
      </c>
      <c r="D248" s="32" t="s">
        <v>174</v>
      </c>
      <c r="E248" s="32">
        <v>50</v>
      </c>
      <c r="F248" s="32" t="s">
        <v>22</v>
      </c>
      <c r="G248" s="32" t="s">
        <v>146</v>
      </c>
      <c r="H248" s="32" t="s">
        <v>50</v>
      </c>
      <c r="I248" s="32" t="s">
        <v>147</v>
      </c>
      <c r="J248" s="30" t="s">
        <v>18</v>
      </c>
      <c r="K248" s="33">
        <f>IFERROR(AVERAGEIFS('[1]Controle de Produção'!$E:$E,'[1]Controle de Produção'!$N:$N,E248,'[1]Controle de Produção'!$S:$S,J248,'[1]Controle de Produção'!$R:$R,I248),0)</f>
        <v>149.54331583814363</v>
      </c>
      <c r="L248" s="33">
        <f>IFERROR(AVERAGEIFS('[1]Controle de Produção'!$E:$E,'[1]Controle de Produção'!$S:$S,J248,'[1]Controle de Produção'!$R:$R,I248),0)</f>
        <v>175.26407181919058</v>
      </c>
      <c r="M248" s="34"/>
      <c r="N248" s="35"/>
      <c r="O248" s="30"/>
      <c r="P248" s="33"/>
      <c r="Q248" s="33"/>
      <c r="R248" s="36" t="b">
        <v>1</v>
      </c>
      <c r="S248" s="36" t="b">
        <v>0</v>
      </c>
      <c r="T248" s="36" t="b">
        <v>0</v>
      </c>
      <c r="U248" s="36" t="b">
        <v>0</v>
      </c>
      <c r="V248" s="36" t="b">
        <v>0</v>
      </c>
      <c r="W248" s="33" t="s">
        <v>954</v>
      </c>
      <c r="X248" s="37"/>
      <c r="Y248" s="43"/>
      <c r="Z248" s="37"/>
      <c r="AA248" s="37"/>
      <c r="AB248" s="37"/>
      <c r="AC248" s="37"/>
      <c r="AD248" s="37"/>
      <c r="AE248" s="37"/>
      <c r="AF248" s="37"/>
      <c r="AG248" s="37"/>
      <c r="AH248" s="32"/>
    </row>
    <row r="249" spans="2:34" hidden="1" x14ac:dyDescent="0.25">
      <c r="B249" s="30" t="s">
        <v>709</v>
      </c>
      <c r="C249" s="31" t="s">
        <v>719</v>
      </c>
      <c r="D249" s="32" t="s">
        <v>174</v>
      </c>
      <c r="E249" s="32">
        <v>50</v>
      </c>
      <c r="F249" s="32" t="s">
        <v>22</v>
      </c>
      <c r="G249" s="32" t="s">
        <v>146</v>
      </c>
      <c r="H249" s="32" t="s">
        <v>50</v>
      </c>
      <c r="I249" s="32" t="s">
        <v>147</v>
      </c>
      <c r="J249" s="30" t="s">
        <v>18</v>
      </c>
      <c r="K249" s="33">
        <f>IFERROR(AVERAGEIFS('[1]Controle de Produção'!$E:$E,'[1]Controle de Produção'!$N:$N,E249,'[1]Controle de Produção'!$S:$S,J249,'[1]Controle de Produção'!$R:$R,I249),0)</f>
        <v>149.54331583814363</v>
      </c>
      <c r="L249" s="33">
        <f>IFERROR(AVERAGEIFS('[1]Controle de Produção'!$E:$E,'[1]Controle de Produção'!$S:$S,J249,'[1]Controle de Produção'!$R:$R,I249),0)</f>
        <v>175.26407181919058</v>
      </c>
      <c r="M249" s="34"/>
      <c r="N249" s="35"/>
      <c r="O249" s="30"/>
      <c r="P249" s="33"/>
      <c r="Q249" s="33"/>
      <c r="R249" s="36" t="b">
        <v>1</v>
      </c>
      <c r="S249" s="36" t="b">
        <v>0</v>
      </c>
      <c r="T249" s="36" t="b">
        <v>0</v>
      </c>
      <c r="U249" s="36" t="b">
        <v>0</v>
      </c>
      <c r="V249" s="36" t="b">
        <v>0</v>
      </c>
      <c r="W249" s="33" t="s">
        <v>954</v>
      </c>
      <c r="X249" s="37"/>
      <c r="Y249" s="43"/>
      <c r="Z249" s="37"/>
      <c r="AA249" s="37"/>
      <c r="AB249" s="37"/>
      <c r="AC249" s="37"/>
      <c r="AD249" s="37"/>
      <c r="AE249" s="37"/>
      <c r="AF249" s="37"/>
      <c r="AG249" s="37"/>
      <c r="AH249" s="32"/>
    </row>
    <row r="250" spans="2:34" hidden="1" x14ac:dyDescent="0.25">
      <c r="B250" s="30" t="s">
        <v>710</v>
      </c>
      <c r="C250" s="31" t="s">
        <v>720</v>
      </c>
      <c r="D250" s="32" t="s">
        <v>174</v>
      </c>
      <c r="E250" s="32">
        <v>50</v>
      </c>
      <c r="F250" s="32" t="s">
        <v>22</v>
      </c>
      <c r="G250" s="32" t="s">
        <v>146</v>
      </c>
      <c r="H250" s="32" t="s">
        <v>50</v>
      </c>
      <c r="I250" s="32" t="s">
        <v>147</v>
      </c>
      <c r="J250" s="30" t="s">
        <v>18</v>
      </c>
      <c r="K250" s="33">
        <f>IFERROR(AVERAGEIFS('[1]Controle de Produção'!$E:$E,'[1]Controle de Produção'!$N:$N,E250,'[1]Controle de Produção'!$S:$S,J250,'[1]Controle de Produção'!$R:$R,I250),0)</f>
        <v>149.54331583814363</v>
      </c>
      <c r="L250" s="33">
        <f>IFERROR(AVERAGEIFS('[1]Controle de Produção'!$E:$E,'[1]Controle de Produção'!$S:$S,J250,'[1]Controle de Produção'!$R:$R,I250),0)</f>
        <v>175.26407181919058</v>
      </c>
      <c r="M250" s="34"/>
      <c r="N250" s="35"/>
      <c r="O250" s="30"/>
      <c r="P250" s="33"/>
      <c r="Q250" s="33"/>
      <c r="R250" s="36" t="b">
        <v>1</v>
      </c>
      <c r="S250" s="36" t="b">
        <v>0</v>
      </c>
      <c r="T250" s="36" t="b">
        <v>0</v>
      </c>
      <c r="U250" s="36" t="b">
        <v>0</v>
      </c>
      <c r="V250" s="36" t="b">
        <v>0</v>
      </c>
      <c r="W250" s="33" t="s">
        <v>954</v>
      </c>
      <c r="X250" s="37"/>
      <c r="Y250" s="43"/>
      <c r="Z250" s="37"/>
      <c r="AA250" s="37"/>
      <c r="AB250" s="37"/>
      <c r="AC250" s="37"/>
      <c r="AD250" s="37"/>
      <c r="AE250" s="37"/>
      <c r="AF250" s="37"/>
      <c r="AG250" s="37"/>
      <c r="AH250" s="32"/>
    </row>
    <row r="251" spans="2:34" hidden="1" x14ac:dyDescent="0.25">
      <c r="B251" s="30" t="s">
        <v>711</v>
      </c>
      <c r="C251" s="31" t="s">
        <v>721</v>
      </c>
      <c r="D251" s="32" t="s">
        <v>174</v>
      </c>
      <c r="E251" s="32">
        <v>50</v>
      </c>
      <c r="F251" s="32" t="s">
        <v>22</v>
      </c>
      <c r="G251" s="32" t="s">
        <v>146</v>
      </c>
      <c r="H251" s="32" t="s">
        <v>50</v>
      </c>
      <c r="I251" s="32" t="s">
        <v>147</v>
      </c>
      <c r="J251" s="30" t="s">
        <v>18</v>
      </c>
      <c r="K251" s="33">
        <f>IFERROR(AVERAGEIFS('[1]Controle de Produção'!$E:$E,'[1]Controle de Produção'!$N:$N,E251,'[1]Controle de Produção'!$S:$S,J251,'[1]Controle de Produção'!$R:$R,I251),0)</f>
        <v>149.54331583814363</v>
      </c>
      <c r="L251" s="33">
        <f>IFERROR(AVERAGEIFS('[1]Controle de Produção'!$E:$E,'[1]Controle de Produção'!$S:$S,J251,'[1]Controle de Produção'!$R:$R,I251),0)</f>
        <v>175.26407181919058</v>
      </c>
      <c r="M251" s="34"/>
      <c r="N251" s="35"/>
      <c r="O251" s="30"/>
      <c r="P251" s="33"/>
      <c r="Q251" s="33"/>
      <c r="R251" s="36" t="b">
        <v>1</v>
      </c>
      <c r="S251" s="36" t="b">
        <v>0</v>
      </c>
      <c r="T251" s="36" t="b">
        <v>0</v>
      </c>
      <c r="U251" s="36" t="b">
        <v>0</v>
      </c>
      <c r="V251" s="36" t="b">
        <v>0</v>
      </c>
      <c r="W251" s="33" t="s">
        <v>954</v>
      </c>
      <c r="X251" s="37"/>
      <c r="Y251" s="43"/>
      <c r="Z251" s="37"/>
      <c r="AA251" s="37"/>
      <c r="AB251" s="37"/>
      <c r="AC251" s="37"/>
      <c r="AD251" s="37"/>
      <c r="AE251" s="37"/>
      <c r="AF251" s="37"/>
      <c r="AG251" s="37"/>
      <c r="AH251" s="32"/>
    </row>
    <row r="252" spans="2:34" hidden="1" x14ac:dyDescent="0.25">
      <c r="B252" s="30" t="s">
        <v>712</v>
      </c>
      <c r="C252" s="31" t="s">
        <v>722</v>
      </c>
      <c r="D252" s="32" t="s">
        <v>174</v>
      </c>
      <c r="E252" s="32">
        <v>50</v>
      </c>
      <c r="F252" s="32" t="s">
        <v>22</v>
      </c>
      <c r="G252" s="32" t="s">
        <v>146</v>
      </c>
      <c r="H252" s="32" t="s">
        <v>50</v>
      </c>
      <c r="I252" s="32" t="s">
        <v>147</v>
      </c>
      <c r="J252" s="30" t="s">
        <v>18</v>
      </c>
      <c r="K252" s="33">
        <f>IFERROR(AVERAGEIFS('[1]Controle de Produção'!$E:$E,'[1]Controle de Produção'!$N:$N,E252,'[1]Controle de Produção'!$S:$S,J252,'[1]Controle de Produção'!$R:$R,I252),0)</f>
        <v>149.54331583814363</v>
      </c>
      <c r="L252" s="33">
        <f>IFERROR(AVERAGEIFS('[1]Controle de Produção'!$E:$E,'[1]Controle de Produção'!$S:$S,J252,'[1]Controle de Produção'!$R:$R,I252),0)</f>
        <v>175.26407181919058</v>
      </c>
      <c r="M252" s="34"/>
      <c r="N252" s="35"/>
      <c r="O252" s="30"/>
      <c r="P252" s="33"/>
      <c r="Q252" s="33"/>
      <c r="R252" s="36" t="b">
        <v>1</v>
      </c>
      <c r="S252" s="36" t="b">
        <v>0</v>
      </c>
      <c r="T252" s="36" t="b">
        <v>0</v>
      </c>
      <c r="U252" s="36" t="b">
        <v>0</v>
      </c>
      <c r="V252" s="36" t="b">
        <v>0</v>
      </c>
      <c r="W252" s="33" t="s">
        <v>954</v>
      </c>
      <c r="X252" s="37"/>
      <c r="Y252" s="43"/>
      <c r="Z252" s="37"/>
      <c r="AA252" s="37"/>
      <c r="AB252" s="37"/>
      <c r="AC252" s="37"/>
      <c r="AD252" s="37"/>
      <c r="AE252" s="37"/>
      <c r="AF252" s="37"/>
      <c r="AG252" s="37"/>
      <c r="AH252" s="32"/>
    </row>
    <row r="253" spans="2:34" hidden="1" x14ac:dyDescent="0.25">
      <c r="B253" s="30" t="s">
        <v>713</v>
      </c>
      <c r="C253" s="31" t="s">
        <v>723</v>
      </c>
      <c r="D253" s="32" t="s">
        <v>174</v>
      </c>
      <c r="E253" s="32">
        <v>50</v>
      </c>
      <c r="F253" s="32" t="s">
        <v>22</v>
      </c>
      <c r="G253" s="32" t="s">
        <v>146</v>
      </c>
      <c r="H253" s="32" t="s">
        <v>50</v>
      </c>
      <c r="I253" s="32" t="s">
        <v>147</v>
      </c>
      <c r="J253" s="30" t="s">
        <v>18</v>
      </c>
      <c r="K253" s="33">
        <f>IFERROR(AVERAGEIFS('[1]Controle de Produção'!$E:$E,'[1]Controle de Produção'!$N:$N,E253,'[1]Controle de Produção'!$S:$S,J253,'[1]Controle de Produção'!$R:$R,I253),0)</f>
        <v>149.54331583814363</v>
      </c>
      <c r="L253" s="33">
        <f>IFERROR(AVERAGEIFS('[1]Controle de Produção'!$E:$E,'[1]Controle de Produção'!$S:$S,J253,'[1]Controle de Produção'!$R:$R,I253),0)</f>
        <v>175.26407181919058</v>
      </c>
      <c r="M253" s="34"/>
      <c r="N253" s="35"/>
      <c r="O253" s="30"/>
      <c r="P253" s="33"/>
      <c r="Q253" s="33"/>
      <c r="R253" s="36" t="b">
        <v>1</v>
      </c>
      <c r="S253" s="36" t="b">
        <v>0</v>
      </c>
      <c r="T253" s="36" t="b">
        <v>0</v>
      </c>
      <c r="U253" s="36" t="b">
        <v>0</v>
      </c>
      <c r="V253" s="36" t="b">
        <v>0</v>
      </c>
      <c r="W253" s="33" t="s">
        <v>954</v>
      </c>
      <c r="X253" s="37"/>
      <c r="Y253" s="43"/>
      <c r="Z253" s="37"/>
      <c r="AA253" s="37"/>
      <c r="AB253" s="37"/>
      <c r="AC253" s="37"/>
      <c r="AD253" s="37"/>
      <c r="AE253" s="37"/>
      <c r="AF253" s="37"/>
      <c r="AG253" s="37"/>
      <c r="AH253" s="32"/>
    </row>
    <row r="254" spans="2:34" hidden="1" x14ac:dyDescent="0.25">
      <c r="B254" s="30" t="s">
        <v>714</v>
      </c>
      <c r="C254" s="31" t="s">
        <v>724</v>
      </c>
      <c r="D254" s="32" t="s">
        <v>174</v>
      </c>
      <c r="E254" s="32">
        <v>50</v>
      </c>
      <c r="F254" s="32" t="s">
        <v>22</v>
      </c>
      <c r="G254" s="32" t="s">
        <v>146</v>
      </c>
      <c r="H254" s="32" t="s">
        <v>50</v>
      </c>
      <c r="I254" s="32" t="s">
        <v>147</v>
      </c>
      <c r="J254" s="30" t="s">
        <v>18</v>
      </c>
      <c r="K254" s="33">
        <f>IFERROR(AVERAGEIFS('[1]Controle de Produção'!$E:$E,'[1]Controle de Produção'!$N:$N,E254,'[1]Controle de Produção'!$S:$S,J254,'[1]Controle de Produção'!$R:$R,I254),0)</f>
        <v>149.54331583814363</v>
      </c>
      <c r="L254" s="33">
        <f>IFERROR(AVERAGEIFS('[1]Controle de Produção'!$E:$E,'[1]Controle de Produção'!$S:$S,J254,'[1]Controle de Produção'!$R:$R,I254),0)</f>
        <v>175.26407181919058</v>
      </c>
      <c r="M254" s="34"/>
      <c r="N254" s="35"/>
      <c r="O254" s="30"/>
      <c r="P254" s="33"/>
      <c r="Q254" s="33"/>
      <c r="R254" s="36" t="b">
        <v>1</v>
      </c>
      <c r="S254" s="36" t="b">
        <v>0</v>
      </c>
      <c r="T254" s="36" t="b">
        <v>0</v>
      </c>
      <c r="U254" s="36" t="b">
        <v>0</v>
      </c>
      <c r="V254" s="36" t="b">
        <v>0</v>
      </c>
      <c r="W254" s="33" t="s">
        <v>954</v>
      </c>
      <c r="X254" s="37"/>
      <c r="Y254" s="43"/>
      <c r="Z254" s="37"/>
      <c r="AA254" s="37"/>
      <c r="AB254" s="37"/>
      <c r="AC254" s="37"/>
      <c r="AD254" s="37"/>
      <c r="AE254" s="37"/>
      <c r="AF254" s="37"/>
      <c r="AG254" s="37"/>
      <c r="AH254" s="32"/>
    </row>
    <row r="255" spans="2:34" hidden="1" x14ac:dyDescent="0.25">
      <c r="B255" s="30" t="s">
        <v>715</v>
      </c>
      <c r="C255" s="31" t="s">
        <v>725</v>
      </c>
      <c r="D255" s="32" t="s">
        <v>174</v>
      </c>
      <c r="E255" s="32">
        <v>50</v>
      </c>
      <c r="F255" s="32" t="s">
        <v>22</v>
      </c>
      <c r="G255" s="32" t="s">
        <v>146</v>
      </c>
      <c r="H255" s="32" t="s">
        <v>50</v>
      </c>
      <c r="I255" s="32" t="s">
        <v>147</v>
      </c>
      <c r="J255" s="30" t="s">
        <v>18</v>
      </c>
      <c r="K255" s="33">
        <f>IFERROR(AVERAGEIFS('[1]Controle de Produção'!$E:$E,'[1]Controle de Produção'!$N:$N,E255,'[1]Controle de Produção'!$S:$S,J255,'[1]Controle de Produção'!$R:$R,I255),0)</f>
        <v>149.54331583814363</v>
      </c>
      <c r="L255" s="33">
        <f>IFERROR(AVERAGEIFS('[1]Controle de Produção'!$E:$E,'[1]Controle de Produção'!$S:$S,J255,'[1]Controle de Produção'!$R:$R,I255),0)</f>
        <v>175.26407181919058</v>
      </c>
      <c r="M255" s="34"/>
      <c r="N255" s="35"/>
      <c r="O255" s="30"/>
      <c r="P255" s="33"/>
      <c r="Q255" s="33"/>
      <c r="R255" s="36" t="b">
        <v>1</v>
      </c>
      <c r="S255" s="36" t="b">
        <v>0</v>
      </c>
      <c r="T255" s="36" t="b">
        <v>0</v>
      </c>
      <c r="U255" s="36" t="b">
        <v>0</v>
      </c>
      <c r="V255" s="36" t="b">
        <v>0</v>
      </c>
      <c r="W255" s="33" t="s">
        <v>954</v>
      </c>
      <c r="X255" s="37"/>
      <c r="Y255" s="43"/>
      <c r="Z255" s="37"/>
      <c r="AA255" s="37"/>
      <c r="AB255" s="37"/>
      <c r="AC255" s="37"/>
      <c r="AD255" s="37"/>
      <c r="AE255" s="37"/>
      <c r="AF255" s="37"/>
      <c r="AG255" s="37"/>
      <c r="AH255" s="32"/>
    </row>
    <row r="256" spans="2:34" hidden="1" x14ac:dyDescent="0.25">
      <c r="B256" s="30" t="s">
        <v>716</v>
      </c>
      <c r="C256" s="31" t="s">
        <v>726</v>
      </c>
      <c r="D256" s="32" t="s">
        <v>174</v>
      </c>
      <c r="E256" s="32">
        <v>50</v>
      </c>
      <c r="F256" s="32" t="s">
        <v>22</v>
      </c>
      <c r="G256" s="32" t="s">
        <v>146</v>
      </c>
      <c r="H256" s="32" t="s">
        <v>50</v>
      </c>
      <c r="I256" s="32" t="s">
        <v>147</v>
      </c>
      <c r="J256" s="30" t="s">
        <v>18</v>
      </c>
      <c r="K256" s="33">
        <f>IFERROR(AVERAGEIFS('[1]Controle de Produção'!$E:$E,'[1]Controle de Produção'!$N:$N,E256,'[1]Controle de Produção'!$S:$S,J256,'[1]Controle de Produção'!$R:$R,I256),0)</f>
        <v>149.54331583814363</v>
      </c>
      <c r="L256" s="33">
        <f>IFERROR(AVERAGEIFS('[1]Controle de Produção'!$E:$E,'[1]Controle de Produção'!$S:$S,J256,'[1]Controle de Produção'!$R:$R,I256),0)</f>
        <v>175.26407181919058</v>
      </c>
      <c r="M256" s="34"/>
      <c r="N256" s="35"/>
      <c r="O256" s="30"/>
      <c r="P256" s="33"/>
      <c r="Q256" s="33"/>
      <c r="R256" s="36" t="b">
        <v>1</v>
      </c>
      <c r="S256" s="36" t="b">
        <v>0</v>
      </c>
      <c r="T256" s="36" t="b">
        <v>0</v>
      </c>
      <c r="U256" s="36" t="b">
        <v>0</v>
      </c>
      <c r="V256" s="36" t="b">
        <v>0</v>
      </c>
      <c r="W256" s="33" t="s">
        <v>954</v>
      </c>
      <c r="X256" s="37"/>
      <c r="Y256" s="43"/>
      <c r="Z256" s="37"/>
      <c r="AA256" s="37"/>
      <c r="AB256" s="37"/>
      <c r="AC256" s="37"/>
      <c r="AD256" s="37"/>
      <c r="AE256" s="37"/>
      <c r="AF256" s="37"/>
      <c r="AG256" s="37"/>
      <c r="AH256" s="32"/>
    </row>
    <row r="257" spans="2:34" hidden="1" x14ac:dyDescent="0.25">
      <c r="B257" s="30" t="s">
        <v>717</v>
      </c>
      <c r="C257" s="31" t="s">
        <v>727</v>
      </c>
      <c r="D257" s="32" t="s">
        <v>174</v>
      </c>
      <c r="E257" s="32">
        <v>50</v>
      </c>
      <c r="F257" s="32" t="s">
        <v>22</v>
      </c>
      <c r="G257" s="32" t="s">
        <v>146</v>
      </c>
      <c r="H257" s="32" t="s">
        <v>50</v>
      </c>
      <c r="I257" s="32" t="s">
        <v>147</v>
      </c>
      <c r="J257" s="30" t="s">
        <v>18</v>
      </c>
      <c r="K257" s="33">
        <f>IFERROR(AVERAGEIFS('[1]Controle de Produção'!$E:$E,'[1]Controle de Produção'!$N:$N,E257,'[1]Controle de Produção'!$S:$S,J257,'[1]Controle de Produção'!$R:$R,I257),0)</f>
        <v>149.54331583814363</v>
      </c>
      <c r="L257" s="33">
        <f>IFERROR(AVERAGEIFS('[1]Controle de Produção'!$E:$E,'[1]Controle de Produção'!$S:$S,J257,'[1]Controle de Produção'!$R:$R,I257),0)</f>
        <v>175.26407181919058</v>
      </c>
      <c r="M257" s="34"/>
      <c r="N257" s="35"/>
      <c r="O257" s="30"/>
      <c r="P257" s="33"/>
      <c r="Q257" s="33"/>
      <c r="R257" s="36" t="b">
        <v>1</v>
      </c>
      <c r="S257" s="36" t="b">
        <v>0</v>
      </c>
      <c r="T257" s="36" t="b">
        <v>0</v>
      </c>
      <c r="U257" s="36" t="b">
        <v>0</v>
      </c>
      <c r="V257" s="36" t="b">
        <v>0</v>
      </c>
      <c r="W257" s="33" t="s">
        <v>954</v>
      </c>
      <c r="X257" s="37"/>
      <c r="Y257" s="43"/>
      <c r="Z257" s="37"/>
      <c r="AA257" s="37"/>
      <c r="AB257" s="37"/>
      <c r="AC257" s="37"/>
      <c r="AD257" s="37"/>
      <c r="AE257" s="37"/>
      <c r="AF257" s="37"/>
      <c r="AG257" s="37"/>
      <c r="AH257" s="32"/>
    </row>
    <row r="258" spans="2:34" hidden="1" x14ac:dyDescent="0.25">
      <c r="B258" s="30" t="s">
        <v>193</v>
      </c>
      <c r="C258" s="31" t="s">
        <v>194</v>
      </c>
      <c r="D258" s="32" t="s">
        <v>195</v>
      </c>
      <c r="E258" s="32">
        <v>220</v>
      </c>
      <c r="F258" s="32" t="s">
        <v>22</v>
      </c>
      <c r="G258" s="32" t="s">
        <v>196</v>
      </c>
      <c r="H258" s="32" t="s">
        <v>50</v>
      </c>
      <c r="I258" s="32" t="s">
        <v>62</v>
      </c>
      <c r="J258" s="30" t="s">
        <v>18</v>
      </c>
      <c r="K258" s="33">
        <f>IFERROR(AVERAGEIFS('[1]Controle de Produção'!$E:$E,'[1]Controle de Produção'!$N:$N,E258,'[1]Controle de Produção'!$S:$S,J258,'[1]Controle de Produção'!$R:$R,I258),0)</f>
        <v>865.56038476676815</v>
      </c>
      <c r="L258" s="33">
        <f>IFERROR(AVERAGEIFS('[1]Controle de Produção'!$E:$E,'[1]Controle de Produção'!$S:$S,J258,'[1]Controle de Produção'!$R:$R,I258),0)</f>
        <v>843.58780095852239</v>
      </c>
      <c r="M258" s="34">
        <v>48</v>
      </c>
      <c r="N258" s="35"/>
      <c r="O258" s="30" t="s">
        <v>949</v>
      </c>
      <c r="P258" s="33">
        <v>7908420110251</v>
      </c>
      <c r="Q258" s="33">
        <v>17908420110258</v>
      </c>
      <c r="R258" s="36" t="b">
        <v>1</v>
      </c>
      <c r="S258" s="36" t="b">
        <v>0</v>
      </c>
      <c r="T258" s="36" t="b">
        <v>0</v>
      </c>
      <c r="U258" s="36" t="b">
        <v>1</v>
      </c>
      <c r="V258" s="36" t="b">
        <v>0</v>
      </c>
      <c r="W258" s="33" t="s">
        <v>954</v>
      </c>
      <c r="X258" s="37"/>
      <c r="Y258" s="43">
        <v>0.51</v>
      </c>
      <c r="Z258" s="37"/>
      <c r="AA258" s="37"/>
      <c r="AB258" s="37"/>
      <c r="AC258" s="37"/>
      <c r="AD258" s="37"/>
      <c r="AE258" s="37"/>
      <c r="AF258" s="37"/>
      <c r="AG258" s="37"/>
      <c r="AH258" s="32"/>
    </row>
    <row r="259" spans="2:34" hidden="1" x14ac:dyDescent="0.25">
      <c r="B259" s="30" t="s">
        <v>197</v>
      </c>
      <c r="C259" s="31" t="s">
        <v>198</v>
      </c>
      <c r="D259" s="32" t="s">
        <v>195</v>
      </c>
      <c r="E259" s="32">
        <v>220</v>
      </c>
      <c r="F259" s="30" t="s">
        <v>22</v>
      </c>
      <c r="G259" s="32" t="s">
        <v>196</v>
      </c>
      <c r="H259" s="32" t="s">
        <v>50</v>
      </c>
      <c r="I259" s="32" t="s">
        <v>62</v>
      </c>
      <c r="J259" s="30" t="s">
        <v>18</v>
      </c>
      <c r="K259" s="33">
        <f>IFERROR(AVERAGEIFS('[1]Controle de Produção'!$E:$E,'[1]Controle de Produção'!$N:$N,E259,'[1]Controle de Produção'!$S:$S,J259,'[1]Controle de Produção'!$R:$R,I259),0)</f>
        <v>865.56038476676815</v>
      </c>
      <c r="L259" s="33">
        <f>IFERROR(AVERAGEIFS('[1]Controle de Produção'!$E:$E,'[1]Controle de Produção'!$S:$S,J259,'[1]Controle de Produção'!$R:$R,I259),0)</f>
        <v>843.58780095852239</v>
      </c>
      <c r="M259" s="34">
        <v>48</v>
      </c>
      <c r="N259" s="35"/>
      <c r="O259" s="30" t="s">
        <v>951</v>
      </c>
      <c r="P259" s="33">
        <v>7908420110237</v>
      </c>
      <c r="Q259" s="33">
        <v>17908420110234</v>
      </c>
      <c r="R259" s="36" t="b">
        <v>1</v>
      </c>
      <c r="S259" s="36" t="b">
        <v>0</v>
      </c>
      <c r="T259" s="36" t="b">
        <v>0</v>
      </c>
      <c r="U259" s="36" t="b">
        <v>0</v>
      </c>
      <c r="V259" s="36" t="b">
        <v>0</v>
      </c>
      <c r="W259" s="33" t="s">
        <v>954</v>
      </c>
      <c r="X259" s="37"/>
      <c r="Y259" s="43">
        <v>0.51</v>
      </c>
      <c r="Z259" s="37"/>
      <c r="AA259" s="37"/>
      <c r="AB259" s="37"/>
      <c r="AC259" s="37"/>
      <c r="AD259" s="37"/>
      <c r="AE259" s="37"/>
      <c r="AF259" s="37"/>
      <c r="AG259" s="37"/>
      <c r="AH259" s="32"/>
    </row>
    <row r="260" spans="2:34" hidden="1" x14ac:dyDescent="0.25">
      <c r="B260" s="30" t="s">
        <v>199</v>
      </c>
      <c r="C260" s="31" t="s">
        <v>200</v>
      </c>
      <c r="D260" s="32" t="s">
        <v>195</v>
      </c>
      <c r="E260" s="32">
        <v>220</v>
      </c>
      <c r="F260" s="30" t="s">
        <v>22</v>
      </c>
      <c r="G260" s="32" t="s">
        <v>196</v>
      </c>
      <c r="H260" s="32" t="s">
        <v>50</v>
      </c>
      <c r="I260" s="32" t="s">
        <v>62</v>
      </c>
      <c r="J260" s="30" t="s">
        <v>18</v>
      </c>
      <c r="K260" s="33">
        <f>IFERROR(AVERAGEIFS('[1]Controle de Produção'!$E:$E,'[1]Controle de Produção'!$N:$N,E260,'[1]Controle de Produção'!$S:$S,J260,'[1]Controle de Produção'!$R:$R,I260),0)</f>
        <v>865.56038476676815</v>
      </c>
      <c r="L260" s="33">
        <f>IFERROR(AVERAGEIFS('[1]Controle de Produção'!$E:$E,'[1]Controle de Produção'!$S:$S,J260,'[1]Controle de Produção'!$R:$R,I260),0)</f>
        <v>843.58780095852239</v>
      </c>
      <c r="M260" s="34">
        <v>48</v>
      </c>
      <c r="N260" s="35"/>
      <c r="O260" s="30" t="s">
        <v>950</v>
      </c>
      <c r="P260" s="33">
        <v>7908420110244</v>
      </c>
      <c r="Q260" s="33">
        <v>17908420110241</v>
      </c>
      <c r="R260" s="36" t="b">
        <v>1</v>
      </c>
      <c r="S260" s="36" t="b">
        <v>0</v>
      </c>
      <c r="T260" s="36" t="b">
        <v>0</v>
      </c>
      <c r="U260" s="36" t="b">
        <v>1</v>
      </c>
      <c r="V260" s="36" t="b">
        <v>0</v>
      </c>
      <c r="W260" s="33" t="s">
        <v>954</v>
      </c>
      <c r="X260" s="37"/>
      <c r="Y260" s="43">
        <v>0.51</v>
      </c>
      <c r="Z260" s="37"/>
      <c r="AA260" s="37"/>
      <c r="AB260" s="37"/>
      <c r="AC260" s="37"/>
      <c r="AD260" s="37"/>
      <c r="AE260" s="37"/>
      <c r="AF260" s="37"/>
      <c r="AG260" s="37"/>
      <c r="AH260" s="32"/>
    </row>
    <row r="261" spans="2:34" hidden="1" x14ac:dyDescent="0.25">
      <c r="B261" s="30" t="s">
        <v>201</v>
      </c>
      <c r="C261" s="31" t="s">
        <v>1133</v>
      </c>
      <c r="D261" s="32" t="s">
        <v>195</v>
      </c>
      <c r="E261" s="32">
        <v>220</v>
      </c>
      <c r="F261" s="32" t="s">
        <v>22</v>
      </c>
      <c r="G261" s="32" t="s">
        <v>196</v>
      </c>
      <c r="H261" s="32" t="s">
        <v>50</v>
      </c>
      <c r="I261" s="32" t="s">
        <v>62</v>
      </c>
      <c r="J261" s="30" t="s">
        <v>18</v>
      </c>
      <c r="K261" s="33">
        <f>IFERROR(AVERAGEIFS('[1]Controle de Produção'!$E:$E,'[1]Controle de Produção'!$N:$N,E261,'[1]Controle de Produção'!$S:$S,J261,'[1]Controle de Produção'!$R:$R,I261),0)</f>
        <v>865.56038476676815</v>
      </c>
      <c r="L261" s="33">
        <f>IFERROR(AVERAGEIFS('[1]Controle de Produção'!$E:$E,'[1]Controle de Produção'!$S:$S,J261,'[1]Controle de Produção'!$R:$R,I261),0)</f>
        <v>843.58780095852239</v>
      </c>
      <c r="M261" s="34">
        <v>48</v>
      </c>
      <c r="N261" s="35"/>
      <c r="O261" s="30" t="s">
        <v>1129</v>
      </c>
      <c r="P261" s="33">
        <v>7908420110220</v>
      </c>
      <c r="Q261" s="33">
        <v>17908420110227</v>
      </c>
      <c r="R261" s="36" t="b">
        <v>1</v>
      </c>
      <c r="S261" s="36" t="b">
        <v>0</v>
      </c>
      <c r="T261" s="36" t="b">
        <v>0</v>
      </c>
      <c r="U261" s="36" t="b">
        <v>0</v>
      </c>
      <c r="V261" s="36" t="b">
        <v>0</v>
      </c>
      <c r="W261" s="33" t="s">
        <v>954</v>
      </c>
      <c r="X261" s="37"/>
      <c r="Y261" s="43">
        <v>0.51</v>
      </c>
      <c r="Z261" s="37"/>
      <c r="AA261" s="37"/>
      <c r="AB261" s="37"/>
      <c r="AC261" s="37"/>
      <c r="AD261" s="37"/>
      <c r="AE261" s="37"/>
      <c r="AF261" s="37"/>
      <c r="AG261" s="37"/>
      <c r="AH261" s="32"/>
    </row>
    <row r="262" spans="2:34" hidden="1" x14ac:dyDescent="0.25">
      <c r="B262" s="30" t="s">
        <v>202</v>
      </c>
      <c r="C262" s="31" t="s">
        <v>1132</v>
      </c>
      <c r="D262" s="32" t="s">
        <v>195</v>
      </c>
      <c r="E262" s="32">
        <v>220</v>
      </c>
      <c r="F262" s="32" t="s">
        <v>22</v>
      </c>
      <c r="G262" s="32" t="s">
        <v>196</v>
      </c>
      <c r="H262" s="32" t="s">
        <v>50</v>
      </c>
      <c r="I262" s="38" t="s">
        <v>62</v>
      </c>
      <c r="J262" s="30" t="s">
        <v>18</v>
      </c>
      <c r="K262" s="33">
        <f>IFERROR(AVERAGEIFS('[1]Controle de Produção'!$E:$E,'[1]Controle de Produção'!$N:$N,E262,'[1]Controle de Produção'!$S:$S,J262,'[1]Controle de Produção'!$R:$R,I262),0)</f>
        <v>865.56038476676815</v>
      </c>
      <c r="L262" s="33">
        <f>IFERROR(AVERAGEIFS('[1]Controle de Produção'!$E:$E,'[1]Controle de Produção'!$S:$S,J262,'[1]Controle de Produção'!$R:$R,I262),0)</f>
        <v>843.58780095852239</v>
      </c>
      <c r="M262" s="34">
        <v>48</v>
      </c>
      <c r="N262" s="35"/>
      <c r="O262" s="30" t="s">
        <v>948</v>
      </c>
      <c r="P262" s="33">
        <v>7908420112118</v>
      </c>
      <c r="Q262" s="33">
        <v>17908420112115</v>
      </c>
      <c r="R262" s="36" t="b">
        <v>1</v>
      </c>
      <c r="S262" s="36" t="b">
        <v>1</v>
      </c>
      <c r="T262" s="36" t="b">
        <v>1</v>
      </c>
      <c r="U262" s="36" t="b">
        <v>1</v>
      </c>
      <c r="V262" s="36" t="b">
        <v>1</v>
      </c>
      <c r="W262" s="33" t="s">
        <v>954</v>
      </c>
      <c r="X262" s="37"/>
      <c r="Y262" s="43">
        <v>1.1000000000000001</v>
      </c>
      <c r="Z262" s="37"/>
      <c r="AA262" s="37"/>
      <c r="AB262" s="37"/>
      <c r="AC262" s="37"/>
      <c r="AD262" s="37"/>
      <c r="AE262" s="37"/>
      <c r="AF262" s="37"/>
      <c r="AG262" s="37"/>
      <c r="AH262" s="32" t="s">
        <v>203</v>
      </c>
    </row>
    <row r="263" spans="2:34" hidden="1" x14ac:dyDescent="0.25">
      <c r="B263" s="30" t="s">
        <v>1066</v>
      </c>
      <c r="C263" s="31" t="s">
        <v>1080</v>
      </c>
      <c r="D263" s="32" t="s">
        <v>195</v>
      </c>
      <c r="E263" s="32">
        <v>215</v>
      </c>
      <c r="F263" s="32" t="s">
        <v>22</v>
      </c>
      <c r="G263" s="32" t="s">
        <v>196</v>
      </c>
      <c r="H263" s="32" t="s">
        <v>50</v>
      </c>
      <c r="I263" s="38" t="s">
        <v>62</v>
      </c>
      <c r="J263" s="30" t="s">
        <v>18</v>
      </c>
      <c r="K263" s="33">
        <f>IFERROR(AVERAGEIFS('[1]Controle de Produção'!$E:$E,'[1]Controle de Produção'!$N:$N,E263,'[1]Controle de Produção'!$S:$S,J263,'[1]Controle de Produção'!$R:$R,I263),0)</f>
        <v>795.27770410852099</v>
      </c>
      <c r="L263" s="33">
        <f>IFERROR(AVERAGEIFS('[1]Controle de Produção'!$E:$E,'[1]Controle de Produção'!$S:$S,J263,'[1]Controle de Produção'!$R:$R,I263),0)</f>
        <v>843.58780095852239</v>
      </c>
      <c r="M263" s="34">
        <v>48</v>
      </c>
      <c r="N263" s="35"/>
      <c r="O263" s="30" t="s">
        <v>1073</v>
      </c>
      <c r="P263" s="33">
        <v>7908420116734</v>
      </c>
      <c r="Q263" s="33">
        <v>17908420116731</v>
      </c>
      <c r="R263" s="36" t="b">
        <v>1</v>
      </c>
      <c r="S263" s="36" t="b">
        <v>1</v>
      </c>
      <c r="T263" s="36" t="b">
        <v>1</v>
      </c>
      <c r="U263" s="36" t="b">
        <v>1</v>
      </c>
      <c r="V263" s="36" t="b">
        <v>0</v>
      </c>
      <c r="W263" s="33" t="s">
        <v>954</v>
      </c>
      <c r="X263" s="37"/>
      <c r="Y263" s="43">
        <v>0.85</v>
      </c>
      <c r="Z263" s="37"/>
      <c r="AA263" s="37"/>
      <c r="AB263" s="37"/>
      <c r="AC263" s="37"/>
      <c r="AD263" s="37"/>
      <c r="AE263" s="37"/>
      <c r="AF263" s="37"/>
      <c r="AG263" s="37"/>
      <c r="AH263" s="32"/>
    </row>
    <row r="264" spans="2:34" hidden="1" x14ac:dyDescent="0.25">
      <c r="B264" s="30" t="s">
        <v>1067</v>
      </c>
      <c r="C264" s="31" t="s">
        <v>1134</v>
      </c>
      <c r="D264" s="32" t="s">
        <v>195</v>
      </c>
      <c r="E264" s="32">
        <v>215</v>
      </c>
      <c r="F264" s="32" t="s">
        <v>22</v>
      </c>
      <c r="G264" s="32" t="s">
        <v>196</v>
      </c>
      <c r="H264" s="32" t="s">
        <v>50</v>
      </c>
      <c r="I264" s="38" t="s">
        <v>62</v>
      </c>
      <c r="J264" s="30" t="s">
        <v>18</v>
      </c>
      <c r="K264" s="33">
        <f>IFERROR(AVERAGEIFS('[1]Controle de Produção'!$E:$E,'[1]Controle de Produção'!$N:$N,E264,'[1]Controle de Produção'!$S:$S,J264,'[1]Controle de Produção'!$R:$R,I264),0)</f>
        <v>795.27770410852099</v>
      </c>
      <c r="L264" s="33">
        <f>IFERROR(AVERAGEIFS('[1]Controle de Produção'!$E:$E,'[1]Controle de Produção'!$S:$S,J264,'[1]Controle de Produção'!$R:$R,I264),0)</f>
        <v>843.58780095852239</v>
      </c>
      <c r="M264" s="34">
        <v>48</v>
      </c>
      <c r="N264" s="35"/>
      <c r="O264" s="30" t="s">
        <v>1074</v>
      </c>
      <c r="P264" s="33">
        <v>7908420116741</v>
      </c>
      <c r="Q264" s="33">
        <v>17908420116748</v>
      </c>
      <c r="R264" s="36" t="b">
        <v>1</v>
      </c>
      <c r="S264" s="36" t="b">
        <v>1</v>
      </c>
      <c r="T264" s="36" t="b">
        <v>1</v>
      </c>
      <c r="U264" s="36" t="b">
        <v>0</v>
      </c>
      <c r="V264" s="36" t="b">
        <v>0</v>
      </c>
      <c r="W264" s="33" t="s">
        <v>954</v>
      </c>
      <c r="X264" s="37"/>
      <c r="Y264" s="43">
        <v>0.85</v>
      </c>
      <c r="Z264" s="37"/>
      <c r="AA264" s="37"/>
      <c r="AB264" s="37"/>
      <c r="AC264" s="37"/>
      <c r="AD264" s="37"/>
      <c r="AE264" s="37"/>
      <c r="AF264" s="37"/>
      <c r="AG264" s="37"/>
      <c r="AH264" s="32"/>
    </row>
    <row r="265" spans="2:34" hidden="1" x14ac:dyDescent="0.25">
      <c r="B265" s="30" t="s">
        <v>1068</v>
      </c>
      <c r="C265" s="31" t="s">
        <v>1081</v>
      </c>
      <c r="D265" s="32" t="s">
        <v>195</v>
      </c>
      <c r="E265" s="32">
        <v>215</v>
      </c>
      <c r="F265" s="32" t="s">
        <v>22</v>
      </c>
      <c r="G265" s="32" t="s">
        <v>196</v>
      </c>
      <c r="H265" s="32" t="s">
        <v>50</v>
      </c>
      <c r="I265" s="38" t="s">
        <v>62</v>
      </c>
      <c r="J265" s="30" t="s">
        <v>18</v>
      </c>
      <c r="K265" s="33">
        <f>IFERROR(AVERAGEIFS('[1]Controle de Produção'!$E:$E,'[1]Controle de Produção'!$N:$N,E265,'[1]Controle de Produção'!$S:$S,J265,'[1]Controle de Produção'!$R:$R,I265),0)</f>
        <v>795.27770410852099</v>
      </c>
      <c r="L265" s="33">
        <f>IFERROR(AVERAGEIFS('[1]Controle de Produção'!$E:$E,'[1]Controle de Produção'!$S:$S,J265,'[1]Controle de Produção'!$R:$R,I265),0)</f>
        <v>843.58780095852239</v>
      </c>
      <c r="M265" s="34">
        <v>48</v>
      </c>
      <c r="N265" s="35"/>
      <c r="O265" s="30" t="s">
        <v>1075</v>
      </c>
      <c r="P265" s="33">
        <v>7908420116758</v>
      </c>
      <c r="Q265" s="33">
        <v>17908420116755</v>
      </c>
      <c r="R265" s="36" t="b">
        <v>1</v>
      </c>
      <c r="S265" s="36" t="b">
        <v>1</v>
      </c>
      <c r="T265" s="36" t="b">
        <v>1</v>
      </c>
      <c r="U265" s="36" t="b">
        <v>0</v>
      </c>
      <c r="V265" s="36" t="b">
        <v>0</v>
      </c>
      <c r="W265" s="33" t="s">
        <v>954</v>
      </c>
      <c r="X265" s="37"/>
      <c r="Y265" s="43">
        <v>0.85</v>
      </c>
      <c r="Z265" s="37"/>
      <c r="AA265" s="37"/>
      <c r="AB265" s="37"/>
      <c r="AC265" s="37"/>
      <c r="AD265" s="37"/>
      <c r="AE265" s="37"/>
      <c r="AF265" s="37"/>
      <c r="AG265" s="37"/>
      <c r="AH265" s="32"/>
    </row>
    <row r="266" spans="2:34" hidden="1" x14ac:dyDescent="0.25">
      <c r="B266" s="30" t="s">
        <v>1069</v>
      </c>
      <c r="C266" s="31" t="s">
        <v>1082</v>
      </c>
      <c r="D266" s="32" t="s">
        <v>195</v>
      </c>
      <c r="E266" s="32">
        <v>215</v>
      </c>
      <c r="F266" s="32" t="s">
        <v>22</v>
      </c>
      <c r="G266" s="32" t="s">
        <v>196</v>
      </c>
      <c r="H266" s="32" t="s">
        <v>50</v>
      </c>
      <c r="I266" s="38" t="s">
        <v>62</v>
      </c>
      <c r="J266" s="30" t="s">
        <v>18</v>
      </c>
      <c r="K266" s="33">
        <f>IFERROR(AVERAGEIFS('[1]Controle de Produção'!$E:$E,'[1]Controle de Produção'!$N:$N,E266,'[1]Controle de Produção'!$S:$S,J266,'[1]Controle de Produção'!$R:$R,I266),0)</f>
        <v>795.27770410852099</v>
      </c>
      <c r="L266" s="33">
        <f>IFERROR(AVERAGEIFS('[1]Controle de Produção'!$E:$E,'[1]Controle de Produção'!$S:$S,J266,'[1]Controle de Produção'!$R:$R,I266),0)</f>
        <v>843.58780095852239</v>
      </c>
      <c r="M266" s="34">
        <v>48</v>
      </c>
      <c r="N266" s="35"/>
      <c r="O266" s="30" t="s">
        <v>1076</v>
      </c>
      <c r="P266" s="33">
        <v>7908420116765</v>
      </c>
      <c r="Q266" s="33">
        <v>17908420116762</v>
      </c>
      <c r="R266" s="36" t="b">
        <v>1</v>
      </c>
      <c r="S266" s="36" t="b">
        <v>1</v>
      </c>
      <c r="T266" s="36" t="b">
        <v>1</v>
      </c>
      <c r="U266" s="36" t="b">
        <v>0</v>
      </c>
      <c r="V266" s="36" t="b">
        <v>0</v>
      </c>
      <c r="W266" s="33" t="s">
        <v>954</v>
      </c>
      <c r="X266" s="37"/>
      <c r="Y266" s="43">
        <v>0.85000000000000009</v>
      </c>
      <c r="Z266" s="37"/>
      <c r="AA266" s="37"/>
      <c r="AB266" s="37"/>
      <c r="AC266" s="37"/>
      <c r="AD266" s="37"/>
      <c r="AE266" s="37"/>
      <c r="AF266" s="37"/>
      <c r="AG266" s="37"/>
      <c r="AH266" s="32"/>
    </row>
    <row r="267" spans="2:34" hidden="1" x14ac:dyDescent="0.25">
      <c r="B267" s="30" t="s">
        <v>1070</v>
      </c>
      <c r="C267" s="31" t="s">
        <v>1083</v>
      </c>
      <c r="D267" s="32" t="s">
        <v>195</v>
      </c>
      <c r="E267" s="32">
        <v>215</v>
      </c>
      <c r="F267" s="32" t="s">
        <v>22</v>
      </c>
      <c r="G267" s="32" t="s">
        <v>196</v>
      </c>
      <c r="H267" s="32" t="s">
        <v>50</v>
      </c>
      <c r="I267" s="38" t="s">
        <v>62</v>
      </c>
      <c r="J267" s="30" t="s">
        <v>18</v>
      </c>
      <c r="K267" s="33">
        <f>IFERROR(AVERAGEIFS('[1]Controle de Produção'!$E:$E,'[1]Controle de Produção'!$N:$N,E267,'[1]Controle de Produção'!$S:$S,J267,'[1]Controle de Produção'!$R:$R,I267),0)</f>
        <v>795.27770410852099</v>
      </c>
      <c r="L267" s="33">
        <f>IFERROR(AVERAGEIFS('[1]Controle de Produção'!$E:$E,'[1]Controle de Produção'!$S:$S,J267,'[1]Controle de Produção'!$R:$R,I267),0)</f>
        <v>843.58780095852239</v>
      </c>
      <c r="M267" s="34">
        <v>48</v>
      </c>
      <c r="N267" s="35"/>
      <c r="O267" s="30" t="s">
        <v>1077</v>
      </c>
      <c r="P267" s="33">
        <v>7908420116772</v>
      </c>
      <c r="Q267" s="33">
        <v>17908420116779</v>
      </c>
      <c r="R267" s="36" t="b">
        <v>1</v>
      </c>
      <c r="S267" s="36" t="b">
        <v>1</v>
      </c>
      <c r="T267" s="36" t="b">
        <v>1</v>
      </c>
      <c r="U267" s="36" t="b">
        <v>0</v>
      </c>
      <c r="V267" s="36" t="b">
        <v>0</v>
      </c>
      <c r="W267" s="33" t="s">
        <v>954</v>
      </c>
      <c r="X267" s="37"/>
      <c r="Y267" s="43">
        <v>0.85</v>
      </c>
      <c r="Z267" s="37"/>
      <c r="AA267" s="37"/>
      <c r="AB267" s="37"/>
      <c r="AC267" s="37"/>
      <c r="AD267" s="37"/>
      <c r="AE267" s="37"/>
      <c r="AF267" s="37"/>
      <c r="AG267" s="37"/>
      <c r="AH267" s="32"/>
    </row>
    <row r="268" spans="2:34" hidden="1" x14ac:dyDescent="0.25">
      <c r="B268" s="30" t="s">
        <v>1071</v>
      </c>
      <c r="C268" s="31" t="s">
        <v>1084</v>
      </c>
      <c r="D268" s="32" t="s">
        <v>195</v>
      </c>
      <c r="E268" s="32">
        <v>215</v>
      </c>
      <c r="F268" s="32" t="s">
        <v>22</v>
      </c>
      <c r="G268" s="32" t="s">
        <v>196</v>
      </c>
      <c r="H268" s="32" t="s">
        <v>50</v>
      </c>
      <c r="I268" s="38" t="s">
        <v>62</v>
      </c>
      <c r="J268" s="30" t="s">
        <v>18</v>
      </c>
      <c r="K268" s="33">
        <f>IFERROR(AVERAGEIFS('[1]Controle de Produção'!$E:$E,'[1]Controle de Produção'!$N:$N,E268,'[1]Controle de Produção'!$S:$S,J268,'[1]Controle de Produção'!$R:$R,I268),0)</f>
        <v>795.27770410852099</v>
      </c>
      <c r="L268" s="33">
        <f>IFERROR(AVERAGEIFS('[1]Controle de Produção'!$E:$E,'[1]Controle de Produção'!$S:$S,J268,'[1]Controle de Produção'!$R:$R,I268),0)</f>
        <v>843.58780095852239</v>
      </c>
      <c r="M268" s="34">
        <v>48</v>
      </c>
      <c r="N268" s="35"/>
      <c r="O268" s="30" t="s">
        <v>1078</v>
      </c>
      <c r="P268" s="33">
        <v>7908420116789</v>
      </c>
      <c r="Q268" s="33">
        <v>17908420116786</v>
      </c>
      <c r="R268" s="36" t="b">
        <v>1</v>
      </c>
      <c r="S268" s="36" t="b">
        <v>1</v>
      </c>
      <c r="T268" s="36" t="b">
        <v>1</v>
      </c>
      <c r="U268" s="36" t="b">
        <v>0</v>
      </c>
      <c r="V268" s="36" t="b">
        <v>0</v>
      </c>
      <c r="W268" s="33" t="s">
        <v>954</v>
      </c>
      <c r="X268" s="37"/>
      <c r="Y268" s="43">
        <v>0.85</v>
      </c>
      <c r="Z268" s="37"/>
      <c r="AA268" s="37"/>
      <c r="AB268" s="37"/>
      <c r="AC268" s="37"/>
      <c r="AD268" s="37"/>
      <c r="AE268" s="37"/>
      <c r="AF268" s="37"/>
      <c r="AG268" s="37"/>
      <c r="AH268" s="32"/>
    </row>
    <row r="269" spans="2:34" hidden="1" x14ac:dyDescent="0.25">
      <c r="B269" s="30" t="s">
        <v>1072</v>
      </c>
      <c r="C269" s="31" t="s">
        <v>1085</v>
      </c>
      <c r="D269" s="32" t="s">
        <v>195</v>
      </c>
      <c r="E269" s="32">
        <v>215</v>
      </c>
      <c r="F269" s="32" t="s">
        <v>22</v>
      </c>
      <c r="G269" s="32" t="s">
        <v>196</v>
      </c>
      <c r="H269" s="32" t="s">
        <v>50</v>
      </c>
      <c r="I269" s="38" t="s">
        <v>62</v>
      </c>
      <c r="J269" s="30" t="s">
        <v>18</v>
      </c>
      <c r="K269" s="33">
        <f>IFERROR(AVERAGEIFS('[1]Controle de Produção'!$E:$E,'[1]Controle de Produção'!$N:$N,E269,'[1]Controle de Produção'!$S:$S,J269,'[1]Controle de Produção'!$R:$R,I269),0)</f>
        <v>795.27770410852099</v>
      </c>
      <c r="L269" s="33">
        <f>IFERROR(AVERAGEIFS('[1]Controle de Produção'!$E:$E,'[1]Controle de Produção'!$S:$S,J269,'[1]Controle de Produção'!$R:$R,I269),0)</f>
        <v>843.58780095852239</v>
      </c>
      <c r="M269" s="34">
        <v>48</v>
      </c>
      <c r="N269" s="35"/>
      <c r="O269" s="30" t="s">
        <v>1079</v>
      </c>
      <c r="P269" s="33">
        <v>7908420116796</v>
      </c>
      <c r="Q269" s="33">
        <v>17908420116793</v>
      </c>
      <c r="R269" s="36" t="b">
        <v>1</v>
      </c>
      <c r="S269" s="36" t="b">
        <v>1</v>
      </c>
      <c r="T269" s="36" t="b">
        <v>1</v>
      </c>
      <c r="U269" s="36" t="b">
        <v>0</v>
      </c>
      <c r="V269" s="36" t="b">
        <v>0</v>
      </c>
      <c r="W269" s="33" t="s">
        <v>954</v>
      </c>
      <c r="X269" s="37"/>
      <c r="Y269" s="43">
        <v>0.85</v>
      </c>
      <c r="Z269" s="37"/>
      <c r="AA269" s="37"/>
      <c r="AB269" s="37"/>
      <c r="AC269" s="37"/>
      <c r="AD269" s="37"/>
      <c r="AE269" s="37"/>
      <c r="AF269" s="37"/>
      <c r="AG269" s="37"/>
      <c r="AH269" s="32"/>
    </row>
    <row r="270" spans="2:34" hidden="1" x14ac:dyDescent="0.25">
      <c r="B270" s="30" t="s">
        <v>204</v>
      </c>
      <c r="C270" s="31" t="s">
        <v>205</v>
      </c>
      <c r="D270" s="32" t="s">
        <v>195</v>
      </c>
      <c r="E270" s="30">
        <v>250</v>
      </c>
      <c r="F270" s="30" t="s">
        <v>88</v>
      </c>
      <c r="G270" s="32" t="s">
        <v>196</v>
      </c>
      <c r="H270" s="32" t="s">
        <v>10</v>
      </c>
      <c r="I270" s="32" t="s">
        <v>68</v>
      </c>
      <c r="J270" s="30" t="s">
        <v>12</v>
      </c>
      <c r="K270" s="33">
        <f>IFERROR(AVERAGEIFS('[1]Controle de Produção'!$E:$E,'[1]Controle de Produção'!$N:$N,E270,'[1]Controle de Produção'!$S:$S,J270,'[1]Controle de Produção'!$R:$R,I270),0)</f>
        <v>779.51438304552892</v>
      </c>
      <c r="L270" s="33">
        <f>IFERROR(AVERAGEIFS('[1]Controle de Produção'!$E:$E,'[1]Controle de Produção'!$S:$S,J270,'[1]Controle de Produção'!$R:$R,I270),0)</f>
        <v>721.11737989561891</v>
      </c>
      <c r="M270" s="34">
        <v>36</v>
      </c>
      <c r="N270" s="35"/>
      <c r="O270" s="30"/>
      <c r="P270" s="33"/>
      <c r="Q270" s="33"/>
      <c r="R270" s="36" t="b">
        <v>1</v>
      </c>
      <c r="S270" s="36" t="b">
        <v>0</v>
      </c>
      <c r="T270" s="36" t="b">
        <v>0</v>
      </c>
      <c r="U270" s="36" t="b">
        <v>0</v>
      </c>
      <c r="V270" s="36" t="b">
        <v>0</v>
      </c>
      <c r="W270" s="33" t="s">
        <v>953</v>
      </c>
      <c r="X270" s="37"/>
      <c r="Y270" s="43"/>
      <c r="Z270" s="37"/>
      <c r="AA270" s="37"/>
      <c r="AB270" s="37"/>
      <c r="AC270" s="37"/>
      <c r="AD270" s="37"/>
      <c r="AE270" s="37"/>
      <c r="AF270" s="37"/>
      <c r="AG270" s="37"/>
      <c r="AH270" s="32"/>
    </row>
    <row r="271" spans="2:34" hidden="1" x14ac:dyDescent="0.25">
      <c r="B271" s="30" t="s">
        <v>206</v>
      </c>
      <c r="C271" s="31" t="s">
        <v>207</v>
      </c>
      <c r="D271" s="32" t="s">
        <v>195</v>
      </c>
      <c r="E271" s="30">
        <v>250</v>
      </c>
      <c r="F271" s="30" t="s">
        <v>88</v>
      </c>
      <c r="G271" s="32" t="s">
        <v>196</v>
      </c>
      <c r="H271" s="32" t="s">
        <v>10</v>
      </c>
      <c r="I271" s="32" t="s">
        <v>68</v>
      </c>
      <c r="J271" s="30" t="s">
        <v>12</v>
      </c>
      <c r="K271" s="33">
        <f>IFERROR(AVERAGEIFS('[1]Controle de Produção'!$E:$E,'[1]Controle de Produção'!$N:$N,E271,'[1]Controle de Produção'!$S:$S,J271,'[1]Controle de Produção'!$R:$R,I271),0)</f>
        <v>779.51438304552892</v>
      </c>
      <c r="L271" s="33">
        <f>IFERROR(AVERAGEIFS('[1]Controle de Produção'!$E:$E,'[1]Controle de Produção'!$S:$S,J271,'[1]Controle de Produção'!$R:$R,I271),0)</f>
        <v>721.11737989561891</v>
      </c>
      <c r="M271" s="34">
        <v>36</v>
      </c>
      <c r="N271" s="35"/>
      <c r="O271" s="30"/>
      <c r="P271" s="33"/>
      <c r="Q271" s="33"/>
      <c r="R271" s="36" t="b">
        <v>1</v>
      </c>
      <c r="S271" s="36" t="b">
        <v>0</v>
      </c>
      <c r="T271" s="36" t="b">
        <v>0</v>
      </c>
      <c r="U271" s="36" t="b">
        <v>0</v>
      </c>
      <c r="V271" s="36" t="b">
        <v>0</v>
      </c>
      <c r="W271" s="33" t="s">
        <v>953</v>
      </c>
      <c r="X271" s="37"/>
      <c r="Y271" s="43"/>
      <c r="Z271" s="37"/>
      <c r="AA271" s="37"/>
      <c r="AB271" s="37"/>
      <c r="AC271" s="37"/>
      <c r="AD271" s="37"/>
      <c r="AE271" s="37"/>
      <c r="AF271" s="37"/>
      <c r="AG271" s="37"/>
      <c r="AH271" s="32"/>
    </row>
    <row r="272" spans="2:34" hidden="1" x14ac:dyDescent="0.25">
      <c r="B272" s="30" t="s">
        <v>208</v>
      </c>
      <c r="C272" s="31" t="s">
        <v>209</v>
      </c>
      <c r="D272" s="32" t="s">
        <v>195</v>
      </c>
      <c r="E272" s="32">
        <v>200</v>
      </c>
      <c r="F272" s="32" t="s">
        <v>22</v>
      </c>
      <c r="G272" s="32" t="s">
        <v>196</v>
      </c>
      <c r="H272" s="32" t="s">
        <v>10</v>
      </c>
      <c r="I272" s="38" t="s">
        <v>41</v>
      </c>
      <c r="J272" s="30" t="s">
        <v>25</v>
      </c>
      <c r="K272" s="33">
        <f>IFERROR(AVERAGEIFS('[1]Controle de Produção'!$E:$E,'[1]Controle de Produção'!$N:$N,E272,'[1]Controle de Produção'!$S:$S,J272,'[1]Controle de Produção'!$R:$R,I272),0)</f>
        <v>514.67351586405687</v>
      </c>
      <c r="L272" s="33">
        <f>IFERROR(AVERAGEIFS('[1]Controle de Produção'!$E:$E,'[1]Controle de Produção'!$S:$S,J272,'[1]Controle de Produção'!$R:$R,I272),0)</f>
        <v>613.39886035164977</v>
      </c>
      <c r="M272" s="34">
        <v>48</v>
      </c>
      <c r="N272" s="35"/>
      <c r="O272" s="30" t="s">
        <v>955</v>
      </c>
      <c r="P272" s="33">
        <v>7908420110398</v>
      </c>
      <c r="Q272" s="33">
        <v>17908420110395</v>
      </c>
      <c r="R272" s="36" t="b">
        <v>1</v>
      </c>
      <c r="S272" s="36" t="b">
        <v>0</v>
      </c>
      <c r="T272" s="36" t="b">
        <v>0</v>
      </c>
      <c r="U272" s="36" t="b">
        <v>0</v>
      </c>
      <c r="V272" s="36" t="b">
        <v>0</v>
      </c>
      <c r="W272" s="33" t="s">
        <v>954</v>
      </c>
      <c r="X272" s="37"/>
      <c r="Y272" s="43"/>
      <c r="Z272" s="37"/>
      <c r="AA272" s="37"/>
      <c r="AB272" s="37"/>
      <c r="AC272" s="37"/>
      <c r="AD272" s="37"/>
      <c r="AE272" s="37"/>
      <c r="AF272" s="37"/>
      <c r="AG272" s="37"/>
      <c r="AH272" s="32"/>
    </row>
    <row r="273" spans="2:34" hidden="1" x14ac:dyDescent="0.25">
      <c r="B273" s="30" t="s">
        <v>210</v>
      </c>
      <c r="C273" s="31" t="s">
        <v>211</v>
      </c>
      <c r="D273" s="32" t="s">
        <v>195</v>
      </c>
      <c r="E273" s="32">
        <v>200</v>
      </c>
      <c r="F273" s="32" t="s">
        <v>22</v>
      </c>
      <c r="G273" s="32" t="s">
        <v>196</v>
      </c>
      <c r="H273" s="32" t="s">
        <v>10</v>
      </c>
      <c r="I273" s="38" t="s">
        <v>41</v>
      </c>
      <c r="J273" s="30" t="s">
        <v>25</v>
      </c>
      <c r="K273" s="33">
        <f>IFERROR(AVERAGEIFS('[1]Controle de Produção'!$E:$E,'[1]Controle de Produção'!$N:$N,E273,'[1]Controle de Produção'!$S:$S,J273,'[1]Controle de Produção'!$R:$R,I273),0)</f>
        <v>514.67351586405687</v>
      </c>
      <c r="L273" s="33">
        <f>IFERROR(AVERAGEIFS('[1]Controle de Produção'!$E:$E,'[1]Controle de Produção'!$S:$S,J273,'[1]Controle de Produção'!$R:$R,I273),0)</f>
        <v>613.39886035164977</v>
      </c>
      <c r="M273" s="34">
        <v>48</v>
      </c>
      <c r="N273" s="35"/>
      <c r="O273" s="30" t="s">
        <v>956</v>
      </c>
      <c r="P273" s="33">
        <v>7908420110374</v>
      </c>
      <c r="Q273" s="33">
        <v>17908420110371</v>
      </c>
      <c r="R273" s="36" t="b">
        <v>1</v>
      </c>
      <c r="S273" s="36" t="b">
        <v>0</v>
      </c>
      <c r="T273" s="36" t="b">
        <v>0</v>
      </c>
      <c r="U273" s="36" t="b">
        <v>0</v>
      </c>
      <c r="V273" s="36" t="b">
        <v>0</v>
      </c>
      <c r="W273" s="33" t="s">
        <v>954</v>
      </c>
      <c r="X273" s="37"/>
      <c r="Y273" s="43"/>
      <c r="Z273" s="37"/>
      <c r="AA273" s="37"/>
      <c r="AB273" s="37"/>
      <c r="AC273" s="37"/>
      <c r="AD273" s="37"/>
      <c r="AE273" s="37"/>
      <c r="AF273" s="37"/>
      <c r="AG273" s="37"/>
      <c r="AH273" s="32"/>
    </row>
    <row r="274" spans="2:34" hidden="1" x14ac:dyDescent="0.25">
      <c r="B274" s="30" t="s">
        <v>681</v>
      </c>
      <c r="C274" s="31" t="s">
        <v>682</v>
      </c>
      <c r="D274" s="32" t="s">
        <v>195</v>
      </c>
      <c r="E274" s="32">
        <v>200</v>
      </c>
      <c r="F274" s="32" t="s">
        <v>22</v>
      </c>
      <c r="G274" s="32" t="s">
        <v>196</v>
      </c>
      <c r="H274" s="32" t="s">
        <v>10</v>
      </c>
      <c r="I274" s="38" t="s">
        <v>41</v>
      </c>
      <c r="J274" s="30" t="s">
        <v>25</v>
      </c>
      <c r="K274" s="33">
        <f>IFERROR(AVERAGEIFS('[1]Controle de Produção'!$E:$E,'[1]Controle de Produção'!$N:$N,E274,'[1]Controle de Produção'!$S:$S,J274,'[1]Controle de Produção'!$R:$R,I274),0)</f>
        <v>514.67351586405687</v>
      </c>
      <c r="L274" s="33">
        <f>IFERROR(AVERAGEIFS('[1]Controle de Produção'!$E:$E,'[1]Controle de Produção'!$S:$S,J274,'[1]Controle de Produção'!$R:$R,I274),0)</f>
        <v>613.39886035164977</v>
      </c>
      <c r="M274" s="34">
        <v>48</v>
      </c>
      <c r="N274" s="35"/>
      <c r="O274" s="30" t="s">
        <v>957</v>
      </c>
      <c r="P274" s="33">
        <v>7908420110381</v>
      </c>
      <c r="Q274" s="33">
        <v>17908420110388</v>
      </c>
      <c r="R274" s="36" t="b">
        <v>1</v>
      </c>
      <c r="S274" s="36" t="b">
        <v>1</v>
      </c>
      <c r="T274" s="36" t="b">
        <v>1</v>
      </c>
      <c r="U274" s="36" t="b">
        <v>1</v>
      </c>
      <c r="V274" s="36" t="b">
        <v>1</v>
      </c>
      <c r="W274" s="33" t="s">
        <v>954</v>
      </c>
      <c r="X274" s="37"/>
      <c r="Y274" s="43"/>
      <c r="Z274" s="37"/>
      <c r="AA274" s="37"/>
      <c r="AB274" s="37"/>
      <c r="AC274" s="37"/>
      <c r="AD274" s="37"/>
      <c r="AE274" s="37"/>
      <c r="AF274" s="37"/>
      <c r="AG274" s="37"/>
      <c r="AH274" s="32"/>
    </row>
    <row r="275" spans="2:34" hidden="1" x14ac:dyDescent="0.25">
      <c r="B275" s="30" t="s">
        <v>679</v>
      </c>
      <c r="C275" s="31" t="s">
        <v>680</v>
      </c>
      <c r="D275" s="32" t="s">
        <v>195</v>
      </c>
      <c r="E275" s="32">
        <v>200</v>
      </c>
      <c r="F275" s="32" t="s">
        <v>22</v>
      </c>
      <c r="G275" s="32" t="s">
        <v>196</v>
      </c>
      <c r="H275" s="32" t="s">
        <v>10</v>
      </c>
      <c r="I275" s="38" t="s">
        <v>41</v>
      </c>
      <c r="J275" s="30" t="s">
        <v>25</v>
      </c>
      <c r="K275" s="33">
        <f>IFERROR(AVERAGEIFS('[1]Controle de Produção'!$E:$E,'[1]Controle de Produção'!$N:$N,E275,'[1]Controle de Produção'!$S:$S,J275,'[1]Controle de Produção'!$R:$R,I275),0)</f>
        <v>514.67351586405687</v>
      </c>
      <c r="L275" s="33">
        <f>IFERROR(AVERAGEIFS('[1]Controle de Produção'!$E:$E,'[1]Controle de Produção'!$S:$S,J275,'[1]Controle de Produção'!$R:$R,I275),0)</f>
        <v>613.39886035164977</v>
      </c>
      <c r="M275" s="34">
        <v>48</v>
      </c>
      <c r="N275" s="35"/>
      <c r="O275" s="30" t="s">
        <v>1086</v>
      </c>
      <c r="P275" s="33">
        <v>7908420110367</v>
      </c>
      <c r="Q275" s="33">
        <v>17908420110364</v>
      </c>
      <c r="R275" s="36" t="b">
        <v>0</v>
      </c>
      <c r="S275" s="36" t="b">
        <v>0</v>
      </c>
      <c r="T275" s="36" t="b">
        <v>0</v>
      </c>
      <c r="U275" s="36" t="b">
        <v>0</v>
      </c>
      <c r="V275" s="36" t="b">
        <v>0</v>
      </c>
      <c r="W275" s="33" t="s">
        <v>954</v>
      </c>
      <c r="X275" s="37"/>
      <c r="Y275" s="43"/>
      <c r="Z275" s="37"/>
      <c r="AA275" s="37"/>
      <c r="AB275" s="37"/>
      <c r="AC275" s="37"/>
      <c r="AD275" s="37"/>
      <c r="AE275" s="37"/>
      <c r="AF275" s="37"/>
      <c r="AG275" s="37"/>
      <c r="AH275" s="32"/>
    </row>
    <row r="276" spans="2:34" hidden="1" x14ac:dyDescent="0.25">
      <c r="B276" s="30" t="s">
        <v>1136</v>
      </c>
      <c r="C276" s="31" t="s">
        <v>1139</v>
      </c>
      <c r="D276" s="32"/>
      <c r="E276" s="32">
        <v>120</v>
      </c>
      <c r="F276" s="32" t="s">
        <v>22</v>
      </c>
      <c r="G276" s="32" t="s">
        <v>196</v>
      </c>
      <c r="H276" s="32" t="s">
        <v>227</v>
      </c>
      <c r="I276" s="38" t="s">
        <v>32</v>
      </c>
      <c r="J276" s="30" t="s">
        <v>18</v>
      </c>
      <c r="K276" s="33">
        <f>IFERROR(AVERAGEIFS('[1]Controle de Produção'!$E:$E,'[1]Controle de Produção'!$N:$N,E276,'[1]Controle de Produção'!$S:$S,J276,'[1]Controle de Produção'!$R:$R,I276),0)</f>
        <v>676.40170988974012</v>
      </c>
      <c r="L276" s="33">
        <f>IFERROR(AVERAGEIFS('[1]Controle de Produção'!$E:$E,'[1]Controle de Produção'!$S:$S,J276,'[1]Controle de Produção'!$R:$R,I276),0)</f>
        <v>699.29256292632215</v>
      </c>
      <c r="M276" s="34">
        <v>120</v>
      </c>
      <c r="N276" s="35"/>
      <c r="O276" s="30" t="s">
        <v>1138</v>
      </c>
      <c r="P276" s="33">
        <v>7908420100368</v>
      </c>
      <c r="Q276" s="33">
        <v>17908420100389</v>
      </c>
      <c r="R276" s="36" t="b">
        <v>0</v>
      </c>
      <c r="S276" s="36" t="b">
        <v>0</v>
      </c>
      <c r="T276" s="36" t="b">
        <v>0</v>
      </c>
      <c r="U276" s="36" t="b">
        <v>0</v>
      </c>
      <c r="V276" s="36" t="b">
        <v>0</v>
      </c>
      <c r="W276" s="33" t="s">
        <v>954</v>
      </c>
      <c r="X276" s="37"/>
      <c r="Y276" s="43">
        <v>0.55000000000000004</v>
      </c>
      <c r="Z276" s="37"/>
      <c r="AA276" s="37"/>
      <c r="AB276" s="37"/>
      <c r="AC276" s="37"/>
      <c r="AD276" s="37"/>
      <c r="AE276" s="37"/>
      <c r="AF276" s="37"/>
      <c r="AG276" s="37"/>
      <c r="AH276" s="32"/>
    </row>
    <row r="277" spans="2:34" hidden="1" x14ac:dyDescent="0.25">
      <c r="B277" s="30" t="s">
        <v>1137</v>
      </c>
      <c r="C277" s="31" t="s">
        <v>1140</v>
      </c>
      <c r="D277" s="32"/>
      <c r="E277" s="32">
        <v>120</v>
      </c>
      <c r="F277" s="32" t="s">
        <v>22</v>
      </c>
      <c r="G277" s="32" t="s">
        <v>196</v>
      </c>
      <c r="H277" s="32" t="s">
        <v>227</v>
      </c>
      <c r="I277" s="38" t="s">
        <v>1141</v>
      </c>
      <c r="J277" s="30" t="s">
        <v>18</v>
      </c>
      <c r="K277" s="33">
        <f>IFERROR(AVERAGEIFS('[1]Controle de Produção'!$E:$E,'[1]Controle de Produção'!$N:$N,E277,'[1]Controle de Produção'!$S:$S,J277,'[1]Controle de Produção'!$R:$R,I277),0)</f>
        <v>785.51665461857374</v>
      </c>
      <c r="L277" s="33">
        <f>IFERROR(AVERAGEIFS('[1]Controle de Produção'!$E:$E,'[1]Controle de Produção'!$S:$S,J277,'[1]Controle de Produção'!$R:$R,I277),0)</f>
        <v>785.51665461857374</v>
      </c>
      <c r="M277" s="34">
        <v>128</v>
      </c>
      <c r="N277" s="35"/>
      <c r="O277" s="30" t="s">
        <v>1142</v>
      </c>
      <c r="P277" s="33">
        <v>7908420102836</v>
      </c>
      <c r="Q277" s="33">
        <v>17908420103649</v>
      </c>
      <c r="R277" s="36" t="b">
        <v>0</v>
      </c>
      <c r="S277" s="36" t="b">
        <v>0</v>
      </c>
      <c r="T277" s="36" t="b">
        <v>0</v>
      </c>
      <c r="U277" s="36" t="b">
        <v>0</v>
      </c>
      <c r="V277" s="36" t="b">
        <v>0</v>
      </c>
      <c r="W277" s="33" t="s">
        <v>954</v>
      </c>
      <c r="X277" s="37"/>
      <c r="Y277" s="43">
        <v>0.55000000000000004</v>
      </c>
      <c r="Z277" s="37"/>
      <c r="AA277" s="37"/>
      <c r="AB277" s="37"/>
      <c r="AC277" s="37"/>
      <c r="AD277" s="37"/>
      <c r="AE277" s="37"/>
      <c r="AF277" s="37"/>
      <c r="AG277" s="37"/>
      <c r="AH277" s="32"/>
    </row>
    <row r="278" spans="2:34" hidden="1" x14ac:dyDescent="0.25">
      <c r="B278" s="30" t="s">
        <v>259</v>
      </c>
      <c r="C278" s="39" t="s">
        <v>260</v>
      </c>
      <c r="D278" s="30" t="s">
        <v>261</v>
      </c>
      <c r="E278" s="30">
        <v>55</v>
      </c>
      <c r="F278" s="30" t="s">
        <v>88</v>
      </c>
      <c r="G278" s="32" t="s">
        <v>262</v>
      </c>
      <c r="H278" s="30" t="s">
        <v>10</v>
      </c>
      <c r="I278" s="30" t="s">
        <v>11</v>
      </c>
      <c r="J278" s="30" t="s">
        <v>25</v>
      </c>
      <c r="K278" s="33">
        <f>IFERROR(AVERAGEIFS('[1]Controle de Produção'!$E:$E,'[1]Controle de Produção'!$N:$N,E278,'[1]Controle de Produção'!$S:$S,J278,'[1]Controle de Produção'!$R:$R,I278),0)</f>
        <v>0</v>
      </c>
      <c r="L278" s="33">
        <f>IFERROR(AVERAGEIFS('[1]Controle de Produção'!$E:$E,'[1]Controle de Produção'!$S:$S,J278,'[1]Controle de Produção'!$R:$R,I278),0)</f>
        <v>0</v>
      </c>
      <c r="M278" s="34"/>
      <c r="N278" s="35"/>
      <c r="O278" s="30"/>
      <c r="P278" s="33"/>
      <c r="Q278" s="33"/>
      <c r="R278" s="36" t="b">
        <v>0</v>
      </c>
      <c r="S278" s="36" t="b">
        <v>0</v>
      </c>
      <c r="T278" s="36" t="b">
        <v>0</v>
      </c>
      <c r="U278" s="36" t="b">
        <v>0</v>
      </c>
      <c r="V278" s="36" t="b">
        <v>0</v>
      </c>
      <c r="W278" s="33" t="s">
        <v>953</v>
      </c>
      <c r="X278" s="37"/>
      <c r="Y278" s="43"/>
      <c r="Z278" s="37"/>
      <c r="AA278" s="37"/>
      <c r="AB278" s="37"/>
      <c r="AC278" s="37"/>
      <c r="AD278" s="37"/>
      <c r="AE278" s="37"/>
      <c r="AF278" s="37"/>
      <c r="AG278" s="37"/>
      <c r="AH278" s="32"/>
    </row>
    <row r="279" spans="2:34" hidden="1" x14ac:dyDescent="0.25">
      <c r="B279" s="30" t="s">
        <v>263</v>
      </c>
      <c r="C279" s="39" t="s">
        <v>264</v>
      </c>
      <c r="D279" s="30" t="s">
        <v>261</v>
      </c>
      <c r="E279" s="30">
        <v>55</v>
      </c>
      <c r="F279" s="30" t="s">
        <v>88</v>
      </c>
      <c r="G279" s="32" t="s">
        <v>262</v>
      </c>
      <c r="H279" s="30" t="s">
        <v>10</v>
      </c>
      <c r="I279" s="30" t="s">
        <v>11</v>
      </c>
      <c r="J279" s="30" t="s">
        <v>25</v>
      </c>
      <c r="K279" s="33">
        <f>IFERROR(AVERAGEIFS('[1]Controle de Produção'!$E:$E,'[1]Controle de Produção'!$N:$N,E279,'[1]Controle de Produção'!$S:$S,J279,'[1]Controle de Produção'!$R:$R,I279),0)</f>
        <v>0</v>
      </c>
      <c r="L279" s="33">
        <f>IFERROR(AVERAGEIFS('[1]Controle de Produção'!$E:$E,'[1]Controle de Produção'!$S:$S,J279,'[1]Controle de Produção'!$R:$R,I279),0)</f>
        <v>0</v>
      </c>
      <c r="M279" s="34"/>
      <c r="N279" s="35"/>
      <c r="O279" s="30"/>
      <c r="P279" s="33"/>
      <c r="Q279" s="33"/>
      <c r="R279" s="36" t="b">
        <v>0</v>
      </c>
      <c r="S279" s="36" t="b">
        <v>0</v>
      </c>
      <c r="T279" s="36" t="b">
        <v>0</v>
      </c>
      <c r="U279" s="36" t="b">
        <v>0</v>
      </c>
      <c r="V279" s="36" t="b">
        <v>0</v>
      </c>
      <c r="W279" s="33" t="s">
        <v>953</v>
      </c>
      <c r="X279" s="37"/>
      <c r="Y279" s="43"/>
      <c r="Z279" s="37"/>
      <c r="AA279" s="37"/>
      <c r="AB279" s="37"/>
      <c r="AC279" s="37"/>
      <c r="AD279" s="37"/>
      <c r="AE279" s="37"/>
      <c r="AF279" s="37"/>
      <c r="AG279" s="37"/>
      <c r="AH279" s="32"/>
    </row>
    <row r="280" spans="2:34" hidden="1" x14ac:dyDescent="0.25">
      <c r="B280" s="30" t="s">
        <v>265</v>
      </c>
      <c r="C280" s="39" t="s">
        <v>266</v>
      </c>
      <c r="D280" s="30" t="s">
        <v>261</v>
      </c>
      <c r="E280" s="30">
        <v>55</v>
      </c>
      <c r="F280" s="30" t="s">
        <v>88</v>
      </c>
      <c r="G280" s="32" t="s">
        <v>262</v>
      </c>
      <c r="H280" s="30" t="s">
        <v>10</v>
      </c>
      <c r="I280" s="30" t="s">
        <v>11</v>
      </c>
      <c r="J280" s="30" t="s">
        <v>25</v>
      </c>
      <c r="K280" s="33">
        <f>IFERROR(AVERAGEIFS('[1]Controle de Produção'!$E:$E,'[1]Controle de Produção'!$N:$N,E280,'[1]Controle de Produção'!$S:$S,J280,'[1]Controle de Produção'!$R:$R,I280),0)</f>
        <v>0</v>
      </c>
      <c r="L280" s="33">
        <f>IFERROR(AVERAGEIFS('[1]Controle de Produção'!$E:$E,'[1]Controle de Produção'!$S:$S,J280,'[1]Controle de Produção'!$R:$R,I280),0)</f>
        <v>0</v>
      </c>
      <c r="M280" s="34"/>
      <c r="N280" s="35"/>
      <c r="O280" s="30"/>
      <c r="P280" s="33"/>
      <c r="Q280" s="33"/>
      <c r="R280" s="36" t="b">
        <v>0</v>
      </c>
      <c r="S280" s="36" t="b">
        <v>0</v>
      </c>
      <c r="T280" s="36" t="b">
        <v>0</v>
      </c>
      <c r="U280" s="36" t="b">
        <v>0</v>
      </c>
      <c r="V280" s="36" t="b">
        <v>0</v>
      </c>
      <c r="W280" s="33" t="s">
        <v>953</v>
      </c>
      <c r="X280" s="37"/>
      <c r="Y280" s="43"/>
      <c r="Z280" s="37"/>
      <c r="AA280" s="37"/>
      <c r="AB280" s="37"/>
      <c r="AC280" s="37"/>
      <c r="AD280" s="37"/>
      <c r="AE280" s="37"/>
      <c r="AF280" s="37"/>
      <c r="AG280" s="37"/>
      <c r="AH280" s="32"/>
    </row>
    <row r="281" spans="2:34" hidden="1" x14ac:dyDescent="0.25">
      <c r="B281" s="30" t="s">
        <v>267</v>
      </c>
      <c r="C281" s="39" t="s">
        <v>268</v>
      </c>
      <c r="D281" s="30" t="s">
        <v>261</v>
      </c>
      <c r="E281" s="30">
        <v>55</v>
      </c>
      <c r="F281" s="30" t="s">
        <v>88</v>
      </c>
      <c r="G281" s="32" t="s">
        <v>262</v>
      </c>
      <c r="H281" s="30" t="s">
        <v>10</v>
      </c>
      <c r="I281" s="30" t="s">
        <v>11</v>
      </c>
      <c r="J281" s="30" t="s">
        <v>25</v>
      </c>
      <c r="K281" s="33">
        <f>IFERROR(AVERAGEIFS('[1]Controle de Produção'!$E:$E,'[1]Controle de Produção'!$N:$N,E281,'[1]Controle de Produção'!$S:$S,J281,'[1]Controle de Produção'!$R:$R,I281),0)</f>
        <v>0</v>
      </c>
      <c r="L281" s="33">
        <f>IFERROR(AVERAGEIFS('[1]Controle de Produção'!$E:$E,'[1]Controle de Produção'!$S:$S,J281,'[1]Controle de Produção'!$R:$R,I281),0)</f>
        <v>0</v>
      </c>
      <c r="M281" s="34"/>
      <c r="N281" s="35"/>
      <c r="O281" s="30"/>
      <c r="P281" s="33"/>
      <c r="Q281" s="33"/>
      <c r="R281" s="36" t="b">
        <v>0</v>
      </c>
      <c r="S281" s="36" t="b">
        <v>0</v>
      </c>
      <c r="T281" s="36" t="b">
        <v>0</v>
      </c>
      <c r="U281" s="36" t="b">
        <v>0</v>
      </c>
      <c r="V281" s="36" t="b">
        <v>0</v>
      </c>
      <c r="W281" s="33" t="s">
        <v>953</v>
      </c>
      <c r="X281" s="37"/>
      <c r="Y281" s="43"/>
      <c r="Z281" s="37"/>
      <c r="AA281" s="37"/>
      <c r="AB281" s="37"/>
      <c r="AC281" s="37"/>
      <c r="AD281" s="37"/>
      <c r="AE281" s="37"/>
      <c r="AF281" s="37"/>
      <c r="AG281" s="37"/>
      <c r="AH281" s="32"/>
    </row>
    <row r="282" spans="2:34" hidden="1" x14ac:dyDescent="0.25">
      <c r="B282" s="30" t="s">
        <v>269</v>
      </c>
      <c r="C282" s="39" t="s">
        <v>270</v>
      </c>
      <c r="D282" s="30" t="s">
        <v>261</v>
      </c>
      <c r="E282" s="30">
        <v>55</v>
      </c>
      <c r="F282" s="30" t="s">
        <v>88</v>
      </c>
      <c r="G282" s="32" t="s">
        <v>262</v>
      </c>
      <c r="H282" s="30" t="s">
        <v>10</v>
      </c>
      <c r="I282" s="30" t="s">
        <v>11</v>
      </c>
      <c r="J282" s="30" t="s">
        <v>25</v>
      </c>
      <c r="K282" s="33">
        <f>IFERROR(AVERAGEIFS('[1]Controle de Produção'!$E:$E,'[1]Controle de Produção'!$N:$N,E282,'[1]Controle de Produção'!$S:$S,J282,'[1]Controle de Produção'!$R:$R,I282),0)</f>
        <v>0</v>
      </c>
      <c r="L282" s="33">
        <f>IFERROR(AVERAGEIFS('[1]Controle de Produção'!$E:$E,'[1]Controle de Produção'!$S:$S,J282,'[1]Controle de Produção'!$R:$R,I282),0)</f>
        <v>0</v>
      </c>
      <c r="M282" s="34"/>
      <c r="N282" s="35"/>
      <c r="O282" s="30"/>
      <c r="P282" s="33"/>
      <c r="Q282" s="33"/>
      <c r="R282" s="36" t="b">
        <v>0</v>
      </c>
      <c r="S282" s="36" t="b">
        <v>0</v>
      </c>
      <c r="T282" s="36" t="b">
        <v>0</v>
      </c>
      <c r="U282" s="36" t="b">
        <v>0</v>
      </c>
      <c r="V282" s="36" t="b">
        <v>0</v>
      </c>
      <c r="W282" s="33" t="s">
        <v>953</v>
      </c>
      <c r="X282" s="37"/>
      <c r="Y282" s="43"/>
      <c r="Z282" s="37"/>
      <c r="AA282" s="37"/>
      <c r="AB282" s="37"/>
      <c r="AC282" s="37"/>
      <c r="AD282" s="37"/>
      <c r="AE282" s="37"/>
      <c r="AF282" s="37"/>
      <c r="AG282" s="37"/>
      <c r="AH282" s="32"/>
    </row>
    <row r="283" spans="2:34" hidden="1" x14ac:dyDescent="0.25">
      <c r="B283" s="30" t="s">
        <v>271</v>
      </c>
      <c r="C283" s="39" t="s">
        <v>272</v>
      </c>
      <c r="D283" s="30" t="s">
        <v>273</v>
      </c>
      <c r="E283" s="30">
        <v>55</v>
      </c>
      <c r="F283" s="30" t="s">
        <v>22</v>
      </c>
      <c r="G283" s="32" t="s">
        <v>262</v>
      </c>
      <c r="H283" s="30" t="s">
        <v>10</v>
      </c>
      <c r="I283" s="30" t="s">
        <v>11</v>
      </c>
      <c r="J283" s="30" t="s">
        <v>12</v>
      </c>
      <c r="K283" s="33">
        <f>IFERROR(AVERAGEIFS('[1]Controle de Produção'!$E:$E,'[1]Controle de Produção'!$N:$N,E283,'[1]Controle de Produção'!$S:$S,J283,'[1]Controle de Produção'!$R:$R,I283),0)</f>
        <v>0</v>
      </c>
      <c r="L283" s="33">
        <f>IFERROR(AVERAGEIFS('[1]Controle de Produção'!$E:$E,'[1]Controle de Produção'!$S:$S,J283,'[1]Controle de Produção'!$R:$R,I283),0)</f>
        <v>802.46872213014433</v>
      </c>
      <c r="M283" s="34"/>
      <c r="N283" s="35"/>
      <c r="O283" s="30"/>
      <c r="P283" s="33"/>
      <c r="Q283" s="33"/>
      <c r="R283" s="36" t="b">
        <v>0</v>
      </c>
      <c r="S283" s="36" t="b">
        <v>0</v>
      </c>
      <c r="T283" s="36" t="b">
        <v>0</v>
      </c>
      <c r="U283" s="36" t="b">
        <v>0</v>
      </c>
      <c r="V283" s="36" t="b">
        <v>0</v>
      </c>
      <c r="W283" s="33" t="s">
        <v>953</v>
      </c>
      <c r="X283" s="37"/>
      <c r="Y283" s="43"/>
      <c r="Z283" s="37"/>
      <c r="AA283" s="37"/>
      <c r="AB283" s="37"/>
      <c r="AC283" s="37"/>
      <c r="AD283" s="37"/>
      <c r="AE283" s="37"/>
      <c r="AF283" s="37"/>
      <c r="AG283" s="37"/>
      <c r="AH283" s="32"/>
    </row>
    <row r="284" spans="2:34" hidden="1" x14ac:dyDescent="0.25">
      <c r="B284" s="30" t="s">
        <v>274</v>
      </c>
      <c r="C284" s="39" t="s">
        <v>275</v>
      </c>
      <c r="D284" s="30" t="s">
        <v>273</v>
      </c>
      <c r="E284" s="30">
        <v>55</v>
      </c>
      <c r="F284" s="30" t="s">
        <v>22</v>
      </c>
      <c r="G284" s="32" t="s">
        <v>262</v>
      </c>
      <c r="H284" s="30" t="s">
        <v>10</v>
      </c>
      <c r="I284" s="30" t="s">
        <v>11</v>
      </c>
      <c r="J284" s="30" t="s">
        <v>12</v>
      </c>
      <c r="K284" s="33">
        <f>IFERROR(AVERAGEIFS('[1]Controle de Produção'!$E:$E,'[1]Controle de Produção'!$N:$N,E284,'[1]Controle de Produção'!$S:$S,J284,'[1]Controle de Produção'!$R:$R,I284),0)</f>
        <v>0</v>
      </c>
      <c r="L284" s="33">
        <f>IFERROR(AVERAGEIFS('[1]Controle de Produção'!$E:$E,'[1]Controle de Produção'!$S:$S,J284,'[1]Controle de Produção'!$R:$R,I284),0)</f>
        <v>802.46872213014433</v>
      </c>
      <c r="M284" s="34"/>
      <c r="N284" s="35"/>
      <c r="O284" s="30"/>
      <c r="P284" s="33"/>
      <c r="Q284" s="33"/>
      <c r="R284" s="36" t="b">
        <v>0</v>
      </c>
      <c r="S284" s="36" t="b">
        <v>0</v>
      </c>
      <c r="T284" s="36" t="b">
        <v>0</v>
      </c>
      <c r="U284" s="36" t="b">
        <v>0</v>
      </c>
      <c r="V284" s="36" t="b">
        <v>0</v>
      </c>
      <c r="W284" s="33" t="s">
        <v>953</v>
      </c>
      <c r="X284" s="37"/>
      <c r="Y284" s="43"/>
      <c r="Z284" s="37"/>
      <c r="AA284" s="37"/>
      <c r="AB284" s="37"/>
      <c r="AC284" s="37"/>
      <c r="AD284" s="37"/>
      <c r="AE284" s="37"/>
      <c r="AF284" s="37"/>
      <c r="AG284" s="37"/>
      <c r="AH284" s="32"/>
    </row>
    <row r="285" spans="2:34" hidden="1" x14ac:dyDescent="0.25">
      <c r="B285" s="30" t="s">
        <v>276</v>
      </c>
      <c r="C285" s="39" t="s">
        <v>277</v>
      </c>
      <c r="D285" s="30" t="s">
        <v>273</v>
      </c>
      <c r="E285" s="30">
        <v>55</v>
      </c>
      <c r="F285" s="30" t="s">
        <v>22</v>
      </c>
      <c r="G285" s="32" t="s">
        <v>262</v>
      </c>
      <c r="H285" s="30" t="s">
        <v>10</v>
      </c>
      <c r="I285" s="30" t="s">
        <v>11</v>
      </c>
      <c r="J285" s="30" t="s">
        <v>12</v>
      </c>
      <c r="K285" s="33">
        <f>IFERROR(AVERAGEIFS('[1]Controle de Produção'!$E:$E,'[1]Controle de Produção'!$N:$N,E285,'[1]Controle de Produção'!$S:$S,J285,'[1]Controle de Produção'!$R:$R,I285),0)</f>
        <v>0</v>
      </c>
      <c r="L285" s="33">
        <f>IFERROR(AVERAGEIFS('[1]Controle de Produção'!$E:$E,'[1]Controle de Produção'!$S:$S,J285,'[1]Controle de Produção'!$R:$R,I285),0)</f>
        <v>802.46872213014433</v>
      </c>
      <c r="M285" s="34"/>
      <c r="N285" s="35"/>
      <c r="O285" s="30"/>
      <c r="P285" s="33"/>
      <c r="Q285" s="33"/>
      <c r="R285" s="36" t="b">
        <v>0</v>
      </c>
      <c r="S285" s="36" t="b">
        <v>0</v>
      </c>
      <c r="T285" s="36" t="b">
        <v>0</v>
      </c>
      <c r="U285" s="36" t="b">
        <v>0</v>
      </c>
      <c r="V285" s="36" t="b">
        <v>0</v>
      </c>
      <c r="W285" s="33" t="s">
        <v>953</v>
      </c>
      <c r="X285" s="37"/>
      <c r="Y285" s="43"/>
      <c r="Z285" s="37"/>
      <c r="AA285" s="37"/>
      <c r="AB285" s="37"/>
      <c r="AC285" s="37"/>
      <c r="AD285" s="37"/>
      <c r="AE285" s="37"/>
      <c r="AF285" s="37"/>
      <c r="AG285" s="37"/>
      <c r="AH285" s="32"/>
    </row>
    <row r="286" spans="2:34" hidden="1" x14ac:dyDescent="0.25">
      <c r="B286" s="30" t="s">
        <v>278</v>
      </c>
      <c r="C286" s="39" t="s">
        <v>279</v>
      </c>
      <c r="D286" s="30" t="s">
        <v>273</v>
      </c>
      <c r="E286" s="30">
        <v>55</v>
      </c>
      <c r="F286" s="30" t="s">
        <v>22</v>
      </c>
      <c r="G286" s="32" t="s">
        <v>262</v>
      </c>
      <c r="H286" s="30" t="s">
        <v>10</v>
      </c>
      <c r="I286" s="30" t="s">
        <v>11</v>
      </c>
      <c r="J286" s="30" t="s">
        <v>12</v>
      </c>
      <c r="K286" s="33">
        <f>IFERROR(AVERAGEIFS('[1]Controle de Produção'!$E:$E,'[1]Controle de Produção'!$N:$N,E286,'[1]Controle de Produção'!$S:$S,J286,'[1]Controle de Produção'!$R:$R,I286),0)</f>
        <v>0</v>
      </c>
      <c r="L286" s="33">
        <f>IFERROR(AVERAGEIFS('[1]Controle de Produção'!$E:$E,'[1]Controle de Produção'!$S:$S,J286,'[1]Controle de Produção'!$R:$R,I286),0)</f>
        <v>802.46872213014433</v>
      </c>
      <c r="M286" s="34"/>
      <c r="N286" s="35"/>
      <c r="O286" s="30"/>
      <c r="P286" s="33"/>
      <c r="Q286" s="33"/>
      <c r="R286" s="36" t="b">
        <v>0</v>
      </c>
      <c r="S286" s="36" t="b">
        <v>0</v>
      </c>
      <c r="T286" s="36" t="b">
        <v>0</v>
      </c>
      <c r="U286" s="36" t="b">
        <v>0</v>
      </c>
      <c r="V286" s="36" t="b">
        <v>0</v>
      </c>
      <c r="W286" s="33" t="s">
        <v>953</v>
      </c>
      <c r="X286" s="37"/>
      <c r="Y286" s="43"/>
      <c r="Z286" s="37"/>
      <c r="AA286" s="37"/>
      <c r="AB286" s="37"/>
      <c r="AC286" s="37"/>
      <c r="AD286" s="37"/>
      <c r="AE286" s="37"/>
      <c r="AF286" s="37"/>
      <c r="AG286" s="37"/>
      <c r="AH286" s="32"/>
    </row>
    <row r="287" spans="2:34" hidden="1" x14ac:dyDescent="0.25">
      <c r="B287" s="30" t="s">
        <v>280</v>
      </c>
      <c r="C287" s="39" t="s">
        <v>281</v>
      </c>
      <c r="D287" s="30" t="s">
        <v>273</v>
      </c>
      <c r="E287" s="30">
        <v>55</v>
      </c>
      <c r="F287" s="30" t="s">
        <v>22</v>
      </c>
      <c r="G287" s="32" t="s">
        <v>262</v>
      </c>
      <c r="H287" s="30" t="s">
        <v>10</v>
      </c>
      <c r="I287" s="30" t="s">
        <v>11</v>
      </c>
      <c r="J287" s="30" t="s">
        <v>12</v>
      </c>
      <c r="K287" s="33">
        <f>IFERROR(AVERAGEIFS('[1]Controle de Produção'!$E:$E,'[1]Controle de Produção'!$N:$N,E287,'[1]Controle de Produção'!$S:$S,J287,'[1]Controle de Produção'!$R:$R,I287),0)</f>
        <v>0</v>
      </c>
      <c r="L287" s="33">
        <f>IFERROR(AVERAGEIFS('[1]Controle de Produção'!$E:$E,'[1]Controle de Produção'!$S:$S,J287,'[1]Controle de Produção'!$R:$R,I287),0)</f>
        <v>802.46872213014433</v>
      </c>
      <c r="M287" s="34"/>
      <c r="N287" s="35"/>
      <c r="O287" s="30"/>
      <c r="P287" s="33"/>
      <c r="Q287" s="33"/>
      <c r="R287" s="36" t="b">
        <v>0</v>
      </c>
      <c r="S287" s="36" t="b">
        <v>0</v>
      </c>
      <c r="T287" s="36" t="b">
        <v>0</v>
      </c>
      <c r="U287" s="36" t="b">
        <v>0</v>
      </c>
      <c r="V287" s="36" t="b">
        <v>0</v>
      </c>
      <c r="W287" s="33" t="s">
        <v>953</v>
      </c>
      <c r="X287" s="37"/>
      <c r="Y287" s="43"/>
      <c r="Z287" s="37"/>
      <c r="AA287" s="37"/>
      <c r="AB287" s="37"/>
      <c r="AC287" s="37"/>
      <c r="AD287" s="37"/>
      <c r="AE287" s="37"/>
      <c r="AF287" s="37"/>
      <c r="AG287" s="37"/>
      <c r="AH287" s="32"/>
    </row>
    <row r="288" spans="2:34" hidden="1" x14ac:dyDescent="0.25">
      <c r="B288" s="30" t="s">
        <v>1268</v>
      </c>
      <c r="C288" s="31" t="s">
        <v>1207</v>
      </c>
      <c r="D288" s="32"/>
      <c r="E288" s="32">
        <v>30</v>
      </c>
      <c r="F288" s="32" t="s">
        <v>22</v>
      </c>
      <c r="G288" s="32" t="s">
        <v>1242</v>
      </c>
      <c r="H288" s="32" t="s">
        <v>50</v>
      </c>
      <c r="I288" s="32" t="s">
        <v>147</v>
      </c>
      <c r="J288" s="30" t="s">
        <v>1243</v>
      </c>
      <c r="K288" s="33">
        <f>IFERROR(AVERAGEIFS('[1]Controle de Produção'!$E:$E,'[1]Controle de Produção'!$N:$N,E288,'[1]Controle de Produção'!$S:$S,J288,'[1]Controle de Produção'!$R:$R,I288),0)</f>
        <v>0</v>
      </c>
      <c r="L288" s="33">
        <f>IFERROR(AVERAGEIFS('[1]Controle de Produção'!$E:$E,'[1]Controle de Produção'!$S:$S,J288,'[1]Controle de Produção'!$R:$R,I288),0)</f>
        <v>0</v>
      </c>
      <c r="M288" s="46"/>
      <c r="N288" s="35"/>
      <c r="O288" s="47"/>
      <c r="P288" s="33"/>
      <c r="Q288" s="33"/>
      <c r="R288" s="36" t="b">
        <v>0</v>
      </c>
      <c r="S288" s="36" t="b">
        <v>0</v>
      </c>
      <c r="T288" s="36" t="b">
        <v>0</v>
      </c>
      <c r="U288" s="36" t="b">
        <v>0</v>
      </c>
      <c r="V288" s="36" t="b">
        <v>0</v>
      </c>
      <c r="W288" s="33" t="s">
        <v>954</v>
      </c>
      <c r="X288" s="37"/>
      <c r="Y288" s="43"/>
      <c r="Z288" s="37"/>
      <c r="AA288" s="37"/>
      <c r="AB288" s="37"/>
      <c r="AC288" s="37"/>
      <c r="AD288" s="37"/>
      <c r="AE288" s="37"/>
      <c r="AF288" s="37"/>
      <c r="AG288" s="37"/>
      <c r="AH288" s="32"/>
    </row>
    <row r="289" spans="2:42" hidden="1" x14ac:dyDescent="0.25">
      <c r="B289" s="30" t="s">
        <v>1269</v>
      </c>
      <c r="C289" s="31" t="s">
        <v>1208</v>
      </c>
      <c r="D289" s="32"/>
      <c r="E289" s="32">
        <v>30</v>
      </c>
      <c r="F289" s="32" t="s">
        <v>22</v>
      </c>
      <c r="G289" s="32" t="s">
        <v>1242</v>
      </c>
      <c r="H289" s="32" t="s">
        <v>50</v>
      </c>
      <c r="I289" s="32" t="s">
        <v>147</v>
      </c>
      <c r="J289" s="30" t="s">
        <v>1243</v>
      </c>
      <c r="K289" s="33">
        <f>IFERROR(AVERAGEIFS('[1]Controle de Produção'!$E:$E,'[1]Controle de Produção'!$N:$N,E289,'[1]Controle de Produção'!$S:$S,J289,'[1]Controle de Produção'!$R:$R,I289),0)</f>
        <v>0</v>
      </c>
      <c r="L289" s="33">
        <f>IFERROR(AVERAGEIFS('[1]Controle de Produção'!$E:$E,'[1]Controle de Produção'!$S:$S,J289,'[1]Controle de Produção'!$R:$R,I289),0)</f>
        <v>0</v>
      </c>
      <c r="M289" s="46"/>
      <c r="N289" s="35"/>
      <c r="O289" s="47"/>
      <c r="P289" s="33"/>
      <c r="Q289" s="33"/>
      <c r="R289" s="36" t="b">
        <v>0</v>
      </c>
      <c r="S289" s="36" t="b">
        <v>0</v>
      </c>
      <c r="T289" s="36" t="b">
        <v>0</v>
      </c>
      <c r="U289" s="36" t="b">
        <v>0</v>
      </c>
      <c r="V289" s="36" t="b">
        <v>0</v>
      </c>
      <c r="W289" s="33" t="s">
        <v>954</v>
      </c>
      <c r="X289" s="37"/>
      <c r="Y289" s="43"/>
      <c r="Z289" s="37"/>
      <c r="AA289" s="37"/>
      <c r="AB289" s="37"/>
      <c r="AC289" s="37"/>
      <c r="AD289" s="37"/>
      <c r="AE289" s="37"/>
      <c r="AF289" s="37"/>
      <c r="AG289" s="37"/>
      <c r="AH289" s="32"/>
      <c r="AM289" s="26"/>
      <c r="AN289" s="26"/>
      <c r="AO289" s="26"/>
      <c r="AP289" s="26"/>
    </row>
    <row r="290" spans="2:42" hidden="1" x14ac:dyDescent="0.25">
      <c r="B290" s="30" t="s">
        <v>1270</v>
      </c>
      <c r="C290" s="31" t="s">
        <v>1209</v>
      </c>
      <c r="D290" s="32"/>
      <c r="E290" s="32">
        <v>30</v>
      </c>
      <c r="F290" s="32" t="s">
        <v>22</v>
      </c>
      <c r="G290" s="32" t="s">
        <v>1242</v>
      </c>
      <c r="H290" s="32" t="s">
        <v>50</v>
      </c>
      <c r="I290" s="32" t="s">
        <v>147</v>
      </c>
      <c r="J290" s="30" t="s">
        <v>1243</v>
      </c>
      <c r="K290" s="33">
        <f>IFERROR(AVERAGEIFS('[1]Controle de Produção'!$E:$E,'[1]Controle de Produção'!$N:$N,E290,'[1]Controle de Produção'!$S:$S,J290,'[1]Controle de Produção'!$R:$R,I290),0)</f>
        <v>0</v>
      </c>
      <c r="L290" s="33">
        <f>IFERROR(AVERAGEIFS('[1]Controle de Produção'!$E:$E,'[1]Controle de Produção'!$S:$S,J290,'[1]Controle de Produção'!$R:$R,I290),0)</f>
        <v>0</v>
      </c>
      <c r="M290" s="46"/>
      <c r="N290" s="35"/>
      <c r="O290" s="47"/>
      <c r="P290" s="33"/>
      <c r="Q290" s="33"/>
      <c r="R290" s="36" t="b">
        <v>0</v>
      </c>
      <c r="S290" s="36" t="b">
        <v>0</v>
      </c>
      <c r="T290" s="36" t="b">
        <v>0</v>
      </c>
      <c r="U290" s="36" t="b">
        <v>0</v>
      </c>
      <c r="V290" s="36" t="b">
        <v>0</v>
      </c>
      <c r="W290" s="33" t="s">
        <v>954</v>
      </c>
      <c r="X290" s="37"/>
      <c r="Y290" s="43"/>
      <c r="Z290" s="37"/>
      <c r="AA290" s="37"/>
      <c r="AB290" s="37"/>
      <c r="AC290" s="37"/>
      <c r="AD290" s="37"/>
      <c r="AE290" s="37"/>
      <c r="AF290" s="37"/>
      <c r="AG290" s="37"/>
      <c r="AH290" s="32"/>
      <c r="AO290" s="40"/>
      <c r="AP290" s="40"/>
    </row>
    <row r="291" spans="2:42" hidden="1" x14ac:dyDescent="0.25">
      <c r="B291" s="30" t="s">
        <v>1271</v>
      </c>
      <c r="C291" s="31" t="s">
        <v>1210</v>
      </c>
      <c r="D291" s="32"/>
      <c r="E291" s="32">
        <v>30</v>
      </c>
      <c r="F291" s="32" t="s">
        <v>22</v>
      </c>
      <c r="G291" s="32" t="s">
        <v>1242</v>
      </c>
      <c r="H291" s="32" t="s">
        <v>50</v>
      </c>
      <c r="I291" s="32" t="s">
        <v>147</v>
      </c>
      <c r="J291" s="30" t="s">
        <v>1243</v>
      </c>
      <c r="K291" s="33">
        <f>IFERROR(AVERAGEIFS('[1]Controle de Produção'!$E:$E,'[1]Controle de Produção'!$N:$N,E291,'[1]Controle de Produção'!$S:$S,J291,'[1]Controle de Produção'!$R:$R,I291),0)</f>
        <v>0</v>
      </c>
      <c r="L291" s="33">
        <f>IFERROR(AVERAGEIFS('[1]Controle de Produção'!$E:$E,'[1]Controle de Produção'!$S:$S,J291,'[1]Controle de Produção'!$R:$R,I291),0)</f>
        <v>0</v>
      </c>
      <c r="M291" s="46"/>
      <c r="N291" s="35"/>
      <c r="O291" s="47"/>
      <c r="P291" s="33"/>
      <c r="Q291" s="33"/>
      <c r="R291" s="36" t="b">
        <v>0</v>
      </c>
      <c r="S291" s="36" t="b">
        <v>0</v>
      </c>
      <c r="T291" s="36" t="b">
        <v>0</v>
      </c>
      <c r="U291" s="36" t="b">
        <v>0</v>
      </c>
      <c r="V291" s="36" t="b">
        <v>0</v>
      </c>
      <c r="W291" s="33" t="s">
        <v>954</v>
      </c>
      <c r="X291" s="37"/>
      <c r="Y291" s="43"/>
      <c r="Z291" s="37"/>
      <c r="AA291" s="37"/>
      <c r="AB291" s="37"/>
      <c r="AC291" s="37"/>
      <c r="AD291" s="37"/>
      <c r="AE291" s="37"/>
      <c r="AF291" s="37"/>
      <c r="AG291" s="37"/>
      <c r="AH291" s="32"/>
      <c r="AO291" s="40"/>
      <c r="AP291" s="40"/>
    </row>
    <row r="292" spans="2:42" hidden="1" x14ac:dyDescent="0.25">
      <c r="B292" s="30" t="s">
        <v>1272</v>
      </c>
      <c r="C292" s="31" t="s">
        <v>1239</v>
      </c>
      <c r="D292" s="32"/>
      <c r="E292" s="32">
        <v>30</v>
      </c>
      <c r="F292" s="32" t="s">
        <v>22</v>
      </c>
      <c r="G292" s="32" t="s">
        <v>1242</v>
      </c>
      <c r="H292" s="32" t="s">
        <v>50</v>
      </c>
      <c r="I292" s="32" t="s">
        <v>147</v>
      </c>
      <c r="J292" s="30" t="s">
        <v>1243</v>
      </c>
      <c r="K292" s="33">
        <f>IFERROR(AVERAGEIFS('[1]Controle de Produção'!$E:$E,'[1]Controle de Produção'!$N:$N,E292,'[1]Controle de Produção'!$S:$S,J292,'[1]Controle de Produção'!$R:$R,I292),0)</f>
        <v>0</v>
      </c>
      <c r="L292" s="33">
        <f>IFERROR(AVERAGEIFS('[1]Controle de Produção'!$E:$E,'[1]Controle de Produção'!$S:$S,J292,'[1]Controle de Produção'!$R:$R,I292),0)</f>
        <v>0</v>
      </c>
      <c r="M292" s="46"/>
      <c r="N292" s="35"/>
      <c r="O292" s="47"/>
      <c r="P292" s="33"/>
      <c r="Q292" s="33"/>
      <c r="R292" s="36" t="b">
        <v>0</v>
      </c>
      <c r="S292" s="36" t="b">
        <v>0</v>
      </c>
      <c r="T292" s="36" t="b">
        <v>0</v>
      </c>
      <c r="U292" s="36" t="b">
        <v>0</v>
      </c>
      <c r="V292" s="36" t="b">
        <v>0</v>
      </c>
      <c r="W292" s="33" t="s">
        <v>954</v>
      </c>
      <c r="X292" s="37"/>
      <c r="Y292" s="43"/>
      <c r="Z292" s="37"/>
      <c r="AA292" s="37"/>
      <c r="AB292" s="37"/>
      <c r="AC292" s="37"/>
      <c r="AD292" s="37"/>
      <c r="AE292" s="37"/>
      <c r="AF292" s="37"/>
      <c r="AG292" s="37"/>
      <c r="AH292" s="32"/>
      <c r="AO292" s="40"/>
      <c r="AP292" s="40"/>
    </row>
    <row r="293" spans="2:42" hidden="1" x14ac:dyDescent="0.25">
      <c r="B293" s="30" t="s">
        <v>1273</v>
      </c>
      <c r="C293" s="31" t="s">
        <v>1211</v>
      </c>
      <c r="D293" s="32"/>
      <c r="E293" s="32">
        <v>30</v>
      </c>
      <c r="F293" s="32" t="s">
        <v>22</v>
      </c>
      <c r="G293" s="32" t="s">
        <v>1242</v>
      </c>
      <c r="H293" s="32" t="s">
        <v>50</v>
      </c>
      <c r="I293" s="32" t="s">
        <v>147</v>
      </c>
      <c r="J293" s="30" t="s">
        <v>1243</v>
      </c>
      <c r="K293" s="33">
        <f>IFERROR(AVERAGEIFS('[1]Controle de Produção'!$E:$E,'[1]Controle de Produção'!$N:$N,E293,'[1]Controle de Produção'!$S:$S,J293,'[1]Controle de Produção'!$R:$R,I293),0)</f>
        <v>0</v>
      </c>
      <c r="L293" s="33">
        <f>IFERROR(AVERAGEIFS('[1]Controle de Produção'!$E:$E,'[1]Controle de Produção'!$S:$S,J293,'[1]Controle de Produção'!$R:$R,I293),0)</f>
        <v>0</v>
      </c>
      <c r="M293" s="46"/>
      <c r="N293" s="35"/>
      <c r="O293" s="47"/>
      <c r="P293" s="33"/>
      <c r="Q293" s="33"/>
      <c r="R293" s="36" t="b">
        <v>0</v>
      </c>
      <c r="S293" s="36" t="b">
        <v>0</v>
      </c>
      <c r="T293" s="36" t="b">
        <v>0</v>
      </c>
      <c r="U293" s="36" t="b">
        <v>0</v>
      </c>
      <c r="V293" s="36" t="b">
        <v>0</v>
      </c>
      <c r="W293" s="33" t="s">
        <v>954</v>
      </c>
      <c r="X293" s="37"/>
      <c r="Y293" s="43"/>
      <c r="Z293" s="37"/>
      <c r="AA293" s="37"/>
      <c r="AB293" s="37"/>
      <c r="AC293" s="37"/>
      <c r="AD293" s="37"/>
      <c r="AE293" s="37"/>
      <c r="AF293" s="37"/>
      <c r="AG293" s="37"/>
      <c r="AH293" s="32"/>
      <c r="AO293" s="40"/>
      <c r="AP293" s="40"/>
    </row>
    <row r="294" spans="2:42" hidden="1" x14ac:dyDescent="0.25">
      <c r="B294" s="30" t="s">
        <v>1274</v>
      </c>
      <c r="C294" s="31" t="s">
        <v>1212</v>
      </c>
      <c r="D294" s="32"/>
      <c r="E294" s="32">
        <v>30</v>
      </c>
      <c r="F294" s="32" t="s">
        <v>22</v>
      </c>
      <c r="G294" s="32" t="s">
        <v>1242</v>
      </c>
      <c r="H294" s="32" t="s">
        <v>50</v>
      </c>
      <c r="I294" s="32" t="s">
        <v>147</v>
      </c>
      <c r="J294" s="30" t="s">
        <v>1243</v>
      </c>
      <c r="K294" s="33">
        <f>IFERROR(AVERAGEIFS('[1]Controle de Produção'!$E:$E,'[1]Controle de Produção'!$N:$N,E294,'[1]Controle de Produção'!$S:$S,J294,'[1]Controle de Produção'!$R:$R,I294),0)</f>
        <v>0</v>
      </c>
      <c r="L294" s="33">
        <f>IFERROR(AVERAGEIFS('[1]Controle de Produção'!$E:$E,'[1]Controle de Produção'!$S:$S,J294,'[1]Controle de Produção'!$R:$R,I294),0)</f>
        <v>0</v>
      </c>
      <c r="M294" s="46"/>
      <c r="N294" s="35"/>
      <c r="O294" s="47"/>
      <c r="P294" s="33"/>
      <c r="Q294" s="33"/>
      <c r="R294" s="36" t="b">
        <v>0</v>
      </c>
      <c r="S294" s="36" t="b">
        <v>0</v>
      </c>
      <c r="T294" s="36" t="b">
        <v>0</v>
      </c>
      <c r="U294" s="36" t="b">
        <v>0</v>
      </c>
      <c r="V294" s="36" t="b">
        <v>0</v>
      </c>
      <c r="W294" s="33" t="s">
        <v>954</v>
      </c>
      <c r="X294" s="37"/>
      <c r="Y294" s="43"/>
      <c r="Z294" s="37"/>
      <c r="AA294" s="37"/>
      <c r="AB294" s="37"/>
      <c r="AC294" s="37"/>
      <c r="AD294" s="37"/>
      <c r="AE294" s="37"/>
      <c r="AF294" s="37"/>
      <c r="AG294" s="37"/>
      <c r="AH294" s="32"/>
      <c r="AO294" s="40"/>
      <c r="AP294" s="40"/>
    </row>
    <row r="295" spans="2:42" hidden="1" x14ac:dyDescent="0.25">
      <c r="B295" s="30" t="s">
        <v>1275</v>
      </c>
      <c r="C295" s="31" t="s">
        <v>1213</v>
      </c>
      <c r="D295" s="32"/>
      <c r="E295" s="32">
        <v>30</v>
      </c>
      <c r="F295" s="32" t="s">
        <v>22</v>
      </c>
      <c r="G295" s="32" t="s">
        <v>1242</v>
      </c>
      <c r="H295" s="32" t="s">
        <v>50</v>
      </c>
      <c r="I295" s="32" t="s">
        <v>147</v>
      </c>
      <c r="J295" s="30" t="s">
        <v>1243</v>
      </c>
      <c r="K295" s="33">
        <f>IFERROR(AVERAGEIFS('[1]Controle de Produção'!$E:$E,'[1]Controle de Produção'!$N:$N,E295,'[1]Controle de Produção'!$S:$S,J295,'[1]Controle de Produção'!$R:$R,I295),0)</f>
        <v>0</v>
      </c>
      <c r="L295" s="33">
        <f>IFERROR(AVERAGEIFS('[1]Controle de Produção'!$E:$E,'[1]Controle de Produção'!$S:$S,J295,'[1]Controle de Produção'!$R:$R,I295),0)</f>
        <v>0</v>
      </c>
      <c r="M295" s="46"/>
      <c r="N295" s="35"/>
      <c r="O295" s="47"/>
      <c r="P295" s="33"/>
      <c r="Q295" s="33"/>
      <c r="R295" s="36" t="b">
        <v>0</v>
      </c>
      <c r="S295" s="36" t="b">
        <v>0</v>
      </c>
      <c r="T295" s="36" t="b">
        <v>0</v>
      </c>
      <c r="U295" s="36" t="b">
        <v>0</v>
      </c>
      <c r="V295" s="36" t="b">
        <v>0</v>
      </c>
      <c r="W295" s="33" t="s">
        <v>954</v>
      </c>
      <c r="X295" s="37"/>
      <c r="Y295" s="43"/>
      <c r="Z295" s="37"/>
      <c r="AA295" s="37"/>
      <c r="AB295" s="37"/>
      <c r="AC295" s="37"/>
      <c r="AD295" s="37"/>
      <c r="AE295" s="37"/>
      <c r="AF295" s="37"/>
      <c r="AG295" s="37"/>
      <c r="AH295" s="32"/>
      <c r="AO295" s="40"/>
      <c r="AP295" s="40"/>
    </row>
    <row r="296" spans="2:42" hidden="1" x14ac:dyDescent="0.25">
      <c r="B296" s="30" t="s">
        <v>1276</v>
      </c>
      <c r="C296" s="31" t="s">
        <v>1214</v>
      </c>
      <c r="D296" s="32"/>
      <c r="E296" s="32">
        <v>30</v>
      </c>
      <c r="F296" s="32" t="s">
        <v>22</v>
      </c>
      <c r="G296" s="32" t="s">
        <v>1242</v>
      </c>
      <c r="H296" s="32" t="s">
        <v>50</v>
      </c>
      <c r="I296" s="32" t="s">
        <v>147</v>
      </c>
      <c r="J296" s="30" t="s">
        <v>1243</v>
      </c>
      <c r="K296" s="33">
        <f>IFERROR(AVERAGEIFS('[1]Controle de Produção'!$E:$E,'[1]Controle de Produção'!$N:$N,E296,'[1]Controle de Produção'!$S:$S,J296,'[1]Controle de Produção'!$R:$R,I296),0)</f>
        <v>0</v>
      </c>
      <c r="L296" s="33">
        <f>IFERROR(AVERAGEIFS('[1]Controle de Produção'!$E:$E,'[1]Controle de Produção'!$S:$S,J296,'[1]Controle de Produção'!$R:$R,I296),0)</f>
        <v>0</v>
      </c>
      <c r="M296" s="46"/>
      <c r="N296" s="35"/>
      <c r="O296" s="47"/>
      <c r="P296" s="33"/>
      <c r="Q296" s="33"/>
      <c r="R296" s="36" t="b">
        <v>0</v>
      </c>
      <c r="S296" s="36" t="b">
        <v>0</v>
      </c>
      <c r="T296" s="36" t="b">
        <v>0</v>
      </c>
      <c r="U296" s="36" t="b">
        <v>0</v>
      </c>
      <c r="V296" s="36" t="b">
        <v>0</v>
      </c>
      <c r="W296" s="33" t="s">
        <v>954</v>
      </c>
      <c r="X296" s="37"/>
      <c r="Y296" s="43"/>
      <c r="Z296" s="37"/>
      <c r="AA296" s="37"/>
      <c r="AB296" s="37"/>
      <c r="AC296" s="37"/>
      <c r="AD296" s="37"/>
      <c r="AE296" s="37"/>
      <c r="AF296" s="37"/>
      <c r="AG296" s="37"/>
      <c r="AH296" s="32"/>
      <c r="AO296" s="40"/>
      <c r="AP296" s="40"/>
    </row>
    <row r="297" spans="2:42" hidden="1" x14ac:dyDescent="0.25">
      <c r="B297" s="30" t="s">
        <v>1277</v>
      </c>
      <c r="C297" s="31" t="s">
        <v>1240</v>
      </c>
      <c r="D297" s="32"/>
      <c r="E297" s="32">
        <v>30</v>
      </c>
      <c r="F297" s="32" t="s">
        <v>22</v>
      </c>
      <c r="G297" s="32" t="s">
        <v>1242</v>
      </c>
      <c r="H297" s="32" t="s">
        <v>50</v>
      </c>
      <c r="I297" s="32" t="s">
        <v>147</v>
      </c>
      <c r="J297" s="30" t="s">
        <v>1243</v>
      </c>
      <c r="K297" s="33">
        <f>IFERROR(AVERAGEIFS('[1]Controle de Produção'!$E:$E,'[1]Controle de Produção'!$N:$N,E297,'[1]Controle de Produção'!$S:$S,J297,'[1]Controle de Produção'!$R:$R,I297),0)</f>
        <v>0</v>
      </c>
      <c r="L297" s="33">
        <f>IFERROR(AVERAGEIFS('[1]Controle de Produção'!$E:$E,'[1]Controle de Produção'!$S:$S,J297,'[1]Controle de Produção'!$R:$R,I297),0)</f>
        <v>0</v>
      </c>
      <c r="M297" s="46"/>
      <c r="N297" s="35"/>
      <c r="O297" s="47"/>
      <c r="P297" s="33"/>
      <c r="Q297" s="33"/>
      <c r="R297" s="36" t="b">
        <v>0</v>
      </c>
      <c r="S297" s="36" t="b">
        <v>0</v>
      </c>
      <c r="T297" s="36" t="b">
        <v>0</v>
      </c>
      <c r="U297" s="36" t="b">
        <v>0</v>
      </c>
      <c r="V297" s="36" t="b">
        <v>0</v>
      </c>
      <c r="W297" s="33" t="s">
        <v>954</v>
      </c>
      <c r="X297" s="37"/>
      <c r="Y297" s="43"/>
      <c r="Z297" s="37"/>
      <c r="AA297" s="37"/>
      <c r="AB297" s="37"/>
      <c r="AC297" s="37"/>
      <c r="AD297" s="37"/>
      <c r="AE297" s="37"/>
      <c r="AF297" s="37"/>
      <c r="AG297" s="37"/>
      <c r="AH297" s="32"/>
      <c r="AO297" s="40"/>
      <c r="AP297" s="40"/>
    </row>
    <row r="298" spans="2:42" hidden="1" x14ac:dyDescent="0.25">
      <c r="B298" s="30" t="s">
        <v>1278</v>
      </c>
      <c r="C298" s="31" t="s">
        <v>1215</v>
      </c>
      <c r="D298" s="32"/>
      <c r="E298" s="32">
        <v>30</v>
      </c>
      <c r="F298" s="32" t="s">
        <v>22</v>
      </c>
      <c r="G298" s="32" t="s">
        <v>1242</v>
      </c>
      <c r="H298" s="32" t="s">
        <v>50</v>
      </c>
      <c r="I298" s="32" t="s">
        <v>147</v>
      </c>
      <c r="J298" s="30" t="s">
        <v>1243</v>
      </c>
      <c r="K298" s="33">
        <f>IFERROR(AVERAGEIFS('[1]Controle de Produção'!$E:$E,'[1]Controle de Produção'!$N:$N,E298,'[1]Controle de Produção'!$S:$S,J298,'[1]Controle de Produção'!$R:$R,I298),0)</f>
        <v>0</v>
      </c>
      <c r="L298" s="33">
        <f>IFERROR(AVERAGEIFS('[1]Controle de Produção'!$E:$E,'[1]Controle de Produção'!$S:$S,J298,'[1]Controle de Produção'!$R:$R,I298),0)</f>
        <v>0</v>
      </c>
      <c r="M298" s="46"/>
      <c r="N298" s="35"/>
      <c r="O298" s="47"/>
      <c r="P298" s="33"/>
      <c r="Q298" s="33"/>
      <c r="R298" s="36" t="b">
        <v>0</v>
      </c>
      <c r="S298" s="36" t="b">
        <v>0</v>
      </c>
      <c r="T298" s="36" t="b">
        <v>0</v>
      </c>
      <c r="U298" s="36" t="b">
        <v>0</v>
      </c>
      <c r="V298" s="36" t="b">
        <v>0</v>
      </c>
      <c r="W298" s="33" t="s">
        <v>954</v>
      </c>
      <c r="X298" s="37"/>
      <c r="Y298" s="43"/>
      <c r="Z298" s="37"/>
      <c r="AA298" s="37"/>
      <c r="AB298" s="37"/>
      <c r="AC298" s="37"/>
      <c r="AD298" s="37"/>
      <c r="AE298" s="37"/>
      <c r="AF298" s="37"/>
      <c r="AG298" s="37"/>
      <c r="AH298" s="32"/>
      <c r="AO298" s="40"/>
      <c r="AP298" s="40"/>
    </row>
    <row r="299" spans="2:42" hidden="1" x14ac:dyDescent="0.25">
      <c r="B299" s="30" t="s">
        <v>1279</v>
      </c>
      <c r="C299" s="31" t="s">
        <v>1216</v>
      </c>
      <c r="D299" s="32"/>
      <c r="E299" s="32">
        <v>30</v>
      </c>
      <c r="F299" s="32" t="s">
        <v>22</v>
      </c>
      <c r="G299" s="32" t="s">
        <v>1242</v>
      </c>
      <c r="H299" s="32" t="s">
        <v>50</v>
      </c>
      <c r="I299" s="32" t="s">
        <v>147</v>
      </c>
      <c r="J299" s="30" t="s">
        <v>1243</v>
      </c>
      <c r="K299" s="33">
        <f>IFERROR(AVERAGEIFS('[1]Controle de Produção'!$E:$E,'[1]Controle de Produção'!$N:$N,E299,'[1]Controle de Produção'!$S:$S,J299,'[1]Controle de Produção'!$R:$R,I299),0)</f>
        <v>0</v>
      </c>
      <c r="L299" s="33">
        <f>IFERROR(AVERAGEIFS('[1]Controle de Produção'!$E:$E,'[1]Controle de Produção'!$S:$S,J299,'[1]Controle de Produção'!$R:$R,I299),0)</f>
        <v>0</v>
      </c>
      <c r="M299" s="46"/>
      <c r="N299" s="35"/>
      <c r="O299" s="47"/>
      <c r="P299" s="33"/>
      <c r="Q299" s="33"/>
      <c r="R299" s="36" t="b">
        <v>0</v>
      </c>
      <c r="S299" s="36" t="b">
        <v>0</v>
      </c>
      <c r="T299" s="36" t="b">
        <v>0</v>
      </c>
      <c r="U299" s="36" t="b">
        <v>0</v>
      </c>
      <c r="V299" s="36" t="b">
        <v>0</v>
      </c>
      <c r="W299" s="33" t="s">
        <v>954</v>
      </c>
      <c r="X299" s="37"/>
      <c r="Y299" s="43"/>
      <c r="Z299" s="37"/>
      <c r="AA299" s="37"/>
      <c r="AB299" s="37"/>
      <c r="AC299" s="37"/>
      <c r="AD299" s="37"/>
      <c r="AE299" s="37"/>
      <c r="AF299" s="37"/>
      <c r="AG299" s="37"/>
      <c r="AH299" s="32"/>
      <c r="AO299" s="40"/>
      <c r="AP299" s="40"/>
    </row>
    <row r="300" spans="2:42" hidden="1" x14ac:dyDescent="0.25">
      <c r="B300" s="30" t="s">
        <v>1280</v>
      </c>
      <c r="C300" s="31" t="s">
        <v>1217</v>
      </c>
      <c r="D300" s="32"/>
      <c r="E300" s="32">
        <v>30</v>
      </c>
      <c r="F300" s="32" t="s">
        <v>22</v>
      </c>
      <c r="G300" s="32" t="s">
        <v>1242</v>
      </c>
      <c r="H300" s="32" t="s">
        <v>50</v>
      </c>
      <c r="I300" s="32" t="s">
        <v>147</v>
      </c>
      <c r="J300" s="30" t="s">
        <v>1243</v>
      </c>
      <c r="K300" s="33">
        <f>IFERROR(AVERAGEIFS('[1]Controle de Produção'!$E:$E,'[1]Controle de Produção'!$N:$N,E300,'[1]Controle de Produção'!$S:$S,J300,'[1]Controle de Produção'!$R:$R,I300),0)</f>
        <v>0</v>
      </c>
      <c r="L300" s="33">
        <f>IFERROR(AVERAGEIFS('[1]Controle de Produção'!$E:$E,'[1]Controle de Produção'!$S:$S,J300,'[1]Controle de Produção'!$R:$R,I300),0)</f>
        <v>0</v>
      </c>
      <c r="M300" s="46"/>
      <c r="N300" s="35"/>
      <c r="O300" s="47"/>
      <c r="P300" s="33"/>
      <c r="Q300" s="33"/>
      <c r="R300" s="36" t="b">
        <v>0</v>
      </c>
      <c r="S300" s="36" t="b">
        <v>0</v>
      </c>
      <c r="T300" s="36" t="b">
        <v>0</v>
      </c>
      <c r="U300" s="36" t="b">
        <v>0</v>
      </c>
      <c r="V300" s="36" t="b">
        <v>0</v>
      </c>
      <c r="W300" s="33" t="s">
        <v>954</v>
      </c>
      <c r="X300" s="37"/>
      <c r="Y300" s="43"/>
      <c r="Z300" s="37"/>
      <c r="AA300" s="37"/>
      <c r="AB300" s="37"/>
      <c r="AC300" s="37"/>
      <c r="AD300" s="37"/>
      <c r="AE300" s="37"/>
      <c r="AF300" s="37"/>
      <c r="AG300" s="37"/>
      <c r="AH300" s="32"/>
      <c r="AO300" s="40"/>
      <c r="AP300" s="40"/>
    </row>
    <row r="301" spans="2:42" hidden="1" x14ac:dyDescent="0.25">
      <c r="B301" s="30" t="s">
        <v>1281</v>
      </c>
      <c r="C301" s="31" t="s">
        <v>1218</v>
      </c>
      <c r="D301" s="32"/>
      <c r="E301" s="32">
        <v>30</v>
      </c>
      <c r="F301" s="32" t="s">
        <v>22</v>
      </c>
      <c r="G301" s="32" t="s">
        <v>1242</v>
      </c>
      <c r="H301" s="32" t="s">
        <v>50</v>
      </c>
      <c r="I301" s="32" t="s">
        <v>147</v>
      </c>
      <c r="J301" s="30" t="s">
        <v>1243</v>
      </c>
      <c r="K301" s="33">
        <f>IFERROR(AVERAGEIFS('[1]Controle de Produção'!$E:$E,'[1]Controle de Produção'!$N:$N,E301,'[1]Controle de Produção'!$S:$S,J301,'[1]Controle de Produção'!$R:$R,I301),0)</f>
        <v>0</v>
      </c>
      <c r="L301" s="33">
        <f>IFERROR(AVERAGEIFS('[1]Controle de Produção'!$E:$E,'[1]Controle de Produção'!$S:$S,J301,'[1]Controle de Produção'!$R:$R,I301),0)</f>
        <v>0</v>
      </c>
      <c r="M301" s="46"/>
      <c r="N301" s="35"/>
      <c r="O301" s="47"/>
      <c r="P301" s="33"/>
      <c r="Q301" s="33"/>
      <c r="R301" s="36" t="b">
        <v>0</v>
      </c>
      <c r="S301" s="36" t="b">
        <v>0</v>
      </c>
      <c r="T301" s="36" t="b">
        <v>0</v>
      </c>
      <c r="U301" s="36" t="b">
        <v>0</v>
      </c>
      <c r="V301" s="36" t="b">
        <v>0</v>
      </c>
      <c r="W301" s="33" t="s">
        <v>954</v>
      </c>
      <c r="X301" s="37"/>
      <c r="Y301" s="43"/>
      <c r="Z301" s="37"/>
      <c r="AA301" s="37"/>
      <c r="AB301" s="37"/>
      <c r="AC301" s="37"/>
      <c r="AD301" s="37"/>
      <c r="AE301" s="37"/>
      <c r="AF301" s="37"/>
      <c r="AG301" s="37"/>
      <c r="AH301" s="32"/>
      <c r="AO301" s="40"/>
      <c r="AP301" s="40"/>
    </row>
    <row r="302" spans="2:42" hidden="1" x14ac:dyDescent="0.25">
      <c r="B302" s="30" t="s">
        <v>1282</v>
      </c>
      <c r="C302" s="31" t="s">
        <v>1219</v>
      </c>
      <c r="D302" s="32"/>
      <c r="E302" s="32">
        <v>30</v>
      </c>
      <c r="F302" s="32" t="s">
        <v>22</v>
      </c>
      <c r="G302" s="32" t="s">
        <v>1242</v>
      </c>
      <c r="H302" s="32" t="s">
        <v>50</v>
      </c>
      <c r="I302" s="32" t="s">
        <v>147</v>
      </c>
      <c r="J302" s="30" t="s">
        <v>1243</v>
      </c>
      <c r="K302" s="33">
        <f>IFERROR(AVERAGEIFS('[1]Controle de Produção'!$E:$E,'[1]Controle de Produção'!$N:$N,E302,'[1]Controle de Produção'!$S:$S,J302,'[1]Controle de Produção'!$R:$R,I302),0)</f>
        <v>0</v>
      </c>
      <c r="L302" s="33">
        <f>IFERROR(AVERAGEIFS('[1]Controle de Produção'!$E:$E,'[1]Controle de Produção'!$S:$S,J302,'[1]Controle de Produção'!$R:$R,I302),0)</f>
        <v>0</v>
      </c>
      <c r="M302" s="46"/>
      <c r="N302" s="35"/>
      <c r="O302" s="47"/>
      <c r="P302" s="33"/>
      <c r="Q302" s="33"/>
      <c r="R302" s="36" t="b">
        <v>0</v>
      </c>
      <c r="S302" s="36" t="b">
        <v>0</v>
      </c>
      <c r="T302" s="36" t="b">
        <v>0</v>
      </c>
      <c r="U302" s="36" t="b">
        <v>0</v>
      </c>
      <c r="V302" s="36" t="b">
        <v>0</v>
      </c>
      <c r="W302" s="33" t="s">
        <v>954</v>
      </c>
      <c r="X302" s="37"/>
      <c r="Y302" s="43"/>
      <c r="Z302" s="37"/>
      <c r="AA302" s="37"/>
      <c r="AB302" s="37"/>
      <c r="AC302" s="37"/>
      <c r="AD302" s="37"/>
      <c r="AE302" s="37"/>
      <c r="AF302" s="37"/>
      <c r="AG302" s="37"/>
      <c r="AH302" s="32"/>
      <c r="AO302" s="40"/>
      <c r="AP302" s="40"/>
    </row>
    <row r="303" spans="2:42" hidden="1" x14ac:dyDescent="0.25">
      <c r="B303" s="30" t="s">
        <v>1283</v>
      </c>
      <c r="C303" s="31" t="s">
        <v>1220</v>
      </c>
      <c r="D303" s="32"/>
      <c r="E303" s="32">
        <v>30</v>
      </c>
      <c r="F303" s="32" t="s">
        <v>22</v>
      </c>
      <c r="G303" s="32" t="s">
        <v>1242</v>
      </c>
      <c r="H303" s="32" t="s">
        <v>50</v>
      </c>
      <c r="I303" s="32" t="s">
        <v>147</v>
      </c>
      <c r="J303" s="30" t="s">
        <v>1243</v>
      </c>
      <c r="K303" s="33">
        <f>IFERROR(AVERAGEIFS('[1]Controle de Produção'!$E:$E,'[1]Controle de Produção'!$N:$N,E303,'[1]Controle de Produção'!$S:$S,J303,'[1]Controle de Produção'!$R:$R,I303),0)</f>
        <v>0</v>
      </c>
      <c r="L303" s="33">
        <f>IFERROR(AVERAGEIFS('[1]Controle de Produção'!$E:$E,'[1]Controle de Produção'!$S:$S,J303,'[1]Controle de Produção'!$R:$R,I303),0)</f>
        <v>0</v>
      </c>
      <c r="M303" s="46"/>
      <c r="N303" s="35"/>
      <c r="O303" s="47"/>
      <c r="P303" s="33"/>
      <c r="Q303" s="33"/>
      <c r="R303" s="36" t="b">
        <v>0</v>
      </c>
      <c r="S303" s="36" t="b">
        <v>0</v>
      </c>
      <c r="T303" s="36" t="b">
        <v>0</v>
      </c>
      <c r="U303" s="36" t="b">
        <v>0</v>
      </c>
      <c r="V303" s="36" t="b">
        <v>0</v>
      </c>
      <c r="W303" s="33" t="s">
        <v>954</v>
      </c>
      <c r="X303" s="37"/>
      <c r="Y303" s="43"/>
      <c r="Z303" s="37"/>
      <c r="AA303" s="37"/>
      <c r="AB303" s="37"/>
      <c r="AC303" s="37"/>
      <c r="AD303" s="37"/>
      <c r="AE303" s="37"/>
      <c r="AF303" s="37"/>
      <c r="AG303" s="37"/>
      <c r="AH303" s="32"/>
      <c r="AO303" s="40"/>
      <c r="AP303" s="40"/>
    </row>
    <row r="304" spans="2:42" hidden="1" x14ac:dyDescent="0.25">
      <c r="B304" s="30" t="s">
        <v>1284</v>
      </c>
      <c r="C304" s="31" t="s">
        <v>1221</v>
      </c>
      <c r="D304" s="32"/>
      <c r="E304" s="32">
        <v>30</v>
      </c>
      <c r="F304" s="32" t="s">
        <v>22</v>
      </c>
      <c r="G304" s="32" t="s">
        <v>1242</v>
      </c>
      <c r="H304" s="32" t="s">
        <v>50</v>
      </c>
      <c r="I304" s="32" t="s">
        <v>147</v>
      </c>
      <c r="J304" s="30" t="s">
        <v>1243</v>
      </c>
      <c r="K304" s="33">
        <f>IFERROR(AVERAGEIFS('[1]Controle de Produção'!$E:$E,'[1]Controle de Produção'!$N:$N,E304,'[1]Controle de Produção'!$S:$S,J304,'[1]Controle de Produção'!$R:$R,I304),0)</f>
        <v>0</v>
      </c>
      <c r="L304" s="33">
        <f>IFERROR(AVERAGEIFS('[1]Controle de Produção'!$E:$E,'[1]Controle de Produção'!$S:$S,J304,'[1]Controle de Produção'!$R:$R,I304),0)</f>
        <v>0</v>
      </c>
      <c r="M304" s="46"/>
      <c r="N304" s="35"/>
      <c r="O304" s="47"/>
      <c r="P304" s="33"/>
      <c r="Q304" s="33"/>
      <c r="R304" s="36" t="b">
        <v>0</v>
      </c>
      <c r="S304" s="36" t="b">
        <v>0</v>
      </c>
      <c r="T304" s="36" t="b">
        <v>0</v>
      </c>
      <c r="U304" s="36" t="b">
        <v>0</v>
      </c>
      <c r="V304" s="36" t="b">
        <v>0</v>
      </c>
      <c r="W304" s="33" t="s">
        <v>954</v>
      </c>
      <c r="X304" s="37"/>
      <c r="Y304" s="43"/>
      <c r="Z304" s="37"/>
      <c r="AA304" s="37"/>
      <c r="AB304" s="37"/>
      <c r="AC304" s="37"/>
      <c r="AD304" s="37"/>
      <c r="AE304" s="37"/>
      <c r="AF304" s="37"/>
      <c r="AG304" s="37"/>
      <c r="AH304" s="32"/>
      <c r="AO304" s="40"/>
      <c r="AP304" s="40"/>
    </row>
    <row r="305" spans="2:42" hidden="1" x14ac:dyDescent="0.25">
      <c r="B305" s="30" t="s">
        <v>1285</v>
      </c>
      <c r="C305" s="31" t="s">
        <v>1222</v>
      </c>
      <c r="D305" s="32"/>
      <c r="E305" s="32">
        <v>30</v>
      </c>
      <c r="F305" s="32" t="s">
        <v>22</v>
      </c>
      <c r="G305" s="32" t="s">
        <v>1242</v>
      </c>
      <c r="H305" s="32" t="s">
        <v>50</v>
      </c>
      <c r="I305" s="32" t="s">
        <v>147</v>
      </c>
      <c r="J305" s="30" t="s">
        <v>1243</v>
      </c>
      <c r="K305" s="33">
        <f>IFERROR(AVERAGEIFS('[1]Controle de Produção'!$E:$E,'[1]Controle de Produção'!$N:$N,E305,'[1]Controle de Produção'!$S:$S,J305,'[1]Controle de Produção'!$R:$R,I305),0)</f>
        <v>0</v>
      </c>
      <c r="L305" s="33">
        <f>IFERROR(AVERAGEIFS('[1]Controle de Produção'!$E:$E,'[1]Controle de Produção'!$S:$S,J305,'[1]Controle de Produção'!$R:$R,I305),0)</f>
        <v>0</v>
      </c>
      <c r="M305" s="46"/>
      <c r="N305" s="35"/>
      <c r="O305" s="47"/>
      <c r="P305" s="33"/>
      <c r="Q305" s="33"/>
      <c r="R305" s="36" t="b">
        <v>0</v>
      </c>
      <c r="S305" s="36" t="b">
        <v>0</v>
      </c>
      <c r="T305" s="36" t="b">
        <v>0</v>
      </c>
      <c r="U305" s="36" t="b">
        <v>0</v>
      </c>
      <c r="V305" s="36" t="b">
        <v>0</v>
      </c>
      <c r="W305" s="33" t="s">
        <v>954</v>
      </c>
      <c r="X305" s="37"/>
      <c r="Y305" s="43"/>
      <c r="Z305" s="37"/>
      <c r="AA305" s="37"/>
      <c r="AB305" s="37"/>
      <c r="AC305" s="37"/>
      <c r="AD305" s="37"/>
      <c r="AE305" s="37"/>
      <c r="AF305" s="37"/>
      <c r="AG305" s="37"/>
      <c r="AH305" s="32"/>
      <c r="AO305" s="40"/>
      <c r="AP305" s="40"/>
    </row>
    <row r="306" spans="2:42" hidden="1" x14ac:dyDescent="0.25">
      <c r="B306" s="30" t="s">
        <v>1286</v>
      </c>
      <c r="C306" s="31" t="s">
        <v>1223</v>
      </c>
      <c r="D306" s="32"/>
      <c r="E306" s="32">
        <v>30</v>
      </c>
      <c r="F306" s="32" t="s">
        <v>22</v>
      </c>
      <c r="G306" s="32" t="s">
        <v>1242</v>
      </c>
      <c r="H306" s="32" t="s">
        <v>50</v>
      </c>
      <c r="I306" s="32" t="s">
        <v>147</v>
      </c>
      <c r="J306" s="30" t="s">
        <v>1243</v>
      </c>
      <c r="K306" s="33">
        <f>IFERROR(AVERAGEIFS('[1]Controle de Produção'!$E:$E,'[1]Controle de Produção'!$N:$N,E306,'[1]Controle de Produção'!$S:$S,J306,'[1]Controle de Produção'!$R:$R,I306),0)</f>
        <v>0</v>
      </c>
      <c r="L306" s="33">
        <f>IFERROR(AVERAGEIFS('[1]Controle de Produção'!$E:$E,'[1]Controle de Produção'!$S:$S,J306,'[1]Controle de Produção'!$R:$R,I306),0)</f>
        <v>0</v>
      </c>
      <c r="M306" s="46"/>
      <c r="N306" s="35"/>
      <c r="O306" s="47"/>
      <c r="P306" s="33"/>
      <c r="Q306" s="33"/>
      <c r="R306" s="36" t="b">
        <v>0</v>
      </c>
      <c r="S306" s="36" t="b">
        <v>0</v>
      </c>
      <c r="T306" s="36" t="b">
        <v>0</v>
      </c>
      <c r="U306" s="36" t="b">
        <v>0</v>
      </c>
      <c r="V306" s="36" t="b">
        <v>0</v>
      </c>
      <c r="W306" s="33" t="s">
        <v>954</v>
      </c>
      <c r="X306" s="37"/>
      <c r="Y306" s="43"/>
      <c r="Z306" s="37"/>
      <c r="AA306" s="37"/>
      <c r="AB306" s="37"/>
      <c r="AC306" s="37"/>
      <c r="AD306" s="37"/>
      <c r="AE306" s="37"/>
      <c r="AF306" s="37"/>
      <c r="AG306" s="37"/>
      <c r="AH306" s="32"/>
      <c r="AO306" s="40"/>
      <c r="AP306" s="40"/>
    </row>
    <row r="307" spans="2:42" hidden="1" x14ac:dyDescent="0.25">
      <c r="B307" s="30" t="s">
        <v>1287</v>
      </c>
      <c r="C307" s="31" t="s">
        <v>1224</v>
      </c>
      <c r="D307" s="32"/>
      <c r="E307" s="32">
        <v>30</v>
      </c>
      <c r="F307" s="32" t="s">
        <v>22</v>
      </c>
      <c r="G307" s="32" t="s">
        <v>1242</v>
      </c>
      <c r="H307" s="32" t="s">
        <v>50</v>
      </c>
      <c r="I307" s="32" t="s">
        <v>147</v>
      </c>
      <c r="J307" s="30" t="s">
        <v>1243</v>
      </c>
      <c r="K307" s="33">
        <f>IFERROR(AVERAGEIFS('[1]Controle de Produção'!$E:$E,'[1]Controle de Produção'!$N:$N,E307,'[1]Controle de Produção'!$S:$S,J307,'[1]Controle de Produção'!$R:$R,I307),0)</f>
        <v>0</v>
      </c>
      <c r="L307" s="33">
        <f>IFERROR(AVERAGEIFS('[1]Controle de Produção'!$E:$E,'[1]Controle de Produção'!$S:$S,J307,'[1]Controle de Produção'!$R:$R,I307),0)</f>
        <v>0</v>
      </c>
      <c r="M307" s="46"/>
      <c r="N307" s="35"/>
      <c r="O307" s="47"/>
      <c r="P307" s="33"/>
      <c r="Q307" s="33"/>
      <c r="R307" s="36" t="b">
        <v>0</v>
      </c>
      <c r="S307" s="36" t="b">
        <v>0</v>
      </c>
      <c r="T307" s="36" t="b">
        <v>0</v>
      </c>
      <c r="U307" s="36" t="b">
        <v>0</v>
      </c>
      <c r="V307" s="36" t="b">
        <v>0</v>
      </c>
      <c r="W307" s="33" t="s">
        <v>954</v>
      </c>
      <c r="X307" s="37"/>
      <c r="Y307" s="43"/>
      <c r="Z307" s="37"/>
      <c r="AA307" s="37"/>
      <c r="AB307" s="37"/>
      <c r="AC307" s="37"/>
      <c r="AD307" s="37"/>
      <c r="AE307" s="37"/>
      <c r="AF307" s="37"/>
      <c r="AG307" s="37"/>
      <c r="AH307" s="32"/>
      <c r="AO307" s="40"/>
      <c r="AP307" s="40"/>
    </row>
    <row r="308" spans="2:42" hidden="1" x14ac:dyDescent="0.25">
      <c r="B308" s="30" t="s">
        <v>1288</v>
      </c>
      <c r="C308" s="31" t="s">
        <v>1225</v>
      </c>
      <c r="D308" s="32"/>
      <c r="E308" s="32">
        <v>30</v>
      </c>
      <c r="F308" s="32" t="s">
        <v>22</v>
      </c>
      <c r="G308" s="32" t="s">
        <v>1242</v>
      </c>
      <c r="H308" s="32" t="s">
        <v>50</v>
      </c>
      <c r="I308" s="32" t="s">
        <v>147</v>
      </c>
      <c r="J308" s="30" t="s">
        <v>1243</v>
      </c>
      <c r="K308" s="33">
        <f>IFERROR(AVERAGEIFS('[1]Controle de Produção'!$E:$E,'[1]Controle de Produção'!$N:$N,E308,'[1]Controle de Produção'!$S:$S,J308,'[1]Controle de Produção'!$R:$R,I308),0)</f>
        <v>0</v>
      </c>
      <c r="L308" s="33">
        <f>IFERROR(AVERAGEIFS('[1]Controle de Produção'!$E:$E,'[1]Controle de Produção'!$S:$S,J308,'[1]Controle de Produção'!$R:$R,I308),0)</f>
        <v>0</v>
      </c>
      <c r="M308" s="46"/>
      <c r="N308" s="35"/>
      <c r="O308" s="47"/>
      <c r="P308" s="33"/>
      <c r="Q308" s="33"/>
      <c r="R308" s="36" t="b">
        <v>0</v>
      </c>
      <c r="S308" s="36" t="b">
        <v>0</v>
      </c>
      <c r="T308" s="36" t="b">
        <v>0</v>
      </c>
      <c r="U308" s="36" t="b">
        <v>0</v>
      </c>
      <c r="V308" s="36" t="b">
        <v>0</v>
      </c>
      <c r="W308" s="33" t="s">
        <v>954</v>
      </c>
      <c r="X308" s="37"/>
      <c r="Y308" s="43"/>
      <c r="Z308" s="37"/>
      <c r="AA308" s="37"/>
      <c r="AB308" s="37"/>
      <c r="AC308" s="37"/>
      <c r="AD308" s="37"/>
      <c r="AE308" s="37"/>
      <c r="AF308" s="37"/>
      <c r="AG308" s="37"/>
      <c r="AH308" s="32"/>
      <c r="AO308" s="40"/>
      <c r="AP308" s="40"/>
    </row>
    <row r="309" spans="2:42" hidden="1" x14ac:dyDescent="0.25">
      <c r="B309" s="30" t="s">
        <v>1289</v>
      </c>
      <c r="C309" s="31" t="s">
        <v>1226</v>
      </c>
      <c r="D309" s="32"/>
      <c r="E309" s="32">
        <v>30</v>
      </c>
      <c r="F309" s="32" t="s">
        <v>22</v>
      </c>
      <c r="G309" s="32" t="s">
        <v>1242</v>
      </c>
      <c r="H309" s="32" t="s">
        <v>50</v>
      </c>
      <c r="I309" s="32" t="s">
        <v>147</v>
      </c>
      <c r="J309" s="30" t="s">
        <v>1243</v>
      </c>
      <c r="K309" s="33">
        <f>IFERROR(AVERAGEIFS('[1]Controle de Produção'!$E:$E,'[1]Controle de Produção'!$N:$N,E309,'[1]Controle de Produção'!$S:$S,J309,'[1]Controle de Produção'!$R:$R,I309),0)</f>
        <v>0</v>
      </c>
      <c r="L309" s="33">
        <f>IFERROR(AVERAGEIFS('[1]Controle de Produção'!$E:$E,'[1]Controle de Produção'!$S:$S,J309,'[1]Controle de Produção'!$R:$R,I309),0)</f>
        <v>0</v>
      </c>
      <c r="M309" s="46"/>
      <c r="N309" s="35"/>
      <c r="O309" s="47"/>
      <c r="P309" s="33"/>
      <c r="Q309" s="33"/>
      <c r="R309" s="36" t="b">
        <v>0</v>
      </c>
      <c r="S309" s="36" t="b">
        <v>0</v>
      </c>
      <c r="T309" s="36" t="b">
        <v>0</v>
      </c>
      <c r="U309" s="36" t="b">
        <v>0</v>
      </c>
      <c r="V309" s="36" t="b">
        <v>0</v>
      </c>
      <c r="W309" s="33" t="s">
        <v>954</v>
      </c>
      <c r="X309" s="37"/>
      <c r="Y309" s="43"/>
      <c r="Z309" s="37"/>
      <c r="AA309" s="37"/>
      <c r="AB309" s="37"/>
      <c r="AC309" s="37"/>
      <c r="AD309" s="37"/>
      <c r="AE309" s="37"/>
      <c r="AF309" s="37"/>
      <c r="AG309" s="37"/>
      <c r="AH309" s="32"/>
      <c r="AO309" s="40"/>
      <c r="AP309" s="40"/>
    </row>
    <row r="310" spans="2:42" hidden="1" x14ac:dyDescent="0.25">
      <c r="B310" s="30" t="s">
        <v>1290</v>
      </c>
      <c r="C310" s="31" t="s">
        <v>1241</v>
      </c>
      <c r="D310" s="32"/>
      <c r="E310" s="32">
        <v>30</v>
      </c>
      <c r="F310" s="32" t="s">
        <v>22</v>
      </c>
      <c r="G310" s="32" t="s">
        <v>1242</v>
      </c>
      <c r="H310" s="32" t="s">
        <v>50</v>
      </c>
      <c r="I310" s="32" t="s">
        <v>147</v>
      </c>
      <c r="J310" s="30" t="s">
        <v>1243</v>
      </c>
      <c r="K310" s="33">
        <f>IFERROR(AVERAGEIFS('[1]Controle de Produção'!$E:$E,'[1]Controle de Produção'!$N:$N,E310,'[1]Controle de Produção'!$S:$S,J310,'[1]Controle de Produção'!$R:$R,I310),0)</f>
        <v>0</v>
      </c>
      <c r="L310" s="33">
        <f>IFERROR(AVERAGEIFS('[1]Controle de Produção'!$E:$E,'[1]Controle de Produção'!$S:$S,J310,'[1]Controle de Produção'!$R:$R,I310),0)</f>
        <v>0</v>
      </c>
      <c r="M310" s="46"/>
      <c r="N310" s="35"/>
      <c r="O310" s="47"/>
      <c r="P310" s="33"/>
      <c r="Q310" s="33"/>
      <c r="R310" s="36" t="b">
        <v>0</v>
      </c>
      <c r="S310" s="36" t="b">
        <v>0</v>
      </c>
      <c r="T310" s="36" t="b">
        <v>0</v>
      </c>
      <c r="U310" s="36" t="b">
        <v>0</v>
      </c>
      <c r="V310" s="36" t="b">
        <v>0</v>
      </c>
      <c r="W310" s="33" t="s">
        <v>954</v>
      </c>
      <c r="X310" s="37"/>
      <c r="Y310" s="43"/>
      <c r="Z310" s="37"/>
      <c r="AA310" s="37"/>
      <c r="AB310" s="37"/>
      <c r="AC310" s="37"/>
      <c r="AD310" s="37"/>
      <c r="AE310" s="37"/>
      <c r="AF310" s="37"/>
      <c r="AG310" s="37"/>
      <c r="AH310" s="32"/>
      <c r="AO310" s="40"/>
      <c r="AP310" s="40"/>
    </row>
    <row r="311" spans="2:42" hidden="1" x14ac:dyDescent="0.25">
      <c r="B311" s="30" t="s">
        <v>1291</v>
      </c>
      <c r="C311" s="31" t="s">
        <v>1227</v>
      </c>
      <c r="D311" s="32"/>
      <c r="E311" s="32">
        <v>30</v>
      </c>
      <c r="F311" s="32" t="s">
        <v>22</v>
      </c>
      <c r="G311" s="32" t="s">
        <v>1242</v>
      </c>
      <c r="H311" s="32" t="s">
        <v>50</v>
      </c>
      <c r="I311" s="32" t="s">
        <v>147</v>
      </c>
      <c r="J311" s="30" t="s">
        <v>1243</v>
      </c>
      <c r="K311" s="33">
        <f>IFERROR(AVERAGEIFS('[1]Controle de Produção'!$E:$E,'[1]Controle de Produção'!$N:$N,E311,'[1]Controle de Produção'!$S:$S,J311,'[1]Controle de Produção'!$R:$R,I311),0)</f>
        <v>0</v>
      </c>
      <c r="L311" s="33">
        <f>IFERROR(AVERAGEIFS('[1]Controle de Produção'!$E:$E,'[1]Controle de Produção'!$S:$S,J311,'[1]Controle de Produção'!$R:$R,I311),0)</f>
        <v>0</v>
      </c>
      <c r="M311" s="46"/>
      <c r="N311" s="35"/>
      <c r="O311" s="47"/>
      <c r="P311" s="33"/>
      <c r="Q311" s="33"/>
      <c r="R311" s="36" t="b">
        <v>0</v>
      </c>
      <c r="S311" s="36" t="b">
        <v>0</v>
      </c>
      <c r="T311" s="36" t="b">
        <v>0</v>
      </c>
      <c r="U311" s="36" t="b">
        <v>0</v>
      </c>
      <c r="V311" s="36" t="b">
        <v>0</v>
      </c>
      <c r="W311" s="33" t="s">
        <v>954</v>
      </c>
      <c r="X311" s="37"/>
      <c r="Y311" s="43"/>
      <c r="Z311" s="37"/>
      <c r="AA311" s="37"/>
      <c r="AB311" s="37"/>
      <c r="AC311" s="37"/>
      <c r="AD311" s="37"/>
      <c r="AE311" s="37"/>
      <c r="AF311" s="37"/>
      <c r="AG311" s="37"/>
      <c r="AH311" s="32"/>
      <c r="AO311" s="40"/>
      <c r="AP311" s="40"/>
    </row>
    <row r="312" spans="2:42" hidden="1" x14ac:dyDescent="0.25">
      <c r="B312" s="30" t="s">
        <v>1292</v>
      </c>
      <c r="C312" s="31" t="s">
        <v>1228</v>
      </c>
      <c r="D312" s="32"/>
      <c r="E312" s="32">
        <v>30</v>
      </c>
      <c r="F312" s="32" t="s">
        <v>22</v>
      </c>
      <c r="G312" s="32" t="s">
        <v>1242</v>
      </c>
      <c r="H312" s="32" t="s">
        <v>50</v>
      </c>
      <c r="I312" s="32" t="s">
        <v>147</v>
      </c>
      <c r="J312" s="30" t="s">
        <v>1243</v>
      </c>
      <c r="K312" s="33">
        <f>IFERROR(AVERAGEIFS('[1]Controle de Produção'!$E:$E,'[1]Controle de Produção'!$N:$N,E312,'[1]Controle de Produção'!$S:$S,J312,'[1]Controle de Produção'!$R:$R,I312),0)</f>
        <v>0</v>
      </c>
      <c r="L312" s="33">
        <f>IFERROR(AVERAGEIFS('[1]Controle de Produção'!$E:$E,'[1]Controle de Produção'!$S:$S,J312,'[1]Controle de Produção'!$R:$R,I312),0)</f>
        <v>0</v>
      </c>
      <c r="M312" s="46"/>
      <c r="N312" s="35"/>
      <c r="O312" s="47"/>
      <c r="P312" s="33"/>
      <c r="Q312" s="33"/>
      <c r="R312" s="36" t="b">
        <v>0</v>
      </c>
      <c r="S312" s="36" t="b">
        <v>0</v>
      </c>
      <c r="T312" s="36" t="b">
        <v>0</v>
      </c>
      <c r="U312" s="36" t="b">
        <v>0</v>
      </c>
      <c r="V312" s="36" t="b">
        <v>0</v>
      </c>
      <c r="W312" s="33" t="s">
        <v>954</v>
      </c>
      <c r="X312" s="37"/>
      <c r="Y312" s="43"/>
      <c r="Z312" s="37"/>
      <c r="AA312" s="37"/>
      <c r="AB312" s="37"/>
      <c r="AC312" s="37"/>
      <c r="AD312" s="37"/>
      <c r="AE312" s="37"/>
      <c r="AF312" s="37"/>
      <c r="AG312" s="37"/>
      <c r="AH312" s="32"/>
      <c r="AO312" s="40"/>
      <c r="AP312" s="40"/>
    </row>
    <row r="313" spans="2:42" hidden="1" x14ac:dyDescent="0.25">
      <c r="B313" s="30" t="s">
        <v>1293</v>
      </c>
      <c r="C313" s="31" t="s">
        <v>1229</v>
      </c>
      <c r="D313" s="32"/>
      <c r="E313" s="32">
        <v>30</v>
      </c>
      <c r="F313" s="32" t="s">
        <v>22</v>
      </c>
      <c r="G313" s="32" t="s">
        <v>1242</v>
      </c>
      <c r="H313" s="32" t="s">
        <v>50</v>
      </c>
      <c r="I313" s="32" t="s">
        <v>147</v>
      </c>
      <c r="J313" s="30" t="s">
        <v>1243</v>
      </c>
      <c r="K313" s="33">
        <f>IFERROR(AVERAGEIFS('[1]Controle de Produção'!$E:$E,'[1]Controle de Produção'!$N:$N,E313,'[1]Controle de Produção'!$S:$S,J313,'[1]Controle de Produção'!$R:$R,I313),0)</f>
        <v>0</v>
      </c>
      <c r="L313" s="33">
        <f>IFERROR(AVERAGEIFS('[1]Controle de Produção'!$E:$E,'[1]Controle de Produção'!$S:$S,J313,'[1]Controle de Produção'!$R:$R,I313),0)</f>
        <v>0</v>
      </c>
      <c r="M313" s="46"/>
      <c r="N313" s="35"/>
      <c r="O313" s="47"/>
      <c r="P313" s="33"/>
      <c r="Q313" s="33"/>
      <c r="R313" s="36" t="b">
        <v>0</v>
      </c>
      <c r="S313" s="36" t="b">
        <v>0</v>
      </c>
      <c r="T313" s="36" t="b">
        <v>0</v>
      </c>
      <c r="U313" s="36" t="b">
        <v>0</v>
      </c>
      <c r="V313" s="36" t="b">
        <v>0</v>
      </c>
      <c r="W313" s="33" t="s">
        <v>954</v>
      </c>
      <c r="X313" s="37"/>
      <c r="Y313" s="43"/>
      <c r="Z313" s="37"/>
      <c r="AA313" s="37"/>
      <c r="AB313" s="37"/>
      <c r="AC313" s="37"/>
      <c r="AD313" s="37"/>
      <c r="AE313" s="37"/>
      <c r="AF313" s="37"/>
      <c r="AG313" s="37"/>
      <c r="AH313" s="32"/>
      <c r="AO313" s="40"/>
      <c r="AP313" s="40"/>
    </row>
    <row r="314" spans="2:42" hidden="1" x14ac:dyDescent="0.25">
      <c r="B314" s="30" t="s">
        <v>1294</v>
      </c>
      <c r="C314" s="31" t="s">
        <v>1230</v>
      </c>
      <c r="D314" s="32"/>
      <c r="E314" s="32">
        <v>30</v>
      </c>
      <c r="F314" s="32" t="s">
        <v>22</v>
      </c>
      <c r="G314" s="32" t="s">
        <v>1242</v>
      </c>
      <c r="H314" s="32" t="s">
        <v>50</v>
      </c>
      <c r="I314" s="32" t="s">
        <v>147</v>
      </c>
      <c r="J314" s="30" t="s">
        <v>1243</v>
      </c>
      <c r="K314" s="33">
        <f>IFERROR(AVERAGEIFS('[1]Controle de Produção'!$E:$E,'[1]Controle de Produção'!$N:$N,E314,'[1]Controle de Produção'!$S:$S,J314,'[1]Controle de Produção'!$R:$R,I314),0)</f>
        <v>0</v>
      </c>
      <c r="L314" s="33">
        <f>IFERROR(AVERAGEIFS('[1]Controle de Produção'!$E:$E,'[1]Controle de Produção'!$S:$S,J314,'[1]Controle de Produção'!$R:$R,I314),0)</f>
        <v>0</v>
      </c>
      <c r="M314" s="46"/>
      <c r="N314" s="35"/>
      <c r="O314" s="47"/>
      <c r="P314" s="33"/>
      <c r="Q314" s="33"/>
      <c r="R314" s="36" t="b">
        <v>0</v>
      </c>
      <c r="S314" s="36" t="b">
        <v>0</v>
      </c>
      <c r="T314" s="36" t="b">
        <v>0</v>
      </c>
      <c r="U314" s="36" t="b">
        <v>0</v>
      </c>
      <c r="V314" s="36" t="b">
        <v>0</v>
      </c>
      <c r="W314" s="33" t="s">
        <v>954</v>
      </c>
      <c r="X314" s="37"/>
      <c r="Y314" s="43"/>
      <c r="Z314" s="37"/>
      <c r="AA314" s="37"/>
      <c r="AB314" s="37"/>
      <c r="AC314" s="37"/>
      <c r="AD314" s="37"/>
      <c r="AE314" s="37"/>
      <c r="AF314" s="37"/>
      <c r="AG314" s="37"/>
      <c r="AH314" s="32"/>
    </row>
    <row r="315" spans="2:42" hidden="1" x14ac:dyDescent="0.25">
      <c r="B315" s="30" t="s">
        <v>1295</v>
      </c>
      <c r="C315" s="31" t="s">
        <v>1231</v>
      </c>
      <c r="D315" s="32"/>
      <c r="E315" s="32">
        <v>30</v>
      </c>
      <c r="F315" s="32" t="s">
        <v>22</v>
      </c>
      <c r="G315" s="32" t="s">
        <v>1242</v>
      </c>
      <c r="H315" s="32" t="s">
        <v>50</v>
      </c>
      <c r="I315" s="32" t="s">
        <v>147</v>
      </c>
      <c r="J315" s="30" t="s">
        <v>1243</v>
      </c>
      <c r="K315" s="33">
        <f>IFERROR(AVERAGEIFS('[1]Controle de Produção'!$E:$E,'[1]Controle de Produção'!$N:$N,E315,'[1]Controle de Produção'!$S:$S,J315,'[1]Controle de Produção'!$R:$R,I315),0)</f>
        <v>0</v>
      </c>
      <c r="L315" s="33">
        <f>IFERROR(AVERAGEIFS('[1]Controle de Produção'!$E:$E,'[1]Controle de Produção'!$S:$S,J315,'[1]Controle de Produção'!$R:$R,I315),0)</f>
        <v>0</v>
      </c>
      <c r="M315" s="46"/>
      <c r="N315" s="35"/>
      <c r="O315" s="47"/>
      <c r="P315" s="33"/>
      <c r="Q315" s="33"/>
      <c r="R315" s="36" t="b">
        <v>0</v>
      </c>
      <c r="S315" s="36" t="b">
        <v>0</v>
      </c>
      <c r="T315" s="36" t="b">
        <v>0</v>
      </c>
      <c r="U315" s="36" t="b">
        <v>0</v>
      </c>
      <c r="V315" s="36" t="b">
        <v>0</v>
      </c>
      <c r="W315" s="33" t="s">
        <v>954</v>
      </c>
      <c r="X315" s="37"/>
      <c r="Y315" s="43"/>
      <c r="Z315" s="37"/>
      <c r="AA315" s="37"/>
      <c r="AB315" s="37"/>
      <c r="AC315" s="37"/>
      <c r="AD315" s="37"/>
      <c r="AE315" s="37"/>
      <c r="AF315" s="37"/>
      <c r="AG315" s="37"/>
      <c r="AH315" s="32"/>
    </row>
    <row r="316" spans="2:42" hidden="1" x14ac:dyDescent="0.25">
      <c r="B316" s="30" t="s">
        <v>1296</v>
      </c>
      <c r="C316" s="31" t="s">
        <v>1232</v>
      </c>
      <c r="D316" s="32"/>
      <c r="E316" s="32">
        <v>30</v>
      </c>
      <c r="F316" s="32" t="s">
        <v>22</v>
      </c>
      <c r="G316" s="32" t="s">
        <v>1242</v>
      </c>
      <c r="H316" s="32" t="s">
        <v>50</v>
      </c>
      <c r="I316" s="32" t="s">
        <v>147</v>
      </c>
      <c r="J316" s="30" t="s">
        <v>1243</v>
      </c>
      <c r="K316" s="33">
        <f>IFERROR(AVERAGEIFS('[1]Controle de Produção'!$E:$E,'[1]Controle de Produção'!$N:$N,E316,'[1]Controle de Produção'!$S:$S,J316,'[1]Controle de Produção'!$R:$R,I316),0)</f>
        <v>0</v>
      </c>
      <c r="L316" s="33">
        <f>IFERROR(AVERAGEIFS('[1]Controle de Produção'!$E:$E,'[1]Controle de Produção'!$S:$S,J316,'[1]Controle de Produção'!$R:$R,I316),0)</f>
        <v>0</v>
      </c>
      <c r="M316" s="46"/>
      <c r="N316" s="35"/>
      <c r="O316" s="47"/>
      <c r="P316" s="33"/>
      <c r="Q316" s="33"/>
      <c r="R316" s="36" t="b">
        <v>0</v>
      </c>
      <c r="S316" s="36" t="b">
        <v>0</v>
      </c>
      <c r="T316" s="36" t="b">
        <v>0</v>
      </c>
      <c r="U316" s="36" t="b">
        <v>0</v>
      </c>
      <c r="V316" s="36" t="b">
        <v>0</v>
      </c>
      <c r="W316" s="33" t="s">
        <v>954</v>
      </c>
      <c r="X316" s="37"/>
      <c r="Y316" s="43"/>
      <c r="Z316" s="37"/>
      <c r="AA316" s="37"/>
      <c r="AB316" s="37"/>
      <c r="AC316" s="37"/>
      <c r="AD316" s="37"/>
      <c r="AE316" s="37"/>
      <c r="AF316" s="37"/>
      <c r="AG316" s="37"/>
      <c r="AH316" s="32"/>
    </row>
    <row r="317" spans="2:42" hidden="1" x14ac:dyDescent="0.25">
      <c r="B317" s="30" t="s">
        <v>1297</v>
      </c>
      <c r="C317" s="31" t="s">
        <v>1233</v>
      </c>
      <c r="D317" s="32"/>
      <c r="E317" s="32">
        <v>30</v>
      </c>
      <c r="F317" s="32" t="s">
        <v>22</v>
      </c>
      <c r="G317" s="32" t="s">
        <v>1242</v>
      </c>
      <c r="H317" s="32" t="s">
        <v>50</v>
      </c>
      <c r="I317" s="32" t="s">
        <v>147</v>
      </c>
      <c r="J317" s="30" t="s">
        <v>1243</v>
      </c>
      <c r="K317" s="33">
        <f>IFERROR(AVERAGEIFS('[1]Controle de Produção'!$E:$E,'[1]Controle de Produção'!$N:$N,E317,'[1]Controle de Produção'!$S:$S,J317,'[1]Controle de Produção'!$R:$R,I317),0)</f>
        <v>0</v>
      </c>
      <c r="L317" s="33">
        <f>IFERROR(AVERAGEIFS('[1]Controle de Produção'!$E:$E,'[1]Controle de Produção'!$S:$S,J317,'[1]Controle de Produção'!$R:$R,I317),0)</f>
        <v>0</v>
      </c>
      <c r="M317" s="46"/>
      <c r="N317" s="35"/>
      <c r="O317" s="47"/>
      <c r="P317" s="33"/>
      <c r="Q317" s="33"/>
      <c r="R317" s="36" t="b">
        <v>0</v>
      </c>
      <c r="S317" s="36" t="b">
        <v>0</v>
      </c>
      <c r="T317" s="36" t="b">
        <v>0</v>
      </c>
      <c r="U317" s="36" t="b">
        <v>0</v>
      </c>
      <c r="V317" s="36" t="b">
        <v>0</v>
      </c>
      <c r="W317" s="33" t="s">
        <v>954</v>
      </c>
      <c r="X317" s="37"/>
      <c r="Y317" s="43"/>
      <c r="Z317" s="37"/>
      <c r="AA317" s="37"/>
      <c r="AB317" s="37"/>
      <c r="AC317" s="37"/>
      <c r="AD317" s="37"/>
      <c r="AE317" s="37"/>
      <c r="AF317" s="37"/>
      <c r="AG317" s="37"/>
      <c r="AH317" s="32"/>
    </row>
    <row r="318" spans="2:42" hidden="1" x14ac:dyDescent="0.25">
      <c r="B318" s="30" t="s">
        <v>1298</v>
      </c>
      <c r="C318" s="31" t="s">
        <v>1234</v>
      </c>
      <c r="D318" s="32"/>
      <c r="E318" s="32">
        <v>30</v>
      </c>
      <c r="F318" s="32" t="s">
        <v>22</v>
      </c>
      <c r="G318" s="32" t="s">
        <v>1242</v>
      </c>
      <c r="H318" s="32" t="s">
        <v>50</v>
      </c>
      <c r="I318" s="32" t="s">
        <v>147</v>
      </c>
      <c r="J318" s="30" t="s">
        <v>1243</v>
      </c>
      <c r="K318" s="33">
        <f>IFERROR(AVERAGEIFS('[1]Controle de Produção'!$E:$E,'[1]Controle de Produção'!$N:$N,E318,'[1]Controle de Produção'!$S:$S,J318,'[1]Controle de Produção'!$R:$R,I318),0)</f>
        <v>0</v>
      </c>
      <c r="L318" s="33">
        <f>IFERROR(AVERAGEIFS('[1]Controle de Produção'!$E:$E,'[1]Controle de Produção'!$S:$S,J318,'[1]Controle de Produção'!$R:$R,I318),0)</f>
        <v>0</v>
      </c>
      <c r="M318" s="46"/>
      <c r="N318" s="35"/>
      <c r="O318" s="47"/>
      <c r="P318" s="33"/>
      <c r="Q318" s="33"/>
      <c r="R318" s="36" t="b">
        <v>0</v>
      </c>
      <c r="S318" s="36" t="b">
        <v>0</v>
      </c>
      <c r="T318" s="36" t="b">
        <v>0</v>
      </c>
      <c r="U318" s="36" t="b">
        <v>0</v>
      </c>
      <c r="V318" s="36" t="b">
        <v>0</v>
      </c>
      <c r="W318" s="33" t="s">
        <v>954</v>
      </c>
      <c r="X318" s="37"/>
      <c r="Y318" s="43"/>
      <c r="Z318" s="37"/>
      <c r="AA318" s="37"/>
      <c r="AB318" s="37"/>
      <c r="AC318" s="37"/>
      <c r="AD318" s="37"/>
      <c r="AE318" s="37"/>
      <c r="AF318" s="37"/>
      <c r="AG318" s="37"/>
      <c r="AH318" s="32"/>
    </row>
    <row r="319" spans="2:42" hidden="1" x14ac:dyDescent="0.25">
      <c r="B319" s="30" t="s">
        <v>1299</v>
      </c>
      <c r="C319" s="31" t="s">
        <v>1235</v>
      </c>
      <c r="D319" s="32"/>
      <c r="E319" s="32">
        <v>30</v>
      </c>
      <c r="F319" s="32" t="s">
        <v>22</v>
      </c>
      <c r="G319" s="32" t="s">
        <v>1242</v>
      </c>
      <c r="H319" s="32" t="s">
        <v>50</v>
      </c>
      <c r="I319" s="32" t="s">
        <v>147</v>
      </c>
      <c r="J319" s="30" t="s">
        <v>1243</v>
      </c>
      <c r="K319" s="33">
        <f>IFERROR(AVERAGEIFS('[1]Controle de Produção'!$E:$E,'[1]Controle de Produção'!$N:$N,E319,'[1]Controle de Produção'!$S:$S,J319,'[1]Controle de Produção'!$R:$R,I319),0)</f>
        <v>0</v>
      </c>
      <c r="L319" s="33">
        <f>IFERROR(AVERAGEIFS('[1]Controle de Produção'!$E:$E,'[1]Controle de Produção'!$S:$S,J319,'[1]Controle de Produção'!$R:$R,I319),0)</f>
        <v>0</v>
      </c>
      <c r="M319" s="46"/>
      <c r="N319" s="35"/>
      <c r="O319" s="47"/>
      <c r="P319" s="33"/>
      <c r="Q319" s="33"/>
      <c r="R319" s="36" t="b">
        <v>0</v>
      </c>
      <c r="S319" s="36" t="b">
        <v>0</v>
      </c>
      <c r="T319" s="36" t="b">
        <v>0</v>
      </c>
      <c r="U319" s="36" t="b">
        <v>0</v>
      </c>
      <c r="V319" s="36" t="b">
        <v>0</v>
      </c>
      <c r="W319" s="33" t="s">
        <v>954</v>
      </c>
      <c r="X319" s="37"/>
      <c r="Y319" s="43"/>
      <c r="Z319" s="37"/>
      <c r="AA319" s="37"/>
      <c r="AB319" s="37"/>
      <c r="AC319" s="37"/>
      <c r="AD319" s="37"/>
      <c r="AE319" s="37"/>
      <c r="AF319" s="37"/>
      <c r="AG319" s="37"/>
      <c r="AH319" s="32"/>
    </row>
    <row r="320" spans="2:42" hidden="1" x14ac:dyDescent="0.25">
      <c r="B320" s="30" t="s">
        <v>1300</v>
      </c>
      <c r="C320" s="31" t="s">
        <v>1236</v>
      </c>
      <c r="D320" s="32"/>
      <c r="E320" s="32">
        <v>30</v>
      </c>
      <c r="F320" s="32" t="s">
        <v>22</v>
      </c>
      <c r="G320" s="32" t="s">
        <v>1242</v>
      </c>
      <c r="H320" s="32" t="s">
        <v>50</v>
      </c>
      <c r="I320" s="32" t="s">
        <v>147</v>
      </c>
      <c r="J320" s="30" t="s">
        <v>1243</v>
      </c>
      <c r="K320" s="33">
        <f>IFERROR(AVERAGEIFS('[1]Controle de Produção'!$E:$E,'[1]Controle de Produção'!$N:$N,E320,'[1]Controle de Produção'!$S:$S,J320,'[1]Controle de Produção'!$R:$R,I320),0)</f>
        <v>0</v>
      </c>
      <c r="L320" s="33">
        <f>IFERROR(AVERAGEIFS('[1]Controle de Produção'!$E:$E,'[1]Controle de Produção'!$S:$S,J320,'[1]Controle de Produção'!$R:$R,I320),0)</f>
        <v>0</v>
      </c>
      <c r="M320" s="46"/>
      <c r="N320" s="35"/>
      <c r="O320" s="47"/>
      <c r="P320" s="33"/>
      <c r="Q320" s="33"/>
      <c r="R320" s="36" t="b">
        <v>0</v>
      </c>
      <c r="S320" s="36" t="b">
        <v>0</v>
      </c>
      <c r="T320" s="36" t="b">
        <v>0</v>
      </c>
      <c r="U320" s="36" t="b">
        <v>0</v>
      </c>
      <c r="V320" s="36" t="b">
        <v>0</v>
      </c>
      <c r="W320" s="33" t="s">
        <v>954</v>
      </c>
      <c r="X320" s="37"/>
      <c r="Y320" s="43"/>
      <c r="Z320" s="37"/>
      <c r="AA320" s="37"/>
      <c r="AB320" s="37"/>
      <c r="AC320" s="37"/>
      <c r="AD320" s="37"/>
      <c r="AE320" s="37"/>
      <c r="AF320" s="37"/>
      <c r="AG320" s="37"/>
      <c r="AH320" s="32"/>
    </row>
    <row r="321" spans="2:34" hidden="1" x14ac:dyDescent="0.25">
      <c r="B321" s="30" t="s">
        <v>1301</v>
      </c>
      <c r="C321" s="31" t="s">
        <v>1237</v>
      </c>
      <c r="D321" s="32"/>
      <c r="E321" s="32">
        <v>30</v>
      </c>
      <c r="F321" s="32" t="s">
        <v>22</v>
      </c>
      <c r="G321" s="32" t="s">
        <v>1242</v>
      </c>
      <c r="H321" s="32" t="s">
        <v>50</v>
      </c>
      <c r="I321" s="32" t="s">
        <v>147</v>
      </c>
      <c r="J321" s="30" t="s">
        <v>1243</v>
      </c>
      <c r="K321" s="33">
        <f>IFERROR(AVERAGEIFS('[1]Controle de Produção'!$E:$E,'[1]Controle de Produção'!$N:$N,E321,'[1]Controle de Produção'!$S:$S,J321,'[1]Controle de Produção'!$R:$R,I321),0)</f>
        <v>0</v>
      </c>
      <c r="L321" s="33">
        <f>IFERROR(AVERAGEIFS('[1]Controle de Produção'!$E:$E,'[1]Controle de Produção'!$S:$S,J321,'[1]Controle de Produção'!$R:$R,I321),0)</f>
        <v>0</v>
      </c>
      <c r="M321" s="46"/>
      <c r="N321" s="35"/>
      <c r="O321" s="47"/>
      <c r="P321" s="33"/>
      <c r="Q321" s="33"/>
      <c r="R321" s="36" t="b">
        <v>0</v>
      </c>
      <c r="S321" s="36" t="b">
        <v>0</v>
      </c>
      <c r="T321" s="36" t="b">
        <v>0</v>
      </c>
      <c r="U321" s="36" t="b">
        <v>0</v>
      </c>
      <c r="V321" s="36" t="b">
        <v>0</v>
      </c>
      <c r="W321" s="33" t="s">
        <v>954</v>
      </c>
      <c r="X321" s="37"/>
      <c r="Y321" s="43"/>
      <c r="Z321" s="37"/>
      <c r="AA321" s="37"/>
      <c r="AB321" s="37"/>
      <c r="AC321" s="37"/>
      <c r="AD321" s="37"/>
      <c r="AE321" s="37"/>
      <c r="AF321" s="37"/>
      <c r="AG321" s="37"/>
      <c r="AH321" s="32"/>
    </row>
    <row r="322" spans="2:34" hidden="1" x14ac:dyDescent="0.25">
      <c r="B322" s="30" t="s">
        <v>1302</v>
      </c>
      <c r="C322" s="31" t="s">
        <v>1238</v>
      </c>
      <c r="D322" s="32"/>
      <c r="E322" s="32">
        <v>30</v>
      </c>
      <c r="F322" s="32" t="s">
        <v>22</v>
      </c>
      <c r="G322" s="32" t="s">
        <v>1242</v>
      </c>
      <c r="H322" s="32" t="s">
        <v>50</v>
      </c>
      <c r="I322" s="32" t="s">
        <v>147</v>
      </c>
      <c r="J322" s="30" t="s">
        <v>1243</v>
      </c>
      <c r="K322" s="33">
        <f>IFERROR(AVERAGEIFS('[1]Controle de Produção'!$E:$E,'[1]Controle de Produção'!$N:$N,E322,'[1]Controle de Produção'!$S:$S,J322,'[1]Controle de Produção'!$R:$R,I322),0)</f>
        <v>0</v>
      </c>
      <c r="L322" s="33">
        <f>IFERROR(AVERAGEIFS('[1]Controle de Produção'!$E:$E,'[1]Controle de Produção'!$S:$S,J322,'[1]Controle de Produção'!$R:$R,I322),0)</f>
        <v>0</v>
      </c>
      <c r="M322" s="46"/>
      <c r="N322" s="35"/>
      <c r="O322" s="47"/>
      <c r="P322" s="33"/>
      <c r="Q322" s="33"/>
      <c r="R322" s="36" t="b">
        <v>0</v>
      </c>
      <c r="S322" s="36" t="b">
        <v>0</v>
      </c>
      <c r="T322" s="36" t="b">
        <v>0</v>
      </c>
      <c r="U322" s="36" t="b">
        <v>0</v>
      </c>
      <c r="V322" s="36" t="b">
        <v>0</v>
      </c>
      <c r="W322" s="33" t="s">
        <v>954</v>
      </c>
      <c r="X322" s="37"/>
      <c r="Y322" s="43"/>
      <c r="Z322" s="37"/>
      <c r="AA322" s="37"/>
      <c r="AB322" s="37"/>
      <c r="AC322" s="37"/>
      <c r="AD322" s="37"/>
      <c r="AE322" s="37"/>
      <c r="AF322" s="37"/>
      <c r="AG322" s="37"/>
      <c r="AH322" s="32"/>
    </row>
    <row r="323" spans="2:34" hidden="1" x14ac:dyDescent="0.25">
      <c r="B323" s="30" t="s">
        <v>1265</v>
      </c>
      <c r="C323" s="31" t="s">
        <v>1266</v>
      </c>
      <c r="D323" s="32"/>
      <c r="E323" s="30">
        <v>100</v>
      </c>
      <c r="F323" s="30" t="s">
        <v>22</v>
      </c>
      <c r="G323" s="32" t="s">
        <v>1267</v>
      </c>
      <c r="H323" s="32" t="s">
        <v>50</v>
      </c>
      <c r="I323" s="32" t="s">
        <v>147</v>
      </c>
      <c r="J323" s="30" t="s">
        <v>18</v>
      </c>
      <c r="K323" s="33">
        <f>IFERROR(AVERAGEIFS('[1]Controle de Produção'!$E:$E,'[1]Controle de Produção'!$N:$N,E323,'[1]Controle de Produção'!$S:$S,J323,'[1]Controle de Produção'!$R:$R,I323),0)</f>
        <v>151.82043921908374</v>
      </c>
      <c r="L323" s="33">
        <f>IFERROR(AVERAGEIFS('[1]Controle de Produção'!$E:$E,'[1]Controle de Produção'!$S:$S,J323,'[1]Controle de Produção'!$R:$R,I323),0)</f>
        <v>175.26407181919058</v>
      </c>
      <c r="M323" s="46">
        <v>24</v>
      </c>
      <c r="N323" s="35"/>
      <c r="O323" s="30"/>
      <c r="P323" s="33"/>
      <c r="Q323" s="33"/>
      <c r="R323" s="36" t="b">
        <v>0</v>
      </c>
      <c r="S323" s="36" t="b">
        <v>0</v>
      </c>
      <c r="T323" s="36" t="b">
        <v>0</v>
      </c>
      <c r="U323" s="36" t="b">
        <v>0</v>
      </c>
      <c r="V323" s="36" t="b">
        <v>0</v>
      </c>
      <c r="W323" s="33" t="s">
        <v>954</v>
      </c>
      <c r="X323" s="37"/>
      <c r="Y323" s="43"/>
      <c r="Z323" s="37"/>
      <c r="AA323" s="37"/>
      <c r="AB323" s="37"/>
      <c r="AC323" s="37"/>
      <c r="AD323" s="37"/>
      <c r="AE323" s="37"/>
      <c r="AF323" s="37"/>
      <c r="AG323" s="37"/>
      <c r="AH323" s="32"/>
    </row>
    <row r="324" spans="2:34" x14ac:dyDescent="0.25">
      <c r="B324" s="30" t="s">
        <v>1308</v>
      </c>
      <c r="C324" s="49" t="s">
        <v>1313</v>
      </c>
      <c r="D324" s="32"/>
      <c r="E324" s="30">
        <v>50</v>
      </c>
      <c r="F324" s="30" t="s">
        <v>22</v>
      </c>
      <c r="G324" s="32" t="s">
        <v>1307</v>
      </c>
      <c r="H324" s="32" t="s">
        <v>50</v>
      </c>
      <c r="I324" s="32" t="s">
        <v>147</v>
      </c>
      <c r="J324" s="30" t="s">
        <v>18</v>
      </c>
      <c r="K324" s="33">
        <f>IFERROR(AVERAGEIFS('[1]Controle de Produção'!$E:$E,'[1]Controle de Produção'!$N:$N,E324,'[1]Controle de Produção'!$S:$S,J324,'[1]Controle de Produção'!$R:$R,I324),0)</f>
        <v>149.54331583814363</v>
      </c>
      <c r="L324" s="33">
        <f>IFERROR(AVERAGEIFS('[1]Controle de Produção'!$E:$E,'[1]Controle de Produção'!$S:$S,J324,'[1]Controle de Produção'!$R:$R,I324),0)</f>
        <v>175.26407181919058</v>
      </c>
      <c r="M324" s="46"/>
      <c r="N324" s="35"/>
      <c r="O324" s="30"/>
      <c r="P324" s="33"/>
      <c r="Q324" s="33"/>
      <c r="R324" s="36" t="b">
        <v>0</v>
      </c>
      <c r="S324" s="36" t="b">
        <v>0</v>
      </c>
      <c r="T324" s="36" t="b">
        <v>0</v>
      </c>
      <c r="U324" s="36" t="b">
        <v>0</v>
      </c>
      <c r="V324" s="36" t="b">
        <v>0</v>
      </c>
      <c r="W324" s="33"/>
      <c r="X324" s="37"/>
      <c r="Y324" s="48"/>
      <c r="Z324" s="37"/>
      <c r="AA324" s="37"/>
      <c r="AB324" s="37"/>
      <c r="AC324" s="37"/>
      <c r="AD324" s="37"/>
      <c r="AE324" s="37"/>
      <c r="AF324" s="37"/>
      <c r="AG324" s="37"/>
      <c r="AH324" s="32"/>
    </row>
    <row r="325" spans="2:34" x14ac:dyDescent="0.25">
      <c r="B325" s="30" t="s">
        <v>1309</v>
      </c>
      <c r="C325" s="49" t="s">
        <v>1314</v>
      </c>
      <c r="D325" s="32"/>
      <c r="E325" s="30">
        <v>50</v>
      </c>
      <c r="F325" s="30" t="s">
        <v>22</v>
      </c>
      <c r="G325" s="32" t="s">
        <v>1307</v>
      </c>
      <c r="H325" s="32" t="s">
        <v>50</v>
      </c>
      <c r="I325" s="32" t="s">
        <v>147</v>
      </c>
      <c r="J325" s="30" t="s">
        <v>18</v>
      </c>
      <c r="K325" s="33">
        <f>IFERROR(AVERAGEIFS('[1]Controle de Produção'!$E:$E,'[1]Controle de Produção'!$N:$N,E325,'[1]Controle de Produção'!$S:$S,J325,'[1]Controle de Produção'!$R:$R,I325),0)</f>
        <v>149.54331583814363</v>
      </c>
      <c r="L325" s="33">
        <f>IFERROR(AVERAGEIFS('[1]Controle de Produção'!$E:$E,'[1]Controle de Produção'!$S:$S,J325,'[1]Controle de Produção'!$R:$R,I325),0)</f>
        <v>175.26407181919058</v>
      </c>
      <c r="M325" s="46"/>
      <c r="N325" s="35"/>
      <c r="O325" s="30"/>
      <c r="P325" s="33"/>
      <c r="Q325" s="33"/>
      <c r="R325" s="36" t="b">
        <v>0</v>
      </c>
      <c r="S325" s="36" t="b">
        <v>0</v>
      </c>
      <c r="T325" s="36" t="b">
        <v>0</v>
      </c>
      <c r="U325" s="36" t="b">
        <v>0</v>
      </c>
      <c r="V325" s="36" t="b">
        <v>0</v>
      </c>
      <c r="W325" s="33"/>
      <c r="X325" s="37"/>
      <c r="Y325" s="48"/>
      <c r="Z325" s="37"/>
      <c r="AA325" s="37"/>
      <c r="AB325" s="37"/>
      <c r="AC325" s="37"/>
      <c r="AD325" s="37"/>
      <c r="AE325" s="37"/>
      <c r="AF325" s="37"/>
      <c r="AG325" s="37"/>
      <c r="AH325" s="32"/>
    </row>
    <row r="326" spans="2:34" x14ac:dyDescent="0.25">
      <c r="B326" s="30" t="s">
        <v>1310</v>
      </c>
      <c r="C326" s="49" t="s">
        <v>1315</v>
      </c>
      <c r="D326" s="32"/>
      <c r="E326" s="30">
        <v>50</v>
      </c>
      <c r="F326" s="30" t="s">
        <v>22</v>
      </c>
      <c r="G326" s="32" t="s">
        <v>1307</v>
      </c>
      <c r="H326" s="32" t="s">
        <v>50</v>
      </c>
      <c r="I326" s="32" t="s">
        <v>147</v>
      </c>
      <c r="J326" s="30" t="s">
        <v>18</v>
      </c>
      <c r="K326" s="33">
        <f>IFERROR(AVERAGEIFS('[1]Controle de Produção'!$E:$E,'[1]Controle de Produção'!$N:$N,E326,'[1]Controle de Produção'!$S:$S,J326,'[1]Controle de Produção'!$R:$R,I326),0)</f>
        <v>149.54331583814363</v>
      </c>
      <c r="L326" s="33">
        <f>IFERROR(AVERAGEIFS('[1]Controle de Produção'!$E:$E,'[1]Controle de Produção'!$S:$S,J326,'[1]Controle de Produção'!$R:$R,I326),0)</f>
        <v>175.26407181919058</v>
      </c>
      <c r="M326" s="46"/>
      <c r="N326" s="35"/>
      <c r="O326" s="30"/>
      <c r="P326" s="33"/>
      <c r="Q326" s="33"/>
      <c r="R326" s="36" t="b">
        <v>0</v>
      </c>
      <c r="S326" s="36" t="b">
        <v>0</v>
      </c>
      <c r="T326" s="36" t="b">
        <v>0</v>
      </c>
      <c r="U326" s="36" t="b">
        <v>0</v>
      </c>
      <c r="V326" s="36" t="b">
        <v>0</v>
      </c>
      <c r="W326" s="33"/>
      <c r="X326" s="37"/>
      <c r="Y326" s="48"/>
      <c r="Z326" s="37"/>
      <c r="AA326" s="37"/>
      <c r="AB326" s="37"/>
      <c r="AC326" s="37"/>
      <c r="AD326" s="37"/>
      <c r="AE326" s="37"/>
      <c r="AF326" s="37"/>
      <c r="AG326" s="37"/>
      <c r="AH326" s="32"/>
    </row>
    <row r="327" spans="2:34" x14ac:dyDescent="0.25">
      <c r="B327" s="30" t="s">
        <v>1311</v>
      </c>
      <c r="C327" s="49" t="s">
        <v>1316</v>
      </c>
      <c r="D327" s="32"/>
      <c r="E327" s="30">
        <v>50</v>
      </c>
      <c r="F327" s="30" t="s">
        <v>22</v>
      </c>
      <c r="G327" s="32" t="s">
        <v>1307</v>
      </c>
      <c r="H327" s="32" t="s">
        <v>50</v>
      </c>
      <c r="I327" s="32" t="s">
        <v>147</v>
      </c>
      <c r="J327" s="30" t="s">
        <v>18</v>
      </c>
      <c r="K327" s="33">
        <f>IFERROR(AVERAGEIFS('[1]Controle de Produção'!$E:$E,'[1]Controle de Produção'!$N:$N,E327,'[1]Controle de Produção'!$S:$S,J327,'[1]Controle de Produção'!$R:$R,I327),0)</f>
        <v>149.54331583814363</v>
      </c>
      <c r="L327" s="33">
        <f>IFERROR(AVERAGEIFS('[1]Controle de Produção'!$E:$E,'[1]Controle de Produção'!$S:$S,J327,'[1]Controle de Produção'!$R:$R,I327),0)</f>
        <v>175.26407181919058</v>
      </c>
      <c r="M327" s="46"/>
      <c r="N327" s="35"/>
      <c r="O327" s="30"/>
      <c r="P327" s="33"/>
      <c r="Q327" s="33"/>
      <c r="R327" s="36" t="b">
        <v>0</v>
      </c>
      <c r="S327" s="36" t="b">
        <v>0</v>
      </c>
      <c r="T327" s="36" t="b">
        <v>0</v>
      </c>
      <c r="U327" s="36" t="b">
        <v>0</v>
      </c>
      <c r="V327" s="36" t="b">
        <v>0</v>
      </c>
      <c r="W327" s="33"/>
      <c r="X327" s="37"/>
      <c r="Y327" s="48"/>
      <c r="Z327" s="37"/>
      <c r="AA327" s="37"/>
      <c r="AB327" s="37"/>
      <c r="AC327" s="37"/>
      <c r="AD327" s="37"/>
      <c r="AE327" s="37"/>
      <c r="AF327" s="37"/>
      <c r="AG327" s="37"/>
      <c r="AH327" s="32"/>
    </row>
    <row r="328" spans="2:34" x14ac:dyDescent="0.25">
      <c r="B328" s="30" t="s">
        <v>1312</v>
      </c>
      <c r="C328" s="49" t="s">
        <v>1317</v>
      </c>
      <c r="D328" s="32"/>
      <c r="E328" s="30">
        <v>50</v>
      </c>
      <c r="F328" s="30" t="s">
        <v>22</v>
      </c>
      <c r="G328" s="32" t="s">
        <v>1307</v>
      </c>
      <c r="H328" s="32" t="s">
        <v>50</v>
      </c>
      <c r="I328" s="32" t="s">
        <v>147</v>
      </c>
      <c r="J328" s="30" t="s">
        <v>18</v>
      </c>
      <c r="K328" s="33">
        <f>IFERROR(AVERAGEIFS('[1]Controle de Produção'!$E:$E,'[1]Controle de Produção'!$N:$N,E328,'[1]Controle de Produção'!$S:$S,J328,'[1]Controle de Produção'!$R:$R,I328),0)</f>
        <v>149.54331583814363</v>
      </c>
      <c r="L328" s="33">
        <f>IFERROR(AVERAGEIFS('[1]Controle de Produção'!$E:$E,'[1]Controle de Produção'!$S:$S,J328,'[1]Controle de Produção'!$R:$R,I328),0)</f>
        <v>175.26407181919058</v>
      </c>
      <c r="M328" s="46"/>
      <c r="N328" s="35"/>
      <c r="O328" s="30"/>
      <c r="P328" s="33"/>
      <c r="Q328" s="33"/>
      <c r="R328" s="36" t="b">
        <v>0</v>
      </c>
      <c r="S328" s="36" t="b">
        <v>0</v>
      </c>
      <c r="T328" s="36" t="b">
        <v>0</v>
      </c>
      <c r="U328" s="36" t="b">
        <v>0</v>
      </c>
      <c r="V328" s="36" t="b">
        <v>0</v>
      </c>
      <c r="W328" s="33"/>
      <c r="X328" s="37"/>
      <c r="Y328" s="48"/>
      <c r="Z328" s="37"/>
      <c r="AA328" s="37"/>
      <c r="AB328" s="37"/>
      <c r="AC328" s="37"/>
      <c r="AD328" s="37"/>
      <c r="AE328" s="37"/>
      <c r="AF328" s="37"/>
      <c r="AG328" s="37"/>
      <c r="AH328" s="32"/>
    </row>
    <row r="329" spans="2:34" hidden="1" x14ac:dyDescent="0.25">
      <c r="B329" s="30" t="s">
        <v>1255</v>
      </c>
      <c r="C329" s="31" t="s">
        <v>1244</v>
      </c>
      <c r="D329" s="32"/>
      <c r="E329" s="32">
        <v>15</v>
      </c>
      <c r="F329" s="32" t="s">
        <v>22</v>
      </c>
      <c r="G329" s="32" t="s">
        <v>1254</v>
      </c>
      <c r="H329" s="32" t="s">
        <v>50</v>
      </c>
      <c r="I329" s="32" t="s">
        <v>147</v>
      </c>
      <c r="J329" s="30" t="s">
        <v>18</v>
      </c>
      <c r="K329" s="33">
        <f>IFERROR(AVERAGEIFS('[1]Controle de Produção'!$E:$E,'[1]Controle de Produção'!$N:$N,E329,'[1]Controle de Produção'!$S:$S,J329,'[1]Controle de Produção'!$R:$R,I329),0)</f>
        <v>0</v>
      </c>
      <c r="L329" s="33">
        <f>IFERROR(AVERAGEIFS('[1]Controle de Produção'!$E:$E,'[1]Controle de Produção'!$S:$S,J329,'[1]Controle de Produção'!$R:$R,I329),0)</f>
        <v>175.26407181919058</v>
      </c>
      <c r="M329" s="46"/>
      <c r="N329" s="35"/>
      <c r="O329" s="47"/>
      <c r="P329" s="33"/>
      <c r="Q329" s="33"/>
      <c r="R329" s="36" t="b">
        <v>0</v>
      </c>
      <c r="S329" s="36" t="b">
        <v>0</v>
      </c>
      <c r="T329" s="36" t="b">
        <v>0</v>
      </c>
      <c r="U329" s="36" t="b">
        <v>0</v>
      </c>
      <c r="V329" s="36" t="b">
        <v>0</v>
      </c>
      <c r="W329" s="33" t="s">
        <v>954</v>
      </c>
      <c r="X329" s="37"/>
      <c r="Y329" s="43"/>
      <c r="Z329" s="37"/>
      <c r="AA329" s="37"/>
      <c r="AB329" s="37"/>
      <c r="AC329" s="37"/>
      <c r="AD329" s="37"/>
      <c r="AE329" s="37"/>
      <c r="AF329" s="37"/>
      <c r="AG329" s="37"/>
      <c r="AH329" s="32"/>
    </row>
    <row r="330" spans="2:34" hidden="1" x14ac:dyDescent="0.25">
      <c r="B330" s="30" t="s">
        <v>1256</v>
      </c>
      <c r="C330" s="31" t="s">
        <v>1245</v>
      </c>
      <c r="D330" s="32"/>
      <c r="E330" s="32">
        <v>15</v>
      </c>
      <c r="F330" s="32" t="s">
        <v>22</v>
      </c>
      <c r="G330" s="32" t="s">
        <v>1254</v>
      </c>
      <c r="H330" s="32" t="s">
        <v>50</v>
      </c>
      <c r="I330" s="32" t="s">
        <v>147</v>
      </c>
      <c r="J330" s="30" t="s">
        <v>18</v>
      </c>
      <c r="K330" s="33">
        <f>IFERROR(AVERAGEIFS('[1]Controle de Produção'!$E:$E,'[1]Controle de Produção'!$N:$N,E330,'[1]Controle de Produção'!$S:$S,J330,'[1]Controle de Produção'!$R:$R,I330),0)</f>
        <v>0</v>
      </c>
      <c r="L330" s="33">
        <f>IFERROR(AVERAGEIFS('[1]Controle de Produção'!$E:$E,'[1]Controle de Produção'!$S:$S,J330,'[1]Controle de Produção'!$R:$R,I330),0)</f>
        <v>175.26407181919058</v>
      </c>
      <c r="M330" s="46"/>
      <c r="N330" s="35"/>
      <c r="O330" s="47"/>
      <c r="P330" s="33"/>
      <c r="Q330" s="33"/>
      <c r="R330" s="36" t="b">
        <v>0</v>
      </c>
      <c r="S330" s="36" t="b">
        <v>0</v>
      </c>
      <c r="T330" s="36" t="b">
        <v>0</v>
      </c>
      <c r="U330" s="36" t="b">
        <v>0</v>
      </c>
      <c r="V330" s="36" t="b">
        <v>0</v>
      </c>
      <c r="W330" s="33" t="s">
        <v>954</v>
      </c>
      <c r="X330" s="37"/>
      <c r="Y330" s="43"/>
      <c r="Z330" s="37"/>
      <c r="AA330" s="37"/>
      <c r="AB330" s="37"/>
      <c r="AC330" s="37"/>
      <c r="AD330" s="37"/>
      <c r="AE330" s="37"/>
      <c r="AF330" s="37"/>
      <c r="AG330" s="37"/>
      <c r="AH330" s="32"/>
    </row>
    <row r="331" spans="2:34" hidden="1" x14ac:dyDescent="0.25">
      <c r="B331" s="30" t="s">
        <v>1257</v>
      </c>
      <c r="C331" s="31" t="s">
        <v>1246</v>
      </c>
      <c r="D331" s="32"/>
      <c r="E331" s="32">
        <v>15</v>
      </c>
      <c r="F331" s="32" t="s">
        <v>22</v>
      </c>
      <c r="G331" s="32" t="s">
        <v>1254</v>
      </c>
      <c r="H331" s="32" t="s">
        <v>50</v>
      </c>
      <c r="I331" s="32" t="s">
        <v>147</v>
      </c>
      <c r="J331" s="30" t="s">
        <v>18</v>
      </c>
      <c r="K331" s="33">
        <f>IFERROR(AVERAGEIFS('[1]Controle de Produção'!$E:$E,'[1]Controle de Produção'!$N:$N,E331,'[1]Controle de Produção'!$S:$S,J331,'[1]Controle de Produção'!$R:$R,I331),0)</f>
        <v>0</v>
      </c>
      <c r="L331" s="33">
        <f>IFERROR(AVERAGEIFS('[1]Controle de Produção'!$E:$E,'[1]Controle de Produção'!$S:$S,J331,'[1]Controle de Produção'!$R:$R,I331),0)</f>
        <v>175.26407181919058</v>
      </c>
      <c r="M331" s="46"/>
      <c r="N331" s="35"/>
      <c r="O331" s="47"/>
      <c r="P331" s="33"/>
      <c r="Q331" s="33"/>
      <c r="R331" s="36" t="b">
        <v>0</v>
      </c>
      <c r="S331" s="36" t="b">
        <v>0</v>
      </c>
      <c r="T331" s="36" t="b">
        <v>0</v>
      </c>
      <c r="U331" s="36" t="b">
        <v>0</v>
      </c>
      <c r="V331" s="36" t="b">
        <v>0</v>
      </c>
      <c r="W331" s="33" t="s">
        <v>954</v>
      </c>
      <c r="X331" s="37"/>
      <c r="Y331" s="43"/>
      <c r="Z331" s="37"/>
      <c r="AA331" s="37"/>
      <c r="AB331" s="37"/>
      <c r="AC331" s="37"/>
      <c r="AD331" s="37"/>
      <c r="AE331" s="37"/>
      <c r="AF331" s="37"/>
      <c r="AG331" s="37"/>
      <c r="AH331" s="32"/>
    </row>
    <row r="332" spans="2:34" hidden="1" x14ac:dyDescent="0.25">
      <c r="B332" s="30" t="s">
        <v>1258</v>
      </c>
      <c r="C332" s="31" t="s">
        <v>1247</v>
      </c>
      <c r="D332" s="32"/>
      <c r="E332" s="32">
        <v>15</v>
      </c>
      <c r="F332" s="32" t="s">
        <v>22</v>
      </c>
      <c r="G332" s="32" t="s">
        <v>1254</v>
      </c>
      <c r="H332" s="32" t="s">
        <v>50</v>
      </c>
      <c r="I332" s="32" t="s">
        <v>147</v>
      </c>
      <c r="J332" s="30" t="s">
        <v>18</v>
      </c>
      <c r="K332" s="33">
        <f>IFERROR(AVERAGEIFS('[1]Controle de Produção'!$E:$E,'[1]Controle de Produção'!$N:$N,E332,'[1]Controle de Produção'!$S:$S,J332,'[1]Controle de Produção'!$R:$R,I332),0)</f>
        <v>0</v>
      </c>
      <c r="L332" s="33">
        <f>IFERROR(AVERAGEIFS('[1]Controle de Produção'!$E:$E,'[1]Controle de Produção'!$S:$S,J332,'[1]Controle de Produção'!$R:$R,I332),0)</f>
        <v>175.26407181919058</v>
      </c>
      <c r="M332" s="46"/>
      <c r="N332" s="35"/>
      <c r="O332" s="47"/>
      <c r="P332" s="33"/>
      <c r="Q332" s="33"/>
      <c r="R332" s="36" t="b">
        <v>0</v>
      </c>
      <c r="S332" s="36" t="b">
        <v>0</v>
      </c>
      <c r="T332" s="36" t="b">
        <v>0</v>
      </c>
      <c r="U332" s="36" t="b">
        <v>0</v>
      </c>
      <c r="V332" s="36" t="b">
        <v>0</v>
      </c>
      <c r="W332" s="33" t="s">
        <v>954</v>
      </c>
      <c r="X332" s="37"/>
      <c r="Y332" s="43"/>
      <c r="Z332" s="37"/>
      <c r="AA332" s="37"/>
      <c r="AB332" s="37"/>
      <c r="AC332" s="37"/>
      <c r="AD332" s="37"/>
      <c r="AE332" s="37"/>
      <c r="AF332" s="37"/>
      <c r="AG332" s="37"/>
      <c r="AH332" s="32"/>
    </row>
    <row r="333" spans="2:34" hidden="1" x14ac:dyDescent="0.25">
      <c r="B333" s="30" t="s">
        <v>1259</v>
      </c>
      <c r="C333" s="31" t="s">
        <v>1248</v>
      </c>
      <c r="D333" s="32"/>
      <c r="E333" s="32">
        <v>15</v>
      </c>
      <c r="F333" s="32" t="s">
        <v>22</v>
      </c>
      <c r="G333" s="32" t="s">
        <v>1254</v>
      </c>
      <c r="H333" s="32" t="s">
        <v>50</v>
      </c>
      <c r="I333" s="32" t="s">
        <v>147</v>
      </c>
      <c r="J333" s="30" t="s">
        <v>18</v>
      </c>
      <c r="K333" s="33">
        <f>IFERROR(AVERAGEIFS('[1]Controle de Produção'!$E:$E,'[1]Controle de Produção'!$N:$N,E333,'[1]Controle de Produção'!$S:$S,J333,'[1]Controle de Produção'!$R:$R,I333),0)</f>
        <v>0</v>
      </c>
      <c r="L333" s="33">
        <f>IFERROR(AVERAGEIFS('[1]Controle de Produção'!$E:$E,'[1]Controle de Produção'!$S:$S,J333,'[1]Controle de Produção'!$R:$R,I333),0)</f>
        <v>175.26407181919058</v>
      </c>
      <c r="M333" s="46"/>
      <c r="N333" s="35"/>
      <c r="O333" s="47"/>
      <c r="P333" s="33"/>
      <c r="Q333" s="33"/>
      <c r="R333" s="36" t="b">
        <v>0</v>
      </c>
      <c r="S333" s="36" t="b">
        <v>0</v>
      </c>
      <c r="T333" s="36" t="b">
        <v>0</v>
      </c>
      <c r="U333" s="36" t="b">
        <v>0</v>
      </c>
      <c r="V333" s="36" t="b">
        <v>0</v>
      </c>
      <c r="W333" s="33" t="s">
        <v>954</v>
      </c>
      <c r="X333" s="37"/>
      <c r="Y333" s="43"/>
      <c r="Z333" s="37"/>
      <c r="AA333" s="37"/>
      <c r="AB333" s="37"/>
      <c r="AC333" s="37"/>
      <c r="AD333" s="37"/>
      <c r="AE333" s="37"/>
      <c r="AF333" s="37"/>
      <c r="AG333" s="37"/>
      <c r="AH333" s="32"/>
    </row>
    <row r="334" spans="2:34" hidden="1" x14ac:dyDescent="0.25">
      <c r="B334" s="30" t="s">
        <v>1260</v>
      </c>
      <c r="C334" s="31" t="s">
        <v>1249</v>
      </c>
      <c r="D334" s="32"/>
      <c r="E334" s="32">
        <v>15</v>
      </c>
      <c r="F334" s="32" t="s">
        <v>22</v>
      </c>
      <c r="G334" s="32" t="s">
        <v>1254</v>
      </c>
      <c r="H334" s="32" t="s">
        <v>50</v>
      </c>
      <c r="I334" s="32" t="s">
        <v>147</v>
      </c>
      <c r="J334" s="30" t="s">
        <v>18</v>
      </c>
      <c r="K334" s="33">
        <f>IFERROR(AVERAGEIFS('[1]Controle de Produção'!$E:$E,'[1]Controle de Produção'!$N:$N,E334,'[1]Controle de Produção'!$S:$S,J334,'[1]Controle de Produção'!$R:$R,I334),0)</f>
        <v>0</v>
      </c>
      <c r="L334" s="33">
        <f>IFERROR(AVERAGEIFS('[1]Controle de Produção'!$E:$E,'[1]Controle de Produção'!$S:$S,J334,'[1]Controle de Produção'!$R:$R,I334),0)</f>
        <v>175.26407181919058</v>
      </c>
      <c r="M334" s="46"/>
      <c r="N334" s="35"/>
      <c r="O334" s="47"/>
      <c r="P334" s="33"/>
      <c r="Q334" s="33"/>
      <c r="R334" s="36" t="b">
        <v>0</v>
      </c>
      <c r="S334" s="36" t="b">
        <v>0</v>
      </c>
      <c r="T334" s="36" t="b">
        <v>0</v>
      </c>
      <c r="U334" s="36" t="b">
        <v>0</v>
      </c>
      <c r="V334" s="36" t="b">
        <v>0</v>
      </c>
      <c r="W334" s="33" t="s">
        <v>954</v>
      </c>
      <c r="X334" s="37"/>
      <c r="Y334" s="43"/>
      <c r="Z334" s="37"/>
      <c r="AA334" s="37"/>
      <c r="AB334" s="37"/>
      <c r="AC334" s="37"/>
      <c r="AD334" s="37"/>
      <c r="AE334" s="37"/>
      <c r="AF334" s="37"/>
      <c r="AG334" s="37"/>
      <c r="AH334" s="32"/>
    </row>
    <row r="335" spans="2:34" hidden="1" x14ac:dyDescent="0.25">
      <c r="B335" s="30" t="s">
        <v>1261</v>
      </c>
      <c r="C335" s="31" t="s">
        <v>1250</v>
      </c>
      <c r="D335" s="32"/>
      <c r="E335" s="32">
        <v>15</v>
      </c>
      <c r="F335" s="32" t="s">
        <v>22</v>
      </c>
      <c r="G335" s="32" t="s">
        <v>1254</v>
      </c>
      <c r="H335" s="32" t="s">
        <v>50</v>
      </c>
      <c r="I335" s="32" t="s">
        <v>147</v>
      </c>
      <c r="J335" s="30" t="s">
        <v>18</v>
      </c>
      <c r="K335" s="33">
        <f>IFERROR(AVERAGEIFS('[1]Controle de Produção'!$E:$E,'[1]Controle de Produção'!$N:$N,E335,'[1]Controle de Produção'!$S:$S,J335,'[1]Controle de Produção'!$R:$R,I335),0)</f>
        <v>0</v>
      </c>
      <c r="L335" s="33">
        <f>IFERROR(AVERAGEIFS('[1]Controle de Produção'!$E:$E,'[1]Controle de Produção'!$S:$S,J335,'[1]Controle de Produção'!$R:$R,I335),0)</f>
        <v>175.26407181919058</v>
      </c>
      <c r="M335" s="46"/>
      <c r="N335" s="35"/>
      <c r="O335" s="47"/>
      <c r="P335" s="33"/>
      <c r="Q335" s="33"/>
      <c r="R335" s="36" t="b">
        <v>0</v>
      </c>
      <c r="S335" s="36" t="b">
        <v>0</v>
      </c>
      <c r="T335" s="36" t="b">
        <v>0</v>
      </c>
      <c r="U335" s="36" t="b">
        <v>0</v>
      </c>
      <c r="V335" s="36" t="b">
        <v>0</v>
      </c>
      <c r="W335" s="33" t="s">
        <v>954</v>
      </c>
      <c r="X335" s="37"/>
      <c r="Y335" s="43"/>
      <c r="Z335" s="37"/>
      <c r="AA335" s="37"/>
      <c r="AB335" s="37"/>
      <c r="AC335" s="37"/>
      <c r="AD335" s="37"/>
      <c r="AE335" s="37"/>
      <c r="AF335" s="37"/>
      <c r="AG335" s="37"/>
      <c r="AH335" s="32"/>
    </row>
    <row r="336" spans="2:34" hidden="1" x14ac:dyDescent="0.25">
      <c r="B336" s="30" t="s">
        <v>1262</v>
      </c>
      <c r="C336" s="31" t="s">
        <v>1251</v>
      </c>
      <c r="D336" s="32"/>
      <c r="E336" s="32">
        <v>15</v>
      </c>
      <c r="F336" s="32" t="s">
        <v>22</v>
      </c>
      <c r="G336" s="32" t="s">
        <v>1254</v>
      </c>
      <c r="H336" s="32" t="s">
        <v>50</v>
      </c>
      <c r="I336" s="32" t="s">
        <v>147</v>
      </c>
      <c r="J336" s="30" t="s">
        <v>18</v>
      </c>
      <c r="K336" s="33">
        <f>IFERROR(AVERAGEIFS('[1]Controle de Produção'!$E:$E,'[1]Controle de Produção'!$N:$N,E336,'[1]Controle de Produção'!$S:$S,J336,'[1]Controle de Produção'!$R:$R,I336),0)</f>
        <v>0</v>
      </c>
      <c r="L336" s="33">
        <f>IFERROR(AVERAGEIFS('[1]Controle de Produção'!$E:$E,'[1]Controle de Produção'!$S:$S,J336,'[1]Controle de Produção'!$R:$R,I336),0)</f>
        <v>175.26407181919058</v>
      </c>
      <c r="M336" s="46"/>
      <c r="N336" s="35"/>
      <c r="O336" s="47"/>
      <c r="P336" s="33"/>
      <c r="Q336" s="33"/>
      <c r="R336" s="36" t="b">
        <v>0</v>
      </c>
      <c r="S336" s="36" t="b">
        <v>0</v>
      </c>
      <c r="T336" s="36" t="b">
        <v>0</v>
      </c>
      <c r="U336" s="36" t="b">
        <v>0</v>
      </c>
      <c r="V336" s="36" t="b">
        <v>0</v>
      </c>
      <c r="W336" s="33" t="s">
        <v>954</v>
      </c>
      <c r="X336" s="37"/>
      <c r="Y336" s="43"/>
      <c r="Z336" s="37"/>
      <c r="AA336" s="37"/>
      <c r="AB336" s="37"/>
      <c r="AC336" s="37"/>
      <c r="AD336" s="37"/>
      <c r="AE336" s="37"/>
      <c r="AF336" s="37"/>
      <c r="AG336" s="37"/>
      <c r="AH336" s="32"/>
    </row>
    <row r="337" spans="2:34" hidden="1" x14ac:dyDescent="0.25">
      <c r="B337" s="30" t="s">
        <v>1263</v>
      </c>
      <c r="C337" s="31" t="s">
        <v>1252</v>
      </c>
      <c r="D337" s="32"/>
      <c r="E337" s="32">
        <v>15</v>
      </c>
      <c r="F337" s="32" t="s">
        <v>22</v>
      </c>
      <c r="G337" s="32" t="s">
        <v>1254</v>
      </c>
      <c r="H337" s="32" t="s">
        <v>50</v>
      </c>
      <c r="I337" s="32" t="s">
        <v>147</v>
      </c>
      <c r="J337" s="30" t="s">
        <v>18</v>
      </c>
      <c r="K337" s="33">
        <f>IFERROR(AVERAGEIFS('[1]Controle de Produção'!$E:$E,'[1]Controle de Produção'!$N:$N,E337,'[1]Controle de Produção'!$S:$S,J337,'[1]Controle de Produção'!$R:$R,I337),0)</f>
        <v>0</v>
      </c>
      <c r="L337" s="33">
        <f>IFERROR(AVERAGEIFS('[1]Controle de Produção'!$E:$E,'[1]Controle de Produção'!$S:$S,J337,'[1]Controle de Produção'!$R:$R,I337),0)</f>
        <v>175.26407181919058</v>
      </c>
      <c r="M337" s="46"/>
      <c r="N337" s="35"/>
      <c r="O337" s="47"/>
      <c r="P337" s="33"/>
      <c r="Q337" s="33"/>
      <c r="R337" s="36" t="b">
        <v>0</v>
      </c>
      <c r="S337" s="36" t="b">
        <v>0</v>
      </c>
      <c r="T337" s="36" t="b">
        <v>0</v>
      </c>
      <c r="U337" s="36" t="b">
        <v>0</v>
      </c>
      <c r="V337" s="36" t="b">
        <v>0</v>
      </c>
      <c r="W337" s="33" t="s">
        <v>954</v>
      </c>
      <c r="X337" s="37"/>
      <c r="Y337" s="43"/>
      <c r="Z337" s="37"/>
      <c r="AA337" s="37"/>
      <c r="AB337" s="37"/>
      <c r="AC337" s="37"/>
      <c r="AD337" s="37"/>
      <c r="AE337" s="37"/>
      <c r="AF337" s="37"/>
      <c r="AG337" s="37"/>
      <c r="AH337" s="32"/>
    </row>
    <row r="338" spans="2:34" hidden="1" x14ac:dyDescent="0.25">
      <c r="B338" s="30" t="s">
        <v>1264</v>
      </c>
      <c r="C338" s="31" t="s">
        <v>1253</v>
      </c>
      <c r="D338" s="32"/>
      <c r="E338" s="32">
        <v>15</v>
      </c>
      <c r="F338" s="32" t="s">
        <v>22</v>
      </c>
      <c r="G338" s="32" t="s">
        <v>1254</v>
      </c>
      <c r="H338" s="32" t="s">
        <v>50</v>
      </c>
      <c r="I338" s="32" t="s">
        <v>147</v>
      </c>
      <c r="J338" s="30" t="s">
        <v>18</v>
      </c>
      <c r="K338" s="33">
        <f>IFERROR(AVERAGEIFS('[1]Controle de Produção'!$E:$E,'[1]Controle de Produção'!$N:$N,E338,'[1]Controle de Produção'!$S:$S,J338,'[1]Controle de Produção'!$R:$R,I338),0)</f>
        <v>0</v>
      </c>
      <c r="L338" s="33">
        <f>IFERROR(AVERAGEIFS('[1]Controle de Produção'!$E:$E,'[1]Controle de Produção'!$S:$S,J338,'[1]Controle de Produção'!$R:$R,I338),0)</f>
        <v>175.26407181919058</v>
      </c>
      <c r="M338" s="46"/>
      <c r="N338" s="35"/>
      <c r="O338" s="47"/>
      <c r="P338" s="33"/>
      <c r="Q338" s="33"/>
      <c r="R338" s="36" t="b">
        <v>0</v>
      </c>
      <c r="S338" s="36" t="b">
        <v>0</v>
      </c>
      <c r="T338" s="36" t="b">
        <v>0</v>
      </c>
      <c r="U338" s="36" t="b">
        <v>0</v>
      </c>
      <c r="V338" s="36" t="b">
        <v>0</v>
      </c>
      <c r="W338" s="33" t="s">
        <v>954</v>
      </c>
      <c r="X338" s="37"/>
      <c r="Y338" s="43"/>
      <c r="Z338" s="37"/>
      <c r="AA338" s="37"/>
      <c r="AB338" s="37"/>
      <c r="AC338" s="37"/>
      <c r="AD338" s="37"/>
      <c r="AE338" s="37"/>
      <c r="AF338" s="37"/>
      <c r="AG338" s="37"/>
      <c r="AH338" s="32"/>
    </row>
    <row r="339" spans="2:34" hidden="1" x14ac:dyDescent="0.25">
      <c r="B339" s="30" t="s">
        <v>742</v>
      </c>
      <c r="C339" s="31" t="s">
        <v>1024</v>
      </c>
      <c r="D339" s="32" t="s">
        <v>746</v>
      </c>
      <c r="E339" s="30">
        <v>15</v>
      </c>
      <c r="F339" s="30" t="s">
        <v>22</v>
      </c>
      <c r="G339" s="32" t="s">
        <v>746</v>
      </c>
      <c r="H339" s="32" t="s">
        <v>50</v>
      </c>
      <c r="I339" s="32" t="s">
        <v>147</v>
      </c>
      <c r="J339" s="30" t="s">
        <v>18</v>
      </c>
      <c r="K339" s="33">
        <f>IFERROR(AVERAGEIFS('[1]Controle de Produção'!$E:$E,'[1]Controle de Produção'!$N:$N,E339,'[1]Controle de Produção'!$S:$S,J339,'[1]Controle de Produção'!$R:$R,I339),0)</f>
        <v>0</v>
      </c>
      <c r="L339" s="33">
        <f>IFERROR(AVERAGEIFS('[1]Controle de Produção'!$E:$E,'[1]Controle de Produção'!$S:$S,J339,'[1]Controle de Produção'!$R:$R,I339),0)</f>
        <v>175.26407181919058</v>
      </c>
      <c r="M339" s="34"/>
      <c r="N339" s="35"/>
      <c r="O339" s="30"/>
      <c r="P339" s="33"/>
      <c r="Q339" s="33"/>
      <c r="R339" s="36" t="b">
        <v>0</v>
      </c>
      <c r="S339" s="36" t="b">
        <v>0</v>
      </c>
      <c r="T339" s="36" t="b">
        <v>0</v>
      </c>
      <c r="U339" s="36" t="b">
        <v>0</v>
      </c>
      <c r="V339" s="36" t="b">
        <v>0</v>
      </c>
      <c r="W339" s="33"/>
      <c r="X339" s="37"/>
      <c r="Y339" s="43"/>
      <c r="Z339" s="37"/>
      <c r="AA339" s="37"/>
      <c r="AB339" s="37"/>
      <c r="AC339" s="37"/>
      <c r="AD339" s="37"/>
      <c r="AE339" s="37"/>
      <c r="AF339" s="37"/>
      <c r="AG339" s="37"/>
      <c r="AH339" s="32"/>
    </row>
    <row r="340" spans="2:34" hidden="1" x14ac:dyDescent="0.25">
      <c r="B340" s="30" t="s">
        <v>743</v>
      </c>
      <c r="C340" s="31" t="s">
        <v>1021</v>
      </c>
      <c r="D340" s="32" t="s">
        <v>196</v>
      </c>
      <c r="E340" s="30">
        <v>200</v>
      </c>
      <c r="F340" s="30" t="s">
        <v>88</v>
      </c>
      <c r="G340" s="32" t="s">
        <v>196</v>
      </c>
      <c r="H340" s="32" t="s">
        <v>10</v>
      </c>
      <c r="I340" s="32" t="s">
        <v>68</v>
      </c>
      <c r="J340" s="30" t="s">
        <v>12</v>
      </c>
      <c r="K340" s="33">
        <f>IFERROR(AVERAGEIFS('[1]Controle de Produção'!$E:$E,'[1]Controle de Produção'!$N:$N,E340,'[1]Controle de Produção'!$S:$S,J340,'[1]Controle de Produção'!$R:$R,I340),0)</f>
        <v>0</v>
      </c>
      <c r="L340" s="33">
        <f>IFERROR(AVERAGEIFS('[1]Controle de Produção'!$E:$E,'[1]Controle de Produção'!$S:$S,J340,'[1]Controle de Produção'!$R:$R,I340),0)</f>
        <v>721.11737989561891</v>
      </c>
      <c r="M340" s="34">
        <v>36</v>
      </c>
      <c r="N340" s="35"/>
      <c r="O340" s="30"/>
      <c r="P340" s="33"/>
      <c r="Q340" s="33"/>
      <c r="R340" s="36" t="b">
        <v>0</v>
      </c>
      <c r="S340" s="36" t="b">
        <v>0</v>
      </c>
      <c r="T340" s="36" t="b">
        <v>0</v>
      </c>
      <c r="U340" s="36" t="b">
        <v>0</v>
      </c>
      <c r="V340" s="36" t="b">
        <v>0</v>
      </c>
      <c r="W340" s="33"/>
      <c r="X340" s="37"/>
      <c r="Y340" s="43"/>
      <c r="Z340" s="37"/>
      <c r="AA340" s="37"/>
      <c r="AB340" s="37"/>
      <c r="AC340" s="37"/>
      <c r="AD340" s="37"/>
      <c r="AE340" s="37"/>
      <c r="AF340" s="37"/>
      <c r="AG340" s="37"/>
      <c r="AH340" s="32"/>
    </row>
    <row r="341" spans="2:34" hidden="1" x14ac:dyDescent="0.25">
      <c r="B341" s="30" t="s">
        <v>744</v>
      </c>
      <c r="C341" s="31" t="s">
        <v>906</v>
      </c>
      <c r="D341" s="32" t="s">
        <v>423</v>
      </c>
      <c r="E341" s="30">
        <v>250</v>
      </c>
      <c r="F341" s="30" t="s">
        <v>22</v>
      </c>
      <c r="G341" s="32" t="s">
        <v>423</v>
      </c>
      <c r="H341" s="32" t="s">
        <v>50</v>
      </c>
      <c r="I341" s="32" t="s">
        <v>62</v>
      </c>
      <c r="J341" s="30" t="s">
        <v>18</v>
      </c>
      <c r="K341" s="33">
        <f>IFERROR(AVERAGEIFS('[1]Controle de Produção'!$E:$E,'[1]Controle de Produção'!$N:$N,E341,'[1]Controle de Produção'!$S:$S,J341,'[1]Controle de Produção'!$R:$R,I341),0)</f>
        <v>616.88899012259446</v>
      </c>
      <c r="L341" s="33">
        <f>IFERROR(AVERAGEIFS('[1]Controle de Produção'!$E:$E,'[1]Controle de Produção'!$S:$S,J341,'[1]Controle de Produção'!$R:$R,I341),0)</f>
        <v>843.58780095852239</v>
      </c>
      <c r="M341" s="34"/>
      <c r="N341" s="35"/>
      <c r="O341" s="30"/>
      <c r="P341" s="33"/>
      <c r="Q341" s="33"/>
      <c r="R341" s="36" t="b">
        <v>0</v>
      </c>
      <c r="S341" s="36" t="b">
        <v>0</v>
      </c>
      <c r="T341" s="36" t="b">
        <v>0</v>
      </c>
      <c r="U341" s="36" t="b">
        <v>0</v>
      </c>
      <c r="V341" s="36" t="b">
        <v>0</v>
      </c>
      <c r="W341" s="33"/>
      <c r="X341" s="37"/>
      <c r="Y341" s="43"/>
      <c r="Z341" s="37"/>
      <c r="AA341" s="37"/>
      <c r="AB341" s="37"/>
      <c r="AC341" s="37"/>
      <c r="AD341" s="37"/>
      <c r="AE341" s="37"/>
      <c r="AF341" s="37"/>
      <c r="AG341" s="37"/>
      <c r="AH341" s="32"/>
    </row>
    <row r="342" spans="2:34" hidden="1" x14ac:dyDescent="0.25">
      <c r="B342" s="30" t="s">
        <v>745</v>
      </c>
      <c r="C342" s="31" t="s">
        <v>1022</v>
      </c>
      <c r="D342" s="32" t="s">
        <v>242</v>
      </c>
      <c r="E342" s="30">
        <v>1000</v>
      </c>
      <c r="F342" s="30" t="s">
        <v>22</v>
      </c>
      <c r="G342" s="32" t="s">
        <v>242</v>
      </c>
      <c r="H342" s="32" t="s">
        <v>15</v>
      </c>
      <c r="I342" s="32" t="s">
        <v>124</v>
      </c>
      <c r="J342" s="30" t="s">
        <v>12</v>
      </c>
      <c r="K342" s="33">
        <f>IFERROR(AVERAGEIFS('[1]Controle de Produção'!$E:$E,'[1]Controle de Produção'!$N:$N,E342,'[1]Controle de Produção'!$S:$S,J342,'[1]Controle de Produção'!$R:$R,I342),0)</f>
        <v>0</v>
      </c>
      <c r="L342" s="33">
        <f>IFERROR(AVERAGEIFS('[1]Controle de Produção'!$E:$E,'[1]Controle de Produção'!$S:$S,J342,'[1]Controle de Produção'!$R:$R,I342),0)</f>
        <v>682.70218347916432</v>
      </c>
      <c r="M342" s="34">
        <v>8</v>
      </c>
      <c r="N342" s="35"/>
      <c r="O342" s="30"/>
      <c r="P342" s="33"/>
      <c r="Q342" s="33"/>
      <c r="R342" s="36" t="b">
        <v>0</v>
      </c>
      <c r="S342" s="36" t="b">
        <v>0</v>
      </c>
      <c r="T342" s="36" t="b">
        <v>0</v>
      </c>
      <c r="U342" s="36" t="b">
        <v>0</v>
      </c>
      <c r="V342" s="36" t="b">
        <v>0</v>
      </c>
      <c r="W342" s="33"/>
      <c r="X342" s="37"/>
      <c r="Y342" s="43"/>
      <c r="Z342" s="37"/>
      <c r="AA342" s="37"/>
      <c r="AB342" s="37"/>
      <c r="AC342" s="37"/>
      <c r="AD342" s="37"/>
      <c r="AE342" s="37"/>
      <c r="AF342" s="37"/>
      <c r="AG342" s="37"/>
      <c r="AH342" s="32"/>
    </row>
    <row r="343" spans="2:34" hidden="1" x14ac:dyDescent="0.25">
      <c r="B343" s="30" t="s">
        <v>747</v>
      </c>
      <c r="C343" s="31" t="s">
        <v>1023</v>
      </c>
      <c r="D343" s="32" t="s">
        <v>242</v>
      </c>
      <c r="E343" s="30">
        <v>1000</v>
      </c>
      <c r="F343" s="30" t="s">
        <v>22</v>
      </c>
      <c r="G343" s="32" t="s">
        <v>242</v>
      </c>
      <c r="H343" s="32" t="s">
        <v>15</v>
      </c>
      <c r="I343" s="32" t="s">
        <v>19</v>
      </c>
      <c r="J343" s="30" t="s">
        <v>107</v>
      </c>
      <c r="K343" s="33">
        <f>IFERROR(AVERAGEIFS('[1]Controle de Produção'!$E:$E,'[1]Controle de Produção'!$N:$N,E343,'[1]Controle de Produção'!$S:$S,J343,'[1]Controle de Produção'!$R:$R,I343),0)</f>
        <v>25.000000000363798</v>
      </c>
      <c r="L343" s="33">
        <f>IFERROR(AVERAGEIFS('[1]Controle de Produção'!$E:$E,'[1]Controle de Produção'!$S:$S,J343,'[1]Controle de Produção'!$R:$R,I343),0)</f>
        <v>25.000000000363798</v>
      </c>
      <c r="M343" s="34">
        <v>8</v>
      </c>
      <c r="N343" s="35"/>
      <c r="O343" s="30"/>
      <c r="P343" s="33"/>
      <c r="Q343" s="33"/>
      <c r="R343" s="36" t="b">
        <v>0</v>
      </c>
      <c r="S343" s="36" t="b">
        <v>0</v>
      </c>
      <c r="T343" s="36" t="b">
        <v>0</v>
      </c>
      <c r="U343" s="36" t="b">
        <v>0</v>
      </c>
      <c r="V343" s="36" t="b">
        <v>0</v>
      </c>
      <c r="W343" s="33"/>
      <c r="X343" s="37"/>
      <c r="Y343" s="43"/>
      <c r="Z343" s="37"/>
      <c r="AA343" s="37"/>
      <c r="AB343" s="37"/>
      <c r="AC343" s="37"/>
      <c r="AD343" s="37"/>
      <c r="AE343" s="37"/>
      <c r="AF343" s="37"/>
      <c r="AG343" s="37"/>
      <c r="AH343" s="32"/>
    </row>
    <row r="344" spans="2:34" hidden="1" x14ac:dyDescent="0.25">
      <c r="B344" s="30" t="s">
        <v>904</v>
      </c>
      <c r="C344" s="31" t="s">
        <v>905</v>
      </c>
      <c r="D344" s="32" t="s">
        <v>511</v>
      </c>
      <c r="E344" s="30">
        <v>120</v>
      </c>
      <c r="F344" s="30" t="s">
        <v>22</v>
      </c>
      <c r="G344" s="32" t="s">
        <v>61</v>
      </c>
      <c r="H344" s="32" t="s">
        <v>50</v>
      </c>
      <c r="I344" s="32" t="s">
        <v>62</v>
      </c>
      <c r="J344" s="30" t="s">
        <v>500</v>
      </c>
      <c r="K344" s="33">
        <f>IFERROR(AVERAGEIFS('[1]Controle de Produção'!$E:$E,'[1]Controle de Produção'!$N:$N,E344,'[1]Controle de Produção'!$S:$S,J344,'[1]Controle de Produção'!$R:$R,I344),0)</f>
        <v>904.81129644209193</v>
      </c>
      <c r="L344" s="33">
        <f>IFERROR(AVERAGEIFS('[1]Controle de Produção'!$E:$E,'[1]Controle de Produção'!$S:$S,J344,'[1]Controle de Produção'!$R:$R,I344),0)</f>
        <v>888.79597492569974</v>
      </c>
      <c r="M344" s="34">
        <v>60</v>
      </c>
      <c r="N344" s="35"/>
      <c r="O344" s="30"/>
      <c r="P344" s="33"/>
      <c r="Q344" s="33"/>
      <c r="R344" s="36" t="b">
        <v>0</v>
      </c>
      <c r="S344" s="36" t="b">
        <v>0</v>
      </c>
      <c r="T344" s="36" t="b">
        <v>0</v>
      </c>
      <c r="U344" s="36" t="b">
        <v>0</v>
      </c>
      <c r="V344" s="36" t="b">
        <v>0</v>
      </c>
      <c r="W344" s="33"/>
      <c r="X344" s="37"/>
      <c r="Y344" s="43"/>
      <c r="Z344" s="37"/>
      <c r="AA344" s="37"/>
      <c r="AB344" s="37"/>
      <c r="AC344" s="37"/>
      <c r="AD344" s="37"/>
      <c r="AE344" s="37"/>
      <c r="AF344" s="37"/>
      <c r="AG344" s="37"/>
      <c r="AH344" s="32"/>
    </row>
    <row r="345" spans="2:34" hidden="1" x14ac:dyDescent="0.25">
      <c r="B345" s="30" t="s">
        <v>1206</v>
      </c>
      <c r="C345" s="31" t="s">
        <v>1205</v>
      </c>
      <c r="D345" s="32" t="s">
        <v>195</v>
      </c>
      <c r="E345" s="32">
        <v>215</v>
      </c>
      <c r="F345" s="32" t="s">
        <v>22</v>
      </c>
      <c r="G345" s="32" t="s">
        <v>196</v>
      </c>
      <c r="H345" s="32" t="s">
        <v>50</v>
      </c>
      <c r="I345" s="38" t="s">
        <v>62</v>
      </c>
      <c r="J345" s="30" t="s">
        <v>18</v>
      </c>
      <c r="K345" s="33">
        <f>IFERROR(AVERAGEIFS('[1]Controle de Produção'!$E:$E,'[1]Controle de Produção'!$N:$N,E345,'[1]Controle de Produção'!$S:$S,J345,'[1]Controle de Produção'!$R:$R,I345),0)</f>
        <v>795.27770410852099</v>
      </c>
      <c r="L345" s="33">
        <f>IFERROR(AVERAGEIFS('[1]Controle de Produção'!$E:$E,'[1]Controle de Produção'!$S:$S,J345,'[1]Controle de Produção'!$R:$R,I345),0)</f>
        <v>843.58780095852239</v>
      </c>
      <c r="M345" s="34">
        <v>48</v>
      </c>
      <c r="N345" s="35"/>
      <c r="O345" s="30" t="s">
        <v>1074</v>
      </c>
      <c r="P345" s="33">
        <v>7908420116741</v>
      </c>
      <c r="Q345" s="33">
        <v>17908420116748</v>
      </c>
      <c r="R345" s="36" t="b">
        <v>1</v>
      </c>
      <c r="S345" s="36" t="b">
        <v>1</v>
      </c>
      <c r="T345" s="36" t="b">
        <v>1</v>
      </c>
      <c r="U345" s="36" t="b">
        <v>0</v>
      </c>
      <c r="V345" s="36" t="b">
        <v>0</v>
      </c>
      <c r="W345" s="33" t="s">
        <v>954</v>
      </c>
      <c r="X345" s="37"/>
      <c r="Y345" s="43">
        <v>0.85</v>
      </c>
      <c r="Z345" s="37"/>
      <c r="AA345" s="37"/>
      <c r="AB345" s="37"/>
      <c r="AC345" s="37"/>
      <c r="AD345" s="37"/>
      <c r="AE345" s="37"/>
      <c r="AF345" s="37"/>
      <c r="AG345" s="37"/>
      <c r="AH345" s="32"/>
    </row>
    <row r="346" spans="2:34" hidden="1" x14ac:dyDescent="0.25">
      <c r="B346" s="30" t="s">
        <v>212</v>
      </c>
      <c r="C346" s="31" t="s">
        <v>213</v>
      </c>
      <c r="D346" s="32" t="s">
        <v>60</v>
      </c>
      <c r="E346" s="30">
        <v>100</v>
      </c>
      <c r="F346" s="30" t="s">
        <v>22</v>
      </c>
      <c r="G346" s="32" t="s">
        <v>214</v>
      </c>
      <c r="H346" s="32" t="s">
        <v>50</v>
      </c>
      <c r="I346" s="32" t="s">
        <v>62</v>
      </c>
      <c r="J346" s="30" t="s">
        <v>500</v>
      </c>
      <c r="K346" s="33">
        <f>IFERROR(AVERAGEIFS('[1]Controle de Produção'!$E:$E,'[1]Controle de Produção'!$N:$N,E346,'[1]Controle de Produção'!$S:$S,J346,'[1]Controle de Produção'!$R:$R,I346),0)</f>
        <v>440.36697246671707</v>
      </c>
      <c r="L346" s="33">
        <f>IFERROR(AVERAGEIFS('[1]Controle de Produção'!$E:$E,'[1]Controle de Produção'!$S:$S,J346,'[1]Controle de Produção'!$R:$R,I346),0)</f>
        <v>888.79597492569974</v>
      </c>
      <c r="M346" s="34"/>
      <c r="N346" s="35"/>
      <c r="O346" s="30"/>
      <c r="P346" s="33"/>
      <c r="Q346" s="33"/>
      <c r="R346" s="36" t="b">
        <v>1</v>
      </c>
      <c r="S346" s="36" t="b">
        <v>0</v>
      </c>
      <c r="T346" s="36" t="b">
        <v>0</v>
      </c>
      <c r="U346" s="36" t="b">
        <v>0</v>
      </c>
      <c r="V346" s="36" t="b">
        <v>0</v>
      </c>
      <c r="W346" s="33" t="s">
        <v>954</v>
      </c>
      <c r="X346" s="37"/>
      <c r="Y346" s="43"/>
      <c r="Z346" s="37"/>
      <c r="AA346" s="37"/>
      <c r="AB346" s="37"/>
      <c r="AC346" s="37"/>
      <c r="AD346" s="37"/>
      <c r="AE346" s="37"/>
      <c r="AF346" s="37"/>
      <c r="AG346" s="37"/>
      <c r="AH346" s="32"/>
    </row>
    <row r="347" spans="2:34" hidden="1" x14ac:dyDescent="0.25">
      <c r="B347" s="30" t="s">
        <v>215</v>
      </c>
      <c r="C347" s="31" t="s">
        <v>216</v>
      </c>
      <c r="D347" s="32" t="s">
        <v>60</v>
      </c>
      <c r="E347" s="30">
        <v>100</v>
      </c>
      <c r="F347" s="30" t="s">
        <v>22</v>
      </c>
      <c r="G347" s="32" t="s">
        <v>214</v>
      </c>
      <c r="H347" s="32" t="s">
        <v>50</v>
      </c>
      <c r="I347" s="32" t="s">
        <v>62</v>
      </c>
      <c r="J347" s="30" t="s">
        <v>500</v>
      </c>
      <c r="K347" s="33">
        <f>IFERROR(AVERAGEIFS('[1]Controle de Produção'!$E:$E,'[1]Controle de Produção'!$N:$N,E347,'[1]Controle de Produção'!$S:$S,J347,'[1]Controle de Produção'!$R:$R,I347),0)</f>
        <v>440.36697246671707</v>
      </c>
      <c r="L347" s="33">
        <f>IFERROR(AVERAGEIFS('[1]Controle de Produção'!$E:$E,'[1]Controle de Produção'!$S:$S,J347,'[1]Controle de Produção'!$R:$R,I347),0)</f>
        <v>888.79597492569974</v>
      </c>
      <c r="M347" s="34"/>
      <c r="N347" s="35"/>
      <c r="O347" s="30"/>
      <c r="P347" s="33"/>
      <c r="Q347" s="33"/>
      <c r="R347" s="36" t="b">
        <v>1</v>
      </c>
      <c r="S347" s="36" t="b">
        <v>0</v>
      </c>
      <c r="T347" s="36" t="b">
        <v>0</v>
      </c>
      <c r="U347" s="36" t="b">
        <v>0</v>
      </c>
      <c r="V347" s="36" t="b">
        <v>0</v>
      </c>
      <c r="W347" s="33" t="s">
        <v>954</v>
      </c>
      <c r="X347" s="37"/>
      <c r="Y347" s="43"/>
      <c r="Z347" s="37"/>
      <c r="AA347" s="37"/>
      <c r="AB347" s="37"/>
      <c r="AC347" s="37"/>
      <c r="AD347" s="37"/>
      <c r="AE347" s="37"/>
      <c r="AF347" s="37"/>
      <c r="AG347" s="37"/>
      <c r="AH347" s="32"/>
    </row>
    <row r="348" spans="2:34" hidden="1" x14ac:dyDescent="0.25">
      <c r="B348" s="30" t="s">
        <v>217</v>
      </c>
      <c r="C348" s="31" t="s">
        <v>522</v>
      </c>
      <c r="D348" s="32" t="s">
        <v>60</v>
      </c>
      <c r="E348" s="30">
        <v>100</v>
      </c>
      <c r="F348" s="30" t="s">
        <v>22</v>
      </c>
      <c r="G348" s="32" t="s">
        <v>214</v>
      </c>
      <c r="H348" s="32" t="s">
        <v>50</v>
      </c>
      <c r="I348" s="32" t="s">
        <v>62</v>
      </c>
      <c r="J348" s="30" t="s">
        <v>500</v>
      </c>
      <c r="K348" s="33">
        <f>IFERROR(AVERAGEIFS('[1]Controle de Produção'!$E:$E,'[1]Controle de Produção'!$N:$N,E348,'[1]Controle de Produção'!$S:$S,J348,'[1]Controle de Produção'!$R:$R,I348),0)</f>
        <v>440.36697246671707</v>
      </c>
      <c r="L348" s="33">
        <f>IFERROR(AVERAGEIFS('[1]Controle de Produção'!$E:$E,'[1]Controle de Produção'!$S:$S,J348,'[1]Controle de Produção'!$R:$R,I348),0)</f>
        <v>888.79597492569974</v>
      </c>
      <c r="M348" s="34"/>
      <c r="N348" s="35"/>
      <c r="O348" s="30"/>
      <c r="P348" s="33"/>
      <c r="Q348" s="33"/>
      <c r="R348" s="36" t="b">
        <v>1</v>
      </c>
      <c r="S348" s="36" t="b">
        <v>0</v>
      </c>
      <c r="T348" s="36" t="b">
        <v>0</v>
      </c>
      <c r="U348" s="36" t="b">
        <v>0</v>
      </c>
      <c r="V348" s="36" t="b">
        <v>0</v>
      </c>
      <c r="W348" s="33" t="s">
        <v>954</v>
      </c>
      <c r="X348" s="37"/>
      <c r="Y348" s="43"/>
      <c r="Z348" s="37"/>
      <c r="AA348" s="37"/>
      <c r="AB348" s="37"/>
      <c r="AC348" s="37"/>
      <c r="AD348" s="37"/>
      <c r="AE348" s="37"/>
      <c r="AF348" s="37"/>
      <c r="AG348" s="37"/>
      <c r="AH348" s="32"/>
    </row>
    <row r="349" spans="2:34" hidden="1" x14ac:dyDescent="0.25">
      <c r="B349" s="30" t="s">
        <v>218</v>
      </c>
      <c r="C349" s="31" t="s">
        <v>219</v>
      </c>
      <c r="D349" s="32" t="s">
        <v>81</v>
      </c>
      <c r="E349" s="30">
        <v>100</v>
      </c>
      <c r="F349" s="30" t="s">
        <v>22</v>
      </c>
      <c r="G349" s="32" t="s">
        <v>214</v>
      </c>
      <c r="H349" s="32" t="s">
        <v>50</v>
      </c>
      <c r="I349" s="32" t="s">
        <v>62</v>
      </c>
      <c r="J349" s="30" t="s">
        <v>18</v>
      </c>
      <c r="K349" s="33">
        <f>IFERROR(AVERAGEIFS('[1]Controle de Produção'!$E:$E,'[1]Controle de Produção'!$N:$N,E349,'[1]Controle de Produção'!$S:$S,J349,'[1]Controle de Produção'!$R:$R,I349),0)</f>
        <v>807.69230768227635</v>
      </c>
      <c r="L349" s="33">
        <f>IFERROR(AVERAGEIFS('[1]Controle de Produção'!$E:$E,'[1]Controle de Produção'!$S:$S,J349,'[1]Controle de Produção'!$R:$R,I349),0)</f>
        <v>843.58780095852239</v>
      </c>
      <c r="M349" s="34"/>
      <c r="N349" s="35"/>
      <c r="O349" s="30"/>
      <c r="P349" s="33"/>
      <c r="Q349" s="33"/>
      <c r="R349" s="36" t="b">
        <v>1</v>
      </c>
      <c r="S349" s="36" t="b">
        <v>0</v>
      </c>
      <c r="T349" s="36" t="b">
        <v>0</v>
      </c>
      <c r="U349" s="36" t="b">
        <v>0</v>
      </c>
      <c r="V349" s="36" t="b">
        <v>0</v>
      </c>
      <c r="W349" s="33" t="s">
        <v>954</v>
      </c>
      <c r="X349" s="37"/>
      <c r="Y349" s="43"/>
      <c r="Z349" s="37"/>
      <c r="AA349" s="37"/>
      <c r="AB349" s="37"/>
      <c r="AC349" s="37"/>
      <c r="AD349" s="37"/>
      <c r="AE349" s="37"/>
      <c r="AF349" s="37"/>
      <c r="AG349" s="37"/>
      <c r="AH349" s="32"/>
    </row>
    <row r="350" spans="2:34" hidden="1" x14ac:dyDescent="0.25">
      <c r="B350" s="30" t="s">
        <v>220</v>
      </c>
      <c r="C350" s="31" t="s">
        <v>221</v>
      </c>
      <c r="D350" s="32" t="s">
        <v>81</v>
      </c>
      <c r="E350" s="30">
        <v>100</v>
      </c>
      <c r="F350" s="30" t="s">
        <v>22</v>
      </c>
      <c r="G350" s="32" t="s">
        <v>214</v>
      </c>
      <c r="H350" s="32" t="s">
        <v>50</v>
      </c>
      <c r="I350" s="32" t="s">
        <v>62</v>
      </c>
      <c r="J350" s="30" t="s">
        <v>18</v>
      </c>
      <c r="K350" s="33">
        <f>IFERROR(AVERAGEIFS('[1]Controle de Produção'!$E:$E,'[1]Controle de Produção'!$N:$N,E350,'[1]Controle de Produção'!$S:$S,J350,'[1]Controle de Produção'!$R:$R,I350),0)</f>
        <v>807.69230768227635</v>
      </c>
      <c r="L350" s="33">
        <f>IFERROR(AVERAGEIFS('[1]Controle de Produção'!$E:$E,'[1]Controle de Produção'!$S:$S,J350,'[1]Controle de Produção'!$R:$R,I350),0)</f>
        <v>843.58780095852239</v>
      </c>
      <c r="M350" s="34"/>
      <c r="N350" s="35"/>
      <c r="O350" s="30"/>
      <c r="P350" s="33"/>
      <c r="Q350" s="33"/>
      <c r="R350" s="36" t="b">
        <v>1</v>
      </c>
      <c r="S350" s="36" t="b">
        <v>0</v>
      </c>
      <c r="T350" s="36" t="b">
        <v>0</v>
      </c>
      <c r="U350" s="36" t="b">
        <v>0</v>
      </c>
      <c r="V350" s="36" t="b">
        <v>0</v>
      </c>
      <c r="W350" s="33" t="s">
        <v>954</v>
      </c>
      <c r="X350" s="37"/>
      <c r="Y350" s="43"/>
      <c r="Z350" s="37"/>
      <c r="AA350" s="37"/>
      <c r="AB350" s="37"/>
      <c r="AC350" s="37"/>
      <c r="AD350" s="37"/>
      <c r="AE350" s="37"/>
      <c r="AF350" s="37"/>
      <c r="AG350" s="37"/>
      <c r="AH350" s="32"/>
    </row>
    <row r="351" spans="2:34" hidden="1" x14ac:dyDescent="0.25">
      <c r="B351" s="30" t="s">
        <v>222</v>
      </c>
      <c r="C351" s="31" t="s">
        <v>223</v>
      </c>
      <c r="D351" s="32" t="s">
        <v>81</v>
      </c>
      <c r="E351" s="30">
        <v>100</v>
      </c>
      <c r="F351" s="30" t="s">
        <v>22</v>
      </c>
      <c r="G351" s="32" t="s">
        <v>214</v>
      </c>
      <c r="H351" s="32" t="s">
        <v>50</v>
      </c>
      <c r="I351" s="32" t="s">
        <v>62</v>
      </c>
      <c r="J351" s="30" t="s">
        <v>18</v>
      </c>
      <c r="K351" s="33">
        <f>IFERROR(AVERAGEIFS('[1]Controle de Produção'!$E:$E,'[1]Controle de Produção'!$N:$N,E351,'[1]Controle de Produção'!$S:$S,J351,'[1]Controle de Produção'!$R:$R,I351),0)</f>
        <v>807.69230768227635</v>
      </c>
      <c r="L351" s="33">
        <f>IFERROR(AVERAGEIFS('[1]Controle de Produção'!$E:$E,'[1]Controle de Produção'!$S:$S,J351,'[1]Controle de Produção'!$R:$R,I351),0)</f>
        <v>843.58780095852239</v>
      </c>
      <c r="M351" s="34"/>
      <c r="N351" s="35"/>
      <c r="O351" s="30"/>
      <c r="P351" s="33"/>
      <c r="Q351" s="33"/>
      <c r="R351" s="36" t="b">
        <v>1</v>
      </c>
      <c r="S351" s="36" t="b">
        <v>0</v>
      </c>
      <c r="T351" s="36" t="b">
        <v>0</v>
      </c>
      <c r="U351" s="36" t="b">
        <v>0</v>
      </c>
      <c r="V351" s="36" t="b">
        <v>0</v>
      </c>
      <c r="W351" s="33" t="s">
        <v>954</v>
      </c>
      <c r="X351" s="37"/>
      <c r="Y351" s="43"/>
      <c r="Z351" s="37"/>
      <c r="AA351" s="37"/>
      <c r="AB351" s="37"/>
      <c r="AC351" s="37"/>
      <c r="AD351" s="37"/>
      <c r="AE351" s="37"/>
      <c r="AF351" s="37"/>
      <c r="AG351" s="37"/>
      <c r="AH351" s="32"/>
    </row>
    <row r="352" spans="2:34" hidden="1" x14ac:dyDescent="0.25">
      <c r="B352" s="30" t="s">
        <v>224</v>
      </c>
      <c r="C352" s="31" t="s">
        <v>225</v>
      </c>
      <c r="D352" s="32" t="s">
        <v>226</v>
      </c>
      <c r="E352" s="30">
        <v>100</v>
      </c>
      <c r="F352" s="30" t="s">
        <v>22</v>
      </c>
      <c r="G352" s="32" t="s">
        <v>214</v>
      </c>
      <c r="H352" s="32" t="s">
        <v>227</v>
      </c>
      <c r="I352" s="32" t="s">
        <v>228</v>
      </c>
      <c r="J352" s="30" t="s">
        <v>12</v>
      </c>
      <c r="K352" s="33">
        <f>IFERROR(AVERAGEIFS('[1]Controle de Produção'!$E:$E,'[1]Controle de Produção'!$N:$N,E352,'[1]Controle de Produção'!$S:$S,J352,'[1]Controle de Produção'!$R:$R,I352),0)</f>
        <v>680.85311397765383</v>
      </c>
      <c r="L352" s="33">
        <f>IFERROR(AVERAGEIFS('[1]Controle de Produção'!$E:$E,'[1]Controle de Produção'!$S:$S,J352,'[1]Controle de Produção'!$R:$R,I352),0)</f>
        <v>732.04943503841741</v>
      </c>
      <c r="M352" s="34">
        <v>48</v>
      </c>
      <c r="N352" s="35"/>
      <c r="O352" s="30"/>
      <c r="P352" s="33"/>
      <c r="Q352" s="33"/>
      <c r="R352" s="36" t="b">
        <v>1</v>
      </c>
      <c r="S352" s="36" t="b">
        <v>1</v>
      </c>
      <c r="T352" s="36" t="b">
        <v>0</v>
      </c>
      <c r="U352" s="36" t="b">
        <v>1</v>
      </c>
      <c r="V352" s="36" t="b">
        <v>1</v>
      </c>
      <c r="W352" s="33" t="s">
        <v>954</v>
      </c>
      <c r="X352" s="37"/>
      <c r="Y352" s="43"/>
      <c r="Z352" s="37"/>
      <c r="AA352" s="37"/>
      <c r="AB352" s="37"/>
      <c r="AC352" s="37"/>
      <c r="AD352" s="37"/>
      <c r="AE352" s="37"/>
      <c r="AF352" s="37"/>
      <c r="AG352" s="37"/>
      <c r="AH352" s="32"/>
    </row>
    <row r="353" spans="2:34" hidden="1" x14ac:dyDescent="0.25">
      <c r="B353" s="30" t="s">
        <v>229</v>
      </c>
      <c r="C353" s="31" t="s">
        <v>230</v>
      </c>
      <c r="D353" s="32" t="s">
        <v>226</v>
      </c>
      <c r="E353" s="30">
        <v>100</v>
      </c>
      <c r="F353" s="30" t="s">
        <v>22</v>
      </c>
      <c r="G353" s="32" t="s">
        <v>214</v>
      </c>
      <c r="H353" s="32" t="s">
        <v>227</v>
      </c>
      <c r="I353" s="32" t="s">
        <v>228</v>
      </c>
      <c r="J353" s="30" t="s">
        <v>12</v>
      </c>
      <c r="K353" s="33">
        <f>IFERROR(AVERAGEIFS('[1]Controle de Produção'!$E:$E,'[1]Controle de Produção'!$N:$N,E353,'[1]Controle de Produção'!$S:$S,J353,'[1]Controle de Produção'!$R:$R,I353),0)</f>
        <v>680.85311397765383</v>
      </c>
      <c r="L353" s="33">
        <f>IFERROR(AVERAGEIFS('[1]Controle de Produção'!$E:$E,'[1]Controle de Produção'!$S:$S,J353,'[1]Controle de Produção'!$R:$R,I353),0)</f>
        <v>732.04943503841741</v>
      </c>
      <c r="M353" s="34">
        <v>48</v>
      </c>
      <c r="N353" s="35"/>
      <c r="O353" s="30"/>
      <c r="P353" s="33"/>
      <c r="Q353" s="33"/>
      <c r="R353" s="36" t="b">
        <v>1</v>
      </c>
      <c r="S353" s="36" t="b">
        <v>1</v>
      </c>
      <c r="T353" s="36" t="b">
        <v>0</v>
      </c>
      <c r="U353" s="36" t="b">
        <v>1</v>
      </c>
      <c r="V353" s="36" t="b">
        <v>1</v>
      </c>
      <c r="W353" s="33" t="s">
        <v>954</v>
      </c>
      <c r="X353" s="37"/>
      <c r="Y353" s="43"/>
      <c r="Z353" s="37"/>
      <c r="AA353" s="37"/>
      <c r="AB353" s="37"/>
      <c r="AC353" s="37"/>
      <c r="AD353" s="37"/>
      <c r="AE353" s="37"/>
      <c r="AF353" s="37"/>
      <c r="AG353" s="37"/>
      <c r="AH353" s="32"/>
    </row>
    <row r="354" spans="2:34" hidden="1" x14ac:dyDescent="0.25">
      <c r="B354" s="30" t="s">
        <v>231</v>
      </c>
      <c r="C354" s="31" t="s">
        <v>232</v>
      </c>
      <c r="D354" s="32" t="s">
        <v>226</v>
      </c>
      <c r="E354" s="30">
        <v>100</v>
      </c>
      <c r="F354" s="30" t="s">
        <v>22</v>
      </c>
      <c r="G354" s="32" t="s">
        <v>214</v>
      </c>
      <c r="H354" s="32" t="s">
        <v>233</v>
      </c>
      <c r="I354" s="32" t="s">
        <v>68</v>
      </c>
      <c r="J354" s="30" t="s">
        <v>12</v>
      </c>
      <c r="K354" s="33">
        <f>IFERROR(AVERAGEIFS('[1]Controle de Produção'!$E:$E,'[1]Controle de Produção'!$N:$N,E354,'[1]Controle de Produção'!$S:$S,J354,'[1]Controle de Produção'!$R:$R,I354),0)</f>
        <v>595.28800907119319</v>
      </c>
      <c r="L354" s="33">
        <f>IFERROR(AVERAGEIFS('[1]Controle de Produção'!$E:$E,'[1]Controle de Produção'!$S:$S,J354,'[1]Controle de Produção'!$R:$R,I354),0)</f>
        <v>721.11737989561891</v>
      </c>
      <c r="M354" s="34">
        <v>48</v>
      </c>
      <c r="N354" s="35"/>
      <c r="O354" s="30"/>
      <c r="P354" s="33"/>
      <c r="Q354" s="33"/>
      <c r="R354" s="36" t="b">
        <v>1</v>
      </c>
      <c r="S354" s="36" t="b">
        <v>1</v>
      </c>
      <c r="T354" s="36" t="b">
        <v>0</v>
      </c>
      <c r="U354" s="36" t="b">
        <v>1</v>
      </c>
      <c r="V354" s="36" t="b">
        <v>1</v>
      </c>
      <c r="W354" s="33" t="s">
        <v>954</v>
      </c>
      <c r="X354" s="37"/>
      <c r="Y354" s="43"/>
      <c r="Z354" s="37"/>
      <c r="AA354" s="37"/>
      <c r="AB354" s="37"/>
      <c r="AC354" s="37"/>
      <c r="AD354" s="37"/>
      <c r="AE354" s="37"/>
      <c r="AF354" s="37"/>
      <c r="AG354" s="37"/>
      <c r="AH354" s="32"/>
    </row>
    <row r="355" spans="2:34" hidden="1" x14ac:dyDescent="0.25">
      <c r="B355" s="30" t="s">
        <v>234</v>
      </c>
      <c r="C355" s="31" t="s">
        <v>235</v>
      </c>
      <c r="D355" s="32" t="s">
        <v>226</v>
      </c>
      <c r="E355" s="30">
        <v>100</v>
      </c>
      <c r="F355" s="30" t="s">
        <v>22</v>
      </c>
      <c r="G355" s="32" t="s">
        <v>214</v>
      </c>
      <c r="H355" s="32" t="s">
        <v>233</v>
      </c>
      <c r="I355" s="32" t="s">
        <v>68</v>
      </c>
      <c r="J355" s="30" t="s">
        <v>12</v>
      </c>
      <c r="K355" s="33">
        <f>IFERROR(AVERAGEIFS('[1]Controle de Produção'!$E:$E,'[1]Controle de Produção'!$N:$N,E355,'[1]Controle de Produção'!$S:$S,J355,'[1]Controle de Produção'!$R:$R,I355),0)</f>
        <v>595.28800907119319</v>
      </c>
      <c r="L355" s="33">
        <f>IFERROR(AVERAGEIFS('[1]Controle de Produção'!$E:$E,'[1]Controle de Produção'!$S:$S,J355,'[1]Controle de Produção'!$R:$R,I355),0)</f>
        <v>721.11737989561891</v>
      </c>
      <c r="M355" s="34">
        <v>48</v>
      </c>
      <c r="N355" s="35"/>
      <c r="O355" s="30"/>
      <c r="P355" s="33"/>
      <c r="Q355" s="33"/>
      <c r="R355" s="36" t="b">
        <v>1</v>
      </c>
      <c r="S355" s="36" t="b">
        <v>1</v>
      </c>
      <c r="T355" s="36" t="b">
        <v>0</v>
      </c>
      <c r="U355" s="36" t="b">
        <v>1</v>
      </c>
      <c r="V355" s="36" t="b">
        <v>1</v>
      </c>
      <c r="W355" s="33" t="s">
        <v>954</v>
      </c>
      <c r="X355" s="37"/>
      <c r="Y355" s="43"/>
      <c r="Z355" s="37"/>
      <c r="AA355" s="37"/>
      <c r="AB355" s="37"/>
      <c r="AC355" s="37"/>
      <c r="AD355" s="37"/>
      <c r="AE355" s="37"/>
      <c r="AF355" s="37"/>
      <c r="AG355" s="37"/>
      <c r="AH355" s="32"/>
    </row>
    <row r="356" spans="2:34" hidden="1" x14ac:dyDescent="0.25">
      <c r="B356" s="30" t="s">
        <v>236</v>
      </c>
      <c r="C356" s="31" t="s">
        <v>237</v>
      </c>
      <c r="D356" s="32" t="s">
        <v>226</v>
      </c>
      <c r="E356" s="30">
        <v>100</v>
      </c>
      <c r="F356" s="30" t="s">
        <v>22</v>
      </c>
      <c r="G356" s="32" t="s">
        <v>214</v>
      </c>
      <c r="H356" s="32" t="s">
        <v>233</v>
      </c>
      <c r="I356" s="32" t="s">
        <v>24</v>
      </c>
      <c r="J356" s="30" t="s">
        <v>25</v>
      </c>
      <c r="K356" s="33">
        <f>IFERROR(AVERAGEIFS('[1]Controle de Produção'!$E:$E,'[1]Controle de Produção'!$N:$N,E356,'[1]Controle de Produção'!$S:$S,J356,'[1]Controle de Produção'!$R:$R,I356),0)</f>
        <v>572.54752436516185</v>
      </c>
      <c r="L356" s="33">
        <f>IFERROR(AVERAGEIFS('[1]Controle de Produção'!$E:$E,'[1]Controle de Produção'!$S:$S,J356,'[1]Controle de Produção'!$R:$R,I356),0)</f>
        <v>519.13260484234854</v>
      </c>
      <c r="M356" s="34">
        <v>48</v>
      </c>
      <c r="N356" s="35"/>
      <c r="O356" s="30"/>
      <c r="P356" s="33"/>
      <c r="Q356" s="33"/>
      <c r="R356" s="36" t="b">
        <v>1</v>
      </c>
      <c r="S356" s="36" t="b">
        <v>1</v>
      </c>
      <c r="T356" s="36" t="b">
        <v>0</v>
      </c>
      <c r="U356" s="36" t="b">
        <v>1</v>
      </c>
      <c r="V356" s="36" t="b">
        <v>1</v>
      </c>
      <c r="W356" s="33" t="s">
        <v>954</v>
      </c>
      <c r="X356" s="37"/>
      <c r="Y356" s="43"/>
      <c r="Z356" s="37"/>
      <c r="AA356" s="37"/>
      <c r="AB356" s="37"/>
      <c r="AC356" s="37"/>
      <c r="AD356" s="37"/>
      <c r="AE356" s="37"/>
      <c r="AF356" s="37"/>
      <c r="AG356" s="37"/>
      <c r="AH356" s="32"/>
    </row>
    <row r="357" spans="2:34" hidden="1" x14ac:dyDescent="0.25">
      <c r="B357" s="30" t="s">
        <v>238</v>
      </c>
      <c r="C357" s="31" t="s">
        <v>239</v>
      </c>
      <c r="D357" s="32" t="s">
        <v>226</v>
      </c>
      <c r="E357" s="30">
        <v>100</v>
      </c>
      <c r="F357" s="30" t="s">
        <v>22</v>
      </c>
      <c r="G357" s="32" t="s">
        <v>214</v>
      </c>
      <c r="H357" s="32" t="s">
        <v>233</v>
      </c>
      <c r="I357" s="32" t="s">
        <v>24</v>
      </c>
      <c r="J357" s="30" t="s">
        <v>25</v>
      </c>
      <c r="K357" s="33">
        <f>IFERROR(AVERAGEIFS('[1]Controle de Produção'!$E:$E,'[1]Controle de Produção'!$N:$N,E357,'[1]Controle de Produção'!$S:$S,J357,'[1]Controle de Produção'!$R:$R,I357),0)</f>
        <v>572.54752436516185</v>
      </c>
      <c r="L357" s="33">
        <f>IFERROR(AVERAGEIFS('[1]Controle de Produção'!$E:$E,'[1]Controle de Produção'!$S:$S,J357,'[1]Controle de Produção'!$R:$R,I357),0)</f>
        <v>519.13260484234854</v>
      </c>
      <c r="M357" s="34">
        <v>48</v>
      </c>
      <c r="N357" s="35"/>
      <c r="O357" s="30"/>
      <c r="P357" s="33"/>
      <c r="Q357" s="33"/>
      <c r="R357" s="36" t="b">
        <v>1</v>
      </c>
      <c r="S357" s="36" t="b">
        <v>1</v>
      </c>
      <c r="T357" s="36" t="b">
        <v>0</v>
      </c>
      <c r="U357" s="36" t="b">
        <v>1</v>
      </c>
      <c r="V357" s="36" t="b">
        <v>1</v>
      </c>
      <c r="W357" s="33" t="s">
        <v>954</v>
      </c>
      <c r="X357" s="37"/>
      <c r="Y357" s="43"/>
      <c r="Z357" s="37"/>
      <c r="AA357" s="37"/>
      <c r="AB357" s="37"/>
      <c r="AC357" s="37"/>
      <c r="AD357" s="37"/>
      <c r="AE357" s="37"/>
      <c r="AF357" s="37"/>
      <c r="AG357" s="37"/>
      <c r="AH357" s="32"/>
    </row>
    <row r="358" spans="2:34" hidden="1" x14ac:dyDescent="0.25">
      <c r="B358" s="30" t="s">
        <v>1143</v>
      </c>
      <c r="C358" s="31" t="s">
        <v>1147</v>
      </c>
      <c r="D358" s="32"/>
      <c r="E358" s="30">
        <v>120</v>
      </c>
      <c r="F358" s="30" t="s">
        <v>22</v>
      </c>
      <c r="G358" s="32" t="s">
        <v>1122</v>
      </c>
      <c r="H358" s="32" t="s">
        <v>227</v>
      </c>
      <c r="I358" s="32" t="s">
        <v>32</v>
      </c>
      <c r="J358" s="30" t="s">
        <v>18</v>
      </c>
      <c r="K358" s="33">
        <f>IFERROR(AVERAGEIFS('[1]Controle de Produção'!$E:$E,'[1]Controle de Produção'!$N:$N,E358,'[1]Controle de Produção'!$S:$S,J358,'[1]Controle de Produção'!$R:$R,I358),0)</f>
        <v>676.40170988974012</v>
      </c>
      <c r="L358" s="33">
        <f>IFERROR(AVERAGEIFS('[1]Controle de Produção'!$E:$E,'[1]Controle de Produção'!$S:$S,J358,'[1]Controle de Produção'!$R:$R,I358),0)</f>
        <v>699.29256292632215</v>
      </c>
      <c r="M358" s="34">
        <v>72</v>
      </c>
      <c r="N358" s="35"/>
      <c r="O358" s="30" t="s">
        <v>1148</v>
      </c>
      <c r="P358" s="33">
        <v>7908420112361</v>
      </c>
      <c r="Q358" s="33">
        <v>17908420112368</v>
      </c>
      <c r="R358" s="36" t="b">
        <v>0</v>
      </c>
      <c r="S358" s="36" t="b">
        <v>0</v>
      </c>
      <c r="T358" s="36" t="b">
        <v>0</v>
      </c>
      <c r="U358" s="36" t="b">
        <v>0</v>
      </c>
      <c r="V358" s="36" t="b">
        <v>0</v>
      </c>
      <c r="W358" s="33" t="s">
        <v>954</v>
      </c>
      <c r="X358" s="37"/>
      <c r="Y358" s="43">
        <v>0.55000000000000004</v>
      </c>
      <c r="Z358" s="37"/>
      <c r="AA358" s="37"/>
      <c r="AB358" s="37"/>
      <c r="AC358" s="37"/>
      <c r="AD358" s="37"/>
      <c r="AE358" s="37"/>
      <c r="AF358" s="37"/>
      <c r="AG358" s="37"/>
      <c r="AH358" s="32"/>
    </row>
    <row r="359" spans="2:34" hidden="1" x14ac:dyDescent="0.25">
      <c r="B359" s="30" t="s">
        <v>1116</v>
      </c>
      <c r="C359" s="31" t="s">
        <v>1154</v>
      </c>
      <c r="D359" s="32"/>
      <c r="E359" s="30">
        <v>120</v>
      </c>
      <c r="F359" s="30" t="s">
        <v>22</v>
      </c>
      <c r="G359" s="32" t="s">
        <v>1122</v>
      </c>
      <c r="H359" s="32" t="s">
        <v>50</v>
      </c>
      <c r="I359" s="32" t="s">
        <v>62</v>
      </c>
      <c r="J359" s="30" t="s">
        <v>18</v>
      </c>
      <c r="K359" s="33">
        <f>IFERROR(AVERAGEIFS('[1]Controle de Produção'!$E:$E,'[1]Controle de Produção'!$N:$N,E359,'[1]Controle de Produção'!$S:$S,J359,'[1]Controle de Produção'!$R:$R,I359),0)</f>
        <v>907.28092268564944</v>
      </c>
      <c r="L359" s="33">
        <f>IFERROR(AVERAGEIFS('[1]Controle de Produção'!$E:$E,'[1]Controle de Produção'!$S:$S,J359,'[1]Controle de Produção'!$R:$R,I359),0)</f>
        <v>843.58780095852239</v>
      </c>
      <c r="M359" s="34">
        <v>48</v>
      </c>
      <c r="N359" s="35"/>
      <c r="O359" s="30" t="s">
        <v>1126</v>
      </c>
      <c r="P359" s="33"/>
      <c r="Q359" s="33"/>
      <c r="R359" s="36" t="b">
        <v>0</v>
      </c>
      <c r="S359" s="36" t="b">
        <v>0</v>
      </c>
      <c r="T359" s="36" t="b">
        <v>0</v>
      </c>
      <c r="U359" s="36" t="b">
        <v>0</v>
      </c>
      <c r="V359" s="36" t="b">
        <v>0</v>
      </c>
      <c r="W359" s="33" t="s">
        <v>954</v>
      </c>
      <c r="X359" s="37"/>
      <c r="Y359" s="48">
        <f t="shared" ref="Y359:Y364" si="0">0.55</f>
        <v>0.55000000000000004</v>
      </c>
      <c r="Z359" s="37"/>
      <c r="AA359" s="37"/>
      <c r="AB359" s="37"/>
      <c r="AC359" s="37"/>
      <c r="AD359" s="37"/>
      <c r="AE359" s="37"/>
      <c r="AF359" s="37"/>
      <c r="AG359" s="37"/>
      <c r="AH359" s="32"/>
    </row>
    <row r="360" spans="2:34" hidden="1" x14ac:dyDescent="0.25">
      <c r="B360" s="30" t="s">
        <v>1117</v>
      </c>
      <c r="C360" s="31" t="s">
        <v>1150</v>
      </c>
      <c r="D360" s="32"/>
      <c r="E360" s="30">
        <v>120</v>
      </c>
      <c r="F360" s="30" t="s">
        <v>22</v>
      </c>
      <c r="G360" s="32" t="s">
        <v>1122</v>
      </c>
      <c r="H360" s="32" t="s">
        <v>50</v>
      </c>
      <c r="I360" s="32" t="s">
        <v>62</v>
      </c>
      <c r="J360" s="30" t="s">
        <v>18</v>
      </c>
      <c r="K360" s="33">
        <f>IFERROR(AVERAGEIFS('[1]Controle de Produção'!$E:$E,'[1]Controle de Produção'!$N:$N,E360,'[1]Controle de Produção'!$S:$S,J360,'[1]Controle de Produção'!$R:$R,I360),0)</f>
        <v>907.28092268564944</v>
      </c>
      <c r="L360" s="33">
        <f>IFERROR(AVERAGEIFS('[1]Controle de Produção'!$E:$E,'[1]Controle de Produção'!$S:$S,J360,'[1]Controle de Produção'!$R:$R,I360),0)</f>
        <v>843.58780095852239</v>
      </c>
      <c r="M360" s="34">
        <v>48</v>
      </c>
      <c r="N360" s="35"/>
      <c r="O360" s="30" t="s">
        <v>1127</v>
      </c>
      <c r="P360" s="33"/>
      <c r="Q360" s="33"/>
      <c r="R360" s="36" t="b">
        <v>0</v>
      </c>
      <c r="S360" s="36" t="b">
        <v>0</v>
      </c>
      <c r="T360" s="36" t="b">
        <v>0</v>
      </c>
      <c r="U360" s="36" t="b">
        <v>0</v>
      </c>
      <c r="V360" s="36" t="b">
        <v>0</v>
      </c>
      <c r="W360" s="33" t="s">
        <v>954</v>
      </c>
      <c r="X360" s="37"/>
      <c r="Y360" s="48">
        <f t="shared" si="0"/>
        <v>0.55000000000000004</v>
      </c>
      <c r="Z360" s="37"/>
      <c r="AA360" s="37"/>
      <c r="AB360" s="37"/>
      <c r="AC360" s="37"/>
      <c r="AD360" s="37"/>
      <c r="AE360" s="37"/>
      <c r="AF360" s="37"/>
      <c r="AG360" s="37"/>
      <c r="AH360" s="32"/>
    </row>
    <row r="361" spans="2:34" hidden="1" x14ac:dyDescent="0.25">
      <c r="B361" s="30" t="s">
        <v>1118</v>
      </c>
      <c r="C361" s="31" t="s">
        <v>1151</v>
      </c>
      <c r="D361" s="32"/>
      <c r="E361" s="30">
        <v>120</v>
      </c>
      <c r="F361" s="30" t="s">
        <v>22</v>
      </c>
      <c r="G361" s="32" t="s">
        <v>1122</v>
      </c>
      <c r="H361" s="32" t="s">
        <v>50</v>
      </c>
      <c r="I361" s="32" t="s">
        <v>62</v>
      </c>
      <c r="J361" s="30" t="s">
        <v>18</v>
      </c>
      <c r="K361" s="33">
        <f>IFERROR(AVERAGEIFS('[1]Controle de Produção'!$E:$E,'[1]Controle de Produção'!$N:$N,E361,'[1]Controle de Produção'!$S:$S,J361,'[1]Controle de Produção'!$R:$R,I361),0)</f>
        <v>907.28092268564944</v>
      </c>
      <c r="L361" s="33">
        <f>IFERROR(AVERAGEIFS('[1]Controle de Produção'!$E:$E,'[1]Controle de Produção'!$S:$S,J361,'[1]Controle de Produção'!$R:$R,I361),0)</f>
        <v>843.58780095852239</v>
      </c>
      <c r="M361" s="34">
        <v>48</v>
      </c>
      <c r="N361" s="35"/>
      <c r="O361" s="30" t="s">
        <v>1128</v>
      </c>
      <c r="P361" s="33"/>
      <c r="Q361" s="33"/>
      <c r="R361" s="36" t="b">
        <v>0</v>
      </c>
      <c r="S361" s="36" t="b">
        <v>0</v>
      </c>
      <c r="T361" s="36" t="b">
        <v>0</v>
      </c>
      <c r="U361" s="36" t="b">
        <v>0</v>
      </c>
      <c r="V361" s="36" t="b">
        <v>0</v>
      </c>
      <c r="W361" s="33" t="s">
        <v>954</v>
      </c>
      <c r="X361" s="37"/>
      <c r="Y361" s="48">
        <f t="shared" si="0"/>
        <v>0.55000000000000004</v>
      </c>
      <c r="Z361" s="37"/>
      <c r="AA361" s="37"/>
      <c r="AB361" s="37"/>
      <c r="AC361" s="37"/>
      <c r="AD361" s="37"/>
      <c r="AE361" s="37"/>
      <c r="AF361" s="37"/>
      <c r="AG361" s="37"/>
      <c r="AH361" s="32"/>
    </row>
    <row r="362" spans="2:34" hidden="1" x14ac:dyDescent="0.25">
      <c r="B362" s="30" t="s">
        <v>1119</v>
      </c>
      <c r="C362" s="31" t="s">
        <v>1149</v>
      </c>
      <c r="D362" s="32"/>
      <c r="E362" s="30">
        <v>120</v>
      </c>
      <c r="F362" s="30" t="s">
        <v>22</v>
      </c>
      <c r="G362" s="32" t="s">
        <v>1122</v>
      </c>
      <c r="H362" s="32" t="s">
        <v>50</v>
      </c>
      <c r="I362" s="32" t="s">
        <v>62</v>
      </c>
      <c r="J362" s="30" t="s">
        <v>18</v>
      </c>
      <c r="K362" s="33">
        <f>IFERROR(AVERAGEIFS('[1]Controle de Produção'!$E:$E,'[1]Controle de Produção'!$N:$N,E362,'[1]Controle de Produção'!$S:$S,J362,'[1]Controle de Produção'!$R:$R,I362),0)</f>
        <v>907.28092268564944</v>
      </c>
      <c r="L362" s="33">
        <f>IFERROR(AVERAGEIFS('[1]Controle de Produção'!$E:$E,'[1]Controle de Produção'!$S:$S,J362,'[1]Controle de Produção'!$R:$R,I362),0)</f>
        <v>843.58780095852239</v>
      </c>
      <c r="M362" s="34">
        <v>48</v>
      </c>
      <c r="N362" s="35"/>
      <c r="O362" s="30" t="s">
        <v>1123</v>
      </c>
      <c r="P362" s="33"/>
      <c r="Q362" s="33"/>
      <c r="R362" s="36" t="b">
        <v>0</v>
      </c>
      <c r="S362" s="36" t="b">
        <v>0</v>
      </c>
      <c r="T362" s="36" t="b">
        <v>0</v>
      </c>
      <c r="U362" s="36" t="b">
        <v>0</v>
      </c>
      <c r="V362" s="36" t="b">
        <v>0</v>
      </c>
      <c r="W362" s="33" t="s">
        <v>954</v>
      </c>
      <c r="X362" s="37"/>
      <c r="Y362" s="48">
        <f t="shared" si="0"/>
        <v>0.55000000000000004</v>
      </c>
      <c r="Z362" s="37"/>
      <c r="AA362" s="37"/>
      <c r="AB362" s="37"/>
      <c r="AC362" s="37"/>
      <c r="AD362" s="37"/>
      <c r="AE362" s="37"/>
      <c r="AF362" s="37"/>
      <c r="AG362" s="37"/>
      <c r="AH362" s="32"/>
    </row>
    <row r="363" spans="2:34" hidden="1" x14ac:dyDescent="0.25">
      <c r="B363" s="30" t="s">
        <v>1120</v>
      </c>
      <c r="C363" s="31" t="s">
        <v>1152</v>
      </c>
      <c r="D363" s="32"/>
      <c r="E363" s="30">
        <v>120</v>
      </c>
      <c r="F363" s="30" t="s">
        <v>22</v>
      </c>
      <c r="G363" s="32" t="s">
        <v>1122</v>
      </c>
      <c r="H363" s="32" t="s">
        <v>50</v>
      </c>
      <c r="I363" s="32" t="s">
        <v>62</v>
      </c>
      <c r="J363" s="30" t="s">
        <v>18</v>
      </c>
      <c r="K363" s="33">
        <f>IFERROR(AVERAGEIFS('[1]Controle de Produção'!$E:$E,'[1]Controle de Produção'!$N:$N,E363,'[1]Controle de Produção'!$S:$S,J363,'[1]Controle de Produção'!$R:$R,I363),0)</f>
        <v>907.28092268564944</v>
      </c>
      <c r="L363" s="33">
        <f>IFERROR(AVERAGEIFS('[1]Controle de Produção'!$E:$E,'[1]Controle de Produção'!$S:$S,J363,'[1]Controle de Produção'!$R:$R,I363),0)</f>
        <v>843.58780095852239</v>
      </c>
      <c r="M363" s="34">
        <v>48</v>
      </c>
      <c r="N363" s="35"/>
      <c r="O363" s="30" t="s">
        <v>1124</v>
      </c>
      <c r="P363" s="33"/>
      <c r="Q363" s="33"/>
      <c r="R363" s="36" t="b">
        <v>0</v>
      </c>
      <c r="S363" s="36" t="b">
        <v>0</v>
      </c>
      <c r="T363" s="36" t="b">
        <v>0</v>
      </c>
      <c r="U363" s="36" t="b">
        <v>0</v>
      </c>
      <c r="V363" s="36" t="b">
        <v>0</v>
      </c>
      <c r="W363" s="33" t="s">
        <v>954</v>
      </c>
      <c r="X363" s="37"/>
      <c r="Y363" s="48">
        <f t="shared" si="0"/>
        <v>0.55000000000000004</v>
      </c>
      <c r="Z363" s="37"/>
      <c r="AA363" s="37"/>
      <c r="AB363" s="37"/>
      <c r="AC363" s="37"/>
      <c r="AD363" s="37"/>
      <c r="AE363" s="37"/>
      <c r="AF363" s="37"/>
      <c r="AG363" s="37"/>
      <c r="AH363" s="32"/>
    </row>
    <row r="364" spans="2:34" hidden="1" x14ac:dyDescent="0.25">
      <c r="B364" s="30" t="s">
        <v>1121</v>
      </c>
      <c r="C364" s="31" t="s">
        <v>1153</v>
      </c>
      <c r="D364" s="32"/>
      <c r="E364" s="30">
        <v>120</v>
      </c>
      <c r="F364" s="30" t="s">
        <v>22</v>
      </c>
      <c r="G364" s="32" t="s">
        <v>1122</v>
      </c>
      <c r="H364" s="32" t="s">
        <v>50</v>
      </c>
      <c r="I364" s="32" t="s">
        <v>62</v>
      </c>
      <c r="J364" s="30" t="s">
        <v>18</v>
      </c>
      <c r="K364" s="33">
        <f>IFERROR(AVERAGEIFS('[1]Controle de Produção'!$E:$E,'[1]Controle de Produção'!$N:$N,E364,'[1]Controle de Produção'!$S:$S,J364,'[1]Controle de Produção'!$R:$R,I364),0)</f>
        <v>907.28092268564944</v>
      </c>
      <c r="L364" s="33">
        <f>IFERROR(AVERAGEIFS('[1]Controle de Produção'!$E:$E,'[1]Controle de Produção'!$S:$S,J364,'[1]Controle de Produção'!$R:$R,I364),0)</f>
        <v>843.58780095852239</v>
      </c>
      <c r="M364" s="34">
        <v>48</v>
      </c>
      <c r="N364" s="35"/>
      <c r="O364" s="30" t="s">
        <v>1125</v>
      </c>
      <c r="P364" s="33"/>
      <c r="Q364" s="33"/>
      <c r="R364" s="36" t="b">
        <v>0</v>
      </c>
      <c r="S364" s="36" t="b">
        <v>0</v>
      </c>
      <c r="T364" s="36" t="b">
        <v>0</v>
      </c>
      <c r="U364" s="36" t="b">
        <v>0</v>
      </c>
      <c r="V364" s="36" t="b">
        <v>0</v>
      </c>
      <c r="W364" s="33" t="s">
        <v>954</v>
      </c>
      <c r="X364" s="37"/>
      <c r="Y364" s="48">
        <f t="shared" si="0"/>
        <v>0.55000000000000004</v>
      </c>
      <c r="Z364" s="37"/>
      <c r="AA364" s="37"/>
      <c r="AB364" s="37"/>
      <c r="AC364" s="37"/>
      <c r="AD364" s="37"/>
      <c r="AE364" s="37"/>
      <c r="AF364" s="37"/>
      <c r="AG364" s="37"/>
      <c r="AH364" s="32"/>
    </row>
    <row r="365" spans="2:34" x14ac:dyDescent="0.25">
      <c r="B365" s="5"/>
      <c r="C365" s="6"/>
      <c r="D365" s="4"/>
      <c r="E365" s="5"/>
      <c r="F365" s="5"/>
      <c r="G365" s="4"/>
      <c r="H365" s="4"/>
      <c r="I365" s="4"/>
      <c r="J365" s="5"/>
      <c r="K365" s="7"/>
      <c r="L365" s="7"/>
      <c r="M365" s="27"/>
      <c r="N365" s="7"/>
      <c r="O365" s="5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15"/>
    </row>
  </sheetData>
  <sheetProtection sort="0" autoFilter="0"/>
  <autoFilter ref="B2:AH364" xr:uid="{37B81C7B-3D02-4379-9AAE-4186B15F4DEC}">
    <filterColumn colId="5">
      <filters>
        <filter val="ROSA RAINHA"/>
      </filters>
    </filterColumn>
    <sortState xmlns:xlrd2="http://schemas.microsoft.com/office/spreadsheetml/2017/richdata2" ref="B3:AH364">
      <sortCondition ref="B2:B364"/>
    </sortState>
  </autoFilter>
  <phoneticPr fontId="6" type="noConversion"/>
  <conditionalFormatting sqref="B368:L387">
    <cfRule type="expression" dxfId="9" priority="17">
      <formula>$W367="Inativo"</formula>
    </cfRule>
  </conditionalFormatting>
  <conditionalFormatting sqref="B3:AG366 M367:AG387 B388:AG1085">
    <cfRule type="expression" dxfId="8" priority="15">
      <formula>$W3="Inativo"</formula>
    </cfRule>
  </conditionalFormatting>
  <conditionalFormatting sqref="C46:C85">
    <cfRule type="duplicateValues" dxfId="7" priority="5"/>
  </conditionalFormatting>
  <conditionalFormatting sqref="C54:C93">
    <cfRule type="duplicateValues" dxfId="6" priority="6"/>
    <cfRule type="duplicateValues" dxfId="5" priority="7"/>
  </conditionalFormatting>
  <conditionalFormatting sqref="P3:Q364">
    <cfRule type="duplicateValues" dxfId="4" priority="14"/>
  </conditionalFormatting>
  <conditionalFormatting sqref="P3:V364">
    <cfRule type="cellIs" dxfId="3" priority="3" operator="equal">
      <formula>TRUE</formula>
    </cfRule>
    <cfRule type="cellIs" dxfId="2" priority="4" operator="equal">
      <formula>FALSE</formula>
    </cfRule>
  </conditionalFormatting>
  <dataValidations disablePrompts="1" count="1">
    <dataValidation type="list" allowBlank="1" showInputMessage="1" showErrorMessage="1" sqref="X365:AG365 W3:W365" xr:uid="{66D15DF3-E6CC-4B2B-92D3-E601C4087A46}">
      <formula1>"Ativo, Inativo"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DE98-1647-432E-834D-E3273CCC186E}">
  <dimension ref="B2:D23"/>
  <sheetViews>
    <sheetView showGridLines="0" workbookViewId="0">
      <selection activeCell="H7" sqref="H7"/>
    </sheetView>
  </sheetViews>
  <sheetFormatPr defaultRowHeight="15" x14ac:dyDescent="0.25"/>
  <cols>
    <col min="2" max="2" width="7.42578125" bestFit="1" customWidth="1"/>
    <col min="3" max="3" width="23" bestFit="1" customWidth="1"/>
    <col min="4" max="4" width="37" bestFit="1" customWidth="1"/>
    <col min="9" max="9" width="10" bestFit="1" customWidth="1"/>
  </cols>
  <sheetData>
    <row r="2" spans="2:4" x14ac:dyDescent="0.25">
      <c r="B2" s="50" t="s">
        <v>1384</v>
      </c>
      <c r="C2" s="50" t="s">
        <v>1327</v>
      </c>
      <c r="D2" s="50" t="s">
        <v>1328</v>
      </c>
    </row>
    <row r="3" spans="2:4" x14ac:dyDescent="0.25">
      <c r="B3" s="11" t="s">
        <v>1329</v>
      </c>
      <c r="C3" s="51" t="s">
        <v>1330</v>
      </c>
      <c r="D3" s="51" t="s">
        <v>1331</v>
      </c>
    </row>
    <row r="4" spans="2:4" x14ac:dyDescent="0.25">
      <c r="B4" s="11" t="s">
        <v>1332</v>
      </c>
      <c r="C4" s="51" t="s">
        <v>1333</v>
      </c>
      <c r="D4" s="51" t="s">
        <v>1334</v>
      </c>
    </row>
    <row r="5" spans="2:4" x14ac:dyDescent="0.25">
      <c r="B5" s="11" t="s">
        <v>1335</v>
      </c>
      <c r="C5" s="51" t="s">
        <v>1336</v>
      </c>
      <c r="D5" s="51" t="s">
        <v>1337</v>
      </c>
    </row>
    <row r="6" spans="2:4" x14ac:dyDescent="0.25">
      <c r="B6" s="11" t="s">
        <v>1338</v>
      </c>
      <c r="C6" s="51" t="s">
        <v>1339</v>
      </c>
      <c r="D6" s="51" t="s">
        <v>1340</v>
      </c>
    </row>
    <row r="7" spans="2:4" x14ac:dyDescent="0.25">
      <c r="B7" s="11" t="s">
        <v>1341</v>
      </c>
      <c r="C7" s="51" t="s">
        <v>1342</v>
      </c>
      <c r="D7" s="51" t="s">
        <v>1343</v>
      </c>
    </row>
    <row r="8" spans="2:4" x14ac:dyDescent="0.25">
      <c r="B8" s="11" t="s">
        <v>1344</v>
      </c>
      <c r="C8" s="51" t="s">
        <v>1345</v>
      </c>
      <c r="D8" s="51" t="s">
        <v>1346</v>
      </c>
    </row>
    <row r="9" spans="2:4" x14ac:dyDescent="0.25">
      <c r="B9" s="11" t="s">
        <v>24</v>
      </c>
      <c r="C9" s="51" t="s">
        <v>1347</v>
      </c>
      <c r="D9" s="51" t="s">
        <v>1348</v>
      </c>
    </row>
    <row r="10" spans="2:4" x14ac:dyDescent="0.25">
      <c r="B10" s="11" t="s">
        <v>1349</v>
      </c>
      <c r="C10" s="51" t="s">
        <v>1350</v>
      </c>
      <c r="D10" s="51" t="s">
        <v>1351</v>
      </c>
    </row>
    <row r="11" spans="2:4" x14ac:dyDescent="0.25">
      <c r="B11" s="11" t="s">
        <v>1352</v>
      </c>
      <c r="C11" s="51" t="s">
        <v>1353</v>
      </c>
      <c r="D11" s="51" t="s">
        <v>1354</v>
      </c>
    </row>
    <row r="12" spans="2:4" x14ac:dyDescent="0.25">
      <c r="B12" s="11" t="s">
        <v>1355</v>
      </c>
      <c r="C12" s="51" t="s">
        <v>1356</v>
      </c>
      <c r="D12" s="51"/>
    </row>
    <row r="13" spans="2:4" x14ac:dyDescent="0.25">
      <c r="B13" s="11" t="s">
        <v>1357</v>
      </c>
      <c r="C13" s="51" t="s">
        <v>1358</v>
      </c>
      <c r="D13" s="51" t="s">
        <v>1359</v>
      </c>
    </row>
    <row r="14" spans="2:4" x14ac:dyDescent="0.25">
      <c r="B14" s="11" t="s">
        <v>1360</v>
      </c>
      <c r="C14" s="51" t="s">
        <v>1361</v>
      </c>
      <c r="D14" s="51"/>
    </row>
    <row r="15" spans="2:4" x14ac:dyDescent="0.25">
      <c r="B15" s="11" t="s">
        <v>1362</v>
      </c>
      <c r="C15" s="51" t="s">
        <v>1363</v>
      </c>
      <c r="D15" s="51" t="s">
        <v>1364</v>
      </c>
    </row>
    <row r="16" spans="2:4" x14ac:dyDescent="0.25">
      <c r="B16" s="11" t="s">
        <v>1365</v>
      </c>
      <c r="C16" s="51" t="s">
        <v>1366</v>
      </c>
      <c r="D16" s="51"/>
    </row>
    <row r="17" spans="2:4" x14ac:dyDescent="0.25">
      <c r="B17" s="11" t="s">
        <v>1367</v>
      </c>
      <c r="C17" s="51" t="s">
        <v>1368</v>
      </c>
      <c r="D17" s="51"/>
    </row>
    <row r="18" spans="2:4" x14ac:dyDescent="0.25">
      <c r="B18" s="11" t="s">
        <v>1369</v>
      </c>
      <c r="C18" s="51" t="s">
        <v>1370</v>
      </c>
      <c r="D18" s="51"/>
    </row>
    <row r="19" spans="2:4" x14ac:dyDescent="0.25">
      <c r="B19" s="11" t="s">
        <v>1371</v>
      </c>
      <c r="C19" s="51" t="s">
        <v>1372</v>
      </c>
      <c r="D19" s="51"/>
    </row>
    <row r="20" spans="2:4" x14ac:dyDescent="0.25">
      <c r="B20" s="11" t="s">
        <v>1373</v>
      </c>
      <c r="C20" s="51" t="s">
        <v>1374</v>
      </c>
      <c r="D20" s="51" t="s">
        <v>1375</v>
      </c>
    </row>
    <row r="21" spans="2:4" x14ac:dyDescent="0.25">
      <c r="B21" s="11" t="s">
        <v>1376</v>
      </c>
      <c r="C21" s="51" t="s">
        <v>1377</v>
      </c>
      <c r="D21" s="51" t="s">
        <v>1378</v>
      </c>
    </row>
    <row r="22" spans="2:4" x14ac:dyDescent="0.25">
      <c r="B22" s="11" t="s">
        <v>1379</v>
      </c>
      <c r="C22" s="51" t="s">
        <v>1380</v>
      </c>
      <c r="D22" s="51"/>
    </row>
    <row r="23" spans="2:4" x14ac:dyDescent="0.25">
      <c r="B23" s="11" t="s">
        <v>1381</v>
      </c>
      <c r="C23" s="51" t="s">
        <v>1382</v>
      </c>
      <c r="D23" s="51" t="s">
        <v>1383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6ACCF-7100-4CE2-9F1E-96B40F031508}">
  <sheetPr codeName="Sheet2">
    <tabColor theme="3" tint="0.749992370372631"/>
  </sheetPr>
  <dimension ref="B1:M144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" sqref="B4"/>
    </sheetView>
  </sheetViews>
  <sheetFormatPr defaultColWidth="9.140625" defaultRowHeight="15" x14ac:dyDescent="0.25"/>
  <cols>
    <col min="1" max="1" width="2" style="1" customWidth="1"/>
    <col min="2" max="2" width="16.42578125" style="1" bestFit="1" customWidth="1"/>
    <col min="3" max="3" width="46.7109375" style="1" bestFit="1" customWidth="1"/>
    <col min="4" max="4" width="39.140625" style="1" bestFit="1" customWidth="1"/>
    <col min="5" max="5" width="9.5703125" style="1" bestFit="1" customWidth="1"/>
    <col min="6" max="6" width="12.28515625" style="1" hidden="1" customWidth="1"/>
    <col min="7" max="7" width="24.85546875" style="1" bestFit="1" customWidth="1"/>
    <col min="8" max="8" width="28" style="1" customWidth="1"/>
    <col min="9" max="9" width="19.28515625" style="1" bestFit="1" customWidth="1"/>
    <col min="10" max="11" width="2" style="1" customWidth="1"/>
    <col min="12" max="12" width="26" style="1" hidden="1" customWidth="1"/>
    <col min="13" max="13" width="13.28515625" style="1" hidden="1" customWidth="1"/>
    <col min="14" max="14" width="11.85546875" style="1" bestFit="1" customWidth="1"/>
    <col min="15" max="15" width="16.5703125" style="1" bestFit="1" customWidth="1"/>
    <col min="16" max="16384" width="9.140625" style="1"/>
  </cols>
  <sheetData>
    <row r="1" spans="2:13" ht="7.5" customHeight="1" x14ac:dyDescent="0.25"/>
    <row r="2" spans="2:13" x14ac:dyDescent="0.25">
      <c r="B2" s="19" t="s">
        <v>0</v>
      </c>
      <c r="C2" s="19" t="s">
        <v>1</v>
      </c>
      <c r="D2" s="19" t="s">
        <v>284</v>
      </c>
      <c r="E2" s="19" t="s">
        <v>287</v>
      </c>
      <c r="F2" s="19" t="s">
        <v>300</v>
      </c>
      <c r="G2" s="19" t="s">
        <v>294</v>
      </c>
      <c r="H2" s="19" t="s">
        <v>299</v>
      </c>
      <c r="I2" s="19" t="s">
        <v>301</v>
      </c>
      <c r="L2" s="8" t="s">
        <v>295</v>
      </c>
      <c r="M2" s="8" t="s">
        <v>298</v>
      </c>
    </row>
    <row r="3" spans="2:13" x14ac:dyDescent="0.25">
      <c r="B3" s="2" t="s">
        <v>440</v>
      </c>
      <c r="C3" s="9" t="s">
        <v>289</v>
      </c>
      <c r="D3" s="9" t="s">
        <v>290</v>
      </c>
      <c r="E3" s="9" t="s">
        <v>292</v>
      </c>
      <c r="F3" s="9"/>
      <c r="G3" s="9" t="s">
        <v>293</v>
      </c>
      <c r="H3" s="9"/>
      <c r="I3" s="9"/>
      <c r="L3" s="2" t="s">
        <v>296</v>
      </c>
      <c r="M3" s="2" t="s">
        <v>385</v>
      </c>
    </row>
    <row r="4" spans="2:13" x14ac:dyDescent="0.25">
      <c r="B4" s="2" t="s">
        <v>864</v>
      </c>
      <c r="C4" s="9" t="s">
        <v>282</v>
      </c>
      <c r="D4" s="9" t="s">
        <v>285</v>
      </c>
      <c r="E4" s="2" t="s">
        <v>291</v>
      </c>
      <c r="F4" s="9"/>
      <c r="G4" s="9" t="s">
        <v>378</v>
      </c>
      <c r="H4" s="9" t="s">
        <v>388</v>
      </c>
      <c r="I4" s="9"/>
      <c r="L4" s="2" t="s">
        <v>378</v>
      </c>
      <c r="M4" s="2" t="s">
        <v>243</v>
      </c>
    </row>
    <row r="5" spans="2:13" x14ac:dyDescent="0.25">
      <c r="B5" s="2" t="s">
        <v>865</v>
      </c>
      <c r="C5" s="2" t="s">
        <v>304</v>
      </c>
      <c r="D5" s="2" t="s">
        <v>243</v>
      </c>
      <c r="E5" s="9" t="s">
        <v>291</v>
      </c>
      <c r="F5" s="2"/>
      <c r="G5" s="2" t="s">
        <v>378</v>
      </c>
      <c r="H5" s="2" t="s">
        <v>243</v>
      </c>
      <c r="I5" s="2"/>
      <c r="L5" s="2" t="s">
        <v>293</v>
      </c>
      <c r="M5" s="2" t="s">
        <v>386</v>
      </c>
    </row>
    <row r="6" spans="2:13" x14ac:dyDescent="0.25">
      <c r="B6" s="2" t="s">
        <v>866</v>
      </c>
      <c r="C6" s="2" t="s">
        <v>305</v>
      </c>
      <c r="D6" s="2" t="s">
        <v>243</v>
      </c>
      <c r="E6" s="9" t="s">
        <v>291</v>
      </c>
      <c r="F6" s="2"/>
      <c r="G6" s="2" t="s">
        <v>378</v>
      </c>
      <c r="H6" s="2" t="s">
        <v>243</v>
      </c>
      <c r="I6" s="2"/>
      <c r="L6" s="2" t="s">
        <v>379</v>
      </c>
      <c r="M6" s="2" t="s">
        <v>387</v>
      </c>
    </row>
    <row r="7" spans="2:13" x14ac:dyDescent="0.25">
      <c r="B7" s="2" t="s">
        <v>867</v>
      </c>
      <c r="C7" s="2" t="s">
        <v>307</v>
      </c>
      <c r="D7" s="2" t="s">
        <v>457</v>
      </c>
      <c r="E7" s="9" t="s">
        <v>291</v>
      </c>
      <c r="F7" s="2"/>
      <c r="G7" s="2" t="s">
        <v>378</v>
      </c>
      <c r="H7" s="2" t="s">
        <v>243</v>
      </c>
      <c r="I7" s="2"/>
      <c r="L7" s="10" t="s">
        <v>380</v>
      </c>
      <c r="M7" s="2" t="s">
        <v>388</v>
      </c>
    </row>
    <row r="8" spans="2:13" x14ac:dyDescent="0.25">
      <c r="B8" s="2" t="s">
        <v>868</v>
      </c>
      <c r="C8" s="2" t="s">
        <v>306</v>
      </c>
      <c r="D8" s="2" t="s">
        <v>456</v>
      </c>
      <c r="E8" s="9" t="s">
        <v>291</v>
      </c>
      <c r="F8" s="2"/>
      <c r="G8" s="2" t="s">
        <v>378</v>
      </c>
      <c r="H8" s="2" t="s">
        <v>243</v>
      </c>
      <c r="I8" s="2"/>
      <c r="L8" s="2" t="s">
        <v>381</v>
      </c>
    </row>
    <row r="9" spans="2:13" x14ac:dyDescent="0.25">
      <c r="B9" s="2" t="s">
        <v>869</v>
      </c>
      <c r="C9" s="9" t="s">
        <v>288</v>
      </c>
      <c r="D9" s="9" t="s">
        <v>458</v>
      </c>
      <c r="E9" s="9" t="s">
        <v>291</v>
      </c>
      <c r="F9" s="9"/>
      <c r="G9" s="9" t="s">
        <v>378</v>
      </c>
      <c r="H9" s="9"/>
      <c r="I9" s="9"/>
      <c r="L9" s="2" t="s">
        <v>382</v>
      </c>
    </row>
    <row r="10" spans="2:13" x14ac:dyDescent="0.25">
      <c r="B10" s="2" t="s">
        <v>459</v>
      </c>
      <c r="C10" s="2" t="s">
        <v>494</v>
      </c>
      <c r="D10" s="2" t="s">
        <v>458</v>
      </c>
      <c r="E10" s="2" t="s">
        <v>291</v>
      </c>
      <c r="F10" s="2"/>
      <c r="G10" s="2" t="s">
        <v>378</v>
      </c>
      <c r="H10" s="2" t="s">
        <v>385</v>
      </c>
      <c r="I10" s="2"/>
      <c r="L10" s="2" t="s">
        <v>383</v>
      </c>
    </row>
    <row r="11" spans="2:13" x14ac:dyDescent="0.25">
      <c r="B11" s="2" t="s">
        <v>442</v>
      </c>
      <c r="C11" s="2" t="s">
        <v>302</v>
      </c>
      <c r="D11" s="2"/>
      <c r="E11" s="9" t="s">
        <v>291</v>
      </c>
      <c r="F11" s="2"/>
      <c r="G11" s="2" t="s">
        <v>378</v>
      </c>
      <c r="H11" s="2" t="s">
        <v>386</v>
      </c>
      <c r="I11" s="2"/>
      <c r="L11" s="2" t="s">
        <v>384</v>
      </c>
    </row>
    <row r="12" spans="2:13" x14ac:dyDescent="0.25">
      <c r="B12" s="2" t="s">
        <v>565</v>
      </c>
      <c r="C12" s="9" t="s">
        <v>568</v>
      </c>
      <c r="D12" s="9" t="s">
        <v>569</v>
      </c>
      <c r="E12" s="9" t="s">
        <v>291</v>
      </c>
      <c r="F12" s="2"/>
      <c r="G12" s="2" t="s">
        <v>378</v>
      </c>
      <c r="H12" s="2" t="s">
        <v>386</v>
      </c>
      <c r="I12" s="2"/>
      <c r="L12" s="2" t="s">
        <v>297</v>
      </c>
    </row>
    <row r="13" spans="2:13" x14ac:dyDescent="0.25">
      <c r="B13" s="2" t="s">
        <v>566</v>
      </c>
      <c r="C13" s="9" t="s">
        <v>570</v>
      </c>
      <c r="D13" s="9" t="s">
        <v>571</v>
      </c>
      <c r="E13" s="9" t="s">
        <v>291</v>
      </c>
      <c r="F13" s="2"/>
      <c r="G13" s="2" t="s">
        <v>378</v>
      </c>
      <c r="H13" s="2" t="s">
        <v>386</v>
      </c>
      <c r="I13" s="2"/>
    </row>
    <row r="14" spans="2:13" x14ac:dyDescent="0.25">
      <c r="B14" s="2" t="s">
        <v>567</v>
      </c>
      <c r="C14" s="9" t="s">
        <v>572</v>
      </c>
      <c r="D14" s="9" t="s">
        <v>573</v>
      </c>
      <c r="E14" s="9" t="s">
        <v>291</v>
      </c>
      <c r="F14" s="2"/>
      <c r="G14" s="2" t="s">
        <v>378</v>
      </c>
      <c r="H14" s="2" t="s">
        <v>386</v>
      </c>
      <c r="I14" s="2"/>
    </row>
    <row r="15" spans="2:13" x14ac:dyDescent="0.25">
      <c r="B15" s="2" t="s">
        <v>455</v>
      </c>
      <c r="C15" s="2" t="s">
        <v>338</v>
      </c>
      <c r="D15" s="2"/>
      <c r="E15" s="9" t="s">
        <v>291</v>
      </c>
      <c r="F15" s="2"/>
      <c r="G15" s="2" t="s">
        <v>378</v>
      </c>
      <c r="H15" s="2" t="s">
        <v>387</v>
      </c>
      <c r="I15" s="2"/>
    </row>
    <row r="16" spans="2:13" x14ac:dyDescent="0.25">
      <c r="B16" s="2" t="s">
        <v>525</v>
      </c>
      <c r="C16" s="9" t="s">
        <v>574</v>
      </c>
      <c r="D16" s="9" t="s">
        <v>575</v>
      </c>
      <c r="E16" s="2" t="s">
        <v>291</v>
      </c>
      <c r="F16" s="2"/>
      <c r="G16" s="2" t="s">
        <v>378</v>
      </c>
      <c r="H16" s="9" t="s">
        <v>387</v>
      </c>
      <c r="I16" s="9"/>
    </row>
    <row r="17" spans="2:9" x14ac:dyDescent="0.25">
      <c r="B17" s="2" t="s">
        <v>526</v>
      </c>
      <c r="C17" s="9" t="s">
        <v>576</v>
      </c>
      <c r="D17" s="9" t="s">
        <v>577</v>
      </c>
      <c r="E17" s="2" t="s">
        <v>291</v>
      </c>
      <c r="F17" s="2"/>
      <c r="G17" s="2" t="s">
        <v>378</v>
      </c>
      <c r="H17" s="9" t="s">
        <v>387</v>
      </c>
      <c r="I17" s="9"/>
    </row>
    <row r="18" spans="2:9" x14ac:dyDescent="0.25">
      <c r="B18" s="2" t="s">
        <v>527</v>
      </c>
      <c r="C18" s="9" t="s">
        <v>578</v>
      </c>
      <c r="D18" s="9" t="s">
        <v>579</v>
      </c>
      <c r="E18" s="2" t="s">
        <v>291</v>
      </c>
      <c r="F18" s="9"/>
      <c r="G18" s="2" t="s">
        <v>378</v>
      </c>
      <c r="H18" s="9" t="s">
        <v>387</v>
      </c>
      <c r="I18" s="9"/>
    </row>
    <row r="19" spans="2:9" x14ac:dyDescent="0.25">
      <c r="B19" s="2" t="s">
        <v>528</v>
      </c>
      <c r="C19" s="9" t="s">
        <v>580</v>
      </c>
      <c r="D19" s="9" t="s">
        <v>581</v>
      </c>
      <c r="E19" s="2" t="s">
        <v>291</v>
      </c>
      <c r="F19" s="9"/>
      <c r="G19" s="2" t="s">
        <v>378</v>
      </c>
      <c r="H19" s="9" t="s">
        <v>387</v>
      </c>
      <c r="I19" s="9"/>
    </row>
    <row r="20" spans="2:9" x14ac:dyDescent="0.25">
      <c r="B20" s="2" t="s">
        <v>529</v>
      </c>
      <c r="C20" s="9" t="s">
        <v>582</v>
      </c>
      <c r="D20" s="9" t="s">
        <v>583</v>
      </c>
      <c r="E20" s="2" t="s">
        <v>291</v>
      </c>
      <c r="F20" s="9"/>
      <c r="G20" s="2" t="s">
        <v>378</v>
      </c>
      <c r="H20" s="9" t="s">
        <v>387</v>
      </c>
      <c r="I20" s="9"/>
    </row>
    <row r="21" spans="2:9" x14ac:dyDescent="0.25">
      <c r="B21" s="2" t="s">
        <v>530</v>
      </c>
      <c r="C21" s="9" t="s">
        <v>584</v>
      </c>
      <c r="D21" s="9" t="s">
        <v>585</v>
      </c>
      <c r="E21" s="2" t="s">
        <v>291</v>
      </c>
      <c r="F21" s="2"/>
      <c r="G21" s="2" t="s">
        <v>378</v>
      </c>
      <c r="H21" s="9" t="s">
        <v>387</v>
      </c>
      <c r="I21" s="2"/>
    </row>
    <row r="22" spans="2:9" x14ac:dyDescent="0.25">
      <c r="B22" s="2" t="s">
        <v>531</v>
      </c>
      <c r="C22" s="9" t="s">
        <v>586</v>
      </c>
      <c r="D22" s="9" t="s">
        <v>587</v>
      </c>
      <c r="E22" s="2" t="s">
        <v>291</v>
      </c>
      <c r="F22" s="2"/>
      <c r="G22" s="2" t="s">
        <v>378</v>
      </c>
      <c r="H22" s="9" t="s">
        <v>387</v>
      </c>
      <c r="I22" s="2"/>
    </row>
    <row r="23" spans="2:9" x14ac:dyDescent="0.25">
      <c r="B23" s="2" t="s">
        <v>532</v>
      </c>
      <c r="C23" s="9" t="s">
        <v>588</v>
      </c>
      <c r="D23" s="9" t="s">
        <v>589</v>
      </c>
      <c r="E23" s="2" t="s">
        <v>291</v>
      </c>
      <c r="F23" s="2"/>
      <c r="G23" s="2" t="s">
        <v>378</v>
      </c>
      <c r="H23" s="9" t="s">
        <v>387</v>
      </c>
      <c r="I23" s="2"/>
    </row>
    <row r="24" spans="2:9" x14ac:dyDescent="0.25">
      <c r="B24" s="2" t="s">
        <v>533</v>
      </c>
      <c r="C24" s="9" t="s">
        <v>590</v>
      </c>
      <c r="D24" s="9" t="s">
        <v>591</v>
      </c>
      <c r="E24" s="2" t="s">
        <v>291</v>
      </c>
      <c r="F24" s="2"/>
      <c r="G24" s="2" t="s">
        <v>378</v>
      </c>
      <c r="H24" s="9" t="s">
        <v>387</v>
      </c>
      <c r="I24" s="2"/>
    </row>
    <row r="25" spans="2:9" x14ac:dyDescent="0.25">
      <c r="B25" s="2" t="s">
        <v>534</v>
      </c>
      <c r="C25" s="9" t="s">
        <v>592</v>
      </c>
      <c r="D25" s="9" t="s">
        <v>593</v>
      </c>
      <c r="E25" s="2" t="s">
        <v>291</v>
      </c>
      <c r="F25" s="2"/>
      <c r="G25" s="2" t="s">
        <v>378</v>
      </c>
      <c r="H25" s="9" t="s">
        <v>387</v>
      </c>
      <c r="I25" s="2"/>
    </row>
    <row r="26" spans="2:9" x14ac:dyDescent="0.25">
      <c r="B26" s="2" t="s">
        <v>535</v>
      </c>
      <c r="C26" s="9" t="s">
        <v>594</v>
      </c>
      <c r="D26" s="9" t="s">
        <v>595</v>
      </c>
      <c r="E26" s="2" t="s">
        <v>291</v>
      </c>
      <c r="F26" s="2"/>
      <c r="G26" s="2" t="s">
        <v>378</v>
      </c>
      <c r="H26" s="9" t="s">
        <v>387</v>
      </c>
      <c r="I26" s="2"/>
    </row>
    <row r="27" spans="2:9" x14ac:dyDescent="0.25">
      <c r="B27" s="2" t="s">
        <v>536</v>
      </c>
      <c r="C27" s="9" t="s">
        <v>596</v>
      </c>
      <c r="D27" s="9" t="s">
        <v>597</v>
      </c>
      <c r="E27" s="2" t="s">
        <v>291</v>
      </c>
      <c r="F27" s="2"/>
      <c r="G27" s="2" t="s">
        <v>378</v>
      </c>
      <c r="H27" s="9" t="s">
        <v>387</v>
      </c>
      <c r="I27" s="2"/>
    </row>
    <row r="28" spans="2:9" x14ac:dyDescent="0.25">
      <c r="B28" s="2" t="s">
        <v>537</v>
      </c>
      <c r="C28" s="9" t="s">
        <v>598</v>
      </c>
      <c r="D28" s="9" t="s">
        <v>599</v>
      </c>
      <c r="E28" s="2" t="s">
        <v>291</v>
      </c>
      <c r="F28" s="2"/>
      <c r="G28" s="2" t="s">
        <v>378</v>
      </c>
      <c r="H28" s="9" t="s">
        <v>387</v>
      </c>
      <c r="I28" s="2"/>
    </row>
    <row r="29" spans="2:9" x14ac:dyDescent="0.25">
      <c r="B29" s="2" t="s">
        <v>538</v>
      </c>
      <c r="C29" s="9" t="s">
        <v>600</v>
      </c>
      <c r="D29" s="9" t="s">
        <v>601</v>
      </c>
      <c r="E29" s="2" t="s">
        <v>291</v>
      </c>
      <c r="F29" s="2"/>
      <c r="G29" s="2" t="s">
        <v>378</v>
      </c>
      <c r="H29" s="9" t="s">
        <v>387</v>
      </c>
      <c r="I29" s="2"/>
    </row>
    <row r="30" spans="2:9" x14ac:dyDescent="0.25">
      <c r="B30" s="2" t="s">
        <v>539</v>
      </c>
      <c r="C30" s="9" t="s">
        <v>602</v>
      </c>
      <c r="D30" s="9" t="s">
        <v>603</v>
      </c>
      <c r="E30" s="2" t="s">
        <v>291</v>
      </c>
      <c r="F30" s="2"/>
      <c r="G30" s="2" t="s">
        <v>378</v>
      </c>
      <c r="H30" s="9" t="s">
        <v>387</v>
      </c>
      <c r="I30" s="2"/>
    </row>
    <row r="31" spans="2:9" x14ac:dyDescent="0.25">
      <c r="B31" s="2" t="s">
        <v>540</v>
      </c>
      <c r="C31" s="9" t="s">
        <v>604</v>
      </c>
      <c r="D31" s="9" t="s">
        <v>605</v>
      </c>
      <c r="E31" s="2" t="s">
        <v>291</v>
      </c>
      <c r="F31" s="2"/>
      <c r="G31" s="2" t="s">
        <v>378</v>
      </c>
      <c r="H31" s="9" t="s">
        <v>387</v>
      </c>
      <c r="I31" s="2"/>
    </row>
    <row r="32" spans="2:9" x14ac:dyDescent="0.25">
      <c r="B32" s="2" t="s">
        <v>541</v>
      </c>
      <c r="C32" s="9" t="s">
        <v>606</v>
      </c>
      <c r="D32" s="9" t="s">
        <v>607</v>
      </c>
      <c r="E32" s="2" t="s">
        <v>291</v>
      </c>
      <c r="F32" s="2"/>
      <c r="G32" s="2" t="s">
        <v>378</v>
      </c>
      <c r="H32" s="9" t="s">
        <v>387</v>
      </c>
      <c r="I32" s="2"/>
    </row>
    <row r="33" spans="2:9" x14ac:dyDescent="0.25">
      <c r="B33" s="2" t="s">
        <v>542</v>
      </c>
      <c r="C33" s="9" t="s">
        <v>608</v>
      </c>
      <c r="D33" s="9" t="s">
        <v>609</v>
      </c>
      <c r="E33" s="2" t="s">
        <v>291</v>
      </c>
      <c r="F33" s="2"/>
      <c r="G33" s="2" t="s">
        <v>378</v>
      </c>
      <c r="H33" s="9" t="s">
        <v>387</v>
      </c>
      <c r="I33" s="2"/>
    </row>
    <row r="34" spans="2:9" x14ac:dyDescent="0.25">
      <c r="B34" s="2" t="s">
        <v>543</v>
      </c>
      <c r="C34" s="9" t="s">
        <v>610</v>
      </c>
      <c r="D34" s="9" t="s">
        <v>609</v>
      </c>
      <c r="E34" s="2" t="s">
        <v>291</v>
      </c>
      <c r="F34" s="2"/>
      <c r="G34" s="2" t="s">
        <v>378</v>
      </c>
      <c r="H34" s="9" t="s">
        <v>387</v>
      </c>
      <c r="I34" s="2"/>
    </row>
    <row r="35" spans="2:9" x14ac:dyDescent="0.25">
      <c r="B35" s="2" t="s">
        <v>544</v>
      </c>
      <c r="C35" s="9" t="s">
        <v>611</v>
      </c>
      <c r="D35" s="9" t="s">
        <v>612</v>
      </c>
      <c r="E35" s="2" t="s">
        <v>291</v>
      </c>
      <c r="F35" s="2"/>
      <c r="G35" s="2" t="s">
        <v>378</v>
      </c>
      <c r="H35" s="9" t="s">
        <v>387</v>
      </c>
      <c r="I35" s="2"/>
    </row>
    <row r="36" spans="2:9" x14ac:dyDescent="0.25">
      <c r="B36" s="2" t="s">
        <v>545</v>
      </c>
      <c r="C36" s="9" t="s">
        <v>613</v>
      </c>
      <c r="D36" s="9" t="s">
        <v>614</v>
      </c>
      <c r="E36" s="2" t="s">
        <v>291</v>
      </c>
      <c r="F36" s="2"/>
      <c r="G36" s="2" t="s">
        <v>378</v>
      </c>
      <c r="H36" s="9" t="s">
        <v>387</v>
      </c>
      <c r="I36" s="2"/>
    </row>
    <row r="37" spans="2:9" x14ac:dyDescent="0.25">
      <c r="B37" s="2" t="s">
        <v>546</v>
      </c>
      <c r="C37" s="9" t="s">
        <v>615</v>
      </c>
      <c r="D37" s="9" t="s">
        <v>616</v>
      </c>
      <c r="E37" s="2" t="s">
        <v>291</v>
      </c>
      <c r="F37" s="2"/>
      <c r="G37" s="2" t="s">
        <v>378</v>
      </c>
      <c r="H37" s="9" t="s">
        <v>387</v>
      </c>
      <c r="I37" s="2"/>
    </row>
    <row r="38" spans="2:9" x14ac:dyDescent="0.25">
      <c r="B38" s="2" t="s">
        <v>547</v>
      </c>
      <c r="C38" s="9" t="s">
        <v>617</v>
      </c>
      <c r="D38" s="9" t="s">
        <v>618</v>
      </c>
      <c r="E38" s="2" t="s">
        <v>291</v>
      </c>
      <c r="F38" s="2"/>
      <c r="G38" s="2" t="s">
        <v>378</v>
      </c>
      <c r="H38" s="9" t="s">
        <v>387</v>
      </c>
      <c r="I38" s="2"/>
    </row>
    <row r="39" spans="2:9" x14ac:dyDescent="0.25">
      <c r="B39" s="2" t="s">
        <v>548</v>
      </c>
      <c r="C39" s="9" t="s">
        <v>619</v>
      </c>
      <c r="D39" s="9" t="s">
        <v>620</v>
      </c>
      <c r="E39" s="2" t="s">
        <v>291</v>
      </c>
      <c r="F39" s="2"/>
      <c r="G39" s="2" t="s">
        <v>378</v>
      </c>
      <c r="H39" s="9" t="s">
        <v>387</v>
      </c>
      <c r="I39" s="2"/>
    </row>
    <row r="40" spans="2:9" x14ac:dyDescent="0.25">
      <c r="B40" s="2" t="s">
        <v>549</v>
      </c>
      <c r="C40" s="9" t="s">
        <v>586</v>
      </c>
      <c r="D40" s="9" t="s">
        <v>621</v>
      </c>
      <c r="E40" s="2" t="s">
        <v>291</v>
      </c>
      <c r="F40" s="2"/>
      <c r="G40" s="2" t="s">
        <v>378</v>
      </c>
      <c r="H40" s="9" t="s">
        <v>387</v>
      </c>
      <c r="I40" s="2"/>
    </row>
    <row r="41" spans="2:9" x14ac:dyDescent="0.25">
      <c r="B41" s="2" t="s">
        <v>550</v>
      </c>
      <c r="C41" s="9" t="s">
        <v>582</v>
      </c>
      <c r="D41" s="9" t="s">
        <v>622</v>
      </c>
      <c r="E41" s="2" t="s">
        <v>291</v>
      </c>
      <c r="F41" s="2"/>
      <c r="G41" s="2" t="s">
        <v>378</v>
      </c>
      <c r="H41" s="9" t="s">
        <v>387</v>
      </c>
      <c r="I41" s="2"/>
    </row>
    <row r="42" spans="2:9" x14ac:dyDescent="0.25">
      <c r="B42" s="2" t="s">
        <v>551</v>
      </c>
      <c r="C42" s="9" t="s">
        <v>576</v>
      </c>
      <c r="D42" s="9" t="s">
        <v>623</v>
      </c>
      <c r="E42" s="2" t="s">
        <v>291</v>
      </c>
      <c r="F42" s="2"/>
      <c r="G42" s="2" t="s">
        <v>378</v>
      </c>
      <c r="H42" s="9" t="s">
        <v>387</v>
      </c>
      <c r="I42" s="2"/>
    </row>
    <row r="43" spans="2:9" x14ac:dyDescent="0.25">
      <c r="B43" s="2" t="s">
        <v>552</v>
      </c>
      <c r="C43" s="9" t="s">
        <v>624</v>
      </c>
      <c r="D43" s="9" t="s">
        <v>625</v>
      </c>
      <c r="E43" s="2" t="s">
        <v>291</v>
      </c>
      <c r="F43" s="2"/>
      <c r="G43" s="2" t="s">
        <v>378</v>
      </c>
      <c r="H43" s="9" t="s">
        <v>387</v>
      </c>
      <c r="I43" s="2"/>
    </row>
    <row r="44" spans="2:9" x14ac:dyDescent="0.25">
      <c r="B44" s="2" t="s">
        <v>553</v>
      </c>
      <c r="C44" s="9" t="s">
        <v>626</v>
      </c>
      <c r="D44" s="9" t="s">
        <v>627</v>
      </c>
      <c r="E44" s="2" t="s">
        <v>291</v>
      </c>
      <c r="F44" s="2"/>
      <c r="G44" s="2" t="s">
        <v>378</v>
      </c>
      <c r="H44" s="9" t="s">
        <v>387</v>
      </c>
      <c r="I44" s="2"/>
    </row>
    <row r="45" spans="2:9" x14ac:dyDescent="0.25">
      <c r="B45" s="2" t="s">
        <v>554</v>
      </c>
      <c r="C45" s="9" t="s">
        <v>628</v>
      </c>
      <c r="D45" s="9" t="s">
        <v>629</v>
      </c>
      <c r="E45" s="2" t="s">
        <v>291</v>
      </c>
      <c r="F45" s="2"/>
      <c r="G45" s="2" t="s">
        <v>378</v>
      </c>
      <c r="H45" s="9" t="s">
        <v>387</v>
      </c>
      <c r="I45" s="2"/>
    </row>
    <row r="46" spans="2:9" x14ac:dyDescent="0.25">
      <c r="B46" s="2" t="s">
        <v>555</v>
      </c>
      <c r="C46" s="9" t="s">
        <v>630</v>
      </c>
      <c r="D46" s="9" t="s">
        <v>631</v>
      </c>
      <c r="E46" s="2" t="s">
        <v>291</v>
      </c>
      <c r="F46" s="2"/>
      <c r="G46" s="2" t="s">
        <v>378</v>
      </c>
      <c r="H46" s="9" t="s">
        <v>387</v>
      </c>
      <c r="I46" s="2"/>
    </row>
    <row r="47" spans="2:9" x14ac:dyDescent="0.25">
      <c r="B47" s="2" t="s">
        <v>556</v>
      </c>
      <c r="C47" s="9" t="s">
        <v>632</v>
      </c>
      <c r="D47" s="9" t="s">
        <v>633</v>
      </c>
      <c r="E47" s="2" t="s">
        <v>291</v>
      </c>
      <c r="F47" s="2"/>
      <c r="G47" s="2" t="s">
        <v>378</v>
      </c>
      <c r="H47" s="9" t="s">
        <v>387</v>
      </c>
      <c r="I47" s="2"/>
    </row>
    <row r="48" spans="2:9" x14ac:dyDescent="0.25">
      <c r="B48" s="2" t="s">
        <v>557</v>
      </c>
      <c r="C48" s="9" t="s">
        <v>634</v>
      </c>
      <c r="D48" s="9" t="s">
        <v>635</v>
      </c>
      <c r="E48" s="2" t="s">
        <v>291</v>
      </c>
      <c r="F48" s="2"/>
      <c r="G48" s="2" t="s">
        <v>378</v>
      </c>
      <c r="H48" s="9" t="s">
        <v>387</v>
      </c>
      <c r="I48" s="2"/>
    </row>
    <row r="49" spans="2:9" x14ac:dyDescent="0.25">
      <c r="B49" s="2" t="s">
        <v>558</v>
      </c>
      <c r="C49" s="9" t="s">
        <v>636</v>
      </c>
      <c r="D49" s="9" t="s">
        <v>637</v>
      </c>
      <c r="E49" s="2" t="s">
        <v>291</v>
      </c>
      <c r="F49" s="2"/>
      <c r="G49" s="2" t="s">
        <v>378</v>
      </c>
      <c r="H49" s="9" t="s">
        <v>387</v>
      </c>
      <c r="I49" s="2"/>
    </row>
    <row r="50" spans="2:9" x14ac:dyDescent="0.25">
      <c r="B50" s="2" t="s">
        <v>448</v>
      </c>
      <c r="C50" s="9" t="s">
        <v>283</v>
      </c>
      <c r="D50" s="9" t="s">
        <v>286</v>
      </c>
      <c r="E50" s="2" t="s">
        <v>291</v>
      </c>
      <c r="F50" s="9"/>
      <c r="G50" s="9" t="s">
        <v>378</v>
      </c>
      <c r="H50" s="2" t="s">
        <v>385</v>
      </c>
      <c r="I50" s="9"/>
    </row>
    <row r="51" spans="2:9" x14ac:dyDescent="0.25">
      <c r="B51" s="2" t="s">
        <v>441</v>
      </c>
      <c r="C51" s="2" t="s">
        <v>437</v>
      </c>
      <c r="D51" s="2" t="s">
        <v>438</v>
      </c>
      <c r="E51" s="2" t="s">
        <v>291</v>
      </c>
      <c r="F51" s="2"/>
      <c r="G51" s="2" t="s">
        <v>378</v>
      </c>
      <c r="H51" s="2" t="s">
        <v>385</v>
      </c>
      <c r="I51" s="2"/>
    </row>
    <row r="52" spans="2:9" x14ac:dyDescent="0.25">
      <c r="B52" s="2" t="s">
        <v>447</v>
      </c>
      <c r="C52" s="2" t="s">
        <v>372</v>
      </c>
      <c r="D52" s="2" t="s">
        <v>443</v>
      </c>
      <c r="E52" s="2" t="s">
        <v>291</v>
      </c>
      <c r="F52" s="2"/>
      <c r="G52" s="2" t="s">
        <v>378</v>
      </c>
      <c r="H52" s="2" t="s">
        <v>385</v>
      </c>
      <c r="I52" s="2"/>
    </row>
    <row r="53" spans="2:9" x14ac:dyDescent="0.25">
      <c r="B53" s="2" t="s">
        <v>446</v>
      </c>
      <c r="C53" s="2" t="s">
        <v>377</v>
      </c>
      <c r="D53" s="2" t="s">
        <v>444</v>
      </c>
      <c r="E53" s="2" t="s">
        <v>291</v>
      </c>
      <c r="F53" s="2"/>
      <c r="G53" s="2" t="s">
        <v>378</v>
      </c>
      <c r="H53" s="2" t="s">
        <v>385</v>
      </c>
      <c r="I53" s="2"/>
    </row>
    <row r="54" spans="2:9" x14ac:dyDescent="0.25">
      <c r="B54" s="2" t="s">
        <v>445</v>
      </c>
      <c r="C54" s="2" t="s">
        <v>363</v>
      </c>
      <c r="D54" s="2" t="s">
        <v>454</v>
      </c>
      <c r="E54" s="9" t="s">
        <v>291</v>
      </c>
      <c r="F54" s="2"/>
      <c r="G54" s="2" t="s">
        <v>378</v>
      </c>
      <c r="H54" s="2" t="s">
        <v>385</v>
      </c>
      <c r="I54" s="2"/>
    </row>
    <row r="55" spans="2:9" x14ac:dyDescent="0.25">
      <c r="B55" s="2" t="s">
        <v>449</v>
      </c>
      <c r="C55" s="2" t="s">
        <v>367</v>
      </c>
      <c r="D55" s="2" t="s">
        <v>454</v>
      </c>
      <c r="E55" s="9" t="s">
        <v>291</v>
      </c>
      <c r="F55" s="2"/>
      <c r="G55" s="2" t="s">
        <v>378</v>
      </c>
      <c r="H55" s="2" t="s">
        <v>385</v>
      </c>
      <c r="I55" s="2"/>
    </row>
    <row r="56" spans="2:9" x14ac:dyDescent="0.25">
      <c r="B56" s="2" t="s">
        <v>451</v>
      </c>
      <c r="C56" s="2" t="s">
        <v>303</v>
      </c>
      <c r="D56" s="2" t="s">
        <v>450</v>
      </c>
      <c r="E56" s="11" t="s">
        <v>291</v>
      </c>
      <c r="F56" s="2"/>
      <c r="G56" s="2" t="s">
        <v>378</v>
      </c>
      <c r="H56" s="2" t="s">
        <v>385</v>
      </c>
      <c r="I56" s="2"/>
    </row>
    <row r="57" spans="2:9" x14ac:dyDescent="0.25">
      <c r="B57" s="2" t="s">
        <v>452</v>
      </c>
      <c r="C57" s="2" t="s">
        <v>369</v>
      </c>
      <c r="D57" s="2" t="s">
        <v>453</v>
      </c>
      <c r="E57" s="1" t="s">
        <v>291</v>
      </c>
      <c r="F57" s="2"/>
      <c r="G57" s="2" t="s">
        <v>378</v>
      </c>
      <c r="H57" s="2" t="s">
        <v>385</v>
      </c>
      <c r="I57" s="2"/>
    </row>
    <row r="58" spans="2:9" x14ac:dyDescent="0.25">
      <c r="B58" s="2" t="s">
        <v>461</v>
      </c>
      <c r="C58" s="2" t="s">
        <v>373</v>
      </c>
      <c r="D58" s="2" t="s">
        <v>460</v>
      </c>
      <c r="E58" s="9" t="s">
        <v>291</v>
      </c>
      <c r="F58" s="2"/>
      <c r="G58" s="2" t="s">
        <v>378</v>
      </c>
      <c r="H58" s="2" t="s">
        <v>385</v>
      </c>
      <c r="I58" s="2"/>
    </row>
    <row r="59" spans="2:9" x14ac:dyDescent="0.25">
      <c r="B59" s="2" t="s">
        <v>462</v>
      </c>
      <c r="C59" s="2" t="s">
        <v>370</v>
      </c>
      <c r="D59" s="2" t="s">
        <v>454</v>
      </c>
      <c r="E59" s="9" t="s">
        <v>291</v>
      </c>
      <c r="F59" s="2"/>
      <c r="G59" s="2" t="s">
        <v>378</v>
      </c>
      <c r="H59" s="2" t="s">
        <v>385</v>
      </c>
      <c r="I59" s="2"/>
    </row>
    <row r="60" spans="2:9" x14ac:dyDescent="0.25">
      <c r="B60" s="2" t="s">
        <v>463</v>
      </c>
      <c r="C60" s="2" t="s">
        <v>332</v>
      </c>
      <c r="D60" s="2" t="s">
        <v>464</v>
      </c>
      <c r="E60" s="9" t="s">
        <v>291</v>
      </c>
      <c r="F60" s="2"/>
      <c r="G60" s="2" t="s">
        <v>378</v>
      </c>
      <c r="H60" s="2" t="s">
        <v>385</v>
      </c>
      <c r="I60" s="2"/>
    </row>
    <row r="61" spans="2:9" x14ac:dyDescent="0.25">
      <c r="B61" s="2" t="s">
        <v>465</v>
      </c>
      <c r="C61" s="2" t="s">
        <v>334</v>
      </c>
      <c r="D61" s="2" t="s">
        <v>464</v>
      </c>
      <c r="E61" s="9" t="s">
        <v>291</v>
      </c>
      <c r="F61" s="2"/>
      <c r="G61" s="2" t="s">
        <v>378</v>
      </c>
      <c r="H61" s="2" t="s">
        <v>385</v>
      </c>
      <c r="I61" s="2"/>
    </row>
    <row r="62" spans="2:9" x14ac:dyDescent="0.25">
      <c r="B62" s="2" t="s">
        <v>466</v>
      </c>
      <c r="C62" s="2" t="s">
        <v>336</v>
      </c>
      <c r="D62" s="2" t="s">
        <v>464</v>
      </c>
      <c r="E62" s="9" t="s">
        <v>291</v>
      </c>
      <c r="F62" s="2"/>
      <c r="G62" s="2" t="s">
        <v>378</v>
      </c>
      <c r="H62" s="2" t="s">
        <v>385</v>
      </c>
      <c r="I62" s="2"/>
    </row>
    <row r="63" spans="2:9" x14ac:dyDescent="0.25">
      <c r="B63" s="2" t="s">
        <v>467</v>
      </c>
      <c r="C63" s="2" t="s">
        <v>362</v>
      </c>
      <c r="D63" s="2" t="s">
        <v>454</v>
      </c>
      <c r="E63" s="9" t="s">
        <v>291</v>
      </c>
      <c r="F63" s="2"/>
      <c r="G63" s="2" t="s">
        <v>378</v>
      </c>
      <c r="H63" s="2" t="s">
        <v>385</v>
      </c>
      <c r="I63" s="2"/>
    </row>
    <row r="64" spans="2:9" x14ac:dyDescent="0.25">
      <c r="B64" s="2" t="s">
        <v>470</v>
      </c>
      <c r="C64" s="2" t="s">
        <v>310</v>
      </c>
      <c r="D64" s="2" t="s">
        <v>468</v>
      </c>
      <c r="E64" s="9" t="s">
        <v>291</v>
      </c>
      <c r="F64" s="2"/>
      <c r="G64" s="2" t="s">
        <v>378</v>
      </c>
      <c r="H64" s="2" t="s">
        <v>385</v>
      </c>
      <c r="I64" s="2"/>
    </row>
    <row r="65" spans="2:9" x14ac:dyDescent="0.25">
      <c r="B65" s="2" t="s">
        <v>471</v>
      </c>
      <c r="C65" s="2" t="s">
        <v>333</v>
      </c>
      <c r="D65" s="2" t="s">
        <v>469</v>
      </c>
      <c r="E65" s="9" t="s">
        <v>291</v>
      </c>
      <c r="F65" s="2"/>
      <c r="G65" s="2" t="s">
        <v>378</v>
      </c>
      <c r="H65" s="2" t="s">
        <v>385</v>
      </c>
      <c r="I65" s="2"/>
    </row>
    <row r="66" spans="2:9" x14ac:dyDescent="0.25">
      <c r="B66" s="2" t="s">
        <v>473</v>
      </c>
      <c r="C66" s="2" t="s">
        <v>368</v>
      </c>
      <c r="D66" s="2" t="s">
        <v>472</v>
      </c>
      <c r="E66" s="2" t="s">
        <v>291</v>
      </c>
      <c r="F66" s="2"/>
      <c r="G66" s="2" t="s">
        <v>378</v>
      </c>
      <c r="H66" s="2" t="s">
        <v>385</v>
      </c>
      <c r="I66" s="2" t="s">
        <v>651</v>
      </c>
    </row>
    <row r="67" spans="2:9" x14ac:dyDescent="0.25">
      <c r="B67" s="2" t="s">
        <v>475</v>
      </c>
      <c r="C67" s="2" t="s">
        <v>371</v>
      </c>
      <c r="D67" s="2" t="s">
        <v>474</v>
      </c>
      <c r="E67" s="9" t="s">
        <v>291</v>
      </c>
      <c r="F67" s="2"/>
      <c r="G67" s="2" t="s">
        <v>378</v>
      </c>
      <c r="H67" s="2" t="s">
        <v>385</v>
      </c>
      <c r="I67" s="2"/>
    </row>
    <row r="68" spans="2:9" x14ac:dyDescent="0.25">
      <c r="B68" s="2" t="s">
        <v>476</v>
      </c>
      <c r="C68" s="2" t="s">
        <v>331</v>
      </c>
      <c r="D68" s="2" t="s">
        <v>469</v>
      </c>
      <c r="E68" s="2" t="s">
        <v>291</v>
      </c>
      <c r="F68" s="2"/>
      <c r="G68" s="2" t="s">
        <v>378</v>
      </c>
      <c r="H68" s="2" t="s">
        <v>385</v>
      </c>
      <c r="I68" s="2"/>
    </row>
    <row r="69" spans="2:9" x14ac:dyDescent="0.25">
      <c r="B69" s="2" t="s">
        <v>478</v>
      </c>
      <c r="C69" s="2" t="s">
        <v>308</v>
      </c>
      <c r="D69" s="2" t="s">
        <v>469</v>
      </c>
      <c r="E69" s="2" t="s">
        <v>291</v>
      </c>
      <c r="F69" s="2"/>
      <c r="G69" s="2" t="s">
        <v>378</v>
      </c>
      <c r="H69" s="2" t="s">
        <v>385</v>
      </c>
      <c r="I69" s="2"/>
    </row>
    <row r="70" spans="2:9" x14ac:dyDescent="0.25">
      <c r="B70" s="2" t="s">
        <v>479</v>
      </c>
      <c r="C70" s="2" t="s">
        <v>309</v>
      </c>
      <c r="D70" s="2" t="s">
        <v>480</v>
      </c>
      <c r="E70" s="2" t="s">
        <v>291</v>
      </c>
      <c r="F70" s="2"/>
      <c r="G70" s="2" t="s">
        <v>378</v>
      </c>
      <c r="H70" s="2" t="s">
        <v>385</v>
      </c>
      <c r="I70" s="2"/>
    </row>
    <row r="71" spans="2:9" x14ac:dyDescent="0.25">
      <c r="B71" s="2" t="s">
        <v>481</v>
      </c>
      <c r="C71" s="2" t="s">
        <v>365</v>
      </c>
      <c r="D71" s="2" t="s">
        <v>454</v>
      </c>
      <c r="E71" s="2" t="s">
        <v>291</v>
      </c>
      <c r="F71" s="2"/>
      <c r="G71" s="2" t="s">
        <v>378</v>
      </c>
      <c r="H71" s="2" t="s">
        <v>385</v>
      </c>
      <c r="I71" s="2"/>
    </row>
    <row r="72" spans="2:9" x14ac:dyDescent="0.25">
      <c r="B72" s="2" t="s">
        <v>483</v>
      </c>
      <c r="C72" s="2" t="s">
        <v>311</v>
      </c>
      <c r="D72" s="2" t="s">
        <v>482</v>
      </c>
      <c r="E72" s="2" t="s">
        <v>291</v>
      </c>
      <c r="F72" s="2"/>
      <c r="G72" s="2" t="s">
        <v>378</v>
      </c>
      <c r="H72" s="2" t="s">
        <v>385</v>
      </c>
      <c r="I72" s="2"/>
    </row>
    <row r="73" spans="2:9" x14ac:dyDescent="0.25">
      <c r="B73" s="2" t="s">
        <v>484</v>
      </c>
      <c r="C73" s="2" t="s">
        <v>366</v>
      </c>
      <c r="D73" s="2" t="s">
        <v>485</v>
      </c>
      <c r="E73" s="2" t="s">
        <v>291</v>
      </c>
      <c r="F73" s="2"/>
      <c r="G73" s="2" t="s">
        <v>378</v>
      </c>
      <c r="H73" s="2" t="s">
        <v>385</v>
      </c>
      <c r="I73" s="2"/>
    </row>
    <row r="74" spans="2:9" x14ac:dyDescent="0.25">
      <c r="B74" s="2" t="s">
        <v>487</v>
      </c>
      <c r="C74" s="2" t="s">
        <v>330</v>
      </c>
      <c r="D74" s="2" t="s">
        <v>486</v>
      </c>
      <c r="E74" s="2" t="s">
        <v>291</v>
      </c>
      <c r="F74" s="2"/>
      <c r="G74" s="2" t="s">
        <v>378</v>
      </c>
      <c r="H74" s="2" t="s">
        <v>385</v>
      </c>
      <c r="I74" s="2"/>
    </row>
    <row r="75" spans="2:9" x14ac:dyDescent="0.25">
      <c r="B75" s="2" t="s">
        <v>488</v>
      </c>
      <c r="C75" s="2" t="s">
        <v>335</v>
      </c>
      <c r="D75" s="2" t="s">
        <v>469</v>
      </c>
      <c r="E75" s="2" t="s">
        <v>291</v>
      </c>
      <c r="F75" s="2"/>
      <c r="G75" s="2" t="s">
        <v>378</v>
      </c>
      <c r="H75" s="2" t="s">
        <v>385</v>
      </c>
      <c r="I75" s="2"/>
    </row>
    <row r="76" spans="2:9" x14ac:dyDescent="0.25">
      <c r="B76" s="2" t="s">
        <v>489</v>
      </c>
      <c r="C76" s="2" t="s">
        <v>364</v>
      </c>
      <c r="D76" s="2" t="s">
        <v>490</v>
      </c>
      <c r="E76" s="2" t="s">
        <v>291</v>
      </c>
      <c r="F76" s="2"/>
      <c r="G76" s="2" t="s">
        <v>378</v>
      </c>
      <c r="H76" s="2" t="s">
        <v>385</v>
      </c>
      <c r="I76" s="2"/>
    </row>
    <row r="77" spans="2:9" x14ac:dyDescent="0.25">
      <c r="B77" s="2" t="s">
        <v>491</v>
      </c>
      <c r="C77" s="2" t="s">
        <v>375</v>
      </c>
      <c r="D77" s="2" t="s">
        <v>469</v>
      </c>
      <c r="E77" s="2" t="s">
        <v>291</v>
      </c>
      <c r="F77" s="2"/>
      <c r="G77" s="2" t="s">
        <v>378</v>
      </c>
      <c r="H77" s="2" t="s">
        <v>385</v>
      </c>
      <c r="I77" s="2"/>
    </row>
    <row r="78" spans="2:9" x14ac:dyDescent="0.25">
      <c r="B78" s="2" t="s">
        <v>493</v>
      </c>
      <c r="C78" s="2" t="s">
        <v>376</v>
      </c>
      <c r="D78" s="2" t="s">
        <v>492</v>
      </c>
      <c r="E78" s="2" t="s">
        <v>291</v>
      </c>
      <c r="F78" s="2"/>
      <c r="G78" s="2" t="s">
        <v>378</v>
      </c>
      <c r="H78" s="2" t="s">
        <v>385</v>
      </c>
      <c r="I78" s="2"/>
    </row>
    <row r="79" spans="2:9" x14ac:dyDescent="0.25">
      <c r="B79" s="2" t="s">
        <v>512</v>
      </c>
      <c r="C79" s="2" t="s">
        <v>513</v>
      </c>
      <c r="D79" s="2" t="s">
        <v>490</v>
      </c>
      <c r="E79" s="2" t="s">
        <v>291</v>
      </c>
      <c r="F79" s="2" t="s">
        <v>378</v>
      </c>
      <c r="G79" s="2" t="s">
        <v>385</v>
      </c>
      <c r="H79" s="2"/>
      <c r="I79" s="2"/>
    </row>
    <row r="80" spans="2:9" x14ac:dyDescent="0.25">
      <c r="B80" s="2" t="s">
        <v>559</v>
      </c>
      <c r="C80" s="9" t="s">
        <v>638</v>
      </c>
      <c r="D80" s="9" t="s">
        <v>639</v>
      </c>
      <c r="E80" s="2" t="s">
        <v>291</v>
      </c>
      <c r="F80" s="2"/>
      <c r="G80" s="2" t="s">
        <v>378</v>
      </c>
      <c r="H80" s="9" t="s">
        <v>387</v>
      </c>
      <c r="I80" s="2"/>
    </row>
    <row r="81" spans="2:9" x14ac:dyDescent="0.25">
      <c r="B81" s="2" t="s">
        <v>560</v>
      </c>
      <c r="C81" s="9" t="s">
        <v>640</v>
      </c>
      <c r="D81" s="9" t="s">
        <v>641</v>
      </c>
      <c r="E81" s="2" t="s">
        <v>291</v>
      </c>
      <c r="F81" s="2"/>
      <c r="G81" s="2" t="s">
        <v>378</v>
      </c>
      <c r="H81" s="9" t="s">
        <v>387</v>
      </c>
      <c r="I81" s="2"/>
    </row>
    <row r="82" spans="2:9" x14ac:dyDescent="0.25">
      <c r="B82" s="2" t="s">
        <v>561</v>
      </c>
      <c r="C82" s="9" t="s">
        <v>642</v>
      </c>
      <c r="D82" s="9" t="s">
        <v>643</v>
      </c>
      <c r="E82" s="2" t="s">
        <v>291</v>
      </c>
      <c r="F82" s="2"/>
      <c r="G82" s="2" t="s">
        <v>378</v>
      </c>
      <c r="H82" s="9" t="s">
        <v>387</v>
      </c>
      <c r="I82" s="2"/>
    </row>
    <row r="83" spans="2:9" x14ac:dyDescent="0.25">
      <c r="B83" s="2" t="s">
        <v>562</v>
      </c>
      <c r="C83" s="9" t="s">
        <v>644</v>
      </c>
      <c r="D83" s="9" t="s">
        <v>645</v>
      </c>
      <c r="E83" s="2" t="s">
        <v>291</v>
      </c>
      <c r="F83" s="2"/>
      <c r="G83" s="2" t="s">
        <v>378</v>
      </c>
      <c r="H83" s="9" t="s">
        <v>387</v>
      </c>
      <c r="I83" s="2"/>
    </row>
    <row r="84" spans="2:9" x14ac:dyDescent="0.25">
      <c r="B84" s="2" t="s">
        <v>563</v>
      </c>
      <c r="C84" s="9" t="s">
        <v>646</v>
      </c>
      <c r="D84" s="9" t="s">
        <v>647</v>
      </c>
      <c r="E84" s="2" t="s">
        <v>291</v>
      </c>
      <c r="F84" s="2"/>
      <c r="G84" s="2" t="s">
        <v>378</v>
      </c>
      <c r="H84" s="9" t="s">
        <v>387</v>
      </c>
      <c r="I84" s="2"/>
    </row>
    <row r="85" spans="2:9" x14ac:dyDescent="0.25">
      <c r="B85" s="2" t="s">
        <v>564</v>
      </c>
      <c r="C85" s="9" t="s">
        <v>648</v>
      </c>
      <c r="D85" s="9" t="s">
        <v>649</v>
      </c>
      <c r="E85" s="2" t="s">
        <v>291</v>
      </c>
      <c r="F85" s="2"/>
      <c r="G85" s="2" t="s">
        <v>378</v>
      </c>
      <c r="H85" s="9" t="s">
        <v>387</v>
      </c>
      <c r="I85" s="2"/>
    </row>
    <row r="86" spans="2:9" x14ac:dyDescent="0.25">
      <c r="B86" s="12" t="s">
        <v>477</v>
      </c>
      <c r="C86" s="2" t="s">
        <v>320</v>
      </c>
      <c r="D86" s="2"/>
      <c r="E86" s="2" t="s">
        <v>291</v>
      </c>
      <c r="F86" s="2"/>
      <c r="G86" s="2"/>
      <c r="H86" s="2"/>
      <c r="I86" s="2"/>
    </row>
    <row r="87" spans="2:9" x14ac:dyDescent="0.25">
      <c r="B87" s="13" t="s">
        <v>439</v>
      </c>
      <c r="C87" s="13" t="s">
        <v>325</v>
      </c>
      <c r="D87" s="13"/>
      <c r="E87" s="13"/>
      <c r="F87" s="13"/>
      <c r="G87" s="13"/>
      <c r="H87" s="13"/>
      <c r="I87" s="13"/>
    </row>
    <row r="88" spans="2:9" x14ac:dyDescent="0.25">
      <c r="B88" s="2" t="s">
        <v>495</v>
      </c>
      <c r="C88" s="2" t="s">
        <v>398</v>
      </c>
      <c r="D88" s="2"/>
      <c r="E88" s="2" t="s">
        <v>291</v>
      </c>
      <c r="F88" s="2"/>
      <c r="G88" s="9" t="s">
        <v>378</v>
      </c>
      <c r="H88" s="9" t="s">
        <v>387</v>
      </c>
      <c r="I88" s="2"/>
    </row>
    <row r="89" spans="2:9" x14ac:dyDescent="0.25">
      <c r="B89" s="2" t="s">
        <v>495</v>
      </c>
      <c r="C89" s="2" t="s">
        <v>399</v>
      </c>
      <c r="D89" s="2"/>
      <c r="E89" s="2" t="s">
        <v>291</v>
      </c>
      <c r="F89" s="2"/>
      <c r="G89" s="9" t="s">
        <v>378</v>
      </c>
      <c r="H89" s="9" t="s">
        <v>387</v>
      </c>
      <c r="I89" s="2"/>
    </row>
    <row r="90" spans="2:9" x14ac:dyDescent="0.25">
      <c r="B90" s="2" t="s">
        <v>495</v>
      </c>
      <c r="C90" s="2" t="s">
        <v>400</v>
      </c>
      <c r="D90" s="2"/>
      <c r="E90" s="2" t="s">
        <v>291</v>
      </c>
      <c r="F90" s="2"/>
      <c r="G90" s="9" t="s">
        <v>378</v>
      </c>
      <c r="H90" s="9" t="s">
        <v>387</v>
      </c>
      <c r="I90" s="2"/>
    </row>
    <row r="91" spans="2:9" x14ac:dyDescent="0.25">
      <c r="B91" s="2" t="s">
        <v>495</v>
      </c>
      <c r="C91" s="2" t="s">
        <v>401</v>
      </c>
      <c r="D91" s="2"/>
      <c r="E91" s="2" t="s">
        <v>291</v>
      </c>
      <c r="F91" s="2"/>
      <c r="G91" s="9" t="s">
        <v>378</v>
      </c>
      <c r="H91" s="9" t="s">
        <v>387</v>
      </c>
      <c r="I91" s="2"/>
    </row>
    <row r="92" spans="2:9" x14ac:dyDescent="0.25">
      <c r="B92" s="2" t="s">
        <v>495</v>
      </c>
      <c r="C92" s="2" t="s">
        <v>402</v>
      </c>
      <c r="D92" s="2"/>
      <c r="E92" s="2" t="s">
        <v>291</v>
      </c>
      <c r="F92" s="2"/>
      <c r="G92" s="9" t="s">
        <v>378</v>
      </c>
      <c r="H92" s="9" t="s">
        <v>387</v>
      </c>
      <c r="I92" s="2"/>
    </row>
    <row r="93" spans="2:9" x14ac:dyDescent="0.25">
      <c r="B93" s="2" t="s">
        <v>495</v>
      </c>
      <c r="C93" s="2" t="s">
        <v>403</v>
      </c>
      <c r="D93" s="2"/>
      <c r="E93" s="2" t="s">
        <v>291</v>
      </c>
      <c r="F93" s="2"/>
      <c r="G93" s="9" t="s">
        <v>378</v>
      </c>
      <c r="H93" s="9" t="s">
        <v>387</v>
      </c>
      <c r="I93" s="2"/>
    </row>
    <row r="94" spans="2:9" x14ac:dyDescent="0.25">
      <c r="B94" s="13"/>
      <c r="C94" s="13" t="s">
        <v>342</v>
      </c>
      <c r="D94" s="13"/>
      <c r="E94" s="13" t="s">
        <v>291</v>
      </c>
      <c r="F94" s="13"/>
      <c r="G94" s="13"/>
      <c r="H94" s="13"/>
      <c r="I94" s="13"/>
    </row>
    <row r="95" spans="2:9" x14ac:dyDescent="0.25">
      <c r="B95" s="13"/>
      <c r="C95" s="13" t="s">
        <v>327</v>
      </c>
      <c r="D95" s="13"/>
      <c r="E95" s="13"/>
      <c r="F95" s="13"/>
      <c r="G95" s="13"/>
      <c r="H95" s="13"/>
      <c r="I95" s="13"/>
    </row>
    <row r="96" spans="2:9" x14ac:dyDescent="0.25">
      <c r="B96" s="13"/>
      <c r="C96" s="13" t="s">
        <v>341</v>
      </c>
      <c r="D96" s="13"/>
      <c r="E96" s="13" t="s">
        <v>291</v>
      </c>
      <c r="F96" s="13"/>
      <c r="G96" s="13"/>
      <c r="H96" s="13"/>
      <c r="I96" s="13"/>
    </row>
    <row r="97" spans="2:9" x14ac:dyDescent="0.25">
      <c r="B97" s="13"/>
      <c r="C97" s="13" t="s">
        <v>324</v>
      </c>
      <c r="D97" s="13"/>
      <c r="E97" s="13"/>
      <c r="F97" s="13"/>
      <c r="G97" s="13"/>
      <c r="H97" s="13"/>
      <c r="I97" s="13"/>
    </row>
    <row r="98" spans="2:9" x14ac:dyDescent="0.25">
      <c r="B98" s="13"/>
      <c r="C98" s="13" t="s">
        <v>326</v>
      </c>
      <c r="D98" s="13"/>
      <c r="E98" s="13"/>
      <c r="F98" s="13"/>
      <c r="G98" s="13"/>
      <c r="H98" s="13"/>
      <c r="I98" s="13"/>
    </row>
    <row r="99" spans="2:9" x14ac:dyDescent="0.25">
      <c r="B99" s="13"/>
      <c r="C99" s="13" t="s">
        <v>313</v>
      </c>
      <c r="D99" s="13"/>
      <c r="E99" s="13"/>
      <c r="F99" s="13"/>
      <c r="G99" s="13"/>
      <c r="H99" s="13"/>
      <c r="I99" s="13"/>
    </row>
    <row r="100" spans="2:9" x14ac:dyDescent="0.25">
      <c r="B100" s="2"/>
      <c r="C100" s="13" t="s">
        <v>374</v>
      </c>
      <c r="D100" s="2"/>
      <c r="E100" s="2" t="s">
        <v>291</v>
      </c>
      <c r="F100" s="2"/>
      <c r="G100" s="2"/>
      <c r="H100" s="2"/>
      <c r="I100" s="2"/>
    </row>
    <row r="101" spans="2:9" x14ac:dyDescent="0.25">
      <c r="B101" s="2"/>
      <c r="C101" s="2" t="s">
        <v>389</v>
      </c>
      <c r="D101" s="2"/>
      <c r="E101" s="2" t="s">
        <v>291</v>
      </c>
      <c r="F101" s="2"/>
      <c r="G101" s="9" t="s">
        <v>378</v>
      </c>
      <c r="H101" s="9" t="s">
        <v>387</v>
      </c>
      <c r="I101" s="2"/>
    </row>
    <row r="102" spans="2:9" x14ac:dyDescent="0.25">
      <c r="B102" s="2"/>
      <c r="C102" s="2" t="s">
        <v>390</v>
      </c>
      <c r="D102" s="2"/>
      <c r="E102" s="2" t="s">
        <v>291</v>
      </c>
      <c r="F102" s="2"/>
      <c r="G102" s="9" t="s">
        <v>378</v>
      </c>
      <c r="H102" s="9" t="s">
        <v>387</v>
      </c>
      <c r="I102" s="2"/>
    </row>
    <row r="103" spans="2:9" x14ac:dyDescent="0.25">
      <c r="B103" s="2"/>
      <c r="C103" s="2" t="s">
        <v>391</v>
      </c>
      <c r="D103" s="2"/>
      <c r="E103" s="2" t="s">
        <v>291</v>
      </c>
      <c r="F103" s="2"/>
      <c r="G103" s="9" t="s">
        <v>378</v>
      </c>
      <c r="H103" s="9" t="s">
        <v>387</v>
      </c>
      <c r="I103" s="2"/>
    </row>
    <row r="104" spans="2:9" x14ac:dyDescent="0.25">
      <c r="B104" s="2"/>
      <c r="C104" s="2" t="s">
        <v>392</v>
      </c>
      <c r="D104" s="2"/>
      <c r="E104" s="2" t="s">
        <v>291</v>
      </c>
      <c r="F104" s="2"/>
      <c r="G104" s="9" t="s">
        <v>378</v>
      </c>
      <c r="H104" s="9" t="s">
        <v>387</v>
      </c>
      <c r="I104" s="2"/>
    </row>
    <row r="105" spans="2:9" x14ac:dyDescent="0.25">
      <c r="B105" s="2"/>
      <c r="C105" s="2" t="s">
        <v>393</v>
      </c>
      <c r="D105" s="2"/>
      <c r="E105" s="2" t="s">
        <v>291</v>
      </c>
      <c r="F105" s="2"/>
      <c r="G105" s="9" t="s">
        <v>378</v>
      </c>
      <c r="H105" s="9" t="s">
        <v>387</v>
      </c>
      <c r="I105" s="2"/>
    </row>
    <row r="106" spans="2:9" x14ac:dyDescent="0.25">
      <c r="B106" s="2"/>
      <c r="C106" s="2" t="s">
        <v>394</v>
      </c>
      <c r="D106" s="2"/>
      <c r="E106" s="2" t="s">
        <v>291</v>
      </c>
      <c r="F106" s="2"/>
      <c r="G106" s="9" t="s">
        <v>378</v>
      </c>
      <c r="H106" s="9" t="s">
        <v>387</v>
      </c>
      <c r="I106" s="2"/>
    </row>
    <row r="107" spans="2:9" x14ac:dyDescent="0.25">
      <c r="B107" s="2"/>
      <c r="C107" s="2" t="s">
        <v>395</v>
      </c>
      <c r="D107" s="2"/>
      <c r="E107" s="2" t="s">
        <v>291</v>
      </c>
      <c r="F107" s="2"/>
      <c r="G107" s="9" t="s">
        <v>378</v>
      </c>
      <c r="H107" s="9" t="s">
        <v>387</v>
      </c>
      <c r="I107" s="2"/>
    </row>
    <row r="108" spans="2:9" x14ac:dyDescent="0.25">
      <c r="B108" s="2"/>
      <c r="C108" s="2" t="s">
        <v>396</v>
      </c>
      <c r="D108" s="2"/>
      <c r="E108" s="2" t="s">
        <v>291</v>
      </c>
      <c r="F108" s="2"/>
      <c r="G108" s="9" t="s">
        <v>378</v>
      </c>
      <c r="H108" s="9" t="s">
        <v>387</v>
      </c>
      <c r="I108" s="2"/>
    </row>
    <row r="109" spans="2:9" x14ac:dyDescent="0.25">
      <c r="B109" s="2"/>
      <c r="C109" s="2" t="s">
        <v>397</v>
      </c>
      <c r="D109" s="2"/>
      <c r="E109" s="2" t="s">
        <v>291</v>
      </c>
      <c r="F109" s="2"/>
      <c r="G109" s="9" t="s">
        <v>378</v>
      </c>
      <c r="H109" s="9" t="s">
        <v>387</v>
      </c>
      <c r="I109" s="2"/>
    </row>
    <row r="110" spans="2:9" x14ac:dyDescent="0.25">
      <c r="B110" s="2"/>
      <c r="C110" s="13" t="s">
        <v>361</v>
      </c>
      <c r="D110" s="2"/>
      <c r="E110" s="2" t="s">
        <v>291</v>
      </c>
      <c r="F110" s="2"/>
      <c r="G110" s="2"/>
      <c r="H110" s="2"/>
      <c r="I110" s="2"/>
    </row>
    <row r="111" spans="2:9" x14ac:dyDescent="0.25">
      <c r="B111" s="2"/>
      <c r="C111" s="13" t="s">
        <v>360</v>
      </c>
      <c r="D111" s="2"/>
      <c r="E111" s="2" t="s">
        <v>291</v>
      </c>
      <c r="F111" s="2"/>
      <c r="G111" s="2"/>
      <c r="H111" s="2"/>
      <c r="I111" s="2"/>
    </row>
    <row r="112" spans="2:9" x14ac:dyDescent="0.25">
      <c r="B112" s="2"/>
      <c r="C112" s="13" t="s">
        <v>339</v>
      </c>
      <c r="D112" s="2"/>
      <c r="E112" s="2" t="s">
        <v>291</v>
      </c>
      <c r="F112" s="2"/>
      <c r="G112" s="2"/>
      <c r="H112" s="2"/>
      <c r="I112" s="2"/>
    </row>
    <row r="113" spans="2:9" x14ac:dyDescent="0.25">
      <c r="B113" s="2"/>
      <c r="C113" s="13" t="s">
        <v>358</v>
      </c>
      <c r="D113" s="2"/>
      <c r="E113" s="2" t="s">
        <v>291</v>
      </c>
      <c r="F113" s="2"/>
      <c r="G113" s="2"/>
      <c r="H113" s="2"/>
      <c r="I113" s="2"/>
    </row>
    <row r="114" spans="2:9" x14ac:dyDescent="0.25">
      <c r="B114" s="2"/>
      <c r="C114" s="13" t="s">
        <v>353</v>
      </c>
      <c r="D114" s="2"/>
      <c r="E114" s="2" t="s">
        <v>291</v>
      </c>
      <c r="F114" s="2"/>
      <c r="G114" s="2"/>
      <c r="H114" s="2"/>
      <c r="I114" s="2"/>
    </row>
    <row r="115" spans="2:9" x14ac:dyDescent="0.25">
      <c r="B115" s="2"/>
      <c r="C115" s="13" t="s">
        <v>329</v>
      </c>
      <c r="D115" s="2"/>
      <c r="E115" s="2" t="s">
        <v>291</v>
      </c>
      <c r="F115" s="2"/>
      <c r="G115" s="2"/>
      <c r="H115" s="2"/>
      <c r="I115" s="2"/>
    </row>
    <row r="116" spans="2:9" x14ac:dyDescent="0.25">
      <c r="B116" s="2"/>
      <c r="C116" s="13" t="s">
        <v>351</v>
      </c>
      <c r="D116" s="2"/>
      <c r="E116" s="2" t="s">
        <v>291</v>
      </c>
      <c r="F116" s="2"/>
      <c r="G116" s="2"/>
      <c r="H116" s="2"/>
      <c r="I116" s="2"/>
    </row>
    <row r="117" spans="2:9" x14ac:dyDescent="0.25">
      <c r="B117" s="2"/>
      <c r="C117" s="13" t="s">
        <v>321</v>
      </c>
      <c r="D117" s="2"/>
      <c r="E117" s="2"/>
      <c r="F117" s="2"/>
      <c r="G117" s="2"/>
      <c r="H117" s="2"/>
      <c r="I117" s="2"/>
    </row>
    <row r="118" spans="2:9" x14ac:dyDescent="0.25">
      <c r="B118" s="2"/>
      <c r="C118" s="13" t="s">
        <v>349</v>
      </c>
      <c r="D118" s="2"/>
      <c r="E118" s="2" t="s">
        <v>291</v>
      </c>
      <c r="F118" s="2"/>
      <c r="G118" s="2"/>
      <c r="H118" s="2"/>
      <c r="I118" s="2"/>
    </row>
    <row r="119" spans="2:9" x14ac:dyDescent="0.25">
      <c r="B119" s="2"/>
      <c r="C119" s="13" t="s">
        <v>343</v>
      </c>
      <c r="D119" s="2"/>
      <c r="E119" s="2" t="s">
        <v>291</v>
      </c>
      <c r="F119" s="2"/>
      <c r="G119" s="2"/>
      <c r="H119" s="2"/>
      <c r="I119" s="2"/>
    </row>
    <row r="120" spans="2:9" x14ac:dyDescent="0.25">
      <c r="B120" s="2"/>
      <c r="C120" s="13" t="s">
        <v>323</v>
      </c>
      <c r="D120" s="2"/>
      <c r="E120" s="2"/>
      <c r="F120" s="2"/>
      <c r="G120" s="2"/>
      <c r="H120" s="2"/>
      <c r="I120" s="2"/>
    </row>
    <row r="121" spans="2:9" x14ac:dyDescent="0.25">
      <c r="B121" s="2"/>
      <c r="C121" s="13" t="s">
        <v>350</v>
      </c>
      <c r="D121" s="2"/>
      <c r="E121" s="2" t="s">
        <v>291</v>
      </c>
      <c r="F121" s="2"/>
      <c r="G121" s="2"/>
      <c r="H121" s="2"/>
      <c r="I121" s="2"/>
    </row>
    <row r="122" spans="2:9" x14ac:dyDescent="0.25">
      <c r="B122" s="2"/>
      <c r="C122" s="13" t="s">
        <v>314</v>
      </c>
      <c r="D122" s="2"/>
      <c r="E122" s="2"/>
      <c r="F122" s="2"/>
      <c r="G122" s="2"/>
      <c r="H122" s="2"/>
      <c r="I122" s="2"/>
    </row>
    <row r="123" spans="2:9" x14ac:dyDescent="0.25">
      <c r="B123" s="2"/>
      <c r="C123" s="13" t="s">
        <v>322</v>
      </c>
      <c r="D123" s="2"/>
      <c r="E123" s="2"/>
      <c r="F123" s="2"/>
      <c r="G123" s="2"/>
      <c r="H123" s="2"/>
      <c r="I123" s="2"/>
    </row>
    <row r="124" spans="2:9" x14ac:dyDescent="0.25">
      <c r="B124" s="2"/>
      <c r="C124" s="13" t="s">
        <v>340</v>
      </c>
      <c r="D124" s="2"/>
      <c r="E124" s="2" t="s">
        <v>291</v>
      </c>
      <c r="F124" s="2"/>
      <c r="G124" s="2"/>
      <c r="H124" s="2"/>
      <c r="I124" s="2"/>
    </row>
    <row r="125" spans="2:9" x14ac:dyDescent="0.25">
      <c r="B125" s="2"/>
      <c r="C125" s="13" t="s">
        <v>346</v>
      </c>
      <c r="D125" s="2"/>
      <c r="E125" s="2" t="s">
        <v>291</v>
      </c>
      <c r="F125" s="2"/>
      <c r="G125" s="2"/>
      <c r="H125" s="2"/>
      <c r="I125" s="2"/>
    </row>
    <row r="126" spans="2:9" x14ac:dyDescent="0.25">
      <c r="B126" s="2"/>
      <c r="C126" s="13" t="s">
        <v>357</v>
      </c>
      <c r="D126" s="2"/>
      <c r="E126" s="2" t="s">
        <v>291</v>
      </c>
      <c r="F126" s="2"/>
      <c r="G126" s="2"/>
      <c r="H126" s="2"/>
      <c r="I126" s="2"/>
    </row>
    <row r="127" spans="2:9" x14ac:dyDescent="0.25">
      <c r="B127" s="2"/>
      <c r="C127" s="13" t="s">
        <v>318</v>
      </c>
      <c r="D127" s="2"/>
      <c r="E127" s="2"/>
      <c r="F127" s="2"/>
      <c r="G127" s="2"/>
      <c r="H127" s="2"/>
      <c r="I127" s="2"/>
    </row>
    <row r="128" spans="2:9" x14ac:dyDescent="0.25">
      <c r="B128" s="2"/>
      <c r="C128" s="13" t="s">
        <v>344</v>
      </c>
      <c r="D128" s="2"/>
      <c r="E128" s="2" t="s">
        <v>291</v>
      </c>
      <c r="F128" s="2"/>
      <c r="G128" s="2"/>
      <c r="H128" s="2"/>
      <c r="I128" s="2"/>
    </row>
    <row r="129" spans="2:9" x14ac:dyDescent="0.25">
      <c r="B129" s="2"/>
      <c r="C129" s="13" t="s">
        <v>347</v>
      </c>
      <c r="D129" s="2"/>
      <c r="E129" s="2" t="s">
        <v>291</v>
      </c>
      <c r="F129" s="2"/>
      <c r="G129" s="2"/>
      <c r="H129" s="2"/>
      <c r="I129" s="2"/>
    </row>
    <row r="130" spans="2:9" x14ac:dyDescent="0.25">
      <c r="B130" s="2"/>
      <c r="C130" s="13" t="s">
        <v>354</v>
      </c>
      <c r="D130" s="2"/>
      <c r="E130" s="2" t="s">
        <v>291</v>
      </c>
      <c r="F130" s="2"/>
      <c r="G130" s="2"/>
      <c r="H130" s="2"/>
      <c r="I130" s="2"/>
    </row>
    <row r="131" spans="2:9" x14ac:dyDescent="0.25">
      <c r="B131" s="2"/>
      <c r="C131" s="13" t="s">
        <v>315</v>
      </c>
      <c r="D131" s="2"/>
      <c r="E131" s="2"/>
      <c r="F131" s="2"/>
      <c r="G131" s="2"/>
      <c r="H131" s="2"/>
      <c r="I131" s="2"/>
    </row>
    <row r="132" spans="2:9" x14ac:dyDescent="0.25">
      <c r="B132" s="2"/>
      <c r="C132" s="13" t="s">
        <v>345</v>
      </c>
      <c r="D132" s="2"/>
      <c r="E132" s="2" t="s">
        <v>291</v>
      </c>
      <c r="F132" s="2"/>
      <c r="G132" s="2"/>
      <c r="H132" s="2"/>
      <c r="I132" s="2"/>
    </row>
    <row r="133" spans="2:9" x14ac:dyDescent="0.25">
      <c r="B133" s="2"/>
      <c r="C133" s="13" t="s">
        <v>317</v>
      </c>
      <c r="D133" s="2"/>
      <c r="E133" s="2"/>
      <c r="F133" s="2"/>
      <c r="G133" s="2"/>
      <c r="H133" s="2"/>
      <c r="I133" s="2"/>
    </row>
    <row r="134" spans="2:9" x14ac:dyDescent="0.25">
      <c r="B134" s="2"/>
      <c r="C134" s="13" t="s">
        <v>337</v>
      </c>
      <c r="D134" s="2"/>
      <c r="E134" s="2" t="s">
        <v>291</v>
      </c>
      <c r="F134" s="2"/>
      <c r="G134" s="2"/>
      <c r="H134" s="2"/>
      <c r="I134" s="2"/>
    </row>
    <row r="135" spans="2:9" x14ac:dyDescent="0.25">
      <c r="B135" s="2"/>
      <c r="C135" s="13" t="s">
        <v>356</v>
      </c>
      <c r="D135" s="2"/>
      <c r="E135" s="2" t="s">
        <v>291</v>
      </c>
      <c r="F135" s="2"/>
      <c r="G135" s="2"/>
      <c r="H135" s="2"/>
      <c r="I135" s="2"/>
    </row>
    <row r="136" spans="2:9" x14ac:dyDescent="0.25">
      <c r="B136" s="2"/>
      <c r="C136" s="13" t="s">
        <v>352</v>
      </c>
      <c r="D136" s="2"/>
      <c r="E136" s="2" t="s">
        <v>291</v>
      </c>
      <c r="F136" s="2"/>
      <c r="G136" s="2"/>
      <c r="H136" s="2"/>
      <c r="I136" s="2"/>
    </row>
    <row r="137" spans="2:9" x14ac:dyDescent="0.25">
      <c r="B137" s="2"/>
      <c r="C137" s="13" t="s">
        <v>328</v>
      </c>
      <c r="D137" s="2"/>
      <c r="E137" s="2"/>
      <c r="F137" s="2"/>
      <c r="G137" s="2"/>
      <c r="H137" s="2"/>
      <c r="I137" s="2"/>
    </row>
    <row r="138" spans="2:9" x14ac:dyDescent="0.25">
      <c r="B138" s="2"/>
      <c r="C138" s="13" t="s">
        <v>348</v>
      </c>
      <c r="D138" s="2"/>
      <c r="E138" s="2" t="s">
        <v>291</v>
      </c>
      <c r="F138" s="2"/>
      <c r="G138" s="2"/>
      <c r="H138" s="2"/>
      <c r="I138" s="2"/>
    </row>
    <row r="139" spans="2:9" x14ac:dyDescent="0.25">
      <c r="B139" s="2"/>
      <c r="C139" s="13" t="s">
        <v>355</v>
      </c>
      <c r="D139" s="2"/>
      <c r="E139" s="2" t="s">
        <v>291</v>
      </c>
      <c r="F139" s="2"/>
      <c r="G139" s="2"/>
      <c r="H139" s="2"/>
      <c r="I139" s="2"/>
    </row>
    <row r="140" spans="2:9" x14ac:dyDescent="0.25">
      <c r="B140" s="2"/>
      <c r="C140" s="13" t="s">
        <v>359</v>
      </c>
      <c r="D140" s="2"/>
      <c r="E140" s="2" t="s">
        <v>291</v>
      </c>
      <c r="F140" s="2"/>
      <c r="G140" s="2"/>
      <c r="H140" s="2"/>
      <c r="I140" s="2"/>
    </row>
    <row r="141" spans="2:9" x14ac:dyDescent="0.25">
      <c r="B141" s="2"/>
      <c r="C141" s="13" t="s">
        <v>316</v>
      </c>
      <c r="D141" s="2"/>
      <c r="E141" s="2"/>
      <c r="F141" s="2"/>
      <c r="G141" s="2"/>
      <c r="H141" s="2"/>
      <c r="I141" s="2"/>
    </row>
    <row r="142" spans="2:9" x14ac:dyDescent="0.25">
      <c r="B142" s="2"/>
      <c r="C142" s="13" t="s">
        <v>312</v>
      </c>
      <c r="D142" s="2"/>
      <c r="E142" s="2"/>
      <c r="F142" s="2"/>
      <c r="G142" s="2"/>
      <c r="H142" s="2"/>
      <c r="I142" s="2"/>
    </row>
    <row r="143" spans="2:9" x14ac:dyDescent="0.25">
      <c r="B143" s="2"/>
      <c r="C143" s="13" t="s">
        <v>319</v>
      </c>
      <c r="D143" s="2"/>
      <c r="E143" s="2"/>
      <c r="F143" s="2"/>
      <c r="G143" s="2"/>
      <c r="H143" s="2"/>
      <c r="I143" s="2"/>
    </row>
    <row r="144" spans="2:9" x14ac:dyDescent="0.25">
      <c r="B144" s="21" t="s">
        <v>826</v>
      </c>
      <c r="C144" s="2" t="s">
        <v>825</v>
      </c>
      <c r="D144" s="2"/>
      <c r="E144" s="2"/>
      <c r="F144" s="2"/>
      <c r="G144" s="2" t="s">
        <v>378</v>
      </c>
      <c r="H144" s="2" t="s">
        <v>385</v>
      </c>
      <c r="I144" s="2"/>
    </row>
  </sheetData>
  <autoFilter ref="B2:I144" xr:uid="{37B81C7B-3D02-4379-9AAE-4186B15F4DEC}"/>
  <conditionalFormatting sqref="C144:I144 B1:B1048576">
    <cfRule type="duplicateValues" dxfId="1" priority="1"/>
  </conditionalFormatting>
  <dataValidations count="3">
    <dataValidation type="list" allowBlank="1" showInputMessage="1" showErrorMessage="1" sqref="H3:H143" xr:uid="{FC1DA344-D99F-4053-BA88-B93D0C5D5AA6}">
      <formula1>$M$3:$M$7</formula1>
    </dataValidation>
    <dataValidation type="list" allowBlank="1" showInputMessage="1" showErrorMessage="1" sqref="G4" xr:uid="{2C050C9B-B016-4672-BD20-EB7B0DD05FE5}">
      <formula1>$L$3:$L$18</formula1>
    </dataValidation>
    <dataValidation type="list" showInputMessage="1" showErrorMessage="1" sqref="G3 F128:G128 G5:G127 G129:G143" xr:uid="{F291279C-0E98-42DB-AA81-7AFCBC66B132}">
      <formula1>$L$3:$L$12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D51A-3D82-462F-B85C-DF7B4CC875FA}">
  <sheetPr codeName="Sheet3"/>
  <dimension ref="B1:P143"/>
  <sheetViews>
    <sheetView showGridLines="0" topLeftCell="C16" zoomScale="80" zoomScaleNormal="80" workbookViewId="0">
      <selection activeCell="L38" sqref="L38"/>
    </sheetView>
  </sheetViews>
  <sheetFormatPr defaultColWidth="9.140625" defaultRowHeight="15" x14ac:dyDescent="0.25"/>
  <cols>
    <col min="1" max="1" width="2" style="1" customWidth="1"/>
    <col min="2" max="2" width="17.7109375" style="1" bestFit="1" customWidth="1"/>
    <col min="3" max="3" width="65.5703125" style="1" bestFit="1" customWidth="1"/>
    <col min="4" max="4" width="46.7109375" style="1" bestFit="1" customWidth="1"/>
    <col min="5" max="5" width="12.28515625" style="1" hidden="1" customWidth="1"/>
    <col min="6" max="6" width="24.85546875" style="1" bestFit="1" customWidth="1"/>
    <col min="7" max="7" width="28" style="1" customWidth="1"/>
    <col min="8" max="8" width="19.28515625" style="1" bestFit="1" customWidth="1"/>
    <col min="9" max="10" width="2" style="1" customWidth="1"/>
    <col min="11" max="11" width="26" style="1" customWidth="1"/>
    <col min="12" max="12" width="20.28515625" style="1" bestFit="1" customWidth="1"/>
    <col min="13" max="13" width="11.85546875" style="1" bestFit="1" customWidth="1"/>
    <col min="14" max="14" width="16.5703125" style="1" bestFit="1" customWidth="1"/>
    <col min="15" max="15" width="20.28515625" style="1" bestFit="1" customWidth="1"/>
    <col min="16" max="16" width="12.7109375" style="1" bestFit="1" customWidth="1"/>
    <col min="17" max="16384" width="9.140625" style="1"/>
  </cols>
  <sheetData>
    <row r="1" spans="2:12" ht="7.5" customHeight="1" x14ac:dyDescent="0.25"/>
    <row r="2" spans="2:12" x14ac:dyDescent="0.25">
      <c r="B2" s="19" t="s">
        <v>0</v>
      </c>
      <c r="C2" s="19" t="s">
        <v>1</v>
      </c>
      <c r="D2" s="19" t="s">
        <v>284</v>
      </c>
      <c r="E2" s="19" t="s">
        <v>300</v>
      </c>
      <c r="F2" s="19" t="s">
        <v>294</v>
      </c>
      <c r="G2" s="19" t="s">
        <v>299</v>
      </c>
      <c r="H2" s="19" t="s">
        <v>301</v>
      </c>
      <c r="K2" s="20" t="s">
        <v>295</v>
      </c>
      <c r="L2" s="20" t="s">
        <v>298</v>
      </c>
    </row>
    <row r="3" spans="2:12" x14ac:dyDescent="0.25">
      <c r="B3" s="2" t="s">
        <v>440</v>
      </c>
      <c r="C3" s="9" t="s">
        <v>289</v>
      </c>
      <c r="D3" s="22" t="s">
        <v>290</v>
      </c>
      <c r="E3" s="9"/>
      <c r="F3" s="9" t="s">
        <v>815</v>
      </c>
      <c r="G3" s="9" t="s">
        <v>823</v>
      </c>
      <c r="H3" s="9"/>
      <c r="K3" s="2" t="s">
        <v>815</v>
      </c>
      <c r="L3" s="2" t="s">
        <v>814</v>
      </c>
    </row>
    <row r="4" spans="2:12" x14ac:dyDescent="0.25">
      <c r="B4" s="21" t="s">
        <v>761</v>
      </c>
      <c r="C4" s="25" t="s">
        <v>750</v>
      </c>
      <c r="D4" s="9" t="s">
        <v>751</v>
      </c>
      <c r="E4" s="9"/>
      <c r="F4" s="11" t="s">
        <v>293</v>
      </c>
      <c r="G4" s="9" t="s">
        <v>814</v>
      </c>
      <c r="H4" s="9"/>
      <c r="K4" s="2"/>
      <c r="L4" s="2" t="s">
        <v>816</v>
      </c>
    </row>
    <row r="5" spans="2:12" x14ac:dyDescent="0.25">
      <c r="B5" s="23" t="s">
        <v>754</v>
      </c>
      <c r="C5" s="2" t="s">
        <v>749</v>
      </c>
      <c r="D5" s="11" t="s">
        <v>752</v>
      </c>
      <c r="E5" s="2"/>
      <c r="F5" s="9" t="s">
        <v>293</v>
      </c>
      <c r="G5" s="9" t="s">
        <v>814</v>
      </c>
      <c r="H5" s="2"/>
      <c r="K5" s="2"/>
      <c r="L5" s="2" t="s">
        <v>817</v>
      </c>
    </row>
    <row r="6" spans="2:12" x14ac:dyDescent="0.25">
      <c r="B6" s="2" t="s">
        <v>756</v>
      </c>
      <c r="C6" s="1" t="s">
        <v>755</v>
      </c>
      <c r="D6" s="2" t="s">
        <v>752</v>
      </c>
      <c r="E6" s="2"/>
      <c r="F6" s="9" t="s">
        <v>293</v>
      </c>
      <c r="G6" s="9" t="s">
        <v>814</v>
      </c>
      <c r="H6" s="2"/>
      <c r="K6" s="2"/>
      <c r="L6" s="2" t="s">
        <v>818</v>
      </c>
    </row>
    <row r="7" spans="2:12" x14ac:dyDescent="0.25">
      <c r="B7" s="2" t="s">
        <v>757</v>
      </c>
      <c r="C7" s="2" t="s">
        <v>758</v>
      </c>
      <c r="D7" s="2" t="s">
        <v>752</v>
      </c>
      <c r="E7" s="2"/>
      <c r="F7" s="9" t="s">
        <v>293</v>
      </c>
      <c r="G7" s="9" t="s">
        <v>814</v>
      </c>
      <c r="H7" s="2"/>
      <c r="K7" s="10"/>
      <c r="L7" s="2" t="s">
        <v>819</v>
      </c>
    </row>
    <row r="8" spans="2:12" x14ac:dyDescent="0.25">
      <c r="B8" s="2" t="s">
        <v>760</v>
      </c>
      <c r="C8" s="2" t="s">
        <v>759</v>
      </c>
      <c r="D8" s="2" t="s">
        <v>752</v>
      </c>
      <c r="E8" s="2"/>
      <c r="F8" s="9" t="s">
        <v>293</v>
      </c>
      <c r="G8" s="9" t="s">
        <v>814</v>
      </c>
      <c r="H8" s="2"/>
      <c r="K8" s="2"/>
      <c r="L8" s="2" t="s">
        <v>820</v>
      </c>
    </row>
    <row r="9" spans="2:12" x14ac:dyDescent="0.25">
      <c r="B9" s="2" t="s">
        <v>753</v>
      </c>
      <c r="C9" s="9" t="s">
        <v>762</v>
      </c>
      <c r="D9" s="9" t="s">
        <v>752</v>
      </c>
      <c r="E9" s="9"/>
      <c r="F9" s="9" t="s">
        <v>293</v>
      </c>
      <c r="G9" s="9" t="s">
        <v>814</v>
      </c>
      <c r="H9" s="9"/>
      <c r="K9" s="2"/>
      <c r="L9" s="2" t="s">
        <v>821</v>
      </c>
    </row>
    <row r="10" spans="2:12" x14ac:dyDescent="0.25">
      <c r="B10" s="2" t="s">
        <v>763</v>
      </c>
      <c r="C10" s="2" t="s">
        <v>764</v>
      </c>
      <c r="D10" s="2" t="s">
        <v>752</v>
      </c>
      <c r="E10" s="2"/>
      <c r="F10" s="9" t="s">
        <v>293</v>
      </c>
      <c r="G10" s="9" t="s">
        <v>814</v>
      </c>
      <c r="H10" s="2"/>
      <c r="K10" s="2"/>
      <c r="L10" s="2" t="s">
        <v>822</v>
      </c>
    </row>
    <row r="11" spans="2:12" x14ac:dyDescent="0.25">
      <c r="B11" s="2" t="s">
        <v>765</v>
      </c>
      <c r="C11" s="2" t="s">
        <v>766</v>
      </c>
      <c r="D11" s="2" t="s">
        <v>767</v>
      </c>
      <c r="E11" s="2"/>
      <c r="F11" s="9" t="s">
        <v>293</v>
      </c>
      <c r="G11" s="9" t="s">
        <v>821</v>
      </c>
      <c r="H11" s="2"/>
      <c r="K11" s="2"/>
      <c r="L11" s="2" t="s">
        <v>823</v>
      </c>
    </row>
    <row r="12" spans="2:12" x14ac:dyDescent="0.25">
      <c r="B12" s="2" t="s">
        <v>768</v>
      </c>
      <c r="C12" s="9" t="s">
        <v>769</v>
      </c>
      <c r="D12" s="9" t="s">
        <v>770</v>
      </c>
      <c r="E12" s="2"/>
      <c r="F12" s="9" t="s">
        <v>293</v>
      </c>
      <c r="G12" s="9" t="s">
        <v>824</v>
      </c>
      <c r="H12" s="2"/>
      <c r="K12" s="2"/>
      <c r="L12" s="2" t="s">
        <v>824</v>
      </c>
    </row>
    <row r="13" spans="2:12" x14ac:dyDescent="0.25">
      <c r="B13" s="2" t="s">
        <v>827</v>
      </c>
      <c r="C13" s="9" t="s">
        <v>771</v>
      </c>
      <c r="D13" s="9" t="s">
        <v>772</v>
      </c>
      <c r="E13" s="2"/>
      <c r="F13" s="9" t="s">
        <v>293</v>
      </c>
      <c r="G13" s="9" t="s">
        <v>816</v>
      </c>
      <c r="H13" s="2"/>
    </row>
    <row r="14" spans="2:12" x14ac:dyDescent="0.25">
      <c r="B14" s="2" t="s">
        <v>773</v>
      </c>
      <c r="C14" s="9" t="s">
        <v>774</v>
      </c>
      <c r="D14" s="9" t="s">
        <v>772</v>
      </c>
      <c r="E14" s="2"/>
      <c r="F14" s="9" t="s">
        <v>293</v>
      </c>
      <c r="G14" s="9" t="s">
        <v>816</v>
      </c>
      <c r="H14" s="2"/>
    </row>
    <row r="15" spans="2:12" x14ac:dyDescent="0.25">
      <c r="B15" s="2" t="s">
        <v>775</v>
      </c>
      <c r="C15" s="2" t="s">
        <v>776</v>
      </c>
      <c r="D15" s="2" t="s">
        <v>772</v>
      </c>
      <c r="E15" s="2"/>
      <c r="F15" s="9" t="s">
        <v>293</v>
      </c>
      <c r="G15" s="9" t="s">
        <v>816</v>
      </c>
      <c r="H15" s="2"/>
    </row>
    <row r="16" spans="2:12" x14ac:dyDescent="0.25">
      <c r="B16" s="2" t="s">
        <v>777</v>
      </c>
      <c r="C16" s="9" t="s">
        <v>778</v>
      </c>
      <c r="D16" s="9" t="s">
        <v>772</v>
      </c>
      <c r="E16" s="2"/>
      <c r="F16" s="9" t="s">
        <v>293</v>
      </c>
      <c r="G16" s="9" t="s">
        <v>816</v>
      </c>
      <c r="H16" s="9"/>
    </row>
    <row r="17" spans="2:16" x14ac:dyDescent="0.25">
      <c r="B17" s="2" t="s">
        <v>779</v>
      </c>
      <c r="C17" s="9" t="s">
        <v>780</v>
      </c>
      <c r="D17" s="9" t="s">
        <v>772</v>
      </c>
      <c r="E17" s="2"/>
      <c r="F17" s="9" t="s">
        <v>293</v>
      </c>
      <c r="G17" s="9" t="s">
        <v>816</v>
      </c>
      <c r="H17" s="9"/>
    </row>
    <row r="18" spans="2:16" x14ac:dyDescent="0.25">
      <c r="B18" s="2" t="s">
        <v>781</v>
      </c>
      <c r="C18" s="9" t="s">
        <v>782</v>
      </c>
      <c r="D18" s="9" t="s">
        <v>772</v>
      </c>
      <c r="E18" s="9"/>
      <c r="F18" s="9" t="s">
        <v>293</v>
      </c>
      <c r="G18" s="9" t="s">
        <v>816</v>
      </c>
      <c r="H18" s="9"/>
    </row>
    <row r="19" spans="2:16" x14ac:dyDescent="0.25">
      <c r="B19" s="2" t="s">
        <v>783</v>
      </c>
      <c r="C19" s="9" t="s">
        <v>784</v>
      </c>
      <c r="D19" s="9" t="s">
        <v>785</v>
      </c>
      <c r="E19" s="9"/>
      <c r="F19" s="9" t="s">
        <v>293</v>
      </c>
      <c r="G19" s="9" t="s">
        <v>816</v>
      </c>
      <c r="H19" s="9"/>
    </row>
    <row r="20" spans="2:16" x14ac:dyDescent="0.25">
      <c r="B20" s="2" t="s">
        <v>786</v>
      </c>
      <c r="C20" s="9" t="s">
        <v>787</v>
      </c>
      <c r="D20" s="9" t="s">
        <v>785</v>
      </c>
      <c r="E20" s="9"/>
      <c r="F20" s="9" t="s">
        <v>293</v>
      </c>
      <c r="G20" s="9" t="s">
        <v>816</v>
      </c>
      <c r="H20" s="9"/>
    </row>
    <row r="21" spans="2:16" x14ac:dyDescent="0.25">
      <c r="B21" s="2" t="s">
        <v>788</v>
      </c>
      <c r="C21" s="9" t="s">
        <v>789</v>
      </c>
      <c r="D21" s="9" t="s">
        <v>785</v>
      </c>
      <c r="E21" s="2"/>
      <c r="F21" s="9" t="s">
        <v>293</v>
      </c>
      <c r="G21" s="9" t="s">
        <v>816</v>
      </c>
      <c r="H21" s="2"/>
    </row>
    <row r="22" spans="2:16" x14ac:dyDescent="0.25">
      <c r="B22" s="2" t="s">
        <v>790</v>
      </c>
      <c r="C22" s="9" t="s">
        <v>791</v>
      </c>
      <c r="D22" s="9" t="s">
        <v>785</v>
      </c>
      <c r="E22" s="2"/>
      <c r="F22" s="9" t="s">
        <v>293</v>
      </c>
      <c r="G22" s="9" t="s">
        <v>816</v>
      </c>
      <c r="H22" s="2"/>
      <c r="N22" s="1" t="s">
        <v>812</v>
      </c>
      <c r="O22" s="1" t="s">
        <v>813</v>
      </c>
      <c r="P22" s="1" t="s">
        <v>295</v>
      </c>
    </row>
    <row r="23" spans="2:16" x14ac:dyDescent="0.25">
      <c r="B23" s="2" t="s">
        <v>792</v>
      </c>
      <c r="C23" s="9" t="s">
        <v>793</v>
      </c>
      <c r="D23" s="9" t="s">
        <v>785</v>
      </c>
      <c r="E23" s="2"/>
      <c r="F23" s="9" t="s">
        <v>293</v>
      </c>
      <c r="G23" s="9" t="s">
        <v>814</v>
      </c>
      <c r="H23" s="2"/>
      <c r="N23" s="1">
        <v>14</v>
      </c>
      <c r="O23" s="1" t="s">
        <v>814</v>
      </c>
      <c r="P23" s="1" t="s">
        <v>815</v>
      </c>
    </row>
    <row r="24" spans="2:16" x14ac:dyDescent="0.25">
      <c r="B24" s="2" t="s">
        <v>794</v>
      </c>
      <c r="C24" s="1" t="s">
        <v>795</v>
      </c>
      <c r="D24" s="9" t="s">
        <v>62</v>
      </c>
      <c r="E24" s="2"/>
      <c r="F24" s="9" t="s">
        <v>293</v>
      </c>
      <c r="G24" s="9" t="s">
        <v>822</v>
      </c>
      <c r="H24" s="2"/>
      <c r="N24" s="1">
        <v>15</v>
      </c>
      <c r="O24" s="1" t="s">
        <v>816</v>
      </c>
      <c r="P24" s="1" t="s">
        <v>815</v>
      </c>
    </row>
    <row r="25" spans="2:16" x14ac:dyDescent="0.25">
      <c r="B25" s="2" t="s">
        <v>796</v>
      </c>
      <c r="C25" s="9" t="s">
        <v>797</v>
      </c>
      <c r="D25" s="11" t="s">
        <v>798</v>
      </c>
      <c r="E25" s="2"/>
      <c r="F25" s="9" t="s">
        <v>293</v>
      </c>
      <c r="G25" s="9" t="s">
        <v>817</v>
      </c>
      <c r="H25" s="2"/>
      <c r="N25" s="1">
        <v>16</v>
      </c>
      <c r="O25" s="1" t="s">
        <v>817</v>
      </c>
      <c r="P25" s="1" t="s">
        <v>815</v>
      </c>
    </row>
    <row r="26" spans="2:16" x14ac:dyDescent="0.25">
      <c r="B26" s="2" t="s">
        <v>799</v>
      </c>
      <c r="C26" s="9" t="s">
        <v>800</v>
      </c>
      <c r="D26" s="9" t="s">
        <v>801</v>
      </c>
      <c r="E26" s="2"/>
      <c r="F26" s="9" t="s">
        <v>293</v>
      </c>
      <c r="G26" s="9" t="s">
        <v>817</v>
      </c>
      <c r="H26" s="2"/>
      <c r="N26" s="1">
        <v>17</v>
      </c>
      <c r="O26" s="1" t="s">
        <v>818</v>
      </c>
      <c r="P26" s="1" t="s">
        <v>815</v>
      </c>
    </row>
    <row r="27" spans="2:16" x14ac:dyDescent="0.25">
      <c r="B27" s="2" t="s">
        <v>802</v>
      </c>
      <c r="C27" s="9" t="s">
        <v>766</v>
      </c>
      <c r="D27" s="9" t="s">
        <v>803</v>
      </c>
      <c r="E27" s="2"/>
      <c r="F27" s="9" t="s">
        <v>293</v>
      </c>
      <c r="G27" s="9" t="s">
        <v>821</v>
      </c>
      <c r="H27" s="2"/>
      <c r="N27" s="1">
        <v>18</v>
      </c>
      <c r="O27" s="1" t="s">
        <v>819</v>
      </c>
      <c r="P27" s="1" t="s">
        <v>815</v>
      </c>
    </row>
    <row r="28" spans="2:16" x14ac:dyDescent="0.25">
      <c r="B28" s="2" t="s">
        <v>806</v>
      </c>
      <c r="C28" s="9" t="s">
        <v>805</v>
      </c>
      <c r="D28" s="9" t="s">
        <v>804</v>
      </c>
      <c r="E28" s="2"/>
      <c r="F28" s="9" t="s">
        <v>293</v>
      </c>
      <c r="G28" s="9" t="s">
        <v>816</v>
      </c>
      <c r="H28" s="2"/>
      <c r="N28" s="1">
        <v>19</v>
      </c>
      <c r="O28" s="1" t="s">
        <v>820</v>
      </c>
      <c r="P28" s="1" t="s">
        <v>815</v>
      </c>
    </row>
    <row r="29" spans="2:16" x14ac:dyDescent="0.25">
      <c r="B29" s="2" t="s">
        <v>807</v>
      </c>
      <c r="C29" s="9" t="s">
        <v>289</v>
      </c>
      <c r="D29" s="9" t="s">
        <v>290</v>
      </c>
      <c r="E29" s="2"/>
      <c r="F29" s="9" t="s">
        <v>293</v>
      </c>
      <c r="G29" s="9" t="s">
        <v>823</v>
      </c>
      <c r="H29" s="2"/>
      <c r="N29" s="1">
        <v>20</v>
      </c>
      <c r="O29" s="1" t="s">
        <v>821</v>
      </c>
      <c r="P29" s="1" t="s">
        <v>815</v>
      </c>
    </row>
    <row r="30" spans="2:16" x14ac:dyDescent="0.25">
      <c r="B30" s="2" t="s">
        <v>808</v>
      </c>
      <c r="C30" s="9" t="s">
        <v>809</v>
      </c>
      <c r="D30" s="9" t="s">
        <v>62</v>
      </c>
      <c r="E30" s="2"/>
      <c r="F30" s="9" t="s">
        <v>293</v>
      </c>
      <c r="G30" s="9" t="s">
        <v>822</v>
      </c>
      <c r="H30" s="2"/>
      <c r="N30" s="1">
        <v>21</v>
      </c>
      <c r="O30" s="1" t="s">
        <v>822</v>
      </c>
      <c r="P30" s="1" t="s">
        <v>815</v>
      </c>
    </row>
    <row r="31" spans="2:16" x14ac:dyDescent="0.25">
      <c r="B31" s="24" t="s">
        <v>810</v>
      </c>
      <c r="C31" s="9" t="s">
        <v>811</v>
      </c>
      <c r="D31" s="9" t="s">
        <v>245</v>
      </c>
      <c r="E31" s="2"/>
      <c r="F31" s="9" t="s">
        <v>293</v>
      </c>
      <c r="G31" s="9" t="s">
        <v>814</v>
      </c>
      <c r="H31" s="2"/>
      <c r="N31" s="1">
        <v>32</v>
      </c>
      <c r="O31" s="1" t="s">
        <v>823</v>
      </c>
      <c r="P31" s="1" t="s">
        <v>815</v>
      </c>
    </row>
    <row r="32" spans="2:16" x14ac:dyDescent="0.25">
      <c r="B32" s="2" t="s">
        <v>830</v>
      </c>
      <c r="C32" s="9" t="s">
        <v>829</v>
      </c>
      <c r="D32" s="9" t="s">
        <v>828</v>
      </c>
      <c r="E32" s="2"/>
      <c r="F32" s="9" t="s">
        <v>293</v>
      </c>
      <c r="G32" s="9" t="s">
        <v>822</v>
      </c>
      <c r="H32" s="2"/>
      <c r="N32" s="1">
        <v>34</v>
      </c>
      <c r="O32" s="1" t="s">
        <v>824</v>
      </c>
      <c r="P32" s="1" t="s">
        <v>815</v>
      </c>
    </row>
    <row r="33" spans="2:8" x14ac:dyDescent="0.25">
      <c r="B33" s="2" t="s">
        <v>833</v>
      </c>
      <c r="C33" s="9" t="s">
        <v>831</v>
      </c>
      <c r="D33" s="9" t="s">
        <v>832</v>
      </c>
      <c r="E33" s="2"/>
      <c r="F33" s="9" t="s">
        <v>293</v>
      </c>
      <c r="G33" s="9" t="s">
        <v>822</v>
      </c>
      <c r="H33" s="2"/>
    </row>
    <row r="34" spans="2:8" x14ac:dyDescent="0.25">
      <c r="B34" s="2"/>
      <c r="C34" s="9"/>
      <c r="D34" s="9"/>
      <c r="E34" s="2"/>
      <c r="F34" s="9"/>
      <c r="G34" s="9"/>
      <c r="H34" s="2"/>
    </row>
    <row r="35" spans="2:8" x14ac:dyDescent="0.25">
      <c r="B35" s="2"/>
      <c r="C35" s="9"/>
      <c r="D35" s="9"/>
      <c r="E35" s="2"/>
      <c r="F35" s="9"/>
      <c r="G35" s="9"/>
      <c r="H35" s="2"/>
    </row>
    <row r="36" spans="2:8" x14ac:dyDescent="0.25">
      <c r="B36" s="2"/>
      <c r="C36" s="9"/>
      <c r="D36" s="9"/>
      <c r="E36" s="2"/>
      <c r="F36" s="9"/>
      <c r="G36" s="9"/>
      <c r="H36" s="2"/>
    </row>
    <row r="37" spans="2:8" x14ac:dyDescent="0.25">
      <c r="B37" s="2"/>
      <c r="C37" s="9"/>
      <c r="D37" s="9"/>
      <c r="E37" s="2"/>
      <c r="F37" s="9"/>
      <c r="G37" s="9"/>
      <c r="H37" s="2"/>
    </row>
    <row r="38" spans="2:8" x14ac:dyDescent="0.25">
      <c r="B38" s="2"/>
      <c r="C38" s="9"/>
      <c r="D38" s="9"/>
      <c r="E38" s="2"/>
      <c r="F38" s="9"/>
      <c r="G38" s="9"/>
      <c r="H38" s="2"/>
    </row>
    <row r="39" spans="2:8" x14ac:dyDescent="0.25">
      <c r="B39" s="2"/>
      <c r="C39" s="9"/>
      <c r="D39" s="9"/>
      <c r="E39" s="2"/>
      <c r="F39" s="9"/>
      <c r="G39" s="9"/>
      <c r="H39" s="2"/>
    </row>
    <row r="40" spans="2:8" x14ac:dyDescent="0.25">
      <c r="B40" s="2"/>
      <c r="C40" s="9"/>
      <c r="D40" s="9"/>
      <c r="E40" s="2"/>
      <c r="F40" s="9"/>
      <c r="G40" s="9"/>
      <c r="H40" s="2"/>
    </row>
    <row r="41" spans="2:8" x14ac:dyDescent="0.25">
      <c r="B41" s="2"/>
      <c r="C41" s="9"/>
      <c r="D41" s="9"/>
      <c r="E41" s="2"/>
      <c r="F41" s="9"/>
      <c r="G41" s="9"/>
      <c r="H41" s="2"/>
    </row>
    <row r="42" spans="2:8" x14ac:dyDescent="0.25">
      <c r="B42" s="2"/>
      <c r="C42" s="9"/>
      <c r="D42" s="9"/>
      <c r="E42" s="2"/>
      <c r="F42" s="9"/>
      <c r="G42" s="9"/>
      <c r="H42" s="2"/>
    </row>
    <row r="43" spans="2:8" x14ac:dyDescent="0.25">
      <c r="B43" s="2"/>
      <c r="C43" s="9"/>
      <c r="D43" s="9"/>
      <c r="E43" s="2"/>
      <c r="F43" s="9"/>
      <c r="G43" s="9"/>
      <c r="H43" s="2"/>
    </row>
    <row r="44" spans="2:8" x14ac:dyDescent="0.25">
      <c r="B44" s="2"/>
      <c r="C44" s="9"/>
      <c r="D44" s="9"/>
      <c r="E44" s="2"/>
      <c r="F44" s="9"/>
      <c r="G44" s="9"/>
      <c r="H44" s="2"/>
    </row>
    <row r="45" spans="2:8" x14ac:dyDescent="0.25">
      <c r="B45" s="2"/>
      <c r="C45" s="9"/>
      <c r="D45" s="9"/>
      <c r="E45" s="2"/>
      <c r="F45" s="9"/>
      <c r="G45" s="9"/>
      <c r="H45" s="2"/>
    </row>
    <row r="46" spans="2:8" x14ac:dyDescent="0.25">
      <c r="B46" s="2"/>
      <c r="C46" s="9"/>
      <c r="D46" s="9"/>
      <c r="E46" s="2"/>
      <c r="F46" s="9"/>
      <c r="G46" s="9"/>
      <c r="H46" s="2"/>
    </row>
    <row r="47" spans="2:8" x14ac:dyDescent="0.25">
      <c r="B47" s="2"/>
      <c r="C47" s="9"/>
      <c r="D47" s="9"/>
      <c r="E47" s="2"/>
      <c r="F47" s="9"/>
      <c r="G47" s="9"/>
      <c r="H47" s="2"/>
    </row>
    <row r="48" spans="2:8" x14ac:dyDescent="0.25">
      <c r="B48" s="2"/>
      <c r="C48" s="9"/>
      <c r="D48" s="9"/>
      <c r="E48" s="2"/>
      <c r="F48" s="9"/>
      <c r="G48" s="9"/>
      <c r="H48" s="2"/>
    </row>
    <row r="49" spans="2:8" x14ac:dyDescent="0.25">
      <c r="B49" s="2"/>
      <c r="C49" s="9"/>
      <c r="D49" s="9"/>
      <c r="E49" s="2"/>
      <c r="F49" s="9"/>
      <c r="G49" s="9"/>
      <c r="H49" s="2"/>
    </row>
    <row r="50" spans="2:8" x14ac:dyDescent="0.25">
      <c r="B50" s="2"/>
      <c r="C50" s="9"/>
      <c r="D50" s="9"/>
      <c r="E50" s="9"/>
      <c r="F50" s="9"/>
      <c r="G50" s="9"/>
      <c r="H50" s="9"/>
    </row>
    <row r="51" spans="2:8" x14ac:dyDescent="0.25">
      <c r="B51" s="2"/>
      <c r="C51" s="2"/>
      <c r="D51" s="2"/>
      <c r="E51" s="2"/>
      <c r="F51" s="9"/>
      <c r="G51" s="9"/>
      <c r="H51" s="2"/>
    </row>
    <row r="52" spans="2:8" x14ac:dyDescent="0.25">
      <c r="B52" s="2"/>
      <c r="C52" s="2"/>
      <c r="D52" s="2"/>
      <c r="E52" s="2"/>
      <c r="F52" s="9"/>
      <c r="G52" s="9"/>
      <c r="H52" s="2"/>
    </row>
    <row r="53" spans="2:8" x14ac:dyDescent="0.25">
      <c r="B53" s="2"/>
      <c r="C53" s="2"/>
      <c r="D53" s="2"/>
      <c r="E53" s="2"/>
      <c r="F53" s="9"/>
      <c r="G53" s="9"/>
      <c r="H53" s="2"/>
    </row>
    <row r="54" spans="2:8" x14ac:dyDescent="0.25">
      <c r="B54" s="2"/>
      <c r="C54" s="2"/>
      <c r="D54" s="2"/>
      <c r="E54" s="2"/>
      <c r="F54" s="9"/>
      <c r="G54" s="9"/>
      <c r="H54" s="2"/>
    </row>
    <row r="55" spans="2:8" x14ac:dyDescent="0.25">
      <c r="B55" s="2"/>
      <c r="C55" s="2"/>
      <c r="D55" s="2"/>
      <c r="E55" s="2"/>
      <c r="F55" s="9"/>
      <c r="G55" s="9"/>
      <c r="H55" s="2"/>
    </row>
    <row r="56" spans="2:8" x14ac:dyDescent="0.25">
      <c r="B56" s="2"/>
      <c r="C56" s="2"/>
      <c r="D56" s="2"/>
      <c r="E56" s="2"/>
      <c r="F56" s="9"/>
      <c r="G56" s="9"/>
      <c r="H56" s="2"/>
    </row>
    <row r="57" spans="2:8" x14ac:dyDescent="0.25">
      <c r="B57" s="2"/>
      <c r="C57" s="2"/>
      <c r="D57" s="2"/>
      <c r="E57" s="2"/>
      <c r="F57" s="9"/>
      <c r="G57" s="9"/>
      <c r="H57" s="2"/>
    </row>
    <row r="58" spans="2:8" x14ac:dyDescent="0.25">
      <c r="B58" s="2"/>
      <c r="C58" s="2"/>
      <c r="D58" s="2"/>
      <c r="E58" s="2"/>
      <c r="F58" s="9"/>
      <c r="G58" s="9"/>
      <c r="H58" s="2"/>
    </row>
    <row r="59" spans="2:8" x14ac:dyDescent="0.25">
      <c r="B59" s="2"/>
      <c r="C59" s="2"/>
      <c r="D59" s="2"/>
      <c r="E59" s="2"/>
      <c r="F59" s="9"/>
      <c r="G59" s="9"/>
      <c r="H59" s="2"/>
    </row>
    <row r="60" spans="2:8" x14ac:dyDescent="0.25">
      <c r="B60" s="2"/>
      <c r="C60" s="2"/>
      <c r="D60" s="2"/>
      <c r="E60" s="2"/>
      <c r="F60" s="9"/>
      <c r="G60" s="9"/>
      <c r="H60" s="2"/>
    </row>
    <row r="61" spans="2:8" x14ac:dyDescent="0.25">
      <c r="B61" s="2"/>
      <c r="C61" s="2"/>
      <c r="D61" s="2"/>
      <c r="E61" s="2"/>
      <c r="F61" s="9"/>
      <c r="G61" s="9"/>
      <c r="H61" s="2"/>
    </row>
    <row r="62" spans="2:8" x14ac:dyDescent="0.25">
      <c r="B62" s="2"/>
      <c r="C62" s="2"/>
      <c r="D62" s="2"/>
      <c r="E62" s="2"/>
      <c r="F62" s="9"/>
      <c r="G62" s="9"/>
      <c r="H62" s="2"/>
    </row>
    <row r="63" spans="2:8" x14ac:dyDescent="0.25">
      <c r="B63" s="2"/>
      <c r="C63" s="2"/>
      <c r="D63" s="2"/>
      <c r="E63" s="2"/>
      <c r="F63" s="9"/>
      <c r="G63" s="9"/>
      <c r="H63" s="2"/>
    </row>
    <row r="64" spans="2:8" x14ac:dyDescent="0.25">
      <c r="B64" s="2"/>
      <c r="C64" s="2"/>
      <c r="D64" s="2"/>
      <c r="E64" s="2"/>
      <c r="F64" s="9"/>
      <c r="G64" s="9"/>
      <c r="H64" s="2"/>
    </row>
    <row r="65" spans="2:8" x14ac:dyDescent="0.25">
      <c r="B65" s="2"/>
      <c r="C65" s="2"/>
      <c r="D65" s="2"/>
      <c r="E65" s="2"/>
      <c r="F65" s="9"/>
      <c r="G65" s="9"/>
      <c r="H65" s="2"/>
    </row>
    <row r="66" spans="2:8" x14ac:dyDescent="0.25">
      <c r="B66" s="2"/>
      <c r="C66" s="2"/>
      <c r="D66" s="2"/>
      <c r="E66" s="2"/>
      <c r="F66" s="9"/>
      <c r="G66" s="9"/>
      <c r="H66" s="2"/>
    </row>
    <row r="67" spans="2:8" x14ac:dyDescent="0.25">
      <c r="B67" s="2"/>
      <c r="C67" s="2"/>
      <c r="D67" s="2"/>
      <c r="E67" s="2"/>
      <c r="F67" s="9"/>
      <c r="G67" s="9"/>
      <c r="H67" s="2"/>
    </row>
    <row r="68" spans="2:8" x14ac:dyDescent="0.25">
      <c r="B68" s="2"/>
      <c r="C68" s="2"/>
      <c r="D68" s="2"/>
      <c r="E68" s="2"/>
      <c r="F68" s="9"/>
      <c r="G68" s="9"/>
      <c r="H68" s="2"/>
    </row>
    <row r="69" spans="2:8" x14ac:dyDescent="0.25">
      <c r="B69" s="2"/>
      <c r="C69" s="2"/>
      <c r="D69" s="2"/>
      <c r="E69" s="2"/>
      <c r="F69" s="9"/>
      <c r="G69" s="9"/>
      <c r="H69" s="2"/>
    </row>
    <row r="70" spans="2:8" x14ac:dyDescent="0.25">
      <c r="B70" s="2"/>
      <c r="C70" s="2"/>
      <c r="D70" s="2"/>
      <c r="E70" s="2"/>
      <c r="F70" s="9"/>
      <c r="G70" s="9"/>
      <c r="H70" s="2"/>
    </row>
    <row r="71" spans="2:8" x14ac:dyDescent="0.25">
      <c r="B71" s="2"/>
      <c r="C71" s="2"/>
      <c r="D71" s="2"/>
      <c r="E71" s="2"/>
      <c r="F71" s="9"/>
      <c r="G71" s="9"/>
      <c r="H71" s="2"/>
    </row>
    <row r="72" spans="2:8" x14ac:dyDescent="0.25">
      <c r="B72" s="2"/>
      <c r="C72" s="2"/>
      <c r="D72" s="2"/>
      <c r="E72" s="2"/>
      <c r="F72" s="9"/>
      <c r="G72" s="9"/>
      <c r="H72" s="2"/>
    </row>
    <row r="73" spans="2:8" x14ac:dyDescent="0.25">
      <c r="B73" s="2"/>
      <c r="C73" s="2"/>
      <c r="D73" s="2"/>
      <c r="E73" s="2"/>
      <c r="F73" s="9"/>
      <c r="G73" s="9"/>
      <c r="H73" s="2"/>
    </row>
    <row r="74" spans="2:8" x14ac:dyDescent="0.25">
      <c r="B74" s="2"/>
      <c r="C74" s="2"/>
      <c r="D74" s="2"/>
      <c r="E74" s="2"/>
      <c r="F74" s="9"/>
      <c r="G74" s="9"/>
      <c r="H74" s="2"/>
    </row>
    <row r="75" spans="2:8" x14ac:dyDescent="0.25">
      <c r="B75" s="2"/>
      <c r="C75" s="2"/>
      <c r="D75" s="2"/>
      <c r="E75" s="2"/>
      <c r="F75" s="9"/>
      <c r="G75" s="9"/>
      <c r="H75" s="2"/>
    </row>
    <row r="76" spans="2:8" x14ac:dyDescent="0.25">
      <c r="B76" s="2"/>
      <c r="C76" s="2"/>
      <c r="D76" s="2"/>
      <c r="E76" s="2"/>
      <c r="F76" s="9"/>
      <c r="G76" s="9"/>
      <c r="H76" s="2"/>
    </row>
    <row r="77" spans="2:8" x14ac:dyDescent="0.25">
      <c r="B77" s="2"/>
      <c r="C77" s="2"/>
      <c r="D77" s="2"/>
      <c r="E77" s="2"/>
      <c r="F77" s="9"/>
      <c r="G77" s="9"/>
      <c r="H77" s="2"/>
    </row>
    <row r="78" spans="2:8" x14ac:dyDescent="0.25">
      <c r="B78" s="2"/>
      <c r="C78" s="2"/>
      <c r="D78" s="2"/>
      <c r="E78" s="2"/>
      <c r="F78" s="9"/>
      <c r="G78" s="9"/>
      <c r="H78" s="2"/>
    </row>
    <row r="79" spans="2:8" x14ac:dyDescent="0.25">
      <c r="B79" s="2"/>
      <c r="C79" s="2"/>
      <c r="D79" s="2"/>
      <c r="E79" s="2"/>
      <c r="F79" s="9"/>
      <c r="G79" s="9"/>
      <c r="H79" s="2"/>
    </row>
    <row r="80" spans="2:8" x14ac:dyDescent="0.25">
      <c r="B80" s="2"/>
      <c r="C80" s="9"/>
      <c r="D80" s="9"/>
      <c r="E80" s="2"/>
      <c r="F80" s="9"/>
      <c r="G80" s="9"/>
      <c r="H80" s="2"/>
    </row>
    <row r="81" spans="2:8" x14ac:dyDescent="0.25">
      <c r="B81" s="2"/>
      <c r="C81" s="9"/>
      <c r="D81" s="9"/>
      <c r="E81" s="2"/>
      <c r="F81" s="9"/>
      <c r="G81" s="9"/>
      <c r="H81" s="2"/>
    </row>
    <row r="82" spans="2:8" x14ac:dyDescent="0.25">
      <c r="B82" s="2"/>
      <c r="C82" s="9"/>
      <c r="D82" s="9"/>
      <c r="E82" s="2"/>
      <c r="F82" s="9"/>
      <c r="G82" s="9"/>
      <c r="H82" s="2"/>
    </row>
    <row r="83" spans="2:8" x14ac:dyDescent="0.25">
      <c r="B83" s="2"/>
      <c r="C83" s="9"/>
      <c r="D83" s="9"/>
      <c r="E83" s="2"/>
      <c r="F83" s="9"/>
      <c r="G83" s="9"/>
      <c r="H83" s="2"/>
    </row>
    <row r="84" spans="2:8" x14ac:dyDescent="0.25">
      <c r="B84" s="2"/>
      <c r="C84" s="9"/>
      <c r="D84" s="9"/>
      <c r="E84" s="2"/>
      <c r="F84" s="9"/>
      <c r="G84" s="9"/>
      <c r="H84" s="2"/>
    </row>
    <row r="85" spans="2:8" x14ac:dyDescent="0.25">
      <c r="B85" s="2"/>
      <c r="C85" s="9"/>
      <c r="D85" s="9"/>
      <c r="E85" s="2"/>
      <c r="F85" s="9"/>
      <c r="G85" s="9"/>
      <c r="H85" s="2"/>
    </row>
    <row r="86" spans="2:8" x14ac:dyDescent="0.25">
      <c r="B86" s="2"/>
      <c r="C86" s="2"/>
      <c r="D86" s="2"/>
      <c r="E86" s="2"/>
      <c r="F86" s="9"/>
      <c r="G86" s="9"/>
      <c r="H86" s="2"/>
    </row>
    <row r="87" spans="2:8" x14ac:dyDescent="0.25">
      <c r="B87" s="2"/>
      <c r="C87" s="2"/>
      <c r="D87" s="2"/>
      <c r="E87" s="2"/>
      <c r="F87" s="9"/>
      <c r="G87" s="9"/>
      <c r="H87" s="2"/>
    </row>
    <row r="88" spans="2:8" x14ac:dyDescent="0.25">
      <c r="B88" s="2"/>
      <c r="C88" s="2"/>
      <c r="D88" s="2"/>
      <c r="E88" s="2"/>
      <c r="F88" s="9"/>
      <c r="G88" s="9"/>
      <c r="H88" s="2"/>
    </row>
    <row r="89" spans="2:8" x14ac:dyDescent="0.25">
      <c r="B89" s="2"/>
      <c r="C89" s="2"/>
      <c r="D89" s="2"/>
      <c r="E89" s="2"/>
      <c r="F89" s="9"/>
      <c r="G89" s="9"/>
      <c r="H89" s="2"/>
    </row>
    <row r="90" spans="2:8" x14ac:dyDescent="0.25">
      <c r="B90" s="2"/>
      <c r="C90" s="2"/>
      <c r="D90" s="2"/>
      <c r="E90" s="2"/>
      <c r="F90" s="9"/>
      <c r="G90" s="9"/>
      <c r="H90" s="2"/>
    </row>
    <row r="91" spans="2:8" x14ac:dyDescent="0.25">
      <c r="B91" s="2"/>
      <c r="C91" s="2"/>
      <c r="D91" s="2"/>
      <c r="E91" s="2"/>
      <c r="F91" s="9"/>
      <c r="G91" s="9"/>
      <c r="H91" s="2"/>
    </row>
    <row r="92" spans="2:8" x14ac:dyDescent="0.25">
      <c r="B92" s="2"/>
      <c r="C92" s="2"/>
      <c r="D92" s="2"/>
      <c r="E92" s="2"/>
      <c r="F92" s="9"/>
      <c r="G92" s="9"/>
      <c r="H92" s="2"/>
    </row>
    <row r="93" spans="2:8" x14ac:dyDescent="0.25">
      <c r="B93" s="2"/>
      <c r="C93" s="2"/>
      <c r="D93" s="2"/>
      <c r="E93" s="2"/>
      <c r="F93" s="9"/>
      <c r="G93" s="9"/>
      <c r="H93" s="2"/>
    </row>
    <row r="94" spans="2:8" x14ac:dyDescent="0.25">
      <c r="B94" s="2"/>
      <c r="C94" s="2"/>
      <c r="D94" s="2"/>
      <c r="E94" s="2"/>
      <c r="F94" s="9"/>
      <c r="G94" s="9"/>
      <c r="H94" s="2"/>
    </row>
    <row r="95" spans="2:8" x14ac:dyDescent="0.25">
      <c r="B95" s="2"/>
      <c r="C95" s="2"/>
      <c r="D95" s="2"/>
      <c r="E95" s="2"/>
      <c r="F95" s="9"/>
      <c r="G95" s="9"/>
      <c r="H95" s="2"/>
    </row>
    <row r="96" spans="2:8" x14ac:dyDescent="0.25">
      <c r="B96" s="2"/>
      <c r="C96" s="2"/>
      <c r="D96" s="2"/>
      <c r="E96" s="2"/>
      <c r="F96" s="9"/>
      <c r="G96" s="9"/>
      <c r="H96" s="2"/>
    </row>
    <row r="97" spans="2:8" x14ac:dyDescent="0.25">
      <c r="B97" s="2"/>
      <c r="C97" s="2"/>
      <c r="D97" s="2"/>
      <c r="E97" s="2"/>
      <c r="F97" s="9"/>
      <c r="G97" s="9"/>
      <c r="H97" s="2"/>
    </row>
    <row r="98" spans="2:8" x14ac:dyDescent="0.25">
      <c r="B98" s="2"/>
      <c r="C98" s="2"/>
      <c r="D98" s="2"/>
      <c r="E98" s="2"/>
      <c r="F98" s="9"/>
      <c r="G98" s="9"/>
      <c r="H98" s="2"/>
    </row>
    <row r="99" spans="2:8" x14ac:dyDescent="0.25">
      <c r="B99" s="2"/>
      <c r="C99" s="2"/>
      <c r="D99" s="2"/>
      <c r="E99" s="2"/>
      <c r="F99" s="9"/>
      <c r="G99" s="9"/>
      <c r="H99" s="2"/>
    </row>
    <row r="100" spans="2:8" x14ac:dyDescent="0.25">
      <c r="B100" s="2"/>
      <c r="C100" s="2"/>
      <c r="D100" s="2"/>
      <c r="E100" s="2"/>
      <c r="F100" s="9"/>
      <c r="G100" s="9"/>
      <c r="H100" s="2"/>
    </row>
    <row r="101" spans="2:8" x14ac:dyDescent="0.25">
      <c r="B101" s="2"/>
      <c r="C101" s="2"/>
      <c r="D101" s="2"/>
      <c r="E101" s="2"/>
      <c r="F101" s="9"/>
      <c r="G101" s="9"/>
      <c r="H101" s="2"/>
    </row>
    <row r="102" spans="2:8" x14ac:dyDescent="0.25">
      <c r="B102" s="2"/>
      <c r="C102" s="2"/>
      <c r="D102" s="2"/>
      <c r="E102" s="2"/>
      <c r="F102" s="9"/>
      <c r="G102" s="9"/>
      <c r="H102" s="2"/>
    </row>
    <row r="103" spans="2:8" x14ac:dyDescent="0.25">
      <c r="B103" s="2"/>
      <c r="C103" s="2"/>
      <c r="D103" s="2"/>
      <c r="E103" s="2"/>
      <c r="F103" s="9"/>
      <c r="G103" s="9"/>
      <c r="H103" s="2"/>
    </row>
    <row r="104" spans="2:8" x14ac:dyDescent="0.25">
      <c r="B104" s="2"/>
      <c r="C104" s="2"/>
      <c r="D104" s="2"/>
      <c r="E104" s="2"/>
      <c r="F104" s="9"/>
      <c r="G104" s="9"/>
      <c r="H104" s="2"/>
    </row>
    <row r="105" spans="2:8" x14ac:dyDescent="0.25">
      <c r="B105" s="2"/>
      <c r="C105" s="2"/>
      <c r="D105" s="2"/>
      <c r="E105" s="2"/>
      <c r="F105" s="9"/>
      <c r="G105" s="9"/>
      <c r="H105" s="2"/>
    </row>
    <row r="106" spans="2:8" x14ac:dyDescent="0.25">
      <c r="B106" s="2"/>
      <c r="C106" s="2"/>
      <c r="D106" s="2"/>
      <c r="E106" s="2"/>
      <c r="F106" s="9"/>
      <c r="G106" s="9"/>
      <c r="H106" s="2"/>
    </row>
    <row r="107" spans="2:8" x14ac:dyDescent="0.25">
      <c r="B107" s="2"/>
      <c r="C107" s="2"/>
      <c r="D107" s="2"/>
      <c r="E107" s="2"/>
      <c r="F107" s="9"/>
      <c r="G107" s="9"/>
      <c r="H107" s="2"/>
    </row>
    <row r="108" spans="2:8" x14ac:dyDescent="0.25">
      <c r="B108" s="2"/>
      <c r="C108" s="2"/>
      <c r="D108" s="2"/>
      <c r="E108" s="2"/>
      <c r="F108" s="9"/>
      <c r="G108" s="9"/>
      <c r="H108" s="2"/>
    </row>
    <row r="109" spans="2:8" x14ac:dyDescent="0.25">
      <c r="B109" s="2"/>
      <c r="C109" s="2"/>
      <c r="D109" s="2"/>
      <c r="E109" s="2"/>
      <c r="F109" s="9"/>
      <c r="G109" s="9"/>
      <c r="H109" s="2"/>
    </row>
    <row r="110" spans="2:8" x14ac:dyDescent="0.25">
      <c r="B110" s="2"/>
      <c r="C110" s="2"/>
      <c r="D110" s="2"/>
      <c r="E110" s="2"/>
      <c r="F110" s="9"/>
      <c r="G110" s="9"/>
      <c r="H110" s="2"/>
    </row>
    <row r="111" spans="2:8" x14ac:dyDescent="0.25">
      <c r="B111" s="2"/>
      <c r="C111" s="2"/>
      <c r="D111" s="2"/>
      <c r="E111" s="2"/>
      <c r="F111" s="9"/>
      <c r="G111" s="9"/>
      <c r="H111" s="2"/>
    </row>
    <row r="112" spans="2:8" x14ac:dyDescent="0.25">
      <c r="B112" s="2"/>
      <c r="C112" s="2"/>
      <c r="D112" s="2"/>
      <c r="E112" s="2"/>
      <c r="F112" s="9"/>
      <c r="G112" s="9"/>
      <c r="H112" s="2"/>
    </row>
    <row r="113" spans="2:8" x14ac:dyDescent="0.25">
      <c r="B113" s="2"/>
      <c r="C113" s="2"/>
      <c r="D113" s="2"/>
      <c r="E113" s="2"/>
      <c r="F113" s="9"/>
      <c r="G113" s="9"/>
      <c r="H113" s="2"/>
    </row>
    <row r="114" spans="2:8" x14ac:dyDescent="0.25">
      <c r="B114" s="2"/>
      <c r="C114" s="2"/>
      <c r="D114" s="2"/>
      <c r="E114" s="2"/>
      <c r="F114" s="9"/>
      <c r="G114" s="9"/>
      <c r="H114" s="2"/>
    </row>
    <row r="115" spans="2:8" x14ac:dyDescent="0.25">
      <c r="B115" s="2"/>
      <c r="C115" s="2"/>
      <c r="D115" s="2"/>
      <c r="E115" s="2"/>
      <c r="F115" s="9"/>
      <c r="G115" s="9"/>
      <c r="H115" s="2"/>
    </row>
    <row r="116" spans="2:8" x14ac:dyDescent="0.25">
      <c r="B116" s="2"/>
      <c r="C116" s="2"/>
      <c r="D116" s="2"/>
      <c r="E116" s="2"/>
      <c r="F116" s="9"/>
      <c r="G116" s="9"/>
      <c r="H116" s="2"/>
    </row>
    <row r="117" spans="2:8" x14ac:dyDescent="0.25">
      <c r="B117" s="2"/>
      <c r="C117" s="2"/>
      <c r="D117" s="2"/>
      <c r="E117" s="2"/>
      <c r="F117" s="9"/>
      <c r="G117" s="9"/>
      <c r="H117" s="2"/>
    </row>
    <row r="118" spans="2:8" x14ac:dyDescent="0.25">
      <c r="B118" s="2"/>
      <c r="C118" s="2"/>
      <c r="D118" s="2"/>
      <c r="E118" s="2"/>
      <c r="F118" s="9"/>
      <c r="G118" s="9"/>
      <c r="H118" s="2"/>
    </row>
    <row r="119" spans="2:8" x14ac:dyDescent="0.25">
      <c r="B119" s="2"/>
      <c r="C119" s="2"/>
      <c r="D119" s="2"/>
      <c r="E119" s="2"/>
      <c r="F119" s="9"/>
      <c r="G119" s="9"/>
      <c r="H119" s="2"/>
    </row>
    <row r="120" spans="2:8" x14ac:dyDescent="0.25">
      <c r="B120" s="2"/>
      <c r="C120" s="2"/>
      <c r="D120" s="2"/>
      <c r="E120" s="2"/>
      <c r="F120" s="9"/>
      <c r="G120" s="9"/>
      <c r="H120" s="2"/>
    </row>
    <row r="121" spans="2:8" x14ac:dyDescent="0.25">
      <c r="B121" s="2"/>
      <c r="C121" s="2"/>
      <c r="D121" s="2"/>
      <c r="E121" s="2"/>
      <c r="F121" s="9"/>
      <c r="G121" s="9"/>
      <c r="H121" s="2"/>
    </row>
    <row r="122" spans="2:8" x14ac:dyDescent="0.25">
      <c r="B122" s="2"/>
      <c r="C122" s="2"/>
      <c r="D122" s="2"/>
      <c r="E122" s="2"/>
      <c r="F122" s="9"/>
      <c r="G122" s="9"/>
      <c r="H122" s="2"/>
    </row>
    <row r="123" spans="2:8" x14ac:dyDescent="0.25">
      <c r="B123" s="2"/>
      <c r="C123" s="2"/>
      <c r="D123" s="2"/>
      <c r="E123" s="2"/>
      <c r="F123" s="9"/>
      <c r="G123" s="9"/>
      <c r="H123" s="2"/>
    </row>
    <row r="124" spans="2:8" x14ac:dyDescent="0.25">
      <c r="B124" s="2"/>
      <c r="C124" s="2"/>
      <c r="D124" s="2"/>
      <c r="E124" s="2"/>
      <c r="F124" s="9"/>
      <c r="G124" s="9"/>
      <c r="H124" s="2"/>
    </row>
    <row r="125" spans="2:8" x14ac:dyDescent="0.25">
      <c r="B125" s="2"/>
      <c r="C125" s="2"/>
      <c r="D125" s="2"/>
      <c r="E125" s="2"/>
      <c r="F125" s="9"/>
      <c r="G125" s="9"/>
      <c r="H125" s="2"/>
    </row>
    <row r="126" spans="2:8" x14ac:dyDescent="0.25">
      <c r="B126" s="2"/>
      <c r="C126" s="2"/>
      <c r="D126" s="2"/>
      <c r="E126" s="2"/>
      <c r="F126" s="9"/>
      <c r="G126" s="9"/>
      <c r="H126" s="2"/>
    </row>
    <row r="127" spans="2:8" x14ac:dyDescent="0.25">
      <c r="B127" s="2"/>
      <c r="C127" s="2"/>
      <c r="D127" s="2"/>
      <c r="E127" s="2"/>
      <c r="F127" s="9"/>
      <c r="G127" s="9"/>
      <c r="H127" s="2"/>
    </row>
    <row r="128" spans="2:8" x14ac:dyDescent="0.25">
      <c r="B128" s="2"/>
      <c r="C128" s="2"/>
      <c r="D128" s="2"/>
      <c r="E128" s="2"/>
      <c r="F128" s="9"/>
      <c r="G128" s="9"/>
      <c r="H128" s="2"/>
    </row>
    <row r="129" spans="2:8" x14ac:dyDescent="0.25">
      <c r="B129" s="2"/>
      <c r="C129" s="2"/>
      <c r="D129" s="2"/>
      <c r="E129" s="2"/>
      <c r="F129" s="9"/>
      <c r="G129" s="9"/>
      <c r="H129" s="2"/>
    </row>
    <row r="130" spans="2:8" x14ac:dyDescent="0.25">
      <c r="B130" s="2"/>
      <c r="C130" s="2"/>
      <c r="D130" s="2"/>
      <c r="E130" s="2"/>
      <c r="F130" s="9"/>
      <c r="G130" s="9"/>
      <c r="H130" s="2"/>
    </row>
    <row r="131" spans="2:8" x14ac:dyDescent="0.25">
      <c r="B131" s="2"/>
      <c r="C131" s="2"/>
      <c r="D131" s="2"/>
      <c r="E131" s="2"/>
      <c r="F131" s="9"/>
      <c r="G131" s="9"/>
      <c r="H131" s="2"/>
    </row>
    <row r="132" spans="2:8" x14ac:dyDescent="0.25">
      <c r="B132" s="2"/>
      <c r="C132" s="2"/>
      <c r="D132" s="2"/>
      <c r="E132" s="2"/>
      <c r="F132" s="9"/>
      <c r="G132" s="9"/>
      <c r="H132" s="2"/>
    </row>
    <row r="133" spans="2:8" x14ac:dyDescent="0.25">
      <c r="B133" s="2"/>
      <c r="C133" s="2"/>
      <c r="D133" s="2"/>
      <c r="E133" s="2"/>
      <c r="F133" s="9"/>
      <c r="G133" s="9"/>
      <c r="H133" s="2"/>
    </row>
    <row r="134" spans="2:8" x14ac:dyDescent="0.25">
      <c r="B134" s="2"/>
      <c r="C134" s="2"/>
      <c r="D134" s="2"/>
      <c r="E134" s="2"/>
      <c r="F134" s="9"/>
      <c r="G134" s="9"/>
      <c r="H134" s="2"/>
    </row>
    <row r="135" spans="2:8" x14ac:dyDescent="0.25">
      <c r="B135" s="2"/>
      <c r="C135" s="2"/>
      <c r="D135" s="2"/>
      <c r="E135" s="2"/>
      <c r="F135" s="9"/>
      <c r="G135" s="9"/>
      <c r="H135" s="2"/>
    </row>
    <row r="136" spans="2:8" x14ac:dyDescent="0.25">
      <c r="B136" s="2"/>
      <c r="C136" s="2"/>
      <c r="D136" s="2"/>
      <c r="E136" s="2"/>
      <c r="F136" s="9"/>
      <c r="G136" s="9"/>
      <c r="H136" s="2"/>
    </row>
    <row r="137" spans="2:8" x14ac:dyDescent="0.25">
      <c r="B137" s="2"/>
      <c r="C137" s="2"/>
      <c r="D137" s="2"/>
      <c r="E137" s="2"/>
      <c r="F137" s="9"/>
      <c r="G137" s="9"/>
      <c r="H137" s="2"/>
    </row>
    <row r="138" spans="2:8" x14ac:dyDescent="0.25">
      <c r="B138" s="2"/>
      <c r="C138" s="2"/>
      <c r="D138" s="2"/>
      <c r="E138" s="2"/>
      <c r="F138" s="9"/>
      <c r="G138" s="9"/>
      <c r="H138" s="2"/>
    </row>
    <row r="139" spans="2:8" x14ac:dyDescent="0.25">
      <c r="B139" s="2"/>
      <c r="C139" s="2"/>
      <c r="D139" s="2"/>
      <c r="E139" s="2"/>
      <c r="F139" s="9"/>
      <c r="G139" s="9"/>
      <c r="H139" s="2"/>
    </row>
    <row r="140" spans="2:8" x14ac:dyDescent="0.25">
      <c r="B140" s="2"/>
      <c r="C140" s="2"/>
      <c r="D140" s="2"/>
      <c r="E140" s="2"/>
      <c r="F140" s="9"/>
      <c r="G140" s="9"/>
      <c r="H140" s="2"/>
    </row>
    <row r="141" spans="2:8" x14ac:dyDescent="0.25">
      <c r="B141" s="2"/>
      <c r="C141" s="2"/>
      <c r="D141" s="2"/>
      <c r="E141" s="2"/>
      <c r="F141" s="9"/>
      <c r="G141" s="9"/>
      <c r="H141" s="2"/>
    </row>
    <row r="142" spans="2:8" x14ac:dyDescent="0.25">
      <c r="B142" s="2"/>
      <c r="C142" s="2"/>
      <c r="D142" s="2"/>
      <c r="E142" s="2"/>
      <c r="F142" s="9"/>
      <c r="G142" s="9"/>
      <c r="H142" s="2"/>
    </row>
    <row r="143" spans="2:8" x14ac:dyDescent="0.25">
      <c r="B143" s="2"/>
      <c r="C143" s="2"/>
      <c r="D143" s="2"/>
      <c r="E143" s="2"/>
      <c r="F143" s="9"/>
      <c r="G143" s="9"/>
      <c r="H143" s="2"/>
    </row>
  </sheetData>
  <autoFilter ref="B2:G31" xr:uid="{5FBFD51A-3D82-462F-B85C-DF7B4CC875FA}"/>
  <conditionalFormatting sqref="B1:B1048576">
    <cfRule type="duplicateValues" dxfId="0" priority="1"/>
  </conditionalFormatting>
  <dataValidations count="3">
    <dataValidation type="list" showInputMessage="1" showErrorMessage="1" sqref="E128" xr:uid="{0334D4BA-265A-482D-B5F0-F1E3A7C31AA2}">
      <formula1>$K$3:$K$12</formula1>
    </dataValidation>
    <dataValidation type="list" allowBlank="1" showInputMessage="1" showErrorMessage="1" sqref="F3:F143" xr:uid="{0F4AD9A9-0124-45B5-A0B3-E46EE02B1014}">
      <formula1>$K$3:$K$25</formula1>
    </dataValidation>
    <dataValidation type="list" allowBlank="1" showInputMessage="1" showErrorMessage="1" sqref="G3:G143" xr:uid="{DBAE2AFB-2AD0-4EF1-A4E5-E223CC107E34}">
      <formula1>$L$3:$L$25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65F2-2739-4BB0-8639-8C8357C2FD6E}">
  <sheetPr codeName="Sheet4"/>
  <dimension ref="B2:Y10"/>
  <sheetViews>
    <sheetView showGridLines="0" workbookViewId="0">
      <selection activeCell="E12" sqref="E12"/>
    </sheetView>
  </sheetViews>
  <sheetFormatPr defaultRowHeight="15" x14ac:dyDescent="0.25"/>
  <cols>
    <col min="2" max="2" width="9.5703125" bestFit="1" customWidth="1"/>
    <col min="3" max="17" width="15.7109375" customWidth="1"/>
  </cols>
  <sheetData>
    <row r="2" spans="2:25" x14ac:dyDescent="0.25">
      <c r="C2" s="26" t="s">
        <v>846</v>
      </c>
      <c r="D2" s="26" t="s">
        <v>847</v>
      </c>
      <c r="E2" s="26" t="s">
        <v>848</v>
      </c>
      <c r="F2" s="26" t="s">
        <v>849</v>
      </c>
      <c r="G2" s="26" t="s">
        <v>850</v>
      </c>
      <c r="H2" s="26" t="s">
        <v>851</v>
      </c>
      <c r="I2" s="26" t="s">
        <v>852</v>
      </c>
      <c r="J2" s="26" t="s">
        <v>853</v>
      </c>
      <c r="K2" s="26" t="s">
        <v>854</v>
      </c>
      <c r="L2" s="26" t="s">
        <v>855</v>
      </c>
      <c r="M2" s="26" t="s">
        <v>856</v>
      </c>
      <c r="N2" s="26" t="s">
        <v>857</v>
      </c>
      <c r="O2" s="26" t="s">
        <v>858</v>
      </c>
      <c r="P2" s="26" t="s">
        <v>859</v>
      </c>
      <c r="Q2" s="26" t="s">
        <v>860</v>
      </c>
    </row>
    <row r="3" spans="2:25" x14ac:dyDescent="0.25">
      <c r="B3" t="s">
        <v>424</v>
      </c>
      <c r="C3" s="1" t="s">
        <v>388</v>
      </c>
      <c r="D3" s="1" t="s">
        <v>283</v>
      </c>
      <c r="E3" s="1" t="s">
        <v>861</v>
      </c>
      <c r="F3" s="1" t="s">
        <v>862</v>
      </c>
      <c r="G3" s="1" t="s">
        <v>863</v>
      </c>
      <c r="H3" s="1"/>
      <c r="I3" s="1"/>
      <c r="J3" s="1"/>
      <c r="K3" s="1"/>
      <c r="L3" s="1"/>
      <c r="M3" s="1"/>
      <c r="N3" s="1"/>
      <c r="O3" s="1"/>
      <c r="P3" s="1"/>
      <c r="Q3" s="1"/>
    </row>
    <row r="7" spans="2:25" x14ac:dyDescent="0.25">
      <c r="W7" s="1"/>
      <c r="X7" s="1"/>
    </row>
    <row r="8" spans="2:25" x14ac:dyDescent="0.25">
      <c r="W8" s="1"/>
      <c r="X8" s="44"/>
      <c r="Y8" s="45"/>
    </row>
    <row r="9" spans="2:25" x14ac:dyDescent="0.25">
      <c r="W9" s="1"/>
      <c r="X9" s="44"/>
      <c r="Y9" s="45"/>
    </row>
    <row r="10" spans="2:25" x14ac:dyDescent="0.25">
      <c r="W10" s="1"/>
      <c r="X10" s="44"/>
      <c r="Y10" s="45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FE49-9AAF-4D78-BFB1-342F65DC9A28}">
  <dimension ref="A1:C22"/>
  <sheetViews>
    <sheetView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1" max="1" width="8.5703125" customWidth="1"/>
    <col min="2" max="2" width="24.7109375" customWidth="1"/>
    <col min="3" max="3" width="61" customWidth="1"/>
  </cols>
  <sheetData>
    <row r="1" spans="1:3" x14ac:dyDescent="0.25">
      <c r="A1" s="52" t="s">
        <v>1326</v>
      </c>
      <c r="B1" s="52" t="s">
        <v>1327</v>
      </c>
      <c r="C1" s="52" t="s">
        <v>1385</v>
      </c>
    </row>
    <row r="2" spans="1:3" x14ac:dyDescent="0.25">
      <c r="A2" t="s">
        <v>1329</v>
      </c>
      <c r="B2" t="s">
        <v>1386</v>
      </c>
      <c r="C2" t="s">
        <v>1387</v>
      </c>
    </row>
    <row r="3" spans="1:3" x14ac:dyDescent="0.25">
      <c r="A3" t="s">
        <v>1332</v>
      </c>
      <c r="B3" t="s">
        <v>1388</v>
      </c>
      <c r="C3" t="s">
        <v>1389</v>
      </c>
    </row>
    <row r="4" spans="1:3" x14ac:dyDescent="0.25">
      <c r="A4" t="s">
        <v>1335</v>
      </c>
      <c r="B4" t="s">
        <v>1390</v>
      </c>
      <c r="C4" t="s">
        <v>1391</v>
      </c>
    </row>
    <row r="5" spans="1:3" x14ac:dyDescent="0.25">
      <c r="A5" t="s">
        <v>1338</v>
      </c>
      <c r="B5" t="s">
        <v>1392</v>
      </c>
      <c r="C5" t="s">
        <v>1393</v>
      </c>
    </row>
    <row r="6" spans="1:3" x14ac:dyDescent="0.25">
      <c r="A6" t="s">
        <v>1341</v>
      </c>
      <c r="B6" t="s">
        <v>1342</v>
      </c>
      <c r="C6" t="s">
        <v>1394</v>
      </c>
    </row>
    <row r="7" spans="1:3" x14ac:dyDescent="0.25">
      <c r="A7" t="s">
        <v>1344</v>
      </c>
      <c r="B7" t="s">
        <v>1345</v>
      </c>
      <c r="C7" t="s">
        <v>1395</v>
      </c>
    </row>
    <row r="8" spans="1:3" x14ac:dyDescent="0.25">
      <c r="A8" t="s">
        <v>24</v>
      </c>
      <c r="B8" t="s">
        <v>1347</v>
      </c>
      <c r="C8" t="s">
        <v>1396</v>
      </c>
    </row>
    <row r="9" spans="1:3" x14ac:dyDescent="0.25">
      <c r="A9" t="s">
        <v>1349</v>
      </c>
      <c r="B9" t="s">
        <v>1397</v>
      </c>
      <c r="C9" t="s">
        <v>1398</v>
      </c>
    </row>
    <row r="10" spans="1:3" x14ac:dyDescent="0.25">
      <c r="A10" t="s">
        <v>1352</v>
      </c>
      <c r="B10" t="s">
        <v>1399</v>
      </c>
      <c r="C10" t="s">
        <v>1400</v>
      </c>
    </row>
    <row r="11" spans="1:3" x14ac:dyDescent="0.25">
      <c r="A11" t="s">
        <v>1355</v>
      </c>
      <c r="B11" t="s">
        <v>1401</v>
      </c>
      <c r="C11" t="s">
        <v>1402</v>
      </c>
    </row>
    <row r="12" spans="1:3" x14ac:dyDescent="0.25">
      <c r="A12" t="s">
        <v>1357</v>
      </c>
      <c r="B12" t="s">
        <v>1358</v>
      </c>
      <c r="C12" t="s">
        <v>1403</v>
      </c>
    </row>
    <row r="13" spans="1:3" x14ac:dyDescent="0.25">
      <c r="A13" t="s">
        <v>1360</v>
      </c>
      <c r="B13" t="s">
        <v>1361</v>
      </c>
      <c r="C13" t="s">
        <v>1404</v>
      </c>
    </row>
    <row r="14" spans="1:3" x14ac:dyDescent="0.25">
      <c r="A14" t="s">
        <v>1362</v>
      </c>
      <c r="B14" t="s">
        <v>1363</v>
      </c>
      <c r="C14" t="s">
        <v>1405</v>
      </c>
    </row>
    <row r="15" spans="1:3" x14ac:dyDescent="0.25">
      <c r="A15" t="s">
        <v>1365</v>
      </c>
      <c r="B15" t="s">
        <v>1366</v>
      </c>
      <c r="C15" t="s">
        <v>1406</v>
      </c>
    </row>
    <row r="16" spans="1:3" x14ac:dyDescent="0.25">
      <c r="A16" t="s">
        <v>1367</v>
      </c>
      <c r="B16" t="s">
        <v>1368</v>
      </c>
      <c r="C16" t="s">
        <v>1407</v>
      </c>
    </row>
    <row r="17" spans="1:3" x14ac:dyDescent="0.25">
      <c r="A17" t="s">
        <v>1369</v>
      </c>
      <c r="B17" t="s">
        <v>1408</v>
      </c>
      <c r="C17" t="s">
        <v>1409</v>
      </c>
    </row>
    <row r="18" spans="1:3" x14ac:dyDescent="0.25">
      <c r="A18" t="s">
        <v>1371</v>
      </c>
      <c r="B18" t="s">
        <v>1410</v>
      </c>
      <c r="C18" t="s">
        <v>1411</v>
      </c>
    </row>
    <row r="19" spans="1:3" x14ac:dyDescent="0.25">
      <c r="A19" t="s">
        <v>1373</v>
      </c>
      <c r="B19" t="s">
        <v>1374</v>
      </c>
      <c r="C19" t="s">
        <v>1412</v>
      </c>
    </row>
    <row r="20" spans="1:3" x14ac:dyDescent="0.25">
      <c r="A20" t="s">
        <v>1376</v>
      </c>
      <c r="B20" t="s">
        <v>1377</v>
      </c>
      <c r="C20" t="s">
        <v>1413</v>
      </c>
    </row>
    <row r="21" spans="1:3" x14ac:dyDescent="0.25">
      <c r="A21" t="s">
        <v>1379</v>
      </c>
      <c r="B21" t="s">
        <v>1414</v>
      </c>
      <c r="C21" t="s">
        <v>1415</v>
      </c>
    </row>
    <row r="22" spans="1:3" x14ac:dyDescent="0.25">
      <c r="A22" t="s">
        <v>1381</v>
      </c>
      <c r="B22" t="s">
        <v>1382</v>
      </c>
      <c r="C22" t="s">
        <v>1416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AF9B-ED63-4367-938A-12F3AAAB50CA}">
  <dimension ref="A1:B30"/>
  <sheetViews>
    <sheetView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1" max="1" width="30.42578125" customWidth="1"/>
    <col min="2" max="2" width="11.42578125" customWidth="1"/>
  </cols>
  <sheetData>
    <row r="1" spans="1:2" x14ac:dyDescent="0.25">
      <c r="A1" s="52" t="s">
        <v>3</v>
      </c>
      <c r="B1" s="52" t="s">
        <v>1417</v>
      </c>
    </row>
    <row r="2" spans="1:2" x14ac:dyDescent="0.25">
      <c r="A2" t="s">
        <v>1242</v>
      </c>
      <c r="B2" s="53" t="s">
        <v>1418</v>
      </c>
    </row>
    <row r="3" spans="1:2" x14ac:dyDescent="0.25">
      <c r="A3" t="s">
        <v>903</v>
      </c>
      <c r="B3" s="53"/>
    </row>
    <row r="4" spans="1:2" x14ac:dyDescent="0.25">
      <c r="A4" t="s">
        <v>23</v>
      </c>
      <c r="B4" s="53"/>
    </row>
    <row r="5" spans="1:2" x14ac:dyDescent="0.25">
      <c r="A5" t="s">
        <v>423</v>
      </c>
      <c r="B5" s="53"/>
    </row>
    <row r="6" spans="1:2" x14ac:dyDescent="0.25">
      <c r="A6" t="s">
        <v>907</v>
      </c>
      <c r="B6" s="53"/>
    </row>
    <row r="7" spans="1:2" x14ac:dyDescent="0.25">
      <c r="A7" t="s">
        <v>1175</v>
      </c>
      <c r="B7" s="53"/>
    </row>
    <row r="8" spans="1:2" x14ac:dyDescent="0.25">
      <c r="A8" t="s">
        <v>735</v>
      </c>
      <c r="B8" s="53"/>
    </row>
    <row r="9" spans="1:2" x14ac:dyDescent="0.25">
      <c r="A9" t="s">
        <v>61</v>
      </c>
      <c r="B9" s="53"/>
    </row>
    <row r="10" spans="1:2" x14ac:dyDescent="0.25">
      <c r="A10" t="s">
        <v>1047</v>
      </c>
      <c r="B10" s="53"/>
    </row>
    <row r="11" spans="1:2" x14ac:dyDescent="0.25">
      <c r="A11" t="s">
        <v>1202</v>
      </c>
      <c r="B11" s="53"/>
    </row>
    <row r="12" spans="1:2" x14ac:dyDescent="0.25">
      <c r="A12" t="s">
        <v>1056</v>
      </c>
      <c r="B12" s="53"/>
    </row>
    <row r="13" spans="1:2" x14ac:dyDescent="0.25">
      <c r="A13" t="s">
        <v>404</v>
      </c>
      <c r="B13" s="53"/>
    </row>
    <row r="14" spans="1:2" x14ac:dyDescent="0.25">
      <c r="A14" t="s">
        <v>249</v>
      </c>
      <c r="B14" s="53"/>
    </row>
    <row r="15" spans="1:2" x14ac:dyDescent="0.25">
      <c r="A15" t="s">
        <v>1179</v>
      </c>
      <c r="B15" s="53"/>
    </row>
    <row r="16" spans="1:2" x14ac:dyDescent="0.25">
      <c r="A16" t="s">
        <v>521</v>
      </c>
      <c r="B16" s="53"/>
    </row>
    <row r="17" spans="1:2" x14ac:dyDescent="0.25">
      <c r="A17" t="s">
        <v>242</v>
      </c>
      <c r="B17" s="53"/>
    </row>
    <row r="18" spans="1:2" x14ac:dyDescent="0.25">
      <c r="A18" t="s">
        <v>1419</v>
      </c>
      <c r="B18" s="53"/>
    </row>
    <row r="19" spans="1:2" x14ac:dyDescent="0.25">
      <c r="A19" t="s">
        <v>746</v>
      </c>
      <c r="B19" s="53"/>
    </row>
    <row r="20" spans="1:2" x14ac:dyDescent="0.25">
      <c r="A20" t="s">
        <v>736</v>
      </c>
      <c r="B20" s="53"/>
    </row>
    <row r="21" spans="1:2" x14ac:dyDescent="0.25">
      <c r="A21" t="s">
        <v>1267</v>
      </c>
      <c r="B21" s="53" t="s">
        <v>1420</v>
      </c>
    </row>
    <row r="22" spans="1:2" x14ac:dyDescent="0.25">
      <c r="A22" t="s">
        <v>1421</v>
      </c>
      <c r="B22" s="53"/>
    </row>
    <row r="23" spans="1:2" x14ac:dyDescent="0.25">
      <c r="A23" t="s">
        <v>146</v>
      </c>
      <c r="B23" s="53"/>
    </row>
    <row r="24" spans="1:2" x14ac:dyDescent="0.25">
      <c r="A24" t="s">
        <v>14</v>
      </c>
      <c r="B24" s="53"/>
    </row>
    <row r="25" spans="1:2" x14ac:dyDescent="0.25">
      <c r="A25" t="s">
        <v>262</v>
      </c>
      <c r="B25" s="53"/>
    </row>
    <row r="26" spans="1:2" x14ac:dyDescent="0.25">
      <c r="A26" t="s">
        <v>1307</v>
      </c>
      <c r="B26" s="53" t="s">
        <v>1422</v>
      </c>
    </row>
    <row r="27" spans="1:2" x14ac:dyDescent="0.25">
      <c r="A27" t="s">
        <v>214</v>
      </c>
      <c r="B27" s="53"/>
    </row>
    <row r="28" spans="1:2" x14ac:dyDescent="0.25">
      <c r="A28" t="s">
        <v>1325</v>
      </c>
      <c r="B28" s="53" t="s">
        <v>1423</v>
      </c>
    </row>
    <row r="29" spans="1:2" x14ac:dyDescent="0.25">
      <c r="A29" t="s">
        <v>1254</v>
      </c>
      <c r="B29" s="53" t="s">
        <v>1424</v>
      </c>
    </row>
    <row r="30" spans="1:2" x14ac:dyDescent="0.25">
      <c r="A30" t="s">
        <v>1122</v>
      </c>
      <c r="B30" s="5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808e04-a48d-44ec-aaa2-84ab3c4a9789">
      <Terms xmlns="http://schemas.microsoft.com/office/infopath/2007/PartnerControls"/>
    </lcf76f155ced4ddcb4097134ff3c332f>
    <TaxCatchAll xmlns="c5b6ebd3-f450-4e70-b671-65da7a07c91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447714D3A6D845B2C488CFF31F7610" ma:contentTypeVersion="12" ma:contentTypeDescription="Crie um novo documento." ma:contentTypeScope="" ma:versionID="6fa32a5c988deab99a0b1251f5483cb4">
  <xsd:schema xmlns:xsd="http://www.w3.org/2001/XMLSchema" xmlns:xs="http://www.w3.org/2001/XMLSchema" xmlns:p="http://schemas.microsoft.com/office/2006/metadata/properties" xmlns:ns2="c8808e04-a48d-44ec-aaa2-84ab3c4a9789" xmlns:ns3="c5b6ebd3-f450-4e70-b671-65da7a07c917" targetNamespace="http://schemas.microsoft.com/office/2006/metadata/properties" ma:root="true" ma:fieldsID="55497553e391f965470c51cd26d4f446" ns2:_="" ns3:_="">
    <xsd:import namespace="c8808e04-a48d-44ec-aaa2-84ab3c4a9789"/>
    <xsd:import namespace="c5b6ebd3-f450-4e70-b671-65da7a07c9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08e04-a48d-44ec-aaa2-84ab3c4a9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7a8b96-04af-4aae-8640-b2dc0a4a61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6ebd3-f450-4e70-b671-65da7a07c91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013b66-1a75-4ca6-8753-51d1ed2a48c5}" ma:internalName="TaxCatchAll" ma:showField="CatchAllData" ma:web="c5b6ebd3-f450-4e70-b671-65da7a07c9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0BE086-1D62-487C-B2C6-2CDE6ABB4E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C55D19-13EC-4DDB-8223-2BDF4CB09878}">
  <ds:schemaRefs>
    <ds:schemaRef ds:uri="http://purl.org/dc/elements/1.1/"/>
    <ds:schemaRef ds:uri="c8808e04-a48d-44ec-aaa2-84ab3c4a9789"/>
    <ds:schemaRef ds:uri="c5b6ebd3-f450-4e70-b671-65da7a07c917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BB0A4F0-3DB8-40BF-8191-74CC635201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Gerador de SKU</vt:lpstr>
      <vt:lpstr>Produtos</vt:lpstr>
      <vt:lpstr>Sheet2</vt:lpstr>
      <vt:lpstr>MPs</vt:lpstr>
      <vt:lpstr>Insumos</vt:lpstr>
      <vt:lpstr>Sheet1</vt:lpstr>
      <vt:lpstr>TAB_FORMAS</vt:lpstr>
      <vt:lpstr>TAB_CLIENTES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Menezes Silva</dc:creator>
  <cp:lastModifiedBy>Gustavo Callegaro</cp:lastModifiedBy>
  <dcterms:created xsi:type="dcterms:W3CDTF">2025-07-04T13:32:46Z</dcterms:created>
  <dcterms:modified xsi:type="dcterms:W3CDTF">2026-07-07T17:13:43Z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0x01010079447714D3A6D845B2C488CFF31F7610</vt:lpwstr>
  </property>
  <property fmtid="{D5CDD505-2E9C-101B-9397-08002B2CF9AE}" pid="3" name="MediaServiceImageTags">
    <vt:lpwstr/>
  </property>
</Properties>
</file>