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uryos.sharepoint.com/sites/ServidorKuryos/Shared Documents/04. Design de Produtos e PCP/7. Sistema Contagem Prod/producao_firebase_FINAL/"/>
    </mc:Choice>
  </mc:AlternateContent>
  <xr:revisionPtr revIDLastSave="2237" documentId="8_{3ECF484E-C118-4211-999F-0CCA2205176D}" xr6:coauthVersionLast="47" xr6:coauthVersionMax="47" xr10:uidLastSave="{5171C734-89F7-4FD3-99CF-982385EC67DA}"/>
  <bookViews>
    <workbookView xWindow="-120" yWindow="-120" windowWidth="29040" windowHeight="15720" xr2:uid="{6BBE0F00-DEAE-4B59-B077-B53EE91C9799}"/>
  </bookViews>
  <sheets>
    <sheet name="OP 1" sheetId="1" r:id="rId1"/>
    <sheet name="OF" sheetId="2" r:id="rId2"/>
    <sheet name="ORDEM DE ENVASE" sheetId="3" r:id="rId3"/>
    <sheet name="ROTULAGEM" sheetId="4" r:id="rId4"/>
    <sheet name="RELATÓRIO PRODUTO ACABADO" sheetId="5" r:id="rId5"/>
    <sheet name="BUSCA LOTE" sheetId="7" state="hidden" r:id="rId6"/>
  </sheets>
  <externalReferences>
    <externalReference r:id="rId7"/>
  </externalReferences>
  <definedNames>
    <definedName name="_xlnm.Print_Area" localSheetId="1">OF!$A$1:$J$56</definedName>
    <definedName name="_xlnm.Print_Area" localSheetId="0">'OP 1'!$A$1:$G$46</definedName>
    <definedName name="_xlnm.Print_Area" localSheetId="2">'ORDEM DE ENVASE'!$A$1:$K$60</definedName>
    <definedName name="_xlnm.Print_Area" localSheetId="4">'RELATÓRIO PRODUTO ACABADO'!$B$3:$J$38</definedName>
    <definedName name="_xlnm.Print_Area" localSheetId="3">ROTULAGEM!$A$1:$G$33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B18" i="3"/>
  <c r="D24" i="5"/>
  <c r="D27" i="5"/>
  <c r="E15" i="2"/>
  <c r="G49" i="2"/>
  <c r="G48" i="2"/>
  <c r="G47" i="2"/>
  <c r="G45" i="2"/>
  <c r="E18" i="1"/>
  <c r="E16" i="1"/>
  <c r="F18" i="3" l="1"/>
  <c r="G46" i="2"/>
  <c r="E17" i="1"/>
  <c r="F19" i="3" s="1"/>
  <c r="B19" i="3"/>
  <c r="N33" i="7" l="1"/>
  <c r="L33" i="7"/>
  <c r="J33" i="7"/>
  <c r="I33" i="7"/>
  <c r="G33" i="7"/>
  <c r="E33" i="7"/>
  <c r="C33" i="7"/>
  <c r="B33" i="7"/>
  <c r="N32" i="7"/>
  <c r="M32" i="7"/>
  <c r="L32" i="7"/>
  <c r="K32" i="7"/>
  <c r="J32" i="7"/>
  <c r="I32" i="7"/>
  <c r="H32" i="7"/>
  <c r="G32" i="7"/>
  <c r="F32" i="7"/>
  <c r="E32" i="7"/>
  <c r="C32" i="7"/>
  <c r="B32" i="7"/>
  <c r="N31" i="7"/>
  <c r="M31" i="7"/>
  <c r="L31" i="7"/>
  <c r="K31" i="7"/>
  <c r="J31" i="7"/>
  <c r="I31" i="7"/>
  <c r="H31" i="7"/>
  <c r="G31" i="7"/>
  <c r="F31" i="7"/>
  <c r="E31" i="7"/>
  <c r="C31" i="7"/>
  <c r="B31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Q9" i="7"/>
  <c r="N9" i="7"/>
  <c r="M9" i="7"/>
  <c r="L9" i="7"/>
  <c r="K9" i="7"/>
  <c r="J9" i="7"/>
  <c r="I9" i="7"/>
  <c r="H9" i="7"/>
  <c r="G9" i="7"/>
  <c r="F9" i="7"/>
  <c r="E9" i="7"/>
  <c r="D9" i="7"/>
  <c r="C9" i="7"/>
  <c r="B9" i="7"/>
  <c r="N8" i="7"/>
  <c r="M8" i="7"/>
  <c r="L8" i="7"/>
  <c r="K8" i="7"/>
  <c r="J8" i="7"/>
  <c r="I8" i="7"/>
  <c r="H8" i="7"/>
  <c r="G8" i="7"/>
  <c r="F8" i="7"/>
  <c r="E8" i="7"/>
  <c r="D8" i="7"/>
  <c r="C8" i="7"/>
  <c r="B8" i="7"/>
  <c r="N7" i="7"/>
  <c r="M7" i="7"/>
  <c r="L7" i="7"/>
  <c r="K7" i="7"/>
  <c r="J7" i="7"/>
  <c r="I7" i="7"/>
  <c r="H7" i="7"/>
  <c r="G7" i="7"/>
  <c r="F7" i="7"/>
  <c r="E7" i="7"/>
  <c r="D7" i="7"/>
  <c r="C7" i="7"/>
  <c r="B7" i="7"/>
  <c r="N6" i="7"/>
  <c r="M6" i="7"/>
  <c r="L6" i="7"/>
  <c r="K6" i="7"/>
  <c r="J6" i="7"/>
  <c r="I6" i="7"/>
  <c r="H6" i="7"/>
  <c r="G6" i="7"/>
  <c r="F6" i="7"/>
  <c r="E6" i="7"/>
  <c r="D6" i="7"/>
  <c r="C6" i="7"/>
  <c r="B6" i="7"/>
  <c r="N5" i="7"/>
  <c r="M5" i="7"/>
  <c r="L5" i="7"/>
  <c r="K5" i="7"/>
  <c r="J5" i="7"/>
  <c r="I5" i="7"/>
  <c r="H5" i="7"/>
  <c r="G5" i="7"/>
  <c r="F5" i="7"/>
  <c r="E5" i="7"/>
  <c r="D5" i="7"/>
  <c r="C5" i="7"/>
  <c r="B5" i="7"/>
  <c r="N4" i="7"/>
  <c r="M4" i="7"/>
  <c r="L4" i="7"/>
  <c r="K4" i="7"/>
  <c r="J4" i="7"/>
  <c r="I4" i="7"/>
  <c r="H4" i="7"/>
  <c r="G4" i="7"/>
  <c r="F4" i="7"/>
  <c r="E4" i="7"/>
  <c r="D4" i="7"/>
  <c r="C4" i="7"/>
  <c r="B4" i="7"/>
  <c r="N3" i="7"/>
  <c r="M3" i="7"/>
  <c r="L3" i="7"/>
  <c r="K3" i="7"/>
  <c r="J3" i="7"/>
  <c r="I3" i="7"/>
  <c r="H3" i="7"/>
  <c r="G3" i="7"/>
  <c r="F3" i="7"/>
  <c r="E3" i="7"/>
  <c r="D3" i="7"/>
  <c r="N2" i="7"/>
  <c r="M2" i="7"/>
  <c r="L2" i="7"/>
  <c r="K2" i="7"/>
  <c r="J2" i="7"/>
  <c r="I2" i="7"/>
  <c r="H2" i="7"/>
  <c r="G2" i="7"/>
  <c r="F2" i="7"/>
  <c r="E2" i="7"/>
  <c r="G50" i="2"/>
  <c r="D23" i="5"/>
  <c r="C12" i="5"/>
  <c r="C9" i="5"/>
  <c r="F9" i="4"/>
  <c r="F5" i="4"/>
  <c r="F2" i="4"/>
  <c r="F27" i="3"/>
  <c r="B27" i="3"/>
  <c r="B23" i="3"/>
  <c r="B22" i="3"/>
  <c r="B21" i="3"/>
  <c r="B20" i="3"/>
  <c r="I7" i="3"/>
  <c r="K5" i="3"/>
  <c r="I5" i="3"/>
  <c r="K3" i="3"/>
  <c r="B7" i="3" s="1"/>
  <c r="F7" i="1" s="1"/>
  <c r="J2" i="3"/>
  <c r="I33" i="2"/>
  <c r="E33" i="2"/>
  <c r="A7" i="2"/>
  <c r="H2" i="2"/>
  <c r="G5" i="2" s="1"/>
  <c r="F20" i="3" l="1"/>
  <c r="F21" i="3"/>
  <c r="C11" i="5"/>
  <c r="I6" i="3" l="1"/>
  <c r="C13" i="5"/>
  <c r="F22" i="3"/>
  <c r="E27" i="1"/>
  <c r="F23" i="3" s="1"/>
  <c r="F11" i="1" l="1"/>
  <c r="C5" i="2"/>
  <c r="A9" i="4"/>
  <c r="B15" i="1"/>
  <c r="A11" i="1"/>
  <c r="B7" i="1"/>
  <c r="C5" i="4"/>
  <c r="A12" i="1"/>
  <c r="C8" i="5"/>
  <c r="B5" i="3"/>
  <c r="J5" i="3" l="1"/>
  <c r="B17" i="3"/>
  <c r="F5" i="3"/>
  <c r="B8" i="3"/>
  <c r="G6" i="2"/>
  <c r="A5" i="4"/>
  <c r="C7" i="2"/>
  <c r="C7" i="5"/>
  <c r="B5" i="4"/>
  <c r="C6" i="2"/>
  <c r="F18" i="2" l="1"/>
  <c r="H18" i="2" s="1"/>
  <c r="E15" i="1"/>
  <c r="F17" i="3" s="1"/>
  <c r="F16" i="2"/>
  <c r="H16" i="2" s="1"/>
  <c r="F15" i="2"/>
  <c r="F17" i="2"/>
  <c r="H17" i="2" s="1"/>
  <c r="F33" i="2" l="1"/>
  <c r="H15" i="2"/>
  <c r="H33" i="2" s="1"/>
</calcChain>
</file>

<file path=xl/sharedStrings.xml><?xml version="1.0" encoding="utf-8"?>
<sst xmlns="http://schemas.openxmlformats.org/spreadsheetml/2006/main" count="270" uniqueCount="184">
  <si>
    <t>OP</t>
  </si>
  <si>
    <t>PEDIDO</t>
  </si>
  <si>
    <t>DATA</t>
  </si>
  <si>
    <t>Cliente</t>
  </si>
  <si>
    <t>PRODUTO</t>
  </si>
  <si>
    <t>Descrição do Produto</t>
  </si>
  <si>
    <t>Unidade</t>
  </si>
  <si>
    <t>Qtde</t>
  </si>
  <si>
    <t>PÇ</t>
  </si>
  <si>
    <t>MATERIAL</t>
  </si>
  <si>
    <t>Descrição do Material</t>
  </si>
  <si>
    <t>CONTROLE DE QUANTIDADE PRODUZIDA</t>
  </si>
  <si>
    <t>Pallet</t>
  </si>
  <si>
    <t>qtde (cx)</t>
  </si>
  <si>
    <t>Conferido estoque</t>
  </si>
  <si>
    <t>Observações:</t>
  </si>
  <si>
    <t>Subtotal:</t>
  </si>
  <si>
    <t>Total em peças:</t>
  </si>
  <si>
    <t>Entrada sistema em: ____/____/____ por:___________</t>
  </si>
  <si>
    <t>__________________________________________</t>
  </si>
  <si>
    <t>RESPONSÁVEL</t>
  </si>
  <si>
    <t>ORDEM DE FABRICAÇÃO</t>
  </si>
  <si>
    <t>PRODUTO:</t>
  </si>
  <si>
    <t xml:space="preserve">LOTE </t>
  </si>
  <si>
    <t xml:space="preserve">CLIENTE: </t>
  </si>
  <si>
    <t>QNT</t>
  </si>
  <si>
    <t xml:space="preserve">BATELADA </t>
  </si>
  <si>
    <t xml:space="preserve">MANIPULADO POR: </t>
  </si>
  <si>
    <t xml:space="preserve">INICIO:___/____/___  - ___:___      </t>
  </si>
  <si>
    <t xml:space="preserve">TERMINO:___/____/___  - ___:___      </t>
  </si>
  <si>
    <t>MATÉRIA-PRIMA</t>
  </si>
  <si>
    <t>%</t>
  </si>
  <si>
    <t xml:space="preserve">QT </t>
  </si>
  <si>
    <t xml:space="preserve">TOTAL </t>
  </si>
  <si>
    <t xml:space="preserve">INSTRUÇÃO </t>
  </si>
  <si>
    <t>________________________________________________________________________</t>
  </si>
  <si>
    <t>ESPECIFICAÇÃO</t>
  </si>
  <si>
    <t>RESULTADO</t>
  </si>
  <si>
    <t>DENSIDADE</t>
  </si>
  <si>
    <t xml:space="preserve">APROVADO POR </t>
  </si>
  <si>
    <t>DATA____/_____/____</t>
  </si>
  <si>
    <t>ORDEM DE ENVASE</t>
  </si>
  <si>
    <t>QNT.:</t>
  </si>
  <si>
    <t xml:space="preserve">MS </t>
  </si>
  <si>
    <t>LOTE</t>
  </si>
  <si>
    <t xml:space="preserve">OPERADOR: </t>
  </si>
  <si>
    <t>INICIO</t>
  </si>
  <si>
    <t xml:space="preserve">___/____/___  - ___:___      </t>
  </si>
  <si>
    <t xml:space="preserve">INSUMOS </t>
  </si>
  <si>
    <t>QUANT. PADRÃO</t>
  </si>
  <si>
    <t>QUANT. REAL</t>
  </si>
  <si>
    <t xml:space="preserve">AVARIA </t>
  </si>
  <si>
    <t>CONFERIDO</t>
  </si>
  <si>
    <t>EQUIPE 1</t>
  </si>
  <si>
    <t>PARADAS POR TURNO</t>
  </si>
  <si>
    <t>Operação</t>
  </si>
  <si>
    <t>Data</t>
  </si>
  <si>
    <t>Hora</t>
  </si>
  <si>
    <t>Motivo</t>
  </si>
  <si>
    <t>Início</t>
  </si>
  <si>
    <t>Final</t>
  </si>
  <si>
    <t>Turno</t>
  </si>
  <si>
    <t>Responsável</t>
  </si>
  <si>
    <t>VÁLVULA</t>
  </si>
  <si>
    <t>__/__/__</t>
  </si>
  <si>
    <t>I:</t>
  </si>
  <si>
    <t>F:</t>
  </si>
  <si>
    <t>FRASCO</t>
  </si>
  <si>
    <t>TAMPA</t>
  </si>
  <si>
    <t xml:space="preserve">CAIXA </t>
  </si>
  <si>
    <t>APONTAMENTOS DE PERDAS</t>
  </si>
  <si>
    <t>CÓDIGO</t>
  </si>
  <si>
    <t>DESCRIÇÃO</t>
  </si>
  <si>
    <t>QTDE</t>
  </si>
  <si>
    <t>KITS</t>
  </si>
  <si>
    <t>CAIXA</t>
  </si>
  <si>
    <t xml:space="preserve"> CLIENTE</t>
  </si>
  <si>
    <t>DESCRIÇÃO ITEM</t>
  </si>
  <si>
    <t>OP:</t>
  </si>
  <si>
    <t>Máquina</t>
  </si>
  <si>
    <t>APONTAMENTOS DA ORDEM DE PRODUÇÃO</t>
  </si>
  <si>
    <t>QUANTIDADE</t>
  </si>
  <si>
    <t>OBSERVAÇÃO:</t>
  </si>
  <si>
    <t>Laboratório de Controle de Qualidade</t>
  </si>
  <si>
    <t>Relatório de Produto Acabado</t>
  </si>
  <si>
    <t xml:space="preserve">Cliente: </t>
  </si>
  <si>
    <t xml:space="preserve">Produto:  </t>
  </si>
  <si>
    <t xml:space="preserve">Lote: </t>
  </si>
  <si>
    <r>
      <t>Data de Fabricação</t>
    </r>
    <r>
      <rPr>
        <sz val="12"/>
        <rFont val="Calibri"/>
        <family val="2"/>
        <charset val="1"/>
      </rPr>
      <t xml:space="preserve">: </t>
    </r>
  </si>
  <si>
    <t xml:space="preserve">Validade: </t>
  </si>
  <si>
    <t>Quantidade de itens:</t>
  </si>
  <si>
    <t>Quantidade Requerida:</t>
  </si>
  <si>
    <t>Análise Produto Fabricado</t>
  </si>
  <si>
    <t>TESTE</t>
  </si>
  <si>
    <t>PA</t>
  </si>
  <si>
    <t>PA 09</t>
  </si>
  <si>
    <t>Aspecto</t>
  </si>
  <si>
    <t>Cor</t>
  </si>
  <si>
    <t>Densidade</t>
  </si>
  <si>
    <t>Odor</t>
  </si>
  <si>
    <t xml:space="preserve">TEOR DE ALCOOL </t>
  </si>
  <si>
    <t>PA 08</t>
  </si>
  <si>
    <t>Análise Produto Envasado</t>
  </si>
  <si>
    <t>-</t>
  </si>
  <si>
    <t>PA09</t>
  </si>
  <si>
    <t>PA03</t>
  </si>
  <si>
    <t>APROVADO                                     REPROVADO                           RESPONSÁVEL</t>
  </si>
  <si>
    <t>Produto Envasado</t>
  </si>
  <si>
    <t>VALIDADE:</t>
  </si>
  <si>
    <t>EMISSÃO:</t>
  </si>
  <si>
    <t>ORDEM DE ROTULAGEM</t>
  </si>
  <si>
    <t>LINHA DE PRODUÇÃO:</t>
  </si>
  <si>
    <t>LACRE</t>
  </si>
  <si>
    <t>VOLUME</t>
  </si>
  <si>
    <t>OCORRÊNCIA:____________________________________________________________</t>
  </si>
  <si>
    <t>INÍCIO  (data e hora)</t>
  </si>
  <si>
    <t>TÉRMINO (data e hora)</t>
  </si>
  <si>
    <t>___/____/___  - _____:_____</t>
  </si>
  <si>
    <t>SKU</t>
  </si>
  <si>
    <t>Volume</t>
  </si>
  <si>
    <t>Dens.</t>
  </si>
  <si>
    <t>qtde (Un.)</t>
  </si>
  <si>
    <t>___/____/___</t>
  </si>
  <si>
    <t>Quantidade</t>
  </si>
  <si>
    <t xml:space="preserve"> </t>
  </si>
  <si>
    <t>Qtde. Separada</t>
  </si>
  <si>
    <t>MÁQUINA:</t>
  </si>
  <si>
    <t>PESO/VOL. REAL</t>
  </si>
  <si>
    <t>ORDEM DE SEPARAÇÃO E 
PRODUTO ACABADO</t>
  </si>
  <si>
    <t>Conferido Estoque</t>
  </si>
  <si>
    <t>Prod. KITS</t>
  </si>
  <si>
    <t>,</t>
  </si>
  <si>
    <t>ADICIONAL</t>
  </si>
  <si>
    <t>:</t>
  </si>
  <si>
    <t>SKU / Cod. Clien.</t>
  </si>
  <si>
    <t>FASE A</t>
  </si>
  <si>
    <t>MANIP.</t>
  </si>
  <si>
    <t/>
  </si>
  <si>
    <t xml:space="preserve">                                           Ph</t>
  </si>
  <si>
    <t>Caracteristico</t>
  </si>
  <si>
    <t>Conteúdo Líquido Médio</t>
  </si>
  <si>
    <t>VALIDADE</t>
  </si>
  <si>
    <t>PA 01</t>
  </si>
  <si>
    <t>PA01</t>
  </si>
  <si>
    <t>ETIQUETA PARA CAIXA DE EMBARQUE 90x55mm</t>
  </si>
  <si>
    <t>PA 03</t>
  </si>
  <si>
    <t xml:space="preserve">    </t>
  </si>
  <si>
    <t>AGUA</t>
  </si>
  <si>
    <t xml:space="preserve">Analise de Processo </t>
  </si>
  <si>
    <t>ASPECTO</t>
  </si>
  <si>
    <t>COR</t>
  </si>
  <si>
    <t>ODOR</t>
  </si>
  <si>
    <t>TEOR DE ALCOOL</t>
  </si>
  <si>
    <t>pH</t>
  </si>
  <si>
    <t>MPGR001</t>
  </si>
  <si>
    <t>INíCIO DE SETUP:</t>
  </si>
  <si>
    <t>TÉRMINO DE SETUP:</t>
  </si>
  <si>
    <t>TÉRMINO DE ENVASE:</t>
  </si>
  <si>
    <t xml:space="preserve">                                                                                        </t>
  </si>
  <si>
    <t xml:space="preserve">                              Ph</t>
  </si>
  <si>
    <t>CÓDIGO DO CLIENTE:</t>
  </si>
  <si>
    <t>BOMBA DE FILTRAÇÃO</t>
  </si>
  <si>
    <t>1 UN</t>
  </si>
  <si>
    <t>INÍCIO DE ENVASE:</t>
  </si>
  <si>
    <t>NA</t>
  </si>
  <si>
    <t>26183/03</t>
  </si>
  <si>
    <t>BODY SPLASH AMBAR REAL 200ml</t>
  </si>
  <si>
    <t>EMMRRT18 - MR</t>
  </si>
  <si>
    <t>ROTULO BODY SPLASH AMBAR REAL - (MISS ROSE)</t>
  </si>
  <si>
    <t>EMSPFR03</t>
  </si>
  <si>
    <t>FRASCO PET 200ml C/RECRAVE SOROPACK</t>
  </si>
  <si>
    <t>EMMRST03</t>
  </si>
  <si>
    <t>SOBRETAMPA CILINDRICA RECRAVE NATURAL</t>
  </si>
  <si>
    <t>EMMRCX03</t>
  </si>
  <si>
    <t>CAIXA DE PAPELAO BODY SPLASH REFRESCANTE</t>
  </si>
  <si>
    <t>ÁLCOOL 96°</t>
  </si>
  <si>
    <t>ESSÊNCIA REF: GF48426/ROYALTY mod 3</t>
  </si>
  <si>
    <t>METILISOTIAZOLINONA</t>
  </si>
  <si>
    <t>MPES124</t>
  </si>
  <si>
    <t>Líquido</t>
  </si>
  <si>
    <t>Transparente</t>
  </si>
  <si>
    <t>0,8 - 0,9</t>
  </si>
  <si>
    <t>170g - 190g</t>
  </si>
  <si>
    <t>65°g/L - 75°g/L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</si>
</sst>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d/m/yyyy"/>
    <numFmt numFmtId="165" formatCode="0.000"/>
    <numFmt numFmtId="166" formatCode="_(* #,##0.00_);_(* \(#,##0.00\);_(* \-??_);_(@_)"/>
    <numFmt numFmtId="167" formatCode="d/m/yyyy\ hh:mm"/>
    <numFmt numFmtId="168" formatCode="mm/yy"/>
    <numFmt numFmtId="169" formatCode="dd/mm/yy;@"/>
    <numFmt numFmtId="170" formatCode="0&quot; Un.&quot;"/>
    <numFmt numFmtId="171" formatCode="0.00&quot; kg&quot;"/>
    <numFmt numFmtId="172" formatCode="0.000&quot; L&quot;"/>
    <numFmt numFmtId="173" formatCode="0.000&quot; g/ml&quot;"/>
    <numFmt numFmtId="174" formatCode="0.000&quot; kg&quot;"/>
    <numFmt numFmtId="175" formatCode="0.000&quot; l&quot;"/>
    <numFmt numFmtId="176" formatCode="0.00&quot; L&quot;"/>
    <numFmt numFmtId="177" formatCode="#,000&quot; Un.&quot;"/>
    <numFmt numFmtId="178" formatCode="#,##0&quot; Un.&quot;"/>
    <numFmt numFmtId="179" formatCode="#,##0&quot; un.&quot;"/>
    <numFmt numFmtId="180" formatCode="0&quot; cx&quot;"/>
    <numFmt numFmtId="181" formatCode="0.00&quot; l&quot;"/>
    <numFmt numFmtId="182" formatCode="#,##0.0&quot; Un.&quot;"/>
    <numFmt numFmtId="183" formatCode="#,##0.0&quot; mt&quot;"/>
    <numFmt numFmtId="184" formatCode="#,##0;\-#,##0;&quot;&quot;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B0F0"/>
      <name val="Calibri"/>
      <family val="2"/>
      <charset val="1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6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2"/>
      <color theme="0" tint="-0.34998626667073579"/>
      <name val="Calibri"/>
      <family val="2"/>
      <charset val="1"/>
    </font>
    <font>
      <sz val="12"/>
      <color theme="1" tint="0.34968108157597583"/>
      <name val="Calibri"/>
      <family val="2"/>
      <charset val="1"/>
    </font>
    <font>
      <sz val="12"/>
      <color theme="1" tint="0.34977263710440382"/>
      <name val="Calibri"/>
      <family val="2"/>
      <charset val="1"/>
    </font>
    <font>
      <sz val="10"/>
      <name val="Arial"/>
      <family val="2"/>
      <charset val="1"/>
    </font>
    <font>
      <sz val="12"/>
      <name val="Calibri"/>
      <family val="2"/>
      <charset val="1"/>
    </font>
    <font>
      <sz val="10"/>
      <name val="Calibri"/>
      <family val="2"/>
      <charset val="1"/>
    </font>
    <font>
      <b/>
      <sz val="12"/>
      <name val="Calibri"/>
      <family val="2"/>
      <charset val="1"/>
    </font>
    <font>
      <sz val="12"/>
      <name val="Arial"/>
      <family val="2"/>
      <charset val="1"/>
    </font>
    <font>
      <sz val="11"/>
      <color theme="1" tint="0.34968108157597583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595959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4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color rgb="FF000000"/>
      <name val="Arial"/>
      <family val="2"/>
      <charset val="1"/>
    </font>
    <font>
      <b/>
      <sz val="15"/>
      <color theme="1"/>
      <name val="Aptos Narrow"/>
      <family val="2"/>
      <scheme val="minor"/>
    </font>
    <font>
      <b/>
      <sz val="16"/>
      <color rgb="FF000000"/>
      <name val="Calibri"/>
      <family val="2"/>
      <charset val="1"/>
    </font>
    <font>
      <b/>
      <sz val="12"/>
      <color rgb="FFFF0000"/>
      <name val="Calibri"/>
      <family val="2"/>
    </font>
    <font>
      <b/>
      <sz val="12"/>
      <color theme="1" tint="0.34968108157597583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6"/>
      <color rgb="FFFF0000"/>
      <name val="Calibri"/>
      <family val="2"/>
    </font>
    <font>
      <b/>
      <sz val="12"/>
      <color rgb="FF595959"/>
      <name val="Calibri"/>
      <family val="2"/>
    </font>
    <font>
      <sz val="12"/>
      <color theme="1"/>
      <name val="Aptos Narrow"/>
      <family val="2"/>
      <scheme val="minor"/>
    </font>
    <font>
      <b/>
      <sz val="12"/>
      <name val="Arial"/>
      <family val="2"/>
      <charset val="1"/>
    </font>
    <font>
      <b/>
      <sz val="12"/>
      <color theme="1" tint="0.34968108157597583"/>
      <name val="Calibri"/>
      <family val="2"/>
      <charset val="1"/>
    </font>
    <font>
      <sz val="12"/>
      <color rgb="FFFF0000"/>
      <name val="Calibri"/>
      <family val="2"/>
    </font>
    <font>
      <b/>
      <sz val="11"/>
      <color theme="0"/>
      <name val="Calibri"/>
      <family val="2"/>
    </font>
    <font>
      <sz val="11"/>
      <color rgb="FF0000FF"/>
      <name val="Calibri"/>
      <family val="2"/>
      <charset val="1"/>
    </font>
    <font>
      <sz val="11"/>
      <color rgb="FF0000FF"/>
      <name val="Aptos Narrow"/>
      <family val="2"/>
      <scheme val="minor"/>
    </font>
    <font>
      <b/>
      <sz val="14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0"/>
      <name val="Calibri"/>
      <family val="2"/>
      <charset val="1"/>
    </font>
    <font>
      <b/>
      <sz val="12"/>
      <color rgb="FFC00000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1"/>
      <name val="Aptos Narrow"/>
      <family val="2"/>
      <scheme val="minor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4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/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249977111117893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medium">
        <color auto="1"/>
      </left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A6A6A6"/>
      </left>
      <right/>
      <top style="medium">
        <color auto="1"/>
      </top>
      <bottom style="thin">
        <color rgb="FFA6A6A6"/>
      </bottom>
      <diagonal/>
    </border>
    <border>
      <left/>
      <right/>
      <top style="medium">
        <color auto="1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medium">
        <color auto="1"/>
      </bottom>
      <diagonal/>
    </border>
    <border>
      <left/>
      <right/>
      <top style="thin">
        <color rgb="FFA6A6A6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indexed="64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indexed="64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auto="1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auto="1"/>
      </top>
      <bottom/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auto="1"/>
      </left>
      <right/>
      <top style="thin">
        <color theme="0" tint="-0.34998626667073579"/>
      </top>
      <bottom/>
      <diagonal/>
    </border>
    <border>
      <left/>
      <right style="dotted">
        <color rgb="FFCCCCCC"/>
      </right>
      <top/>
      <bottom style="dotted">
        <color rgb="FFCCCCCC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166" fontId="6" fillId="0" borderId="0" applyBorder="0" applyProtection="0"/>
    <xf numFmtId="9" fontId="1" fillId="0" borderId="0" applyFont="0" applyFill="0" applyBorder="0" applyAlignment="0" applyProtection="0"/>
  </cellStyleXfs>
  <cellXfs count="69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Continuous" vertical="center" wrapText="1"/>
    </xf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Continuous"/>
    </xf>
    <xf numFmtId="0" fontId="11" fillId="2" borderId="8" xfId="0" applyFont="1" applyFill="1" applyBorder="1" applyAlignment="1">
      <alignment horizontal="centerContinuous" vertical="center"/>
    </xf>
    <xf numFmtId="0" fontId="11" fillId="2" borderId="10" xfId="0" applyFont="1" applyFill="1" applyBorder="1" applyAlignment="1">
      <alignment horizontal="centerContinuous" vertical="center"/>
    </xf>
    <xf numFmtId="0" fontId="11" fillId="2" borderId="11" xfId="0" applyFont="1" applyFill="1" applyBorder="1" applyAlignment="1">
      <alignment horizontal="centerContinuous" vertical="center"/>
    </xf>
    <xf numFmtId="0" fontId="11" fillId="2" borderId="12" xfId="0" applyFont="1" applyFill="1" applyBorder="1" applyAlignment="1">
      <alignment horizontal="centerContinuous" vertical="center"/>
    </xf>
    <xf numFmtId="0" fontId="13" fillId="0" borderId="6" xfId="2" applyFont="1" applyBorder="1" applyAlignment="1">
      <alignment horizontal="center"/>
    </xf>
    <xf numFmtId="0" fontId="13" fillId="0" borderId="5" xfId="2" applyFont="1" applyBorder="1" applyAlignment="1">
      <alignment horizontal="center"/>
    </xf>
    <xf numFmtId="0" fontId="13" fillId="0" borderId="5" xfId="2" applyFont="1" applyBorder="1"/>
    <xf numFmtId="0" fontId="13" fillId="0" borderId="5" xfId="2" applyFont="1" applyBorder="1" applyAlignment="1">
      <alignment horizontal="centerContinuous"/>
    </xf>
    <xf numFmtId="0" fontId="13" fillId="0" borderId="6" xfId="2" applyFont="1" applyBorder="1" applyAlignment="1">
      <alignment horizontal="centerContinuous"/>
    </xf>
    <xf numFmtId="0" fontId="13" fillId="0" borderId="24" xfId="2" applyFont="1" applyBorder="1" applyAlignment="1">
      <alignment horizontal="centerContinuous"/>
    </xf>
    <xf numFmtId="0" fontId="13" fillId="0" borderId="1" xfId="2" applyFont="1" applyBorder="1" applyAlignment="1">
      <alignment horizontal="left" vertical="center" indent="1"/>
    </xf>
    <xf numFmtId="2" fontId="15" fillId="0" borderId="4" xfId="2" applyNumberFormat="1" applyFont="1" applyBorder="1" applyAlignment="1">
      <alignment horizontal="center"/>
    </xf>
    <xf numFmtId="0" fontId="16" fillId="0" borderId="0" xfId="2" applyFont="1"/>
    <xf numFmtId="0" fontId="13" fillId="0" borderId="0" xfId="2" applyFont="1"/>
    <xf numFmtId="0" fontId="13" fillId="3" borderId="0" xfId="2" applyFont="1" applyFill="1"/>
    <xf numFmtId="0" fontId="5" fillId="0" borderId="0" xfId="2" applyFont="1" applyAlignment="1">
      <alignment horizontal="center"/>
    </xf>
    <xf numFmtId="0" fontId="13" fillId="3" borderId="0" xfId="2" applyFont="1" applyFill="1" applyAlignment="1">
      <alignment horizontal="left"/>
    </xf>
    <xf numFmtId="0" fontId="14" fillId="0" borderId="60" xfId="2" applyFont="1" applyBorder="1"/>
    <xf numFmtId="0" fontId="15" fillId="0" borderId="62" xfId="2" applyFont="1" applyBorder="1" applyAlignment="1">
      <alignment horizontal="right"/>
    </xf>
    <xf numFmtId="0" fontId="15" fillId="0" borderId="67" xfId="2" applyFont="1" applyBorder="1" applyAlignment="1">
      <alignment horizontal="right"/>
    </xf>
    <xf numFmtId="0" fontId="5" fillId="0" borderId="0" xfId="0" applyFont="1" applyAlignment="1">
      <alignment horizontal="left" vertical="center" indent="1"/>
    </xf>
    <xf numFmtId="0" fontId="15" fillId="0" borderId="0" xfId="2" applyFont="1" applyAlignment="1">
      <alignment horizontal="right"/>
    </xf>
    <xf numFmtId="0" fontId="15" fillId="0" borderId="69" xfId="2" applyFont="1" applyBorder="1" applyAlignment="1">
      <alignment horizontal="righ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center"/>
    </xf>
    <xf numFmtId="0" fontId="13" fillId="3" borderId="0" xfId="2" applyFont="1" applyFill="1" applyAlignment="1">
      <alignment wrapText="1"/>
    </xf>
    <xf numFmtId="0" fontId="17" fillId="2" borderId="58" xfId="0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center" vertical="center" wrapText="1"/>
    </xf>
    <xf numFmtId="0" fontId="17" fillId="2" borderId="59" xfId="0" applyFont="1" applyFill="1" applyBorder="1" applyAlignment="1">
      <alignment horizontal="center" vertical="center"/>
    </xf>
    <xf numFmtId="0" fontId="13" fillId="0" borderId="73" xfId="2" applyFont="1" applyBorder="1" applyAlignment="1">
      <alignment vertical="top" wrapText="1"/>
    </xf>
    <xf numFmtId="2" fontId="15" fillId="0" borderId="34" xfId="2" applyNumberFormat="1" applyFont="1" applyBorder="1" applyAlignment="1">
      <alignment horizontal="center"/>
    </xf>
    <xf numFmtId="2" fontId="15" fillId="0" borderId="57" xfId="2" applyNumberFormat="1" applyFont="1" applyBorder="1" applyAlignment="1">
      <alignment horizontal="center"/>
    </xf>
    <xf numFmtId="0" fontId="13" fillId="0" borderId="13" xfId="2" applyFont="1" applyBorder="1" applyAlignment="1">
      <alignment vertical="top" wrapText="1"/>
    </xf>
    <xf numFmtId="2" fontId="15" fillId="0" borderId="35" xfId="2" applyNumberFormat="1" applyFont="1" applyBorder="1" applyAlignment="1">
      <alignment horizontal="center"/>
    </xf>
    <xf numFmtId="0" fontId="21" fillId="0" borderId="44" xfId="0" applyFont="1" applyBorder="1"/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1" fontId="23" fillId="0" borderId="67" xfId="0" applyNumberFormat="1" applyFont="1" applyBorder="1" applyAlignment="1">
      <alignment horizontal="center" vertical="top"/>
    </xf>
    <xf numFmtId="1" fontId="23" fillId="0" borderId="69" xfId="0" applyNumberFormat="1" applyFont="1" applyBorder="1" applyAlignment="1">
      <alignment horizontal="center"/>
    </xf>
    <xf numFmtId="0" fontId="21" fillId="0" borderId="77" xfId="0" applyFont="1" applyBorder="1"/>
    <xf numFmtId="0" fontId="13" fillId="0" borderId="82" xfId="2" applyFont="1" applyBorder="1" applyAlignment="1">
      <alignment horizontal="center"/>
    </xf>
    <xf numFmtId="0" fontId="13" fillId="0" borderId="85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0" fontId="5" fillId="0" borderId="61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 indent="1"/>
    </xf>
    <xf numFmtId="0" fontId="13" fillId="0" borderId="70" xfId="2" applyFont="1" applyBorder="1" applyAlignment="1">
      <alignment horizontal="centerContinuous"/>
    </xf>
    <xf numFmtId="0" fontId="17" fillId="2" borderId="72" xfId="0" applyFont="1" applyFill="1" applyBorder="1" applyAlignment="1">
      <alignment horizontal="centerContinuous" vertical="center"/>
    </xf>
    <xf numFmtId="0" fontId="22" fillId="4" borderId="10" xfId="0" applyFont="1" applyFill="1" applyBorder="1" applyAlignment="1">
      <alignment horizontal="centerContinuous" vertical="center"/>
    </xf>
    <xf numFmtId="0" fontId="22" fillId="4" borderId="11" xfId="0" applyFont="1" applyFill="1" applyBorder="1" applyAlignment="1">
      <alignment horizontal="centerContinuous" vertical="center"/>
    </xf>
    <xf numFmtId="0" fontId="22" fillId="4" borderId="12" xfId="0" applyFont="1" applyFill="1" applyBorder="1" applyAlignment="1">
      <alignment horizontal="centerContinuous" vertical="center"/>
    </xf>
    <xf numFmtId="0" fontId="4" fillId="0" borderId="61" xfId="0" applyFont="1" applyBorder="1" applyAlignment="1">
      <alignment horizontal="centerContinuous"/>
    </xf>
    <xf numFmtId="0" fontId="4" fillId="0" borderId="93" xfId="0" applyFont="1" applyBorder="1" applyAlignment="1">
      <alignment horizontal="centerContinuous"/>
    </xf>
    <xf numFmtId="0" fontId="4" fillId="0" borderId="76" xfId="0" applyFont="1" applyBorder="1" applyAlignment="1">
      <alignment horizontal="centerContinuous"/>
    </xf>
    <xf numFmtId="0" fontId="4" fillId="0" borderId="26" xfId="0" applyFont="1" applyBorder="1" applyAlignment="1">
      <alignment horizontal="centerContinuous"/>
    </xf>
    <xf numFmtId="0" fontId="21" fillId="0" borderId="78" xfId="0" applyFont="1" applyBorder="1"/>
    <xf numFmtId="0" fontId="21" fillId="0" borderId="18" xfId="0" applyFont="1" applyBorder="1"/>
    <xf numFmtId="0" fontId="21" fillId="0" borderId="79" xfId="0" applyFont="1" applyBorder="1"/>
    <xf numFmtId="0" fontId="21" fillId="0" borderId="37" xfId="0" applyFont="1" applyBorder="1"/>
    <xf numFmtId="0" fontId="21" fillId="0" borderId="51" xfId="0" applyFont="1" applyBorder="1"/>
    <xf numFmtId="0" fontId="21" fillId="0" borderId="52" xfId="0" applyFont="1" applyBorder="1"/>
    <xf numFmtId="0" fontId="21" fillId="0" borderId="53" xfId="0" applyFont="1" applyBorder="1"/>
    <xf numFmtId="0" fontId="21" fillId="0" borderId="71" xfId="0" applyFont="1" applyBorder="1"/>
    <xf numFmtId="0" fontId="21" fillId="0" borderId="51" xfId="0" applyFont="1" applyBorder="1" applyAlignment="1">
      <alignment horizontal="left"/>
    </xf>
    <xf numFmtId="0" fontId="21" fillId="0" borderId="52" xfId="0" applyFont="1" applyBorder="1" applyAlignment="1">
      <alignment horizontal="left"/>
    </xf>
    <xf numFmtId="0" fontId="21" fillId="0" borderId="53" xfId="0" applyFont="1" applyBorder="1" applyAlignment="1">
      <alignment horizontal="left"/>
    </xf>
    <xf numFmtId="0" fontId="21" fillId="0" borderId="19" xfId="0" applyFont="1" applyBorder="1"/>
    <xf numFmtId="0" fontId="13" fillId="0" borderId="94" xfId="2" applyFont="1" applyBorder="1" applyAlignment="1">
      <alignment horizontal="centerContinuous"/>
    </xf>
    <xf numFmtId="0" fontId="13" fillId="0" borderId="95" xfId="2" applyFont="1" applyBorder="1" applyAlignment="1">
      <alignment horizontal="centerContinuous"/>
    </xf>
    <xf numFmtId="0" fontId="13" fillId="0" borderId="86" xfId="2" applyFont="1" applyBorder="1"/>
    <xf numFmtId="0" fontId="13" fillId="0" borderId="11" xfId="2" applyFont="1" applyBorder="1"/>
    <xf numFmtId="0" fontId="13" fillId="0" borderId="12" xfId="2" applyFont="1" applyBorder="1"/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2" fillId="4" borderId="44" xfId="0" applyFont="1" applyFill="1" applyBorder="1" applyAlignment="1">
      <alignment horizontal="centerContinuous" vertical="center"/>
    </xf>
    <xf numFmtId="0" fontId="22" fillId="4" borderId="44" xfId="0" applyFont="1" applyFill="1" applyBorder="1" applyAlignment="1">
      <alignment horizontal="center" vertical="center"/>
    </xf>
    <xf numFmtId="0" fontId="21" fillId="0" borderId="0" xfId="0" applyFont="1"/>
    <xf numFmtId="0" fontId="8" fillId="0" borderId="44" xfId="0" applyFont="1" applyBorder="1" applyAlignment="1">
      <alignment horizontal="center"/>
    </xf>
    <xf numFmtId="0" fontId="8" fillId="0" borderId="51" xfId="0" applyFont="1" applyBorder="1" applyAlignment="1">
      <alignment horizontal="left" vertical="center" indent="1"/>
    </xf>
    <xf numFmtId="0" fontId="5" fillId="0" borderId="52" xfId="0" applyFont="1" applyBorder="1" applyAlignment="1">
      <alignment vertical="top"/>
    </xf>
    <xf numFmtId="0" fontId="8" fillId="0" borderId="52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8" fillId="0" borderId="43" xfId="0" applyFont="1" applyBorder="1"/>
    <xf numFmtId="0" fontId="5" fillId="0" borderId="0" xfId="0" applyFont="1" applyAlignment="1">
      <alignment vertical="top"/>
    </xf>
    <xf numFmtId="0" fontId="26" fillId="0" borderId="0" xfId="0" applyFont="1" applyAlignment="1">
      <alignment vertical="top"/>
    </xf>
    <xf numFmtId="3" fontId="5" fillId="0" borderId="77" xfId="0" applyNumberFormat="1" applyFont="1" applyBorder="1" applyAlignment="1">
      <alignment horizontal="centerContinuous"/>
    </xf>
    <xf numFmtId="0" fontId="5" fillId="0" borderId="52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91" xfId="0" applyFont="1" applyBorder="1"/>
    <xf numFmtId="0" fontId="5" fillId="0" borderId="98" xfId="0" applyFont="1" applyBorder="1"/>
    <xf numFmtId="0" fontId="5" fillId="0" borderId="61" xfId="0" applyFont="1" applyBorder="1"/>
    <xf numFmtId="0" fontId="5" fillId="0" borderId="99" xfId="0" applyFont="1" applyBorder="1"/>
    <xf numFmtId="0" fontId="5" fillId="0" borderId="71" xfId="0" applyFont="1" applyBorder="1"/>
    <xf numFmtId="0" fontId="3" fillId="0" borderId="0" xfId="2" applyFont="1"/>
    <xf numFmtId="0" fontId="0" fillId="0" borderId="43" xfId="0" applyBorder="1"/>
    <xf numFmtId="0" fontId="0" fillId="0" borderId="26" xfId="0" applyBorder="1"/>
    <xf numFmtId="0" fontId="0" fillId="0" borderId="54" xfId="0" applyBorder="1"/>
    <xf numFmtId="0" fontId="0" fillId="0" borderId="37" xfId="0" applyBorder="1"/>
    <xf numFmtId="0" fontId="0" fillId="0" borderId="31" xfId="0" applyBorder="1"/>
    <xf numFmtId="0" fontId="0" fillId="0" borderId="27" xfId="0" applyBorder="1"/>
    <xf numFmtId="0" fontId="13" fillId="0" borderId="21" xfId="2" applyFont="1" applyBorder="1" applyAlignment="1">
      <alignment horizontal="left" vertical="center"/>
    </xf>
    <xf numFmtId="0" fontId="15" fillId="0" borderId="8" xfId="2" applyFont="1" applyBorder="1" applyAlignment="1">
      <alignment horizontal="centerContinuous"/>
    </xf>
    <xf numFmtId="0" fontId="15" fillId="0" borderId="60" xfId="2" applyFont="1" applyBorder="1" applyAlignment="1">
      <alignment horizontal="centerContinuous"/>
    </xf>
    <xf numFmtId="0" fontId="13" fillId="0" borderId="65" xfId="2" applyFont="1" applyBorder="1" applyAlignment="1">
      <alignment horizontal="centerContinuous"/>
    </xf>
    <xf numFmtId="0" fontId="13" fillId="0" borderId="99" xfId="2" applyFont="1" applyBorder="1"/>
    <xf numFmtId="0" fontId="13" fillId="0" borderId="71" xfId="2" applyFont="1" applyBorder="1"/>
    <xf numFmtId="0" fontId="13" fillId="0" borderId="65" xfId="2" applyFont="1" applyBorder="1" applyAlignment="1">
      <alignment horizontal="centerContinuous" vertical="center"/>
    </xf>
    <xf numFmtId="0" fontId="13" fillId="0" borderId="65" xfId="2" applyFont="1" applyBorder="1" applyAlignment="1">
      <alignment horizontal="centerContinuous" vertical="top"/>
    </xf>
    <xf numFmtId="2" fontId="13" fillId="0" borderId="99" xfId="2" applyNumberFormat="1" applyFont="1" applyBorder="1"/>
    <xf numFmtId="2" fontId="13" fillId="0" borderId="71" xfId="2" applyNumberFormat="1" applyFont="1" applyBorder="1"/>
    <xf numFmtId="0" fontId="13" fillId="0" borderId="66" xfId="2" applyFont="1" applyBorder="1" applyAlignment="1">
      <alignment horizontal="centerContinuous"/>
    </xf>
    <xf numFmtId="0" fontId="13" fillId="0" borderId="17" xfId="2" applyFont="1" applyBorder="1"/>
    <xf numFmtId="0" fontId="13" fillId="0" borderId="91" xfId="2" applyFont="1" applyBorder="1"/>
    <xf numFmtId="0" fontId="13" fillId="0" borderId="100" xfId="2" applyFont="1" applyBorder="1"/>
    <xf numFmtId="0" fontId="13" fillId="0" borderId="98" xfId="2" applyFont="1" applyBorder="1"/>
    <xf numFmtId="2" fontId="18" fillId="0" borderId="0" xfId="2" applyNumberFormat="1" applyFont="1" applyAlignment="1">
      <alignment horizontal="centerContinuous"/>
    </xf>
    <xf numFmtId="2" fontId="15" fillId="0" borderId="0" xfId="2" applyNumberFormat="1" applyFont="1" applyAlignment="1">
      <alignment horizontal="center"/>
    </xf>
    <xf numFmtId="1" fontId="15" fillId="0" borderId="0" xfId="2" applyNumberFormat="1" applyFont="1" applyAlignment="1">
      <alignment horizontal="center"/>
    </xf>
    <xf numFmtId="0" fontId="13" fillId="0" borderId="42" xfId="2" applyFont="1" applyBorder="1" applyAlignment="1">
      <alignment vertical="top" wrapText="1"/>
    </xf>
    <xf numFmtId="2" fontId="15" fillId="0" borderId="38" xfId="2" applyNumberFormat="1" applyFont="1" applyBorder="1" applyAlignment="1">
      <alignment horizontal="center"/>
    </xf>
    <xf numFmtId="2" fontId="15" fillId="0" borderId="39" xfId="2" applyNumberFormat="1" applyFont="1" applyBorder="1" applyAlignment="1">
      <alignment horizontal="center"/>
    </xf>
    <xf numFmtId="0" fontId="7" fillId="0" borderId="0" xfId="1" applyNumberFormat="1" applyFont="1" applyBorder="1" applyAlignment="1" applyProtection="1">
      <alignment horizontal="centerContinuous" vertical="center"/>
    </xf>
    <xf numFmtId="0" fontId="15" fillId="0" borderId="31" xfId="2" applyFont="1" applyBorder="1" applyAlignment="1">
      <alignment horizontal="centerContinuous"/>
    </xf>
    <xf numFmtId="0" fontId="15" fillId="0" borderId="21" xfId="2" applyFont="1" applyBorder="1" applyAlignment="1">
      <alignment horizontal="centerContinuous"/>
    </xf>
    <xf numFmtId="0" fontId="13" fillId="0" borderId="21" xfId="2" applyFont="1" applyBorder="1"/>
    <xf numFmtId="0" fontId="13" fillId="3" borderId="21" xfId="2" applyFont="1" applyFill="1" applyBorder="1"/>
    <xf numFmtId="0" fontId="13" fillId="3" borderId="27" xfId="2" applyFont="1" applyFill="1" applyBorder="1"/>
    <xf numFmtId="0" fontId="13" fillId="0" borderId="61" xfId="2" applyFont="1" applyBorder="1" applyAlignment="1">
      <alignment horizontal="left" vertical="top"/>
    </xf>
    <xf numFmtId="0" fontId="0" fillId="0" borderId="47" xfId="0" applyBorder="1"/>
    <xf numFmtId="0" fontId="0" fillId="0" borderId="79" xfId="0" applyBorder="1"/>
    <xf numFmtId="0" fontId="0" fillId="0" borderId="90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5" xfId="0" applyBorder="1"/>
    <xf numFmtId="0" fontId="0" fillId="0" borderId="46" xfId="0" applyBorder="1"/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/>
    <xf numFmtId="164" fontId="5" fillId="0" borderId="0" xfId="0" applyNumberFormat="1" applyFont="1" applyAlignment="1">
      <alignment horizontal="centerContinuous"/>
    </xf>
    <xf numFmtId="0" fontId="28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vertical="center" wrapText="1"/>
    </xf>
    <xf numFmtId="167" fontId="3" fillId="0" borderId="0" xfId="2" applyNumberFormat="1" applyFont="1" applyAlignment="1">
      <alignment horizontal="right"/>
    </xf>
    <xf numFmtId="169" fontId="3" fillId="0" borderId="0" xfId="2" applyNumberFormat="1" applyFont="1" applyAlignment="1">
      <alignment horizontal="left"/>
    </xf>
    <xf numFmtId="0" fontId="8" fillId="0" borderId="49" xfId="0" applyFont="1" applyBorder="1" applyAlignment="1">
      <alignment vertical="center" wrapText="1"/>
    </xf>
    <xf numFmtId="0" fontId="8" fillId="0" borderId="50" xfId="0" applyFont="1" applyBorder="1" applyAlignment="1">
      <alignment vertical="center" wrapText="1"/>
    </xf>
    <xf numFmtId="0" fontId="8" fillId="0" borderId="90" xfId="0" applyFont="1" applyBorder="1" applyAlignment="1">
      <alignment horizontal="centerContinuous" vertical="center" wrapText="1"/>
    </xf>
    <xf numFmtId="164" fontId="8" fillId="0" borderId="48" xfId="0" applyNumberFormat="1" applyFont="1" applyBorder="1" applyAlignment="1">
      <alignment horizontal="centerContinuous" vertical="center"/>
    </xf>
    <xf numFmtId="164" fontId="13" fillId="0" borderId="71" xfId="2" applyNumberFormat="1" applyFont="1" applyBorder="1"/>
    <xf numFmtId="0" fontId="13" fillId="0" borderId="43" xfId="2" applyFont="1" applyBorder="1"/>
    <xf numFmtId="0" fontId="13" fillId="0" borderId="25" xfId="2" applyFont="1" applyBorder="1"/>
    <xf numFmtId="0" fontId="13" fillId="0" borderId="26" xfId="2" applyFont="1" applyBorder="1"/>
    <xf numFmtId="0" fontId="13" fillId="0" borderId="18" xfId="2" applyFont="1" applyBorder="1"/>
    <xf numFmtId="0" fontId="13" fillId="0" borderId="31" xfId="2" applyFont="1" applyBorder="1"/>
    <xf numFmtId="0" fontId="13" fillId="0" borderId="27" xfId="2" applyFont="1" applyBorder="1"/>
    <xf numFmtId="0" fontId="13" fillId="0" borderId="61" xfId="2" applyFont="1" applyBorder="1"/>
    <xf numFmtId="0" fontId="13" fillId="0" borderId="52" xfId="2" applyFont="1" applyBorder="1"/>
    <xf numFmtId="0" fontId="13" fillId="0" borderId="11" xfId="2" applyFont="1" applyBorder="1" applyAlignment="1">
      <alignment horizontal="left" vertical="top"/>
    </xf>
    <xf numFmtId="0" fontId="13" fillId="0" borderId="12" xfId="2" applyFont="1" applyBorder="1" applyAlignment="1">
      <alignment horizontal="left" vertical="top"/>
    </xf>
    <xf numFmtId="0" fontId="13" fillId="0" borderId="10" xfId="2" applyFont="1" applyBorder="1" applyAlignment="1">
      <alignment horizontal="left" vertical="center"/>
    </xf>
    <xf numFmtId="0" fontId="13" fillId="0" borderId="100" xfId="2" applyFont="1" applyBorder="1" applyAlignment="1">
      <alignment horizontal="left" vertical="center"/>
    </xf>
    <xf numFmtId="0" fontId="13" fillId="0" borderId="48" xfId="2" applyFont="1" applyBorder="1" applyAlignment="1">
      <alignment horizontal="left" vertical="center"/>
    </xf>
    <xf numFmtId="0" fontId="13" fillId="0" borderId="49" xfId="2" applyFont="1" applyBorder="1" applyAlignment="1">
      <alignment horizontal="left" vertical="center"/>
    </xf>
    <xf numFmtId="0" fontId="13" fillId="0" borderId="78" xfId="2" applyFont="1" applyBorder="1" applyAlignment="1">
      <alignment horizontal="left" vertical="center"/>
    </xf>
    <xf numFmtId="0" fontId="13" fillId="0" borderId="18" xfId="2" applyFont="1" applyBorder="1" applyAlignment="1">
      <alignment horizontal="left" vertical="center"/>
    </xf>
    <xf numFmtId="0" fontId="13" fillId="0" borderId="0" xfId="2" applyFont="1" applyAlignment="1">
      <alignment vertical="top"/>
    </xf>
    <xf numFmtId="0" fontId="4" fillId="0" borderId="92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8" fillId="0" borderId="0" xfId="0" applyFont="1" applyAlignment="1">
      <alignment horizontal="centerContinuous" vertical="center" wrapText="1"/>
    </xf>
    <xf numFmtId="0" fontId="8" fillId="0" borderId="48" xfId="0" applyFont="1" applyBorder="1" applyAlignment="1">
      <alignment vertical="center" wrapText="1"/>
    </xf>
    <xf numFmtId="0" fontId="8" fillId="0" borderId="76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02" xfId="0" applyFont="1" applyBorder="1" applyAlignment="1">
      <alignment vertical="center" wrapText="1"/>
    </xf>
    <xf numFmtId="164" fontId="8" fillId="0" borderId="102" xfId="0" applyNumberFormat="1" applyFont="1" applyBorder="1" applyAlignment="1">
      <alignment horizontal="centerContinuous" vertical="center"/>
    </xf>
    <xf numFmtId="164" fontId="8" fillId="0" borderId="103" xfId="0" applyNumberFormat="1" applyFont="1" applyBorder="1" applyAlignment="1">
      <alignment horizontal="centerContinuous" vertical="center"/>
    </xf>
    <xf numFmtId="164" fontId="8" fillId="0" borderId="37" xfId="0" applyNumberFormat="1" applyFont="1" applyBorder="1" applyAlignment="1">
      <alignment horizontal="centerContinuous" vertical="center"/>
    </xf>
    <xf numFmtId="164" fontId="8" fillId="0" borderId="105" xfId="0" applyNumberFormat="1" applyFont="1" applyBorder="1" applyAlignment="1">
      <alignment horizontal="centerContinuous" vertical="center"/>
    </xf>
    <xf numFmtId="0" fontId="5" fillId="0" borderId="106" xfId="0" applyFont="1" applyBorder="1" applyAlignment="1">
      <alignment vertical="center"/>
    </xf>
    <xf numFmtId="3" fontId="5" fillId="0" borderId="107" xfId="0" applyNumberFormat="1" applyFont="1" applyBorder="1" applyAlignment="1">
      <alignment horizontal="centerContinuous"/>
    </xf>
    <xf numFmtId="3" fontId="24" fillId="0" borderId="108" xfId="0" applyNumberFormat="1" applyFont="1" applyBorder="1" applyAlignment="1">
      <alignment horizontal="centerContinuous" vertical="center"/>
    </xf>
    <xf numFmtId="0" fontId="22" fillId="4" borderId="67" xfId="0" applyFont="1" applyFill="1" applyBorder="1" applyAlignment="1">
      <alignment horizontal="centerContinuous" vertical="center"/>
    </xf>
    <xf numFmtId="0" fontId="21" fillId="0" borderId="17" xfId="0" applyFont="1" applyBorder="1" applyAlignment="1">
      <alignment horizontal="centerContinuous"/>
    </xf>
    <xf numFmtId="0" fontId="21" fillId="0" borderId="18" xfId="0" applyFont="1" applyBorder="1" applyAlignment="1">
      <alignment horizontal="centerContinuous"/>
    </xf>
    <xf numFmtId="0" fontId="21" fillId="0" borderId="109" xfId="0" applyFont="1" applyBorder="1" applyAlignment="1">
      <alignment horizontal="center"/>
    </xf>
    <xf numFmtId="0" fontId="8" fillId="0" borderId="69" xfId="0" applyFont="1" applyBorder="1" applyAlignment="1">
      <alignment horizontal="center" vertical="center"/>
    </xf>
    <xf numFmtId="0" fontId="8" fillId="0" borderId="78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91" xfId="0" applyFont="1" applyBorder="1" applyAlignment="1">
      <alignment vertical="center"/>
    </xf>
    <xf numFmtId="0" fontId="21" fillId="0" borderId="67" xfId="0" applyFont="1" applyBorder="1"/>
    <xf numFmtId="0" fontId="5" fillId="0" borderId="68" xfId="0" applyFont="1" applyBorder="1"/>
    <xf numFmtId="0" fontId="2" fillId="0" borderId="101" xfId="0" applyFont="1" applyBorder="1" applyAlignment="1">
      <alignment vertical="center" wrapText="1"/>
    </xf>
    <xf numFmtId="0" fontId="2" fillId="0" borderId="104" xfId="0" applyFont="1" applyBorder="1" applyAlignment="1">
      <alignment vertical="center" wrapText="1"/>
    </xf>
    <xf numFmtId="0" fontId="2" fillId="0" borderId="74" xfId="0" applyFont="1" applyBorder="1" applyAlignment="1">
      <alignment vertical="center" wrapText="1"/>
    </xf>
    <xf numFmtId="0" fontId="22" fillId="4" borderId="58" xfId="0" applyFont="1" applyFill="1" applyBorder="1" applyAlignment="1">
      <alignment horizontal="centerContinuous" vertical="center"/>
    </xf>
    <xf numFmtId="0" fontId="22" fillId="4" borderId="72" xfId="0" applyFont="1" applyFill="1" applyBorder="1" applyAlignment="1">
      <alignment horizontal="centerContinuous" vertical="center"/>
    </xf>
    <xf numFmtId="0" fontId="22" fillId="4" borderId="59" xfId="0" applyFont="1" applyFill="1" applyBorder="1" applyAlignment="1">
      <alignment horizontal="centerContinuous" vertical="center"/>
    </xf>
    <xf numFmtId="0" fontId="21" fillId="0" borderId="106" xfId="0" applyFont="1" applyBorder="1"/>
    <xf numFmtId="0" fontId="21" fillId="0" borderId="45" xfId="0" applyFont="1" applyBorder="1"/>
    <xf numFmtId="0" fontId="21" fillId="0" borderId="46" xfId="0" applyFont="1" applyBorder="1"/>
    <xf numFmtId="0" fontId="21" fillId="0" borderId="110" xfId="0" applyFont="1" applyBorder="1"/>
    <xf numFmtId="0" fontId="8" fillId="0" borderId="74" xfId="0" applyFont="1" applyBorder="1" applyAlignment="1">
      <alignment horizontal="center"/>
    </xf>
    <xf numFmtId="0" fontId="8" fillId="0" borderId="48" xfId="0" applyFont="1" applyBorder="1" applyAlignment="1">
      <alignment horizontal="centerContinuous" vertical="center"/>
    </xf>
    <xf numFmtId="0" fontId="8" fillId="0" borderId="49" xfId="0" applyFont="1" applyBorder="1" applyAlignment="1">
      <alignment horizontal="centerContinuous" vertical="center"/>
    </xf>
    <xf numFmtId="0" fontId="8" fillId="0" borderId="49" xfId="0" applyFont="1" applyBorder="1" applyAlignment="1">
      <alignment horizontal="centerContinuous"/>
    </xf>
    <xf numFmtId="0" fontId="8" fillId="0" borderId="50" xfId="0" applyFont="1" applyBorder="1" applyAlignment="1">
      <alignment horizontal="centerContinuous"/>
    </xf>
    <xf numFmtId="0" fontId="8" fillId="0" borderId="75" xfId="0" applyFont="1" applyBorder="1" applyAlignment="1">
      <alignment horizontal="center"/>
    </xf>
    <xf numFmtId="0" fontId="8" fillId="0" borderId="108" xfId="0" applyFont="1" applyBorder="1" applyAlignment="1">
      <alignment horizontal="center"/>
    </xf>
    <xf numFmtId="0" fontId="22" fillId="4" borderId="20" xfId="0" applyFont="1" applyFill="1" applyBorder="1" applyAlignment="1">
      <alignment horizontal="centerContinuous" vertical="center"/>
    </xf>
    <xf numFmtId="0" fontId="4" fillId="0" borderId="75" xfId="0" applyFont="1" applyBorder="1" applyAlignment="1">
      <alignment horizontal="centerContinuous"/>
    </xf>
    <xf numFmtId="0" fontId="4" fillId="0" borderId="108" xfId="0" applyFont="1" applyBorder="1" applyAlignment="1">
      <alignment horizontal="centerContinuous"/>
    </xf>
    <xf numFmtId="0" fontId="13" fillId="0" borderId="100" xfId="2" applyFont="1" applyBorder="1" applyAlignment="1">
      <alignment horizontal="centerContinuous" vertical="top" wrapText="1"/>
    </xf>
    <xf numFmtId="0" fontId="13" fillId="0" borderId="93" xfId="2" applyFont="1" applyBorder="1" applyAlignment="1">
      <alignment horizontal="centerContinuous" vertical="center"/>
    </xf>
    <xf numFmtId="0" fontId="13" fillId="0" borderId="114" xfId="2" applyFont="1" applyBorder="1" applyAlignment="1">
      <alignment horizontal="centerContinuous" vertical="top"/>
    </xf>
    <xf numFmtId="0" fontId="13" fillId="0" borderId="63" xfId="2" applyFont="1" applyBorder="1" applyAlignment="1">
      <alignment horizontal="centerContinuous" vertical="top"/>
    </xf>
    <xf numFmtId="0" fontId="13" fillId="0" borderId="76" xfId="2" applyFont="1" applyBorder="1" applyAlignment="1">
      <alignment horizontal="centerContinuous"/>
    </xf>
    <xf numFmtId="0" fontId="13" fillId="0" borderId="115" xfId="2" applyFont="1" applyBorder="1" applyAlignment="1">
      <alignment horizontal="centerContinuous"/>
    </xf>
    <xf numFmtId="0" fontId="13" fillId="0" borderId="64" xfId="2" applyFont="1" applyBorder="1" applyAlignment="1">
      <alignment horizontal="centerContinuous"/>
    </xf>
    <xf numFmtId="0" fontId="0" fillId="0" borderId="21" xfId="0" applyBorder="1"/>
    <xf numFmtId="2" fontId="15" fillId="0" borderId="74" xfId="2" applyNumberFormat="1" applyFont="1" applyBorder="1" applyAlignment="1">
      <alignment horizontal="centerContinuous"/>
    </xf>
    <xf numFmtId="1" fontId="15" fillId="0" borderId="75" xfId="2" applyNumberFormat="1" applyFont="1" applyBorder="1" applyAlignment="1">
      <alignment horizontal="centerContinuous"/>
    </xf>
    <xf numFmtId="0" fontId="20" fillId="0" borderId="75" xfId="0" applyFont="1" applyBorder="1" applyAlignment="1">
      <alignment horizontal="centerContinuous"/>
    </xf>
    <xf numFmtId="0" fontId="20" fillId="0" borderId="108" xfId="0" applyFont="1" applyBorder="1" applyAlignment="1">
      <alignment horizontal="centerContinuous"/>
    </xf>
    <xf numFmtId="2" fontId="15" fillId="6" borderId="58" xfId="2" applyNumberFormat="1" applyFont="1" applyFill="1" applyBorder="1" applyAlignment="1">
      <alignment horizontal="centerContinuous"/>
    </xf>
    <xf numFmtId="1" fontId="15" fillId="6" borderId="72" xfId="2" applyNumberFormat="1" applyFont="1" applyFill="1" applyBorder="1" applyAlignment="1">
      <alignment horizontal="centerContinuous"/>
    </xf>
    <xf numFmtId="0" fontId="4" fillId="6" borderId="72" xfId="0" applyFont="1" applyFill="1" applyBorder="1" applyAlignment="1">
      <alignment horizontal="centerContinuous"/>
    </xf>
    <xf numFmtId="0" fontId="4" fillId="6" borderId="59" xfId="0" applyFont="1" applyFill="1" applyBorder="1" applyAlignment="1">
      <alignment horizontal="centerContinuous"/>
    </xf>
    <xf numFmtId="0" fontId="0" fillId="6" borderId="11" xfId="0" applyFill="1" applyBorder="1" applyAlignment="1">
      <alignment horizontal="centerContinuous"/>
    </xf>
    <xf numFmtId="0" fontId="0" fillId="6" borderId="12" xfId="0" applyFill="1" applyBorder="1" applyAlignment="1">
      <alignment horizontal="centerContinuous"/>
    </xf>
    <xf numFmtId="0" fontId="19" fillId="6" borderId="58" xfId="2" applyFont="1" applyFill="1" applyBorder="1" applyAlignment="1">
      <alignment horizontal="centerContinuous" vertical="top" wrapText="1"/>
    </xf>
    <xf numFmtId="0" fontId="13" fillId="6" borderId="72" xfId="2" applyFont="1" applyFill="1" applyBorder="1" applyAlignment="1">
      <alignment horizontal="centerContinuous" vertical="center"/>
    </xf>
    <xf numFmtId="0" fontId="13" fillId="6" borderId="72" xfId="2" applyFont="1" applyFill="1" applyBorder="1" applyAlignment="1">
      <alignment horizontal="centerContinuous" vertical="top"/>
    </xf>
    <xf numFmtId="0" fontId="13" fillId="6" borderId="72" xfId="2" applyFont="1" applyFill="1" applyBorder="1" applyAlignment="1">
      <alignment horizontal="centerContinuous"/>
    </xf>
    <xf numFmtId="0" fontId="13" fillId="6" borderId="59" xfId="2" applyFont="1" applyFill="1" applyBorder="1" applyAlignment="1">
      <alignment horizontal="centerContinuous"/>
    </xf>
    <xf numFmtId="0" fontId="0" fillId="6" borderId="20" xfId="0" applyFill="1" applyBorder="1" applyAlignment="1">
      <alignment horizontal="centerContinuous"/>
    </xf>
    <xf numFmtId="14" fontId="14" fillId="0" borderId="30" xfId="2" applyNumberFormat="1" applyFont="1" applyBorder="1" applyAlignment="1">
      <alignment horizontal="left"/>
    </xf>
    <xf numFmtId="17" fontId="5" fillId="0" borderId="31" xfId="0" applyNumberFormat="1" applyFont="1" applyBorder="1" applyAlignment="1">
      <alignment horizontal="left" vertical="center"/>
    </xf>
    <xf numFmtId="0" fontId="13" fillId="0" borderId="66" xfId="2" applyFont="1" applyBorder="1"/>
    <xf numFmtId="0" fontId="21" fillId="0" borderId="19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22" fillId="4" borderId="115" xfId="0" applyFont="1" applyFill="1" applyBorder="1" applyAlignment="1">
      <alignment horizontal="centerContinuous" vertical="center"/>
    </xf>
    <xf numFmtId="0" fontId="5" fillId="0" borderId="112" xfId="0" applyFont="1" applyBorder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22" fillId="4" borderId="101" xfId="0" applyFont="1" applyFill="1" applyBorder="1" applyAlignment="1">
      <alignment horizontal="centerContinuous" vertical="center"/>
    </xf>
    <xf numFmtId="0" fontId="5" fillId="0" borderId="6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Continuous" vertical="center"/>
    </xf>
    <xf numFmtId="0" fontId="22" fillId="4" borderId="68" xfId="0" applyFont="1" applyFill="1" applyBorder="1" applyAlignment="1">
      <alignment horizontal="centerContinuous" vertical="center"/>
    </xf>
    <xf numFmtId="0" fontId="21" fillId="0" borderId="91" xfId="0" applyFont="1" applyBorder="1" applyAlignment="1">
      <alignment horizontal="centerContinuous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14" fontId="5" fillId="0" borderId="3" xfId="0" applyNumberFormat="1" applyFont="1" applyBorder="1" applyAlignment="1">
      <alignment horizontal="center"/>
    </xf>
    <xf numFmtId="14" fontId="16" fillId="0" borderId="0" xfId="2" applyNumberFormat="1" applyFont="1" applyAlignment="1">
      <alignment horizontal="left" vertical="center"/>
    </xf>
    <xf numFmtId="0" fontId="15" fillId="0" borderId="54" xfId="2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5" fillId="0" borderId="54" xfId="2" applyFont="1" applyBorder="1" applyAlignment="1">
      <alignment horizontal="left" vertical="center" wrapText="1"/>
    </xf>
    <xf numFmtId="0" fontId="15" fillId="0" borderId="31" xfId="2" applyFont="1" applyBorder="1" applyAlignment="1">
      <alignment horizontal="left" vertical="center" wrapText="1"/>
    </xf>
    <xf numFmtId="0" fontId="13" fillId="0" borderId="27" xfId="2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3" fillId="3" borderId="10" xfId="2" applyFont="1" applyFill="1" applyBorder="1"/>
    <xf numFmtId="0" fontId="13" fillId="3" borderId="11" xfId="2" applyFont="1" applyFill="1" applyBorder="1"/>
    <xf numFmtId="0" fontId="13" fillId="3" borderId="12" xfId="2" applyFont="1" applyFill="1" applyBorder="1"/>
    <xf numFmtId="0" fontId="16" fillId="0" borderId="118" xfId="2" applyFont="1" applyBorder="1"/>
    <xf numFmtId="165" fontId="16" fillId="0" borderId="24" xfId="3" applyNumberFormat="1" applyFont="1" applyBorder="1" applyProtection="1"/>
    <xf numFmtId="0" fontId="5" fillId="0" borderId="44" xfId="0" applyFont="1" applyBorder="1" applyAlignment="1">
      <alignment horizontal="center" vertical="center"/>
    </xf>
    <xf numFmtId="0" fontId="8" fillId="0" borderId="44" xfId="0" applyFont="1" applyBorder="1" applyAlignment="1">
      <alignment horizontal="left" vertical="center" indent="1"/>
    </xf>
    <xf numFmtId="0" fontId="5" fillId="0" borderId="52" xfId="0" applyFont="1" applyBorder="1" applyAlignment="1">
      <alignment horizontal="centerContinuous" vertical="center"/>
    </xf>
    <xf numFmtId="0" fontId="5" fillId="0" borderId="53" xfId="0" applyFont="1" applyBorder="1" applyAlignment="1">
      <alignment horizontal="centerContinuous" vertical="center"/>
    </xf>
    <xf numFmtId="0" fontId="8" fillId="0" borderId="52" xfId="0" applyFont="1" applyBorder="1" applyAlignment="1">
      <alignment horizontal="centerContinuous" vertical="center"/>
    </xf>
    <xf numFmtId="0" fontId="8" fillId="0" borderId="53" xfId="0" applyFont="1" applyBorder="1" applyAlignment="1">
      <alignment horizontal="centerContinuous" vertical="center"/>
    </xf>
    <xf numFmtId="0" fontId="5" fillId="0" borderId="31" xfId="0" applyFont="1" applyBorder="1"/>
    <xf numFmtId="0" fontId="5" fillId="0" borderId="21" xfId="0" applyFont="1" applyBorder="1"/>
    <xf numFmtId="0" fontId="5" fillId="0" borderId="27" xfId="0" applyFont="1" applyBorder="1"/>
    <xf numFmtId="0" fontId="5" fillId="0" borderId="54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8" fillId="0" borderId="58" xfId="0" applyFont="1" applyBorder="1" applyAlignment="1">
      <alignment horizontal="centerContinuous"/>
    </xf>
    <xf numFmtId="0" fontId="8" fillId="0" borderId="72" xfId="0" applyFont="1" applyBorder="1" applyAlignment="1">
      <alignment horizontal="centerContinuous"/>
    </xf>
    <xf numFmtId="0" fontId="8" fillId="0" borderId="59" xfId="0" applyFont="1" applyBorder="1" applyAlignment="1">
      <alignment horizontal="centerContinuous"/>
    </xf>
    <xf numFmtId="0" fontId="25" fillId="0" borderId="69" xfId="0" applyFont="1" applyBorder="1" applyAlignment="1">
      <alignment horizontal="center"/>
    </xf>
    <xf numFmtId="0" fontId="5" fillId="0" borderId="78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109" xfId="0" applyFont="1" applyBorder="1"/>
    <xf numFmtId="0" fontId="5" fillId="0" borderId="70" xfId="0" applyFont="1" applyBorder="1"/>
    <xf numFmtId="0" fontId="8" fillId="0" borderId="44" xfId="0" applyFont="1" applyBorder="1" applyAlignment="1">
      <alignment horizontal="center" vertical="center"/>
    </xf>
    <xf numFmtId="1" fontId="21" fillId="0" borderId="78" xfId="0" applyNumberFormat="1" applyFont="1" applyBorder="1" applyAlignment="1">
      <alignment horizontal="centerContinuous"/>
    </xf>
    <xf numFmtId="0" fontId="19" fillId="0" borderId="70" xfId="2" applyFont="1" applyBorder="1" applyAlignment="1">
      <alignment horizontal="centerContinuous"/>
    </xf>
    <xf numFmtId="0" fontId="15" fillId="0" borderId="60" xfId="2" applyFont="1" applyBorder="1" applyAlignment="1">
      <alignment horizontal="center" vertical="center"/>
    </xf>
    <xf numFmtId="165" fontId="15" fillId="0" borderId="4" xfId="2" applyNumberFormat="1" applyFont="1" applyBorder="1" applyAlignment="1">
      <alignment horizontal="center"/>
    </xf>
    <xf numFmtId="171" fontId="13" fillId="0" borderId="4" xfId="2" applyNumberFormat="1" applyFont="1" applyBorder="1" applyAlignment="1">
      <alignment horizontal="center" wrapText="1"/>
    </xf>
    <xf numFmtId="0" fontId="10" fillId="2" borderId="3" xfId="0" applyFont="1" applyFill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29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Continuous"/>
    </xf>
    <xf numFmtId="2" fontId="18" fillId="0" borderId="5" xfId="2" applyNumberFormat="1" applyFont="1" applyBorder="1" applyAlignment="1">
      <alignment horizontal="centerContinuous"/>
    </xf>
    <xf numFmtId="0" fontId="15" fillId="0" borderId="68" xfId="2" applyFont="1" applyBorder="1" applyAlignment="1">
      <alignment horizontal="centerContinuous"/>
    </xf>
    <xf numFmtId="0" fontId="13" fillId="0" borderId="0" xfId="2" applyFont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68" fontId="13" fillId="0" borderId="0" xfId="2" applyNumberFormat="1" applyFont="1" applyAlignment="1">
      <alignment horizontal="left" vertical="center"/>
    </xf>
    <xf numFmtId="0" fontId="16" fillId="0" borderId="27" xfId="2" applyFont="1" applyBorder="1"/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 indent="1"/>
    </xf>
    <xf numFmtId="0" fontId="8" fillId="0" borderId="46" xfId="0" applyFont="1" applyBorder="1" applyAlignment="1">
      <alignment horizontal="centerContinuous" vertical="center"/>
    </xf>
    <xf numFmtId="3" fontId="24" fillId="0" borderId="0" xfId="0" applyNumberFormat="1" applyFont="1" applyAlignment="1">
      <alignment horizontal="centerContinuous" vertical="center"/>
    </xf>
    <xf numFmtId="3" fontId="24" fillId="0" borderId="37" xfId="0" applyNumberFormat="1" applyFont="1" applyBorder="1" applyAlignment="1">
      <alignment horizontal="centerContinuous" vertical="center"/>
    </xf>
    <xf numFmtId="172" fontId="13" fillId="0" borderId="4" xfId="2" applyNumberFormat="1" applyFont="1" applyBorder="1" applyAlignment="1">
      <alignment horizontal="center" wrapText="1"/>
    </xf>
    <xf numFmtId="173" fontId="13" fillId="0" borderId="4" xfId="2" applyNumberFormat="1" applyFont="1" applyBorder="1" applyAlignment="1">
      <alignment horizontal="center" wrapText="1"/>
    </xf>
    <xf numFmtId="165" fontId="16" fillId="0" borderId="5" xfId="3" applyNumberFormat="1" applyFont="1" applyBorder="1" applyAlignment="1" applyProtection="1">
      <alignment horizontal="center"/>
    </xf>
    <xf numFmtId="10" fontId="5" fillId="0" borderId="0" xfId="0" applyNumberFormat="1" applyFont="1"/>
    <xf numFmtId="10" fontId="16" fillId="0" borderId="0" xfId="2" applyNumberFormat="1" applyFont="1" applyAlignment="1">
      <alignment horizontal="left" vertical="center"/>
    </xf>
    <xf numFmtId="10" fontId="0" fillId="0" borderId="0" xfId="0" applyNumberFormat="1"/>
    <xf numFmtId="10" fontId="5" fillId="0" borderId="0" xfId="4" applyNumberFormat="1" applyFont="1"/>
    <xf numFmtId="10" fontId="16" fillId="0" borderId="0" xfId="4" applyNumberFormat="1" applyFont="1" applyAlignment="1">
      <alignment horizontal="left" vertical="center"/>
    </xf>
    <xf numFmtId="10" fontId="0" fillId="0" borderId="0" xfId="4" applyNumberFormat="1" applyFont="1"/>
    <xf numFmtId="174" fontId="13" fillId="0" borderId="4" xfId="2" applyNumberFormat="1" applyFont="1" applyBorder="1" applyAlignment="1">
      <alignment horizontal="center" wrapText="1"/>
    </xf>
    <xf numFmtId="175" fontId="13" fillId="0" borderId="4" xfId="2" applyNumberFormat="1" applyFont="1" applyBorder="1" applyAlignment="1">
      <alignment horizontal="center" wrapText="1"/>
    </xf>
    <xf numFmtId="0" fontId="5" fillId="0" borderId="61" xfId="0" applyFont="1" applyBorder="1" applyAlignment="1">
      <alignment horizontal="centerContinuous" vertical="center"/>
    </xf>
    <xf numFmtId="0" fontId="5" fillId="0" borderId="98" xfId="0" applyFont="1" applyBorder="1" applyAlignment="1">
      <alignment horizontal="centerContinuous" vertical="center"/>
    </xf>
    <xf numFmtId="2" fontId="5" fillId="0" borderId="4" xfId="0" applyNumberFormat="1" applyFont="1" applyBorder="1" applyAlignment="1">
      <alignment horizontal="center" vertical="center"/>
    </xf>
    <xf numFmtId="175" fontId="5" fillId="0" borderId="4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3" fillId="0" borderId="14" xfId="2" applyFont="1" applyBorder="1" applyAlignment="1">
      <alignment horizontal="centerContinuous" vertical="center"/>
    </xf>
    <xf numFmtId="0" fontId="13" fillId="0" borderId="15" xfId="2" applyFont="1" applyBorder="1" applyAlignment="1">
      <alignment horizontal="centerContinuous" vertical="center"/>
    </xf>
    <xf numFmtId="0" fontId="13" fillId="0" borderId="22" xfId="2" applyFont="1" applyBorder="1" applyAlignment="1">
      <alignment horizontal="centerContinuous" vertical="center"/>
    </xf>
    <xf numFmtId="0" fontId="13" fillId="0" borderId="1" xfId="2" applyFont="1" applyBorder="1" applyAlignment="1">
      <alignment horizontal="centerContinuous" vertical="center"/>
    </xf>
    <xf numFmtId="0" fontId="13" fillId="0" borderId="2" xfId="2" applyFont="1" applyBorder="1" applyAlignment="1">
      <alignment horizontal="centerContinuous" vertical="center"/>
    </xf>
    <xf numFmtId="0" fontId="13" fillId="0" borderId="23" xfId="2" applyFont="1" applyBorder="1" applyAlignment="1">
      <alignment horizontal="centerContinuous" vertical="center"/>
    </xf>
    <xf numFmtId="0" fontId="13" fillId="3" borderId="11" xfId="2" applyFont="1" applyFill="1" applyBorder="1" applyAlignment="1">
      <alignment horizontal="left" vertical="center" indent="1"/>
    </xf>
    <xf numFmtId="0" fontId="13" fillId="3" borderId="11" xfId="2" applyFont="1" applyFill="1" applyBorder="1" applyAlignment="1">
      <alignment horizontal="left" vertical="center"/>
    </xf>
    <xf numFmtId="0" fontId="13" fillId="3" borderId="20" xfId="2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left" vertical="center" indent="1"/>
    </xf>
    <xf numFmtId="0" fontId="30" fillId="2" borderId="2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centerContinuous" vertical="center"/>
    </xf>
    <xf numFmtId="0" fontId="30" fillId="2" borderId="3" xfId="0" applyFont="1" applyFill="1" applyBorder="1" applyAlignment="1">
      <alignment horizontal="centerContinuous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centerContinuous" vertical="center"/>
    </xf>
    <xf numFmtId="0" fontId="31" fillId="0" borderId="79" xfId="0" applyFont="1" applyBorder="1" applyAlignment="1">
      <alignment horizontal="centerContinuous" vertical="center" wrapText="1"/>
    </xf>
    <xf numFmtId="0" fontId="33" fillId="0" borderId="0" xfId="1" applyNumberFormat="1" applyFont="1" applyBorder="1" applyAlignment="1" applyProtection="1">
      <alignment horizontal="centerContinuous" vertical="center"/>
    </xf>
    <xf numFmtId="0" fontId="13" fillId="0" borderId="81" xfId="2" applyFont="1" applyBorder="1" applyAlignment="1">
      <alignment horizontal="center" vertical="center"/>
    </xf>
    <xf numFmtId="0" fontId="13" fillId="0" borderId="84" xfId="2" applyFont="1" applyBorder="1" applyAlignment="1">
      <alignment horizontal="center" vertical="center"/>
    </xf>
    <xf numFmtId="0" fontId="34" fillId="4" borderId="80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Continuous" vertical="center"/>
    </xf>
    <xf numFmtId="0" fontId="34" fillId="4" borderId="10" xfId="0" applyFont="1" applyFill="1" applyBorder="1" applyAlignment="1">
      <alignment horizontal="centerContinuous" vertical="center"/>
    </xf>
    <xf numFmtId="0" fontId="34" fillId="4" borderId="11" xfId="0" applyFont="1" applyFill="1" applyBorder="1" applyAlignment="1">
      <alignment horizontal="centerContinuous" vertical="center"/>
    </xf>
    <xf numFmtId="0" fontId="34" fillId="4" borderId="12" xfId="0" applyFont="1" applyFill="1" applyBorder="1" applyAlignment="1">
      <alignment horizontal="centerContinuous" vertical="center"/>
    </xf>
    <xf numFmtId="0" fontId="34" fillId="4" borderId="8" xfId="0" applyFont="1" applyFill="1" applyBorder="1" applyAlignment="1">
      <alignment horizontal="center" vertical="center"/>
    </xf>
    <xf numFmtId="0" fontId="13" fillId="0" borderId="123" xfId="2" applyFont="1" applyBorder="1" applyAlignment="1">
      <alignment horizontal="center"/>
    </xf>
    <xf numFmtId="0" fontId="13" fillId="0" borderId="124" xfId="2" applyFont="1" applyBorder="1" applyAlignment="1">
      <alignment horizontal="center"/>
    </xf>
    <xf numFmtId="0" fontId="13" fillId="0" borderId="125" xfId="2" applyFont="1" applyBorder="1" applyAlignment="1">
      <alignment horizontal="center"/>
    </xf>
    <xf numFmtId="0" fontId="13" fillId="0" borderId="82" xfId="2" applyFont="1" applyBorder="1" applyAlignment="1">
      <alignment horizontal="centerContinuous"/>
    </xf>
    <xf numFmtId="0" fontId="13" fillId="0" borderId="96" xfId="2" applyFont="1" applyBorder="1" applyAlignment="1">
      <alignment horizontal="centerContinuous"/>
    </xf>
    <xf numFmtId="0" fontId="13" fillId="0" borderId="83" xfId="2" applyFont="1" applyBorder="1" applyAlignment="1">
      <alignment horizontal="centerContinuous"/>
    </xf>
    <xf numFmtId="0" fontId="13" fillId="0" borderId="97" xfId="2" applyFont="1" applyBorder="1" applyAlignment="1">
      <alignment horizontal="centerContinuous"/>
    </xf>
    <xf numFmtId="179" fontId="13" fillId="0" borderId="0" xfId="2" applyNumberFormat="1" applyFont="1" applyAlignment="1">
      <alignment horizontal="left" vertical="center"/>
    </xf>
    <xf numFmtId="178" fontId="15" fillId="0" borderId="63" xfId="2" applyNumberFormat="1" applyFont="1" applyBorder="1" applyAlignment="1">
      <alignment horizontal="center" vertical="center"/>
    </xf>
    <xf numFmtId="180" fontId="13" fillId="0" borderId="21" xfId="2" applyNumberFormat="1" applyFont="1" applyBorder="1" applyAlignment="1">
      <alignment horizontal="left" vertical="center"/>
    </xf>
    <xf numFmtId="176" fontId="5" fillId="0" borderId="4" xfId="0" applyNumberFormat="1" applyFont="1" applyBorder="1" applyAlignment="1">
      <alignment horizontal="center" vertical="center"/>
    </xf>
    <xf numFmtId="180" fontId="19" fillId="0" borderId="44" xfId="2" applyNumberFormat="1" applyFont="1" applyBorder="1" applyAlignment="1">
      <alignment horizontal="centerContinuous"/>
    </xf>
    <xf numFmtId="14" fontId="24" fillId="0" borderId="79" xfId="0" applyNumberFormat="1" applyFont="1" applyBorder="1" applyAlignment="1">
      <alignment horizontal="centerContinuous" vertical="center"/>
    </xf>
    <xf numFmtId="0" fontId="15" fillId="0" borderId="29" xfId="2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16" fillId="0" borderId="0" xfId="2" applyFont="1" applyAlignment="1">
      <alignment vertical="center"/>
    </xf>
    <xf numFmtId="2" fontId="18" fillId="0" borderId="127" xfId="2" applyNumberFormat="1" applyFont="1" applyBorder="1" applyAlignment="1">
      <alignment horizontal="centerContinuous"/>
    </xf>
    <xf numFmtId="2" fontId="18" fillId="0" borderId="128" xfId="2" applyNumberFormat="1" applyFont="1" applyBorder="1" applyAlignment="1">
      <alignment horizontal="centerContinuous"/>
    </xf>
    <xf numFmtId="1" fontId="15" fillId="0" borderId="128" xfId="2" applyNumberFormat="1" applyFont="1" applyBorder="1" applyAlignment="1">
      <alignment horizontal="centerContinuous"/>
    </xf>
    <xf numFmtId="2" fontId="18" fillId="0" borderId="6" xfId="2" applyNumberFormat="1" applyFont="1" applyBorder="1" applyAlignment="1">
      <alignment horizontal="centerContinuous"/>
    </xf>
    <xf numFmtId="2" fontId="18" fillId="0" borderId="7" xfId="2" applyNumberFormat="1" applyFont="1" applyBorder="1" applyAlignment="1">
      <alignment horizontal="centerContinuous"/>
    </xf>
    <xf numFmtId="170" fontId="5" fillId="0" borderId="5" xfId="0" applyNumberFormat="1" applyFont="1" applyBorder="1" applyAlignment="1">
      <alignment horizontal="centerContinuous" vertical="center"/>
    </xf>
    <xf numFmtId="1" fontId="15" fillId="0" borderId="7" xfId="2" applyNumberFormat="1" applyFont="1" applyBorder="1" applyAlignment="1">
      <alignment horizontal="centerContinuous"/>
    </xf>
    <xf numFmtId="0" fontId="13" fillId="0" borderId="99" xfId="2" applyFont="1" applyBorder="1" applyAlignment="1">
      <alignment horizontal="centerContinuous"/>
    </xf>
    <xf numFmtId="0" fontId="13" fillId="0" borderId="52" xfId="2" applyFont="1" applyBorder="1" applyAlignment="1">
      <alignment horizontal="centerContinuous"/>
    </xf>
    <xf numFmtId="0" fontId="13" fillId="0" borderId="71" xfId="2" applyFont="1" applyBorder="1" applyAlignment="1">
      <alignment horizontal="centerContinuous"/>
    </xf>
    <xf numFmtId="0" fontId="13" fillId="0" borderId="18" xfId="2" applyFont="1" applyBorder="1" applyAlignment="1">
      <alignment horizontal="centerContinuous"/>
    </xf>
    <xf numFmtId="0" fontId="13" fillId="0" borderId="91" xfId="2" applyFont="1" applyBorder="1" applyAlignment="1">
      <alignment horizontal="centerContinuous"/>
    </xf>
    <xf numFmtId="182" fontId="5" fillId="0" borderId="4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Continuous" vertical="center"/>
    </xf>
    <xf numFmtId="2" fontId="18" fillId="0" borderId="15" xfId="2" applyNumberFormat="1" applyFont="1" applyBorder="1" applyAlignment="1">
      <alignment horizontal="centerContinuous"/>
    </xf>
    <xf numFmtId="2" fontId="18" fillId="0" borderId="16" xfId="2" applyNumberFormat="1" applyFont="1" applyBorder="1" applyAlignment="1">
      <alignment horizontal="centerContinuous"/>
    </xf>
    <xf numFmtId="181" fontId="5" fillId="0" borderId="14" xfId="0" applyNumberFormat="1" applyFont="1" applyBorder="1" applyAlignment="1">
      <alignment horizontal="centerContinuous" vertical="center"/>
    </xf>
    <xf numFmtId="1" fontId="15" fillId="0" borderId="16" xfId="2" applyNumberFormat="1" applyFont="1" applyBorder="1" applyAlignment="1">
      <alignment horizontal="centerContinuous"/>
    </xf>
    <xf numFmtId="183" fontId="5" fillId="0" borderId="4" xfId="0" applyNumberFormat="1" applyFont="1" applyBorder="1" applyAlignment="1">
      <alignment horizontal="center" vertical="center"/>
    </xf>
    <xf numFmtId="2" fontId="18" fillId="0" borderId="41" xfId="2" applyNumberFormat="1" applyFont="1" applyBorder="1" applyAlignment="1">
      <alignment horizontal="centerContinuous" vertical="center"/>
    </xf>
    <xf numFmtId="0" fontId="13" fillId="0" borderId="28" xfId="2" applyFont="1" applyBorder="1"/>
    <xf numFmtId="0" fontId="3" fillId="0" borderId="87" xfId="0" applyFont="1" applyBorder="1" applyAlignment="1">
      <alignment horizontal="left" vertical="center" indent="1"/>
    </xf>
    <xf numFmtId="0" fontId="5" fillId="0" borderId="88" xfId="0" applyFont="1" applyBorder="1" applyAlignment="1">
      <alignment horizontal="left" vertical="center" indent="1"/>
    </xf>
    <xf numFmtId="0" fontId="5" fillId="0" borderId="89" xfId="0" applyFont="1" applyBorder="1" applyAlignment="1">
      <alignment horizontal="left" vertical="center" indent="1"/>
    </xf>
    <xf numFmtId="0" fontId="15" fillId="0" borderId="28" xfId="2" applyFont="1" applyBorder="1" applyAlignment="1">
      <alignment horizontal="right"/>
    </xf>
    <xf numFmtId="0" fontId="15" fillId="0" borderId="28" xfId="2" applyFont="1" applyBorder="1" applyAlignment="1">
      <alignment horizontal="center"/>
    </xf>
    <xf numFmtId="0" fontId="35" fillId="0" borderId="0" xfId="0" applyFont="1"/>
    <xf numFmtId="10" fontId="13" fillId="0" borderId="28" xfId="4" applyNumberFormat="1" applyFont="1" applyBorder="1" applyAlignment="1">
      <alignment horizontal="center"/>
    </xf>
    <xf numFmtId="14" fontId="18" fillId="0" borderId="28" xfId="2" applyNumberFormat="1" applyFont="1" applyBorder="1" applyAlignment="1">
      <alignment horizontal="center" vertical="center"/>
    </xf>
    <xf numFmtId="0" fontId="13" fillId="0" borderId="28" xfId="2" applyFont="1" applyBorder="1" applyAlignment="1">
      <alignment horizontal="center"/>
    </xf>
    <xf numFmtId="0" fontId="13" fillId="0" borderId="43" xfId="2" applyFont="1" applyBorder="1" applyAlignment="1">
      <alignment wrapText="1"/>
    </xf>
    <xf numFmtId="0" fontId="13" fillId="0" borderId="25" xfId="2" applyFont="1" applyBorder="1" applyAlignment="1">
      <alignment wrapText="1"/>
    </xf>
    <xf numFmtId="0" fontId="13" fillId="0" borderId="26" xfId="2" applyFont="1" applyBorder="1" applyAlignment="1">
      <alignment wrapText="1"/>
    </xf>
    <xf numFmtId="0" fontId="13" fillId="0" borderId="54" xfId="2" applyFont="1" applyBorder="1" applyAlignment="1">
      <alignment wrapText="1"/>
    </xf>
    <xf numFmtId="0" fontId="13" fillId="0" borderId="0" xfId="2" applyFont="1" applyAlignment="1">
      <alignment wrapText="1"/>
    </xf>
    <xf numFmtId="0" fontId="13" fillId="0" borderId="37" xfId="2" applyFont="1" applyBorder="1" applyAlignment="1">
      <alignment wrapText="1"/>
    </xf>
    <xf numFmtId="10" fontId="35" fillId="0" borderId="0" xfId="0" applyNumberFormat="1" applyFont="1"/>
    <xf numFmtId="0" fontId="13" fillId="0" borderId="31" xfId="2" applyFont="1" applyBorder="1" applyAlignment="1">
      <alignment wrapText="1"/>
    </xf>
    <xf numFmtId="0" fontId="13" fillId="0" borderId="21" xfId="2" applyFont="1" applyBorder="1" applyAlignment="1">
      <alignment wrapText="1"/>
    </xf>
    <xf numFmtId="0" fontId="13" fillId="0" borderId="27" xfId="2" applyFont="1" applyBorder="1" applyAlignment="1">
      <alignment wrapText="1"/>
    </xf>
    <xf numFmtId="10" fontId="35" fillId="0" borderId="0" xfId="4" applyNumberFormat="1" applyFont="1"/>
    <xf numFmtId="0" fontId="16" fillId="0" borderId="54" xfId="2" applyFont="1" applyBorder="1" applyAlignment="1">
      <alignment vertical="top" wrapText="1"/>
    </xf>
    <xf numFmtId="0" fontId="16" fillId="0" borderId="0" xfId="2" applyFont="1" applyAlignment="1">
      <alignment vertical="top" wrapText="1"/>
    </xf>
    <xf numFmtId="0" fontId="16" fillId="0" borderId="37" xfId="2" applyFont="1" applyBorder="1" applyAlignment="1">
      <alignment vertical="top"/>
    </xf>
    <xf numFmtId="0" fontId="36" fillId="0" borderId="10" xfId="2" applyFont="1" applyBorder="1" applyAlignment="1">
      <alignment horizontal="centerContinuous" vertical="top" wrapText="1"/>
    </xf>
    <xf numFmtId="0" fontId="36" fillId="0" borderId="11" xfId="2" applyFont="1" applyBorder="1" applyAlignment="1">
      <alignment horizontal="centerContinuous" vertical="top" wrapText="1"/>
    </xf>
    <xf numFmtId="0" fontId="36" fillId="0" borderId="12" xfId="2" applyFont="1" applyBorder="1" applyAlignment="1">
      <alignment horizontal="centerContinuous" vertical="top"/>
    </xf>
    <xf numFmtId="0" fontId="10" fillId="2" borderId="3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Continuous" vertical="center"/>
    </xf>
    <xf numFmtId="0" fontId="10" fillId="2" borderId="16" xfId="0" applyFont="1" applyFill="1" applyBorder="1" applyAlignment="1">
      <alignment horizontal="centerContinuous" vertical="center"/>
    </xf>
    <xf numFmtId="0" fontId="10" fillId="2" borderId="11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20" xfId="0" applyFont="1" applyFill="1" applyBorder="1" applyAlignment="1">
      <alignment horizontal="centerContinuous" vertical="center" wrapText="1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vertical="center"/>
    </xf>
    <xf numFmtId="0" fontId="35" fillId="0" borderId="37" xfId="0" applyFont="1" applyBorder="1"/>
    <xf numFmtId="0" fontId="13" fillId="0" borderId="23" xfId="2" applyFont="1" applyBorder="1" applyAlignment="1">
      <alignment vertical="top" wrapText="1"/>
    </xf>
    <xf numFmtId="0" fontId="13" fillId="0" borderId="36" xfId="2" applyFont="1" applyBorder="1" applyAlignment="1">
      <alignment horizontal="right"/>
    </xf>
    <xf numFmtId="0" fontId="13" fillId="0" borderId="3" xfId="2" applyFont="1" applyBorder="1" applyAlignment="1">
      <alignment vertical="top" wrapText="1"/>
    </xf>
    <xf numFmtId="0" fontId="13" fillId="0" borderId="23" xfId="2" applyFont="1" applyBorder="1"/>
    <xf numFmtId="0" fontId="13" fillId="0" borderId="3" xfId="2" applyFont="1" applyBorder="1" applyAlignment="1">
      <alignment horizontal="left" vertical="top" wrapText="1"/>
    </xf>
    <xf numFmtId="0" fontId="13" fillId="0" borderId="1" xfId="2" applyFont="1" applyBorder="1" applyAlignment="1">
      <alignment vertical="top" wrapText="1"/>
    </xf>
    <xf numFmtId="0" fontId="13" fillId="0" borderId="55" xfId="2" applyFont="1" applyBorder="1" applyAlignment="1">
      <alignment vertical="top" wrapText="1"/>
    </xf>
    <xf numFmtId="0" fontId="13" fillId="0" borderId="56" xfId="2" applyFont="1" applyBorder="1" applyAlignment="1">
      <alignment vertical="top" wrapText="1"/>
    </xf>
    <xf numFmtId="0" fontId="30" fillId="2" borderId="121" xfId="0" applyFont="1" applyFill="1" applyBorder="1" applyAlignment="1">
      <alignment vertical="center"/>
    </xf>
    <xf numFmtId="0" fontId="10" fillId="2" borderId="122" xfId="0" applyFont="1" applyFill="1" applyBorder="1" applyAlignment="1">
      <alignment vertical="center"/>
    </xf>
    <xf numFmtId="165" fontId="15" fillId="0" borderId="7" xfId="2" applyNumberFormat="1" applyFont="1" applyBorder="1" applyAlignment="1">
      <alignment horizontal="center"/>
    </xf>
    <xf numFmtId="165" fontId="15" fillId="0" borderId="38" xfId="3" applyNumberFormat="1" applyFont="1" applyBorder="1" applyAlignment="1" applyProtection="1">
      <alignment horizontal="center"/>
    </xf>
    <xf numFmtId="0" fontId="13" fillId="0" borderId="32" xfId="2" applyFont="1" applyBorder="1" applyAlignment="1">
      <alignment horizontal="right"/>
    </xf>
    <xf numFmtId="0" fontId="37" fillId="2" borderId="33" xfId="0" applyFont="1" applyFill="1" applyBorder="1" applyAlignment="1">
      <alignment horizontal="center" vertical="center"/>
    </xf>
    <xf numFmtId="0" fontId="13" fillId="0" borderId="42" xfId="2" applyFont="1" applyBorder="1" applyAlignment="1">
      <alignment horizontal="right"/>
    </xf>
    <xf numFmtId="0" fontId="36" fillId="3" borderId="0" xfId="2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6" fillId="3" borderId="0" xfId="2" applyFont="1" applyFill="1"/>
    <xf numFmtId="14" fontId="29" fillId="0" borderId="4" xfId="0" applyNumberFormat="1" applyFont="1" applyBorder="1" applyAlignment="1">
      <alignment horizontal="center"/>
    </xf>
    <xf numFmtId="177" fontId="29" fillId="0" borderId="4" xfId="0" applyNumberFormat="1" applyFont="1" applyBorder="1" applyAlignment="1">
      <alignment horizontal="center" vertical="center"/>
    </xf>
    <xf numFmtId="0" fontId="29" fillId="0" borderId="99" xfId="2" applyFont="1" applyBorder="1" applyAlignment="1">
      <alignment horizontal="centerContinuous"/>
    </xf>
    <xf numFmtId="2" fontId="18" fillId="0" borderId="41" xfId="2" applyNumberFormat="1" applyFont="1" applyBorder="1" applyAlignment="1">
      <alignment horizontal="left" vertical="center"/>
    </xf>
    <xf numFmtId="1" fontId="15" fillId="0" borderId="48" xfId="2" applyNumberFormat="1" applyFont="1" applyBorder="1" applyAlignment="1">
      <alignment horizontal="centerContinuous"/>
    </xf>
    <xf numFmtId="1" fontId="15" fillId="0" borderId="93" xfId="2" applyNumberFormat="1" applyFont="1" applyBorder="1" applyAlignment="1">
      <alignment horizontal="centerContinuous"/>
    </xf>
    <xf numFmtId="0" fontId="0" fillId="0" borderId="99" xfId="0" applyBorder="1" applyAlignment="1">
      <alignment vertical="center"/>
    </xf>
    <xf numFmtId="0" fontId="0" fillId="0" borderId="52" xfId="0" applyBorder="1" applyAlignment="1">
      <alignment vertical="center"/>
    </xf>
    <xf numFmtId="0" fontId="27" fillId="0" borderId="5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09" xfId="0" applyFont="1" applyBorder="1" applyAlignment="1">
      <alignment horizontal="center" vertical="center"/>
    </xf>
    <xf numFmtId="0" fontId="0" fillId="0" borderId="7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91" xfId="0" applyBorder="1" applyAlignment="1">
      <alignment vertical="center"/>
    </xf>
    <xf numFmtId="184" fontId="5" fillId="0" borderId="4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Continuous" vertical="center"/>
    </xf>
    <xf numFmtId="0" fontId="15" fillId="2" borderId="3" xfId="0" applyFont="1" applyFill="1" applyBorder="1" applyAlignment="1">
      <alignment horizontal="centerContinuous" vertical="center"/>
    </xf>
    <xf numFmtId="0" fontId="14" fillId="0" borderId="0" xfId="2" applyFont="1" applyAlignment="1">
      <alignment horizontal="center" vertical="top" wrapText="1"/>
    </xf>
    <xf numFmtId="0" fontId="15" fillId="0" borderId="0" xfId="2" applyFont="1" applyAlignment="1">
      <alignment horizontal="center"/>
    </xf>
    <xf numFmtId="10" fontId="13" fillId="0" borderId="0" xfId="4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35" fillId="0" borderId="0" xfId="0" quotePrefix="1" applyFont="1"/>
    <xf numFmtId="0" fontId="13" fillId="0" borderId="71" xfId="2" applyFont="1" applyBorder="1" applyAlignment="1">
      <alignment horizontal="left"/>
    </xf>
    <xf numFmtId="0" fontId="13" fillId="0" borderId="110" xfId="2" applyFont="1" applyBorder="1" applyAlignment="1">
      <alignment horizontal="centerContinuous"/>
    </xf>
    <xf numFmtId="2" fontId="13" fillId="0" borderId="113" xfId="2" applyNumberFormat="1" applyFont="1" applyBorder="1"/>
    <xf numFmtId="2" fontId="13" fillId="0" borderId="110" xfId="2" applyNumberFormat="1" applyFont="1" applyBorder="1"/>
    <xf numFmtId="14" fontId="5" fillId="0" borderId="0" xfId="0" applyNumberFormat="1" applyFont="1"/>
    <xf numFmtId="0" fontId="13" fillId="7" borderId="3" xfId="2" applyFont="1" applyFill="1" applyBorder="1" applyAlignment="1">
      <alignment horizontal="centerContinuous"/>
    </xf>
    <xf numFmtId="0" fontId="15" fillId="0" borderId="3" xfId="0" applyFont="1" applyBorder="1" applyAlignment="1">
      <alignment horizontal="centerContinuous" vertical="center"/>
    </xf>
    <xf numFmtId="0" fontId="38" fillId="0" borderId="3" xfId="2" applyFont="1" applyBorder="1" applyAlignment="1">
      <alignment horizontal="left" vertical="center" indent="1"/>
    </xf>
    <xf numFmtId="164" fontId="5" fillId="0" borderId="0" xfId="0" applyNumberFormat="1" applyFont="1" applyAlignment="1">
      <alignment horizontal="centerContinuous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8" borderId="51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39" fillId="8" borderId="53" xfId="0" applyFont="1" applyFill="1" applyBorder="1" applyAlignment="1">
      <alignment horizontal="center"/>
    </xf>
    <xf numFmtId="0" fontId="39" fillId="8" borderId="77" xfId="0" applyFont="1" applyFill="1" applyBorder="1" applyAlignment="1">
      <alignment horizontal="center"/>
    </xf>
    <xf numFmtId="0" fontId="39" fillId="8" borderId="131" xfId="0" applyFont="1" applyFill="1" applyBorder="1" applyAlignment="1">
      <alignment horizontal="center"/>
    </xf>
    <xf numFmtId="0" fontId="39" fillId="8" borderId="75" xfId="0" applyFont="1" applyFill="1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135" xfId="0" applyBorder="1" applyAlignment="1">
      <alignment horizontal="center"/>
    </xf>
    <xf numFmtId="0" fontId="0" fillId="0" borderId="136" xfId="0" applyBorder="1" applyAlignment="1">
      <alignment horizontal="center"/>
    </xf>
    <xf numFmtId="0" fontId="0" fillId="0" borderId="137" xfId="0" applyBorder="1" applyAlignment="1">
      <alignment horizontal="center"/>
    </xf>
    <xf numFmtId="0" fontId="0" fillId="0" borderId="136" xfId="0" applyBorder="1"/>
    <xf numFmtId="0" fontId="0" fillId="0" borderId="138" xfId="0" applyBorder="1" applyAlignment="1">
      <alignment horizontal="center"/>
    </xf>
    <xf numFmtId="0" fontId="0" fillId="0" borderId="139" xfId="0" applyBorder="1"/>
    <xf numFmtId="0" fontId="0" fillId="0" borderId="139" xfId="0" applyBorder="1" applyAlignment="1">
      <alignment horizontal="center"/>
    </xf>
    <xf numFmtId="0" fontId="0" fillId="0" borderId="140" xfId="0" applyBorder="1" applyAlignment="1">
      <alignment horizontal="center"/>
    </xf>
    <xf numFmtId="14" fontId="40" fillId="9" borderId="44" xfId="0" applyNumberFormat="1" applyFont="1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0" fontId="39" fillId="10" borderId="49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32" fillId="0" borderId="0" xfId="1" applyNumberFormat="1" applyFont="1" applyBorder="1" applyAlignment="1" applyProtection="1">
      <alignment horizontal="centerContinuous" vertical="center"/>
    </xf>
    <xf numFmtId="3" fontId="42" fillId="0" borderId="75" xfId="0" applyNumberFormat="1" applyFont="1" applyBorder="1" applyAlignment="1">
      <alignment horizontal="centerContinuous" vertical="center"/>
    </xf>
    <xf numFmtId="0" fontId="19" fillId="0" borderId="0" xfId="2" applyFont="1" applyAlignment="1">
      <alignment horizontal="left" vertical="center"/>
    </xf>
    <xf numFmtId="0" fontId="30" fillId="2" borderId="141" xfId="0" applyFont="1" applyFill="1" applyBorder="1" applyAlignment="1">
      <alignment horizontal="left" vertical="center" indent="1"/>
    </xf>
    <xf numFmtId="0" fontId="43" fillId="0" borderId="4" xfId="0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Continuous"/>
    </xf>
    <xf numFmtId="0" fontId="29" fillId="0" borderId="1" xfId="2" applyFont="1" applyBorder="1" applyAlignment="1">
      <alignment horizontal="left" vertical="center" indent="1"/>
    </xf>
    <xf numFmtId="173" fontId="29" fillId="0" borderId="4" xfId="2" applyNumberFormat="1" applyFont="1" applyBorder="1" applyAlignment="1">
      <alignment horizontal="center" wrapText="1"/>
    </xf>
    <xf numFmtId="0" fontId="13" fillId="0" borderId="71" xfId="2" applyFont="1" applyBorder="1" applyAlignment="1">
      <alignment horizontal="centerContinuous" vertical="center"/>
    </xf>
    <xf numFmtId="0" fontId="13" fillId="0" borderId="52" xfId="2" applyFont="1" applyBorder="1" applyAlignment="1">
      <alignment horizontal="centerContinuous" vertical="center" wrapText="1"/>
    </xf>
    <xf numFmtId="0" fontId="13" fillId="0" borderId="71" xfId="2" applyFont="1" applyBorder="1" applyAlignment="1">
      <alignment horizontal="centerContinuous" vertical="center" wrapText="1"/>
    </xf>
    <xf numFmtId="0" fontId="44" fillId="0" borderId="99" xfId="2" applyFont="1" applyBorder="1" applyAlignment="1">
      <alignment horizontal="centerContinuous" vertical="center"/>
    </xf>
    <xf numFmtId="0" fontId="45" fillId="0" borderId="52" xfId="2" applyFont="1" applyBorder="1" applyAlignment="1">
      <alignment horizontal="centerContinuous"/>
    </xf>
    <xf numFmtId="0" fontId="45" fillId="0" borderId="71" xfId="2" applyFont="1" applyBorder="1" applyAlignment="1">
      <alignment horizontal="centerContinuous"/>
    </xf>
    <xf numFmtId="0" fontId="13" fillId="0" borderId="52" xfId="2" applyFont="1" applyBorder="1" applyAlignment="1">
      <alignment horizontal="centerContinuous" vertical="center"/>
    </xf>
    <xf numFmtId="0" fontId="13" fillId="0" borderId="3" xfId="2" applyFont="1" applyBorder="1" applyAlignment="1">
      <alignment horizontal="left" vertical="center" indent="1"/>
    </xf>
    <xf numFmtId="0" fontId="46" fillId="0" borderId="0" xfId="0" applyFont="1" applyAlignment="1">
      <alignment horizontal="right"/>
    </xf>
    <xf numFmtId="17" fontId="3" fillId="0" borderId="21" xfId="0" applyNumberFormat="1" applyFont="1" applyBorder="1" applyAlignment="1">
      <alignment horizontal="left" vertical="center" indent="1"/>
    </xf>
    <xf numFmtId="17" fontId="3" fillId="0" borderId="12" xfId="0" applyNumberFormat="1" applyFont="1" applyBorder="1" applyAlignment="1">
      <alignment horizontal="left" vertical="center" indent="1"/>
    </xf>
    <xf numFmtId="17" fontId="3" fillId="0" borderId="11" xfId="0" applyNumberFormat="1" applyFont="1" applyBorder="1" applyAlignment="1">
      <alignment horizontal="left" vertical="center" indent="1"/>
    </xf>
    <xf numFmtId="176" fontId="13" fillId="0" borderId="28" xfId="2" applyNumberFormat="1" applyFont="1" applyBorder="1" applyAlignment="1">
      <alignment horizontal="center"/>
    </xf>
    <xf numFmtId="0" fontId="41" fillId="0" borderId="136" xfId="2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48" fillId="0" borderId="0" xfId="0" applyFont="1"/>
    <xf numFmtId="0" fontId="48" fillId="0" borderId="4" xfId="0" applyFont="1" applyBorder="1" applyAlignment="1">
      <alignment horizontal="centerContinuous" vertical="center"/>
    </xf>
    <xf numFmtId="0" fontId="48" fillId="0" borderId="3" xfId="0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/>
    </xf>
    <xf numFmtId="0" fontId="13" fillId="0" borderId="36" xfId="2" applyFont="1" applyBorder="1" applyAlignment="1">
      <alignment horizontal="center" vertical="center" wrapText="1"/>
    </xf>
    <xf numFmtId="0" fontId="13" fillId="0" borderId="36" xfId="2" applyFont="1" applyBorder="1" applyAlignment="1">
      <alignment horizontal="center" vertical="center"/>
    </xf>
    <xf numFmtId="0" fontId="13" fillId="0" borderId="36" xfId="2" applyFont="1" applyBorder="1" applyAlignment="1">
      <alignment horizontal="center"/>
    </xf>
    <xf numFmtId="2" fontId="49" fillId="0" borderId="4" xfId="2" applyNumberFormat="1" applyFont="1" applyBorder="1" applyAlignment="1">
      <alignment horizontal="center"/>
    </xf>
    <xf numFmtId="165" fontId="16" fillId="0" borderId="0" xfId="2" applyNumberFormat="1" applyFont="1"/>
    <xf numFmtId="17" fontId="3" fillId="0" borderId="21" xfId="0" applyNumberFormat="1" applyFont="1" applyBorder="1" applyAlignment="1">
      <alignment horizontal="right" vertical="center" indent="1"/>
    </xf>
    <xf numFmtId="0" fontId="36" fillId="3" borderId="45" xfId="2" applyFont="1" applyFill="1" applyBorder="1" applyAlignment="1">
      <alignment horizontal="left"/>
    </xf>
    <xf numFmtId="0" fontId="36" fillId="3" borderId="46" xfId="2" applyFont="1" applyFill="1" applyBorder="1" applyAlignment="1">
      <alignment horizontal="center"/>
    </xf>
    <xf numFmtId="0" fontId="16" fillId="3" borderId="46" xfId="2" applyFont="1" applyFill="1" applyBorder="1" applyAlignment="1">
      <alignment horizontal="center"/>
    </xf>
    <xf numFmtId="0" fontId="35" fillId="0" borderId="46" xfId="0" applyFont="1" applyBorder="1"/>
    <xf numFmtId="0" fontId="36" fillId="3" borderId="79" xfId="2" applyFont="1" applyFill="1" applyBorder="1" applyAlignment="1">
      <alignment horizontal="left"/>
    </xf>
    <xf numFmtId="0" fontId="36" fillId="3" borderId="48" xfId="2" applyFont="1" applyFill="1" applyBorder="1" applyAlignment="1">
      <alignment horizontal="left"/>
    </xf>
    <xf numFmtId="0" fontId="36" fillId="3" borderId="49" xfId="2" applyFont="1" applyFill="1" applyBorder="1" applyAlignment="1">
      <alignment horizontal="center"/>
    </xf>
    <xf numFmtId="0" fontId="16" fillId="3" borderId="49" xfId="2" applyFont="1" applyFill="1" applyBorder="1" applyAlignment="1">
      <alignment horizontal="center"/>
    </xf>
    <xf numFmtId="0" fontId="15" fillId="0" borderId="62" xfId="0" applyFont="1" applyBorder="1" applyAlignment="1">
      <alignment horizontal="centerContinuous"/>
    </xf>
    <xf numFmtId="0" fontId="15" fillId="0" borderId="63" xfId="0" applyFont="1" applyBorder="1" applyAlignment="1">
      <alignment horizontal="centerContinuous"/>
    </xf>
    <xf numFmtId="0" fontId="15" fillId="0" borderId="64" xfId="0" applyFont="1" applyBorder="1" applyAlignment="1">
      <alignment horizontal="centerContinuous"/>
    </xf>
    <xf numFmtId="165" fontId="15" fillId="0" borderId="67" xfId="2" applyNumberFormat="1" applyFont="1" applyBorder="1" applyAlignment="1">
      <alignment horizontal="center" wrapText="1"/>
    </xf>
    <xf numFmtId="165" fontId="15" fillId="0" borderId="44" xfId="2" applyNumberFormat="1" applyFont="1" applyBorder="1" applyAlignment="1">
      <alignment horizontal="centerContinuous"/>
    </xf>
    <xf numFmtId="165" fontId="15" fillId="0" borderId="44" xfId="2" applyNumberFormat="1" applyFont="1" applyBorder="1" applyAlignment="1">
      <alignment horizontal="centerContinuous" wrapText="1"/>
    </xf>
    <xf numFmtId="165" fontId="15" fillId="0" borderId="68" xfId="2" applyNumberFormat="1" applyFont="1" applyBorder="1" applyAlignment="1">
      <alignment horizontal="centerContinuous" wrapText="1"/>
    </xf>
    <xf numFmtId="165" fontId="19" fillId="0" borderId="73" xfId="2" applyNumberFormat="1" applyFont="1" applyBorder="1" applyAlignment="1">
      <alignment horizontal="center" vertical="center" wrapText="1"/>
    </xf>
    <xf numFmtId="165" fontId="13" fillId="0" borderId="44" xfId="2" applyNumberFormat="1" applyFont="1" applyBorder="1" applyAlignment="1">
      <alignment wrapText="1"/>
    </xf>
    <xf numFmtId="165" fontId="13" fillId="0" borderId="68" xfId="2" applyNumberFormat="1" applyFont="1" applyBorder="1" applyAlignment="1">
      <alignment wrapText="1"/>
    </xf>
    <xf numFmtId="165" fontId="19" fillId="0" borderId="13" xfId="2" applyNumberFormat="1" applyFont="1" applyBorder="1" applyAlignment="1">
      <alignment horizontal="center" vertical="center" wrapText="1"/>
    </xf>
    <xf numFmtId="165" fontId="19" fillId="0" borderId="142" xfId="2" applyNumberFormat="1" applyFont="1" applyBorder="1" applyAlignment="1">
      <alignment horizontal="center" vertical="center" wrapText="1"/>
    </xf>
    <xf numFmtId="165" fontId="19" fillId="0" borderId="118" xfId="2" applyNumberFormat="1" applyFont="1" applyBorder="1" applyAlignment="1">
      <alignment horizontal="center" vertical="center" wrapText="1"/>
    </xf>
    <xf numFmtId="165" fontId="13" fillId="0" borderId="44" xfId="2" quotePrefix="1" applyNumberFormat="1" applyFont="1" applyBorder="1" applyAlignment="1">
      <alignment horizontal="center" wrapText="1"/>
    </xf>
    <xf numFmtId="0" fontId="13" fillId="0" borderId="87" xfId="2" applyFont="1" applyBorder="1"/>
    <xf numFmtId="14" fontId="18" fillId="0" borderId="87" xfId="2" applyNumberFormat="1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27" xfId="0" applyFont="1" applyFill="1" applyBorder="1" applyAlignment="1">
      <alignment horizontal="center" vertical="center"/>
    </xf>
    <xf numFmtId="0" fontId="13" fillId="0" borderId="2" xfId="2" applyFont="1" applyBorder="1" applyAlignment="1">
      <alignment horizontal="right"/>
    </xf>
    <xf numFmtId="0" fontId="16" fillId="0" borderId="21" xfId="2" applyFont="1" applyBorder="1"/>
    <xf numFmtId="0" fontId="13" fillId="0" borderId="25" xfId="2" applyFont="1" applyBorder="1" applyAlignment="1">
      <alignment horizontal="right"/>
    </xf>
    <xf numFmtId="0" fontId="37" fillId="2" borderId="0" xfId="0" applyFont="1" applyFill="1" applyAlignment="1">
      <alignment horizontal="center" vertical="center"/>
    </xf>
    <xf numFmtId="0" fontId="13" fillId="0" borderId="0" xfId="2" applyFont="1" applyAlignment="1">
      <alignment horizontal="right"/>
    </xf>
    <xf numFmtId="0" fontId="13" fillId="0" borderId="21" xfId="2" applyFont="1" applyBorder="1" applyAlignment="1">
      <alignment horizontal="right"/>
    </xf>
    <xf numFmtId="0" fontId="36" fillId="3" borderId="46" xfId="2" applyFont="1" applyFill="1" applyBorder="1" applyAlignment="1">
      <alignment horizontal="left"/>
    </xf>
    <xf numFmtId="0" fontId="36" fillId="3" borderId="0" xfId="2" applyFont="1" applyFill="1" applyAlignment="1">
      <alignment horizontal="left"/>
    </xf>
    <xf numFmtId="0" fontId="36" fillId="3" borderId="49" xfId="2" applyFont="1" applyFill="1" applyBorder="1" applyAlignment="1">
      <alignment horizontal="left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Font="1" applyBorder="1" applyAlignment="1">
      <alignment horizontal="centerContinuous"/>
    </xf>
    <xf numFmtId="0" fontId="4" fillId="0" borderId="50" xfId="0" applyFont="1" applyBorder="1" applyAlignment="1">
      <alignment horizontal="centerContinuous"/>
    </xf>
    <xf numFmtId="0" fontId="13" fillId="0" borderId="74" xfId="2" applyFont="1" applyBorder="1" applyAlignment="1">
      <alignment horizontal="center" vertical="center"/>
    </xf>
    <xf numFmtId="0" fontId="13" fillId="0" borderId="75" xfId="2" applyFont="1" applyBorder="1" applyAlignment="1">
      <alignment horizontal="center" vertical="center"/>
    </xf>
    <xf numFmtId="0" fontId="50" fillId="0" borderId="136" xfId="2" applyFont="1" applyBorder="1" applyAlignment="1">
      <alignment horizontal="left" vertical="center"/>
    </xf>
    <xf numFmtId="0" fontId="19" fillId="0" borderId="0" xfId="2" applyFont="1"/>
    <xf numFmtId="0" fontId="3" fillId="0" borderId="61" xfId="0" applyFont="1" applyBorder="1" applyAlignment="1">
      <alignment horizontal="left" vertical="center"/>
    </xf>
    <xf numFmtId="0" fontId="19" fillId="0" borderId="54" xfId="2" applyFont="1" applyBorder="1" applyAlignment="1">
      <alignment horizontal="left" vertical="center"/>
    </xf>
    <xf numFmtId="0" fontId="51" fillId="11" borderId="14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0" borderId="31" xfId="2" applyFont="1" applyBorder="1" applyAlignment="1">
      <alignment horizontal="left" vertical="center" wrapText="1"/>
    </xf>
    <xf numFmtId="0" fontId="13" fillId="0" borderId="21" xfId="2" applyFont="1" applyBorder="1" applyAlignment="1">
      <alignment horizontal="left" vertical="center" wrapText="1"/>
    </xf>
    <xf numFmtId="0" fontId="13" fillId="0" borderId="27" xfId="2" applyFont="1" applyBorder="1" applyAlignment="1">
      <alignment horizontal="left" vertical="center" wrapText="1"/>
    </xf>
    <xf numFmtId="0" fontId="35" fillId="0" borderId="0" xfId="0" applyFont="1" applyAlignment="1">
      <alignment horizontal="left"/>
    </xf>
    <xf numFmtId="0" fontId="15" fillId="0" borderId="10" xfId="2" applyFont="1" applyBorder="1" applyAlignment="1">
      <alignment horizontal="left" vertical="center" wrapText="1"/>
    </xf>
    <xf numFmtId="0" fontId="15" fillId="0" borderId="11" xfId="2" applyFont="1" applyBorder="1" applyAlignment="1">
      <alignment horizontal="left" vertical="center" wrapText="1"/>
    </xf>
    <xf numFmtId="0" fontId="15" fillId="0" borderId="12" xfId="2" applyFont="1" applyBorder="1" applyAlignment="1">
      <alignment horizontal="left" vertical="center" wrapText="1"/>
    </xf>
    <xf numFmtId="0" fontId="13" fillId="0" borderId="43" xfId="2" applyFont="1" applyBorder="1" applyAlignment="1">
      <alignment horizontal="left" vertical="center" wrapText="1"/>
    </xf>
    <xf numFmtId="0" fontId="13" fillId="0" borderId="25" xfId="2" applyFont="1" applyBorder="1" applyAlignment="1">
      <alignment horizontal="left" vertical="center" wrapText="1"/>
    </xf>
    <xf numFmtId="0" fontId="13" fillId="0" borderId="26" xfId="2" applyFont="1" applyBorder="1" applyAlignment="1">
      <alignment horizontal="left" vertical="center" wrapText="1"/>
    </xf>
    <xf numFmtId="0" fontId="32" fillId="0" borderId="129" xfId="2" applyFont="1" applyBorder="1" applyAlignment="1">
      <alignment horizontal="center" vertical="top" wrapText="1"/>
    </xf>
    <xf numFmtId="0" fontId="32" fillId="0" borderId="25" xfId="2" applyFont="1" applyBorder="1" applyAlignment="1">
      <alignment horizontal="center" vertical="top" wrapText="1"/>
    </xf>
    <xf numFmtId="0" fontId="32" fillId="0" borderId="26" xfId="2" applyFont="1" applyBorder="1" applyAlignment="1">
      <alignment horizontal="center" vertical="top" wrapText="1"/>
    </xf>
    <xf numFmtId="0" fontId="32" fillId="0" borderId="40" xfId="2" applyFont="1" applyBorder="1" applyAlignment="1">
      <alignment horizontal="center" vertical="top" wrapText="1"/>
    </xf>
    <xf numFmtId="0" fontId="32" fillId="0" borderId="0" xfId="2" applyFont="1" applyAlignment="1">
      <alignment horizontal="center" vertical="top" wrapText="1"/>
    </xf>
    <xf numFmtId="0" fontId="32" fillId="0" borderId="37" xfId="2" applyFont="1" applyBorder="1" applyAlignment="1">
      <alignment horizontal="center" vertical="top" wrapText="1"/>
    </xf>
    <xf numFmtId="0" fontId="32" fillId="0" borderId="130" xfId="2" applyFont="1" applyBorder="1" applyAlignment="1">
      <alignment horizontal="center" vertical="top" wrapText="1"/>
    </xf>
    <xf numFmtId="0" fontId="32" fillId="0" borderId="21" xfId="2" applyFont="1" applyBorder="1" applyAlignment="1">
      <alignment horizontal="center" vertical="top" wrapText="1"/>
    </xf>
    <xf numFmtId="0" fontId="32" fillId="0" borderId="27" xfId="2" applyFont="1" applyBorder="1" applyAlignment="1">
      <alignment horizontal="center" vertical="top" wrapText="1"/>
    </xf>
    <xf numFmtId="0" fontId="13" fillId="0" borderId="126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2" fontId="15" fillId="0" borderId="45" xfId="2" applyNumberFormat="1" applyFont="1" applyBorder="1" applyAlignment="1">
      <alignment horizontal="left"/>
    </xf>
    <xf numFmtId="2" fontId="15" fillId="0" borderId="46" xfId="2" applyNumberFormat="1" applyFont="1" applyBorder="1" applyAlignment="1">
      <alignment horizontal="left"/>
    </xf>
    <xf numFmtId="2" fontId="15" fillId="0" borderId="110" xfId="2" applyNumberFormat="1" applyFont="1" applyBorder="1" applyAlignment="1">
      <alignment horizontal="left"/>
    </xf>
    <xf numFmtId="2" fontId="15" fillId="0" borderId="48" xfId="2" applyNumberFormat="1" applyFont="1" applyBorder="1" applyAlignment="1">
      <alignment horizontal="left"/>
    </xf>
    <xf numFmtId="2" fontId="15" fillId="0" borderId="49" xfId="2" applyNumberFormat="1" applyFont="1" applyBorder="1" applyAlignment="1">
      <alignment horizontal="left"/>
    </xf>
    <xf numFmtId="2" fontId="15" fillId="0" borderId="105" xfId="2" applyNumberFormat="1" applyFont="1" applyBorder="1" applyAlignment="1">
      <alignment horizontal="left"/>
    </xf>
    <xf numFmtId="2" fontId="15" fillId="0" borderId="45" xfId="2" applyNumberFormat="1" applyFont="1" applyBorder="1" applyAlignment="1">
      <alignment horizontal="center" vertical="center"/>
    </xf>
    <xf numFmtId="2" fontId="15" fillId="0" borderId="46" xfId="2" applyNumberFormat="1" applyFont="1" applyBorder="1" applyAlignment="1">
      <alignment horizontal="center" vertical="center"/>
    </xf>
    <xf numFmtId="2" fontId="15" fillId="0" borderId="47" xfId="2" applyNumberFormat="1" applyFont="1" applyBorder="1" applyAlignment="1">
      <alignment horizontal="center" vertical="center"/>
    </xf>
    <xf numFmtId="2" fontId="15" fillId="0" borderId="48" xfId="2" applyNumberFormat="1" applyFont="1" applyBorder="1" applyAlignment="1">
      <alignment horizontal="center" vertical="center"/>
    </xf>
    <xf numFmtId="2" fontId="15" fillId="0" borderId="49" xfId="2" applyNumberFormat="1" applyFont="1" applyBorder="1" applyAlignment="1">
      <alignment horizontal="center" vertical="center"/>
    </xf>
    <xf numFmtId="2" fontId="15" fillId="0" borderId="50" xfId="2" applyNumberFormat="1" applyFont="1" applyBorder="1" applyAlignment="1">
      <alignment horizontal="center" vertical="center"/>
    </xf>
    <xf numFmtId="2" fontId="15" fillId="0" borderId="79" xfId="2" applyNumberFormat="1" applyFont="1" applyBorder="1" applyAlignment="1">
      <alignment horizontal="left"/>
    </xf>
    <xf numFmtId="2" fontId="15" fillId="0" borderId="0" xfId="2" applyNumberFormat="1" applyFont="1" applyAlignment="1">
      <alignment horizontal="left"/>
    </xf>
    <xf numFmtId="2" fontId="15" fillId="0" borderId="37" xfId="2" applyNumberFormat="1" applyFont="1" applyBorder="1" applyAlignment="1">
      <alignment horizontal="left"/>
    </xf>
    <xf numFmtId="2" fontId="15" fillId="0" borderId="111" xfId="2" applyNumberFormat="1" applyFont="1" applyBorder="1" applyAlignment="1">
      <alignment horizontal="left"/>
    </xf>
    <xf numFmtId="2" fontId="15" fillId="0" borderId="21" xfId="2" applyNumberFormat="1" applyFont="1" applyBorder="1" applyAlignment="1">
      <alignment horizontal="left"/>
    </xf>
    <xf numFmtId="2" fontId="15" fillId="0" borderId="27" xfId="2" applyNumberFormat="1" applyFont="1" applyBorder="1" applyAlignment="1">
      <alignment horizontal="left"/>
    </xf>
    <xf numFmtId="0" fontId="13" fillId="0" borderId="113" xfId="2" applyFont="1" applyBorder="1" applyAlignment="1">
      <alignment horizontal="center" vertical="center"/>
    </xf>
    <xf numFmtId="0" fontId="13" fillId="0" borderId="47" xfId="2" applyFont="1" applyBorder="1" applyAlignment="1">
      <alignment horizontal="center" vertical="center"/>
    </xf>
    <xf numFmtId="0" fontId="13" fillId="0" borderId="116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/>
    </xf>
    <xf numFmtId="0" fontId="13" fillId="0" borderId="90" xfId="2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/>
    </xf>
    <xf numFmtId="0" fontId="13" fillId="0" borderId="117" xfId="2" applyFont="1" applyBorder="1" applyAlignment="1">
      <alignment horizontal="center" vertical="center"/>
    </xf>
    <xf numFmtId="2" fontId="15" fillId="0" borderId="79" xfId="2" applyNumberFormat="1" applyFont="1" applyBorder="1" applyAlignment="1">
      <alignment horizontal="center" vertical="center"/>
    </xf>
    <xf numFmtId="2" fontId="15" fillId="0" borderId="0" xfId="2" applyNumberFormat="1" applyFont="1" applyAlignment="1">
      <alignment horizontal="center" vertical="center"/>
    </xf>
    <xf numFmtId="2" fontId="15" fillId="0" borderId="90" xfId="2" applyNumberFormat="1" applyFont="1" applyBorder="1" applyAlignment="1">
      <alignment horizontal="center" vertical="center"/>
    </xf>
    <xf numFmtId="2" fontId="15" fillId="0" borderId="111" xfId="2" applyNumberFormat="1" applyFont="1" applyBorder="1" applyAlignment="1">
      <alignment horizontal="center" vertical="center"/>
    </xf>
    <xf numFmtId="2" fontId="15" fillId="0" borderId="21" xfId="2" applyNumberFormat="1" applyFont="1" applyBorder="1" applyAlignment="1">
      <alignment horizontal="center" vertical="center"/>
    </xf>
    <xf numFmtId="2" fontId="15" fillId="0" borderId="117" xfId="2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13" fillId="0" borderId="99" xfId="2" applyFont="1" applyBorder="1" applyAlignment="1">
      <alignment horizontal="left" vertical="top"/>
    </xf>
    <xf numFmtId="0" fontId="13" fillId="0" borderId="71" xfId="2" applyFont="1" applyBorder="1" applyAlignment="1">
      <alignment horizontal="left" vertical="top"/>
    </xf>
    <xf numFmtId="0" fontId="13" fillId="0" borderId="65" xfId="2" applyFont="1" applyBorder="1" applyAlignment="1">
      <alignment horizontal="center"/>
    </xf>
    <xf numFmtId="0" fontId="18" fillId="5" borderId="43" xfId="2" applyFont="1" applyFill="1" applyBorder="1" applyAlignment="1">
      <alignment horizontal="center" vertical="center" wrapText="1"/>
    </xf>
    <xf numFmtId="0" fontId="18" fillId="5" borderId="25" xfId="2" applyFont="1" applyFill="1" applyBorder="1" applyAlignment="1">
      <alignment horizontal="center" vertical="center" wrapText="1"/>
    </xf>
    <xf numFmtId="0" fontId="18" fillId="5" borderId="26" xfId="2" applyFont="1" applyFill="1" applyBorder="1" applyAlignment="1">
      <alignment horizontal="center" vertical="center" wrapText="1"/>
    </xf>
    <xf numFmtId="0" fontId="18" fillId="5" borderId="31" xfId="2" applyFont="1" applyFill="1" applyBorder="1" applyAlignment="1">
      <alignment horizontal="center" vertical="center" wrapText="1"/>
    </xf>
    <xf numFmtId="0" fontId="18" fillId="5" borderId="21" xfId="2" applyFont="1" applyFill="1" applyBorder="1" applyAlignment="1">
      <alignment horizontal="center" vertical="center" wrapText="1"/>
    </xf>
    <xf numFmtId="0" fontId="18" fillId="5" borderId="27" xfId="2" applyFont="1" applyFill="1" applyBorder="1" applyAlignment="1">
      <alignment horizontal="center" vertical="center" wrapText="1"/>
    </xf>
    <xf numFmtId="0" fontId="32" fillId="5" borderId="43" xfId="2" applyFont="1" applyFill="1" applyBorder="1" applyAlignment="1">
      <alignment horizontal="center" vertical="center" wrapText="1"/>
    </xf>
    <xf numFmtId="0" fontId="32" fillId="5" borderId="25" xfId="2" applyFont="1" applyFill="1" applyBorder="1" applyAlignment="1">
      <alignment horizontal="center" vertical="center" wrapText="1"/>
    </xf>
    <xf numFmtId="0" fontId="32" fillId="5" borderId="26" xfId="2" applyFont="1" applyFill="1" applyBorder="1" applyAlignment="1">
      <alignment horizontal="center" vertical="center" wrapText="1"/>
    </xf>
    <xf numFmtId="0" fontId="32" fillId="5" borderId="31" xfId="2" applyFont="1" applyFill="1" applyBorder="1" applyAlignment="1">
      <alignment horizontal="center" vertical="center" wrapText="1"/>
    </xf>
    <xf numFmtId="0" fontId="32" fillId="5" borderId="21" xfId="2" applyFont="1" applyFill="1" applyBorder="1" applyAlignment="1">
      <alignment horizontal="center" vertical="center" wrapText="1"/>
    </xf>
    <xf numFmtId="0" fontId="32" fillId="5" borderId="27" xfId="2" applyFont="1" applyFill="1" applyBorder="1" applyAlignment="1">
      <alignment horizontal="center" vertical="center" wrapText="1"/>
    </xf>
    <xf numFmtId="0" fontId="13" fillId="0" borderId="100" xfId="2" applyFont="1" applyBorder="1" applyAlignment="1">
      <alignment horizontal="center"/>
    </xf>
    <xf numFmtId="0" fontId="13" fillId="0" borderId="98" xfId="2" applyFont="1" applyBorder="1" applyAlignment="1">
      <alignment horizontal="center"/>
    </xf>
    <xf numFmtId="0" fontId="13" fillId="0" borderId="65" xfId="2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548DDE3C-3FAA-4A28-A20B-FEBFFBDA4D17}"/>
    <cellStyle name="Percent" xfId="4" builtinId="5"/>
    <cellStyle name="Separador de milhares 2" xfId="3" xr:uid="{F2305DD9-4ACB-4FD9-B1FC-B7BFB59A007E}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FBFBF"/>
        </patternFill>
      </fill>
    </dxf>
  </dxfs>
  <tableStyles count="0" defaultTableStyle="TableStyleMedium2" defaultPivotStyle="PivotStyleLight16"/>
  <colors>
    <mruColors>
      <color rgb="FFA6A6A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566280</xdr:colOff>
      <xdr:row>3</xdr:row>
      <xdr:rowOff>13680</xdr:rowOff>
    </xdr:to>
    <xdr:sp macro="" textlink="">
      <xdr:nvSpPr>
        <xdr:cNvPr id="8" name="Retângulo de cantos arredondados 1">
          <a:extLst>
            <a:ext uri="{FF2B5EF4-FFF2-40B4-BE49-F238E27FC236}">
              <a16:creationId xmlns:a16="http://schemas.microsoft.com/office/drawing/2014/main" id="{69A62378-9B77-436E-82B3-9636D524E160}"/>
            </a:ext>
          </a:extLst>
        </xdr:cNvPr>
        <xdr:cNvSpPr/>
      </xdr:nvSpPr>
      <xdr:spPr>
        <a:xfrm>
          <a:off x="0" y="0"/>
          <a:ext cx="8424405" cy="823305"/>
        </a:xfrm>
        <a:prstGeom prst="roundRect">
          <a:avLst>
            <a:gd name="adj" fmla="val 16667"/>
          </a:avLst>
        </a:prstGeom>
        <a:noFill/>
        <a:ln w="12700">
          <a:solidFill>
            <a:srgbClr val="80808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131811</xdr:colOff>
      <xdr:row>0</xdr:row>
      <xdr:rowOff>84834</xdr:rowOff>
    </xdr:from>
    <xdr:to>
      <xdr:col>1</xdr:col>
      <xdr:colOff>571499</xdr:colOff>
      <xdr:row>2</xdr:row>
      <xdr:rowOff>98651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C7D0A1-F1E4-4936-B964-34963E706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11" y="84834"/>
          <a:ext cx="1654126" cy="676757"/>
        </a:xfrm>
        <a:prstGeom prst="rect">
          <a:avLst/>
        </a:prstGeom>
      </xdr:spPr>
    </xdr:pic>
    <xdr:clientData/>
  </xdr:twoCellAnchor>
  <xdr:twoCellAnchor>
    <xdr:from>
      <xdr:col>8</xdr:col>
      <xdr:colOff>614362</xdr:colOff>
      <xdr:row>1</xdr:row>
      <xdr:rowOff>426242</xdr:rowOff>
    </xdr:from>
    <xdr:to>
      <xdr:col>16</xdr:col>
      <xdr:colOff>328613</xdr:colOff>
      <xdr:row>24</xdr:row>
      <xdr:rowOff>0</xdr:rowOff>
    </xdr:to>
    <xdr:sp macro="" textlink="">
      <xdr:nvSpPr>
        <xdr:cNvPr id="13" name="Rectangle: Rounded Corners 1">
          <a:extLst>
            <a:ext uri="{FF2B5EF4-FFF2-40B4-BE49-F238E27FC236}">
              <a16:creationId xmlns:a16="http://schemas.microsoft.com/office/drawing/2014/main" id="{566A1DFD-B131-D738-8453-8554BC3C4086}"/>
            </a:ext>
          </a:extLst>
        </xdr:cNvPr>
        <xdr:cNvSpPr/>
      </xdr:nvSpPr>
      <xdr:spPr>
        <a:xfrm>
          <a:off x="9663112" y="645317"/>
          <a:ext cx="6257926" cy="4479133"/>
        </a:xfrm>
        <a:prstGeom prst="roundRect">
          <a:avLst>
            <a:gd name="adj" fmla="val 448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INSTRUÇÕES</a:t>
          </a:r>
          <a:br>
            <a:rPr lang="en-US" sz="1600" b="1">
              <a:solidFill>
                <a:sysClr val="windowText" lastClr="000000"/>
              </a:solidFill>
            </a:rPr>
          </a:br>
          <a:br>
            <a:rPr lang="en-US" sz="1600" b="1">
              <a:solidFill>
                <a:sysClr val="windowText" lastClr="000000"/>
              </a:solidFill>
            </a:rPr>
          </a:br>
          <a:r>
            <a:rPr lang="en-US" sz="1200" b="1">
              <a:solidFill>
                <a:sysClr val="windowText" lastClr="000000"/>
              </a:solidFill>
            </a:rPr>
            <a:t>0. </a:t>
          </a:r>
          <a:r>
            <a:rPr lang="en-US" sz="1200" b="0">
              <a:solidFill>
                <a:sysClr val="windowText" lastClr="000000"/>
              </a:solidFill>
            </a:rPr>
            <a:t>Mudar o número do lote</a:t>
          </a:r>
          <a:r>
            <a:rPr lang="en-US" sz="1200" b="0" baseline="0">
              <a:solidFill>
                <a:sysClr val="windowText" lastClr="000000"/>
              </a:solidFill>
            </a:rPr>
            <a:t> para o lote do dia atual (para isto, dar unhide na aba 'Busca Lote' e digitar a data atual (ctrl + ;). Para mais de uma OP no mesmo dia, alterar apenas após o "/" de forma sequencial (/01, /02, /03, /04...)</a:t>
          </a:r>
          <a:r>
            <a:rPr lang="en-US" sz="1200" b="0">
              <a:solidFill>
                <a:sysClr val="windowText" lastClr="000000"/>
              </a:solidFill>
            </a:rPr>
            <a:t>;</a:t>
          </a:r>
          <a:br>
            <a:rPr lang="en-US" sz="1600" b="1">
              <a:solidFill>
                <a:sysClr val="windowText" lastClr="000000"/>
              </a:solidFill>
            </a:rPr>
          </a:br>
          <a:br>
            <a:rPr lang="en-US" sz="1600" b="1">
              <a:solidFill>
                <a:sysClr val="windowText" lastClr="000000"/>
              </a:solidFill>
            </a:rPr>
          </a:br>
          <a:r>
            <a:rPr lang="en-US" sz="1200" b="1">
              <a:solidFill>
                <a:sysClr val="windowText" lastClr="000000"/>
              </a:solidFill>
            </a:rPr>
            <a:t>1.</a:t>
          </a:r>
          <a:r>
            <a:rPr lang="en-US" sz="1200" b="0">
              <a:solidFill>
                <a:sysClr val="windowText" lastClr="000000"/>
              </a:solidFill>
            </a:rPr>
            <a:t> Mudar</a:t>
          </a:r>
          <a:r>
            <a:rPr lang="en-US" sz="1200" b="0" baseline="0">
              <a:solidFill>
                <a:sysClr val="windowText" lastClr="000000"/>
              </a:solidFill>
            </a:rPr>
            <a:t> o nome ("Descrição do Produto"), conforme a planilha 'Controle de Produtos' (incluir acentos, hífen e demais;</a:t>
          </a:r>
          <a:br>
            <a:rPr lang="en-US" sz="1200" b="0" baseline="0">
              <a:solidFill>
                <a:sysClr val="windowText" lastClr="000000"/>
              </a:solidFill>
            </a:rPr>
          </a:br>
          <a:br>
            <a:rPr lang="en-US" sz="1200" b="0" baseline="0">
              <a:solidFill>
                <a:sysClr val="windowText" lastClr="000000"/>
              </a:solidFill>
            </a:rPr>
          </a:br>
          <a:r>
            <a:rPr lang="en-US" sz="1200" b="1" baseline="0">
              <a:solidFill>
                <a:sysClr val="windowText" lastClr="000000"/>
              </a:solidFill>
            </a:rPr>
            <a:t>2.</a:t>
          </a:r>
          <a:r>
            <a:rPr lang="en-US" sz="1200" b="0" baseline="0">
              <a:solidFill>
                <a:sysClr val="windowText" lastClr="000000"/>
              </a:solidFill>
            </a:rPr>
            <a:t> Ajustar a data, para a data do dia que está sendo feita a OP; </a:t>
          </a:r>
          <a:br>
            <a:rPr lang="en-US" sz="1200" b="0" baseline="0">
              <a:solidFill>
                <a:sysClr val="windowText" lastClr="000000"/>
              </a:solidFill>
            </a:rPr>
          </a:br>
          <a:endParaRPr lang="en-US" sz="1200" b="0" baseline="0">
            <a:solidFill>
              <a:sysClr val="windowText" lastClr="000000"/>
            </a:solidFill>
          </a:endParaRPr>
        </a:p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3. </a:t>
          </a:r>
          <a:r>
            <a:rPr lang="en-US" sz="1200" b="0" baseline="0">
              <a:solidFill>
                <a:sysClr val="windowText" lastClr="000000"/>
              </a:solidFill>
            </a:rPr>
            <a:t>Alterar a composição dos materiais, adicionando detalhes sobre o material (futuramente utilizaremos os devidos SKUs - preencher somente SKU do insumo).</a:t>
          </a:r>
          <a:br>
            <a:rPr lang="en-US" sz="1200" b="1" baseline="0">
              <a:solidFill>
                <a:srgbClr val="FF0000"/>
              </a:solidFill>
            </a:rPr>
          </a:br>
          <a:endParaRPr lang="en-US" sz="1200" b="1" baseline="0">
            <a:solidFill>
              <a:srgbClr val="FF0000"/>
            </a:solidFill>
          </a:endParaRPr>
        </a:p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4. </a:t>
          </a:r>
          <a:r>
            <a:rPr lang="en-US" sz="1200" b="0" baseline="0">
              <a:solidFill>
                <a:sysClr val="windowText" lastClr="000000"/>
              </a:solidFill>
            </a:rPr>
            <a:t>Ajustar a quantidade de unidades para aprox. 550 l - quando lote padrão (confirmar quantidade de unidades padrão por lote que costumamos fazer para cada produto);</a:t>
          </a:r>
          <a:br>
            <a:rPr lang="en-US" sz="1200" b="0" baseline="0">
              <a:solidFill>
                <a:sysClr val="windowText" lastClr="000000"/>
              </a:solidFill>
            </a:rPr>
          </a:br>
          <a:br>
            <a:rPr lang="en-US" sz="1200" b="0" baseline="0">
              <a:solidFill>
                <a:sysClr val="windowText" lastClr="000000"/>
              </a:solidFill>
            </a:rPr>
          </a:br>
          <a:r>
            <a:rPr lang="en-US" sz="1200" b="1" baseline="0">
              <a:solidFill>
                <a:sysClr val="windowText" lastClr="000000"/>
              </a:solidFill>
            </a:rPr>
            <a:t>5.</a:t>
          </a:r>
          <a:r>
            <a:rPr lang="en-US" sz="1200" b="0" baseline="0">
              <a:solidFill>
                <a:sysClr val="windowText" lastClr="000000"/>
              </a:solidFill>
            </a:rPr>
            <a:t> Caso o frasco seja gravado, ocultar a aba 'ROTULAGEM';</a:t>
          </a:r>
          <a:br>
            <a:rPr lang="en-US" sz="1200" b="0" baseline="0">
              <a:solidFill>
                <a:sysClr val="windowText" lastClr="000000"/>
              </a:solidFill>
            </a:rPr>
          </a:br>
          <a:br>
            <a:rPr lang="en-US" sz="1200" b="0" baseline="0">
              <a:solidFill>
                <a:sysClr val="windowText" lastClr="000000"/>
              </a:solidFill>
            </a:rPr>
          </a:br>
          <a:r>
            <a:rPr lang="en-US" sz="1200" b="1" baseline="0">
              <a:solidFill>
                <a:sysClr val="windowText" lastClr="000000"/>
              </a:solidFill>
            </a:rPr>
            <a:t>6. </a:t>
          </a:r>
          <a:r>
            <a:rPr lang="en-US" sz="1200" b="0" baseline="0">
              <a:solidFill>
                <a:sysClr val="windowText" lastClr="000000"/>
              </a:solidFill>
            </a:rPr>
            <a:t>Após tudo preenchido, imprimir (ctrl + P) e selecionar "Print entire workbook"</a:t>
          </a:r>
          <a:endParaRPr lang="en-US" sz="1200" b="1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9360</xdr:rowOff>
    </xdr:from>
    <xdr:to>
      <xdr:col>9</xdr:col>
      <xdr:colOff>754827</xdr:colOff>
      <xdr:row>3</xdr:row>
      <xdr:rowOff>66675</xdr:rowOff>
    </xdr:to>
    <xdr:sp macro="" textlink="">
      <xdr:nvSpPr>
        <xdr:cNvPr id="4" name="Retângulo de cantos arredondados 1">
          <a:extLst>
            <a:ext uri="{FF2B5EF4-FFF2-40B4-BE49-F238E27FC236}">
              <a16:creationId xmlns:a16="http://schemas.microsoft.com/office/drawing/2014/main" id="{FFC74B89-4534-40DB-97AC-2E3989407D38}"/>
            </a:ext>
          </a:extLst>
        </xdr:cNvPr>
        <xdr:cNvSpPr/>
      </xdr:nvSpPr>
      <xdr:spPr>
        <a:xfrm>
          <a:off x="0" y="9360"/>
          <a:ext cx="9053483" cy="735971"/>
        </a:xfrm>
        <a:prstGeom prst="roundRect">
          <a:avLst>
            <a:gd name="adj" fmla="val 16667"/>
          </a:avLst>
        </a:prstGeom>
        <a:noFill/>
        <a:ln w="12700">
          <a:solidFill>
            <a:srgbClr val="80808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186579</xdr:colOff>
      <xdr:row>0</xdr:row>
      <xdr:rowOff>27684</xdr:rowOff>
    </xdr:from>
    <xdr:to>
      <xdr:col>1</xdr:col>
      <xdr:colOff>930020</xdr:colOff>
      <xdr:row>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F59B72-F9BE-44FF-89CE-E42EB02F9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79" y="27684"/>
          <a:ext cx="1714991" cy="715266"/>
        </a:xfrm>
        <a:prstGeom prst="rect">
          <a:avLst/>
        </a:prstGeom>
      </xdr:spPr>
    </xdr:pic>
    <xdr:clientData/>
  </xdr:twoCellAnchor>
  <xdr:twoCellAnchor>
    <xdr:from>
      <xdr:col>4</xdr:col>
      <xdr:colOff>28470</xdr:colOff>
      <xdr:row>7</xdr:row>
      <xdr:rowOff>0</xdr:rowOff>
    </xdr:from>
    <xdr:to>
      <xdr:col>10</xdr:col>
      <xdr:colOff>4658</xdr:colOff>
      <xdr:row>10</xdr:row>
      <xdr:rowOff>11906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2CAAC4D-8A75-47C8-BA50-2FC1CA021A82}"/>
            </a:ext>
          </a:extLst>
        </xdr:cNvPr>
        <xdr:cNvSpPr/>
      </xdr:nvSpPr>
      <xdr:spPr>
        <a:xfrm>
          <a:off x="5022883" y="1449457"/>
          <a:ext cx="3852449" cy="87329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cap="none" spc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ATENÇÃO:</a:t>
          </a:r>
          <a:r>
            <a:rPr lang="en-US" sz="1200" b="1" cap="none" spc="0" baseline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Antes de pesar ou manipular qualquer material, verifique se utensílios, tanques e reatores estão devidamente higienizados, confrome procedimento de limpeza e assepsia.</a:t>
          </a:r>
          <a:endParaRPr lang="en-US" sz="1200" b="1" cap="none" spc="0">
            <a:ln>
              <a:noFill/>
            </a:ln>
            <a:solidFill>
              <a:schemeClr val="tx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232317</xdr:colOff>
      <xdr:row>3</xdr:row>
      <xdr:rowOff>58080</xdr:rowOff>
    </xdr:from>
    <xdr:to>
      <xdr:col>18</xdr:col>
      <xdr:colOff>257291</xdr:colOff>
      <xdr:row>9</xdr:row>
      <xdr:rowOff>46464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9C5102-2D9F-46C6-94E3-B07688FBFF7C}"/>
            </a:ext>
          </a:extLst>
        </xdr:cNvPr>
        <xdr:cNvSpPr/>
      </xdr:nvSpPr>
      <xdr:spPr>
        <a:xfrm>
          <a:off x="10779512" y="743415"/>
          <a:ext cx="6262688" cy="1312592"/>
        </a:xfrm>
        <a:prstGeom prst="roundRect">
          <a:avLst>
            <a:gd name="adj" fmla="val 448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INSTRUÇÕES</a:t>
          </a:r>
          <a:br>
            <a:rPr lang="en-US" sz="1600" b="1">
              <a:solidFill>
                <a:sysClr val="windowText" lastClr="000000"/>
              </a:solidFill>
            </a:rPr>
          </a:br>
          <a:br>
            <a:rPr lang="en-US" sz="1600" b="1">
              <a:solidFill>
                <a:sysClr val="windowText" lastClr="000000"/>
              </a:solidFill>
            </a:rPr>
          </a:br>
          <a:r>
            <a:rPr lang="en-US" sz="1200" b="1">
              <a:solidFill>
                <a:sysClr val="windowText" lastClr="000000"/>
              </a:solidFill>
            </a:rPr>
            <a:t>1.</a:t>
          </a:r>
          <a:r>
            <a:rPr lang="en-US" sz="1200" b="0">
              <a:solidFill>
                <a:sysClr val="windowText" lastClr="000000"/>
              </a:solidFill>
            </a:rPr>
            <a:t> Ajustar as</a:t>
          </a:r>
          <a:r>
            <a:rPr lang="en-US" sz="1200" b="0" baseline="0">
              <a:solidFill>
                <a:sysClr val="windowText" lastClr="000000"/>
              </a:solidFill>
            </a:rPr>
            <a:t> Matérias Primas e Quantidades conforme a ficha técnica do produto (</a:t>
          </a:r>
          <a:r>
            <a:rPr lang="en-US" sz="1200" b="1" baseline="0">
              <a:solidFill>
                <a:sysClr val="windowText" lastClr="000000"/>
              </a:solidFill>
            </a:rPr>
            <a:t>Colunas B e D APENAS - </a:t>
          </a:r>
          <a:r>
            <a:rPr lang="en-US" sz="1200" b="1" baseline="0">
              <a:solidFill>
                <a:srgbClr val="FF0000"/>
              </a:solidFill>
            </a:rPr>
            <a:t>caso possua alcool na formulação, ajustar a densidade para 0,850 g/ml</a:t>
          </a:r>
          <a:r>
            <a:rPr lang="en-US" sz="1200" b="0" baseline="0">
              <a:solidFill>
                <a:sysClr val="windowText" lastClr="000000"/>
              </a:solidFill>
            </a:rPr>
            <a:t>). Caso a ficha técnica não esteja preenchida ou atualizada, confirmar a formulação com laboratório;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31</xdr:row>
      <xdr:rowOff>9525</xdr:rowOff>
    </xdr:from>
    <xdr:to>
      <xdr:col>4</xdr:col>
      <xdr:colOff>676275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7D9EA24-AE5A-4278-B2A4-014691C41CC9}"/>
            </a:ext>
          </a:extLst>
        </xdr:cNvPr>
        <xdr:cNvCxnSpPr/>
      </xdr:nvCxnSpPr>
      <xdr:spPr>
        <a:xfrm>
          <a:off x="2352675" y="5067300"/>
          <a:ext cx="2714625" cy="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32</xdr:row>
      <xdr:rowOff>371475</xdr:rowOff>
    </xdr:from>
    <xdr:to>
      <xdr:col>4</xdr:col>
      <xdr:colOff>676275</xdr:colOff>
      <xdr:row>32</xdr:row>
      <xdr:rowOff>371475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7B71621-98F2-4736-A11B-450A580DC3E6}"/>
            </a:ext>
          </a:extLst>
        </xdr:cNvPr>
        <xdr:cNvCxnSpPr/>
      </xdr:nvCxnSpPr>
      <xdr:spPr>
        <a:xfrm>
          <a:off x="2352675" y="5810250"/>
          <a:ext cx="2714625" cy="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35</xdr:row>
      <xdr:rowOff>0</xdr:rowOff>
    </xdr:from>
    <xdr:to>
      <xdr:col>4</xdr:col>
      <xdr:colOff>676275</xdr:colOff>
      <xdr:row>35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7A5CB5B-0504-4E2F-858B-C2BE0E760C80}"/>
            </a:ext>
          </a:extLst>
        </xdr:cNvPr>
        <xdr:cNvCxnSpPr/>
      </xdr:nvCxnSpPr>
      <xdr:spPr>
        <a:xfrm>
          <a:off x="2352675" y="6581775"/>
          <a:ext cx="2714625" cy="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37</xdr:row>
      <xdr:rowOff>9525</xdr:rowOff>
    </xdr:from>
    <xdr:to>
      <xdr:col>4</xdr:col>
      <xdr:colOff>676275</xdr:colOff>
      <xdr:row>37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86D2095-C3DB-46F0-947F-7AFD0B1F19DB}"/>
            </a:ext>
          </a:extLst>
        </xdr:cNvPr>
        <xdr:cNvCxnSpPr/>
      </xdr:nvCxnSpPr>
      <xdr:spPr>
        <a:xfrm>
          <a:off x="2352675" y="7286625"/>
          <a:ext cx="2714625" cy="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19080</xdr:colOff>
      <xdr:row>0</xdr:row>
      <xdr:rowOff>9359</xdr:rowOff>
    </xdr:from>
    <xdr:to>
      <xdr:col>10</xdr:col>
      <xdr:colOff>919369</xdr:colOff>
      <xdr:row>3</xdr:row>
      <xdr:rowOff>66260</xdr:rowOff>
    </xdr:to>
    <xdr:sp macro="" textlink="">
      <xdr:nvSpPr>
        <xdr:cNvPr id="16" name="Retângulo de cantos arredondados 1">
          <a:extLst>
            <a:ext uri="{FF2B5EF4-FFF2-40B4-BE49-F238E27FC236}">
              <a16:creationId xmlns:a16="http://schemas.microsoft.com/office/drawing/2014/main" id="{2F33F8C7-7D16-4BE5-8F39-9FFCC6CE4555}"/>
            </a:ext>
          </a:extLst>
        </xdr:cNvPr>
        <xdr:cNvSpPr/>
      </xdr:nvSpPr>
      <xdr:spPr>
        <a:xfrm>
          <a:off x="19080" y="9359"/>
          <a:ext cx="9779246" cy="794053"/>
        </a:xfrm>
        <a:prstGeom prst="roundRect">
          <a:avLst>
            <a:gd name="adj" fmla="val 16667"/>
          </a:avLst>
        </a:prstGeom>
        <a:noFill/>
        <a:ln w="12700">
          <a:solidFill>
            <a:srgbClr val="80808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256761</xdr:colOff>
      <xdr:row>0</xdr:row>
      <xdr:rowOff>49696</xdr:rowOff>
    </xdr:from>
    <xdr:to>
      <xdr:col>1</xdr:col>
      <xdr:colOff>581552</xdr:colOff>
      <xdr:row>3</xdr:row>
      <xdr:rowOff>16566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E8FAA4A-129F-4BA5-91E0-F7453D8A3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61" y="49696"/>
          <a:ext cx="1823352" cy="7288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10</xdr:col>
      <xdr:colOff>916781</xdr:colOff>
      <xdr:row>13</xdr:row>
      <xdr:rowOff>8282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8A537E-99C6-4518-A59F-2B68F92DB59C}"/>
            </a:ext>
          </a:extLst>
        </xdr:cNvPr>
        <xdr:cNvSpPr/>
      </xdr:nvSpPr>
      <xdr:spPr>
        <a:xfrm>
          <a:off x="6381750" y="1714500"/>
          <a:ext cx="3536156" cy="1341782"/>
        </a:xfrm>
        <a:prstGeom prst="rect">
          <a:avLst/>
        </a:pr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cap="none" spc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ATENÇÃO:</a:t>
          </a:r>
          <a:r>
            <a:rPr lang="en-US" sz="1200" b="1" cap="none" spc="0" baseline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Antes do preparo e envase, cerfiique-se de que todos os utensílios, envasadoras e esteiras estejam devidiamente sanitizados, confrome procedimento de limpeza e assepsia.</a:t>
          </a:r>
          <a:endParaRPr lang="en-US" sz="1200" b="1" cap="none" spc="0">
            <a:ln>
              <a:noFill/>
            </a:ln>
            <a:solidFill>
              <a:schemeClr val="tx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104775</xdr:colOff>
      <xdr:row>39</xdr:row>
      <xdr:rowOff>9525</xdr:rowOff>
    </xdr:from>
    <xdr:to>
      <xdr:col>4</xdr:col>
      <xdr:colOff>676275</xdr:colOff>
      <xdr:row>39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6C7B5B-0832-49F6-AB66-1F30C84449E9}"/>
            </a:ext>
          </a:extLst>
        </xdr:cNvPr>
        <xdr:cNvCxnSpPr/>
      </xdr:nvCxnSpPr>
      <xdr:spPr>
        <a:xfrm>
          <a:off x="2343150" y="7867650"/>
          <a:ext cx="2714625" cy="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205400</xdr:colOff>
      <xdr:row>0</xdr:row>
      <xdr:rowOff>62637</xdr:rowOff>
    </xdr:from>
    <xdr:to>
      <xdr:col>0</xdr:col>
      <xdr:colOff>1795090</xdr:colOff>
      <xdr:row>2</xdr:row>
      <xdr:rowOff>174246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5CC47-BFEC-4A9A-BCF5-A24231AB1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400" y="62637"/>
          <a:ext cx="1589690" cy="5402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35</xdr:row>
      <xdr:rowOff>23958</xdr:rowOff>
    </xdr:from>
    <xdr:to>
      <xdr:col>2</xdr:col>
      <xdr:colOff>451800</xdr:colOff>
      <xdr:row>36</xdr:row>
      <xdr:rowOff>13680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C757D4-B4B9-40A5-A6FF-84D4AD6B8DF7}"/>
            </a:ext>
          </a:extLst>
        </xdr:cNvPr>
        <xdr:cNvSpPr/>
      </xdr:nvSpPr>
      <xdr:spPr>
        <a:xfrm>
          <a:off x="1763806" y="9504134"/>
          <a:ext cx="223200" cy="21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80106</xdr:colOff>
      <xdr:row>35</xdr:row>
      <xdr:rowOff>19080</xdr:rowOff>
    </xdr:from>
    <xdr:to>
      <xdr:col>4</xdr:col>
      <xdr:colOff>298944</xdr:colOff>
      <xdr:row>36</xdr:row>
      <xdr:rowOff>13680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8B31A0-E458-4B89-AFB3-62E97EA05FDA}"/>
            </a:ext>
          </a:extLst>
        </xdr:cNvPr>
        <xdr:cNvSpPr/>
      </xdr:nvSpPr>
      <xdr:spPr>
        <a:xfrm>
          <a:off x="3677194" y="9499256"/>
          <a:ext cx="218838" cy="2187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228600</xdr:colOff>
      <xdr:row>29</xdr:row>
      <xdr:rowOff>9360</xdr:rowOff>
    </xdr:from>
    <xdr:to>
      <xdr:col>2</xdr:col>
      <xdr:colOff>452520</xdr:colOff>
      <xdr:row>29</xdr:row>
      <xdr:rowOff>223920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0A78499-096B-433F-AB62-BB779E38A3AA}"/>
            </a:ext>
          </a:extLst>
        </xdr:cNvPr>
        <xdr:cNvSpPr/>
      </xdr:nvSpPr>
      <xdr:spPr>
        <a:xfrm>
          <a:off x="1763806" y="8144831"/>
          <a:ext cx="223920" cy="2145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80106</xdr:colOff>
      <xdr:row>29</xdr:row>
      <xdr:rowOff>4483</xdr:rowOff>
    </xdr:from>
    <xdr:to>
      <xdr:col>4</xdr:col>
      <xdr:colOff>299664</xdr:colOff>
      <xdr:row>29</xdr:row>
      <xdr:rowOff>223920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F5A6A5-7BD2-4B82-B7CD-3308A7E0A286}"/>
            </a:ext>
          </a:extLst>
        </xdr:cNvPr>
        <xdr:cNvSpPr/>
      </xdr:nvSpPr>
      <xdr:spPr>
        <a:xfrm>
          <a:off x="3677194" y="8139954"/>
          <a:ext cx="219558" cy="2194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35078</xdr:colOff>
      <xdr:row>2</xdr:row>
      <xdr:rowOff>52319</xdr:rowOff>
    </xdr:from>
    <xdr:to>
      <xdr:col>2</xdr:col>
      <xdr:colOff>1423146</xdr:colOff>
      <xdr:row>5</xdr:row>
      <xdr:rowOff>276639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66445A-2C42-4EC1-BFE9-89A68BE54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196" y="455731"/>
          <a:ext cx="2318156" cy="896673"/>
        </a:xfrm>
        <a:prstGeom prst="rect">
          <a:avLst/>
        </a:prstGeom>
      </xdr:spPr>
    </xdr:pic>
    <xdr:clientData/>
  </xdr:twoCellAnchor>
  <xdr:twoCellAnchor>
    <xdr:from>
      <xdr:col>11</xdr:col>
      <xdr:colOff>431947</xdr:colOff>
      <xdr:row>3</xdr:row>
      <xdr:rowOff>77531</xdr:rowOff>
    </xdr:from>
    <xdr:to>
      <xdr:col>22</xdr:col>
      <xdr:colOff>44936</xdr:colOff>
      <xdr:row>11</xdr:row>
      <xdr:rowOff>55378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732E81E-54A8-4853-A06F-58135D18C1FB}"/>
            </a:ext>
          </a:extLst>
        </xdr:cNvPr>
        <xdr:cNvSpPr/>
      </xdr:nvSpPr>
      <xdr:spPr>
        <a:xfrm>
          <a:off x="8339912" y="708839"/>
          <a:ext cx="6313716" cy="2181888"/>
        </a:xfrm>
        <a:prstGeom prst="roundRect">
          <a:avLst>
            <a:gd name="adj" fmla="val 448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INSTRUÇÕES</a:t>
          </a:r>
          <a:br>
            <a:rPr lang="en-US" sz="1600" b="1">
              <a:solidFill>
                <a:sysClr val="windowText" lastClr="000000"/>
              </a:solidFill>
            </a:rPr>
          </a:br>
          <a:br>
            <a:rPr lang="en-US" sz="1600" b="1">
              <a:solidFill>
                <a:sysClr val="windowText" lastClr="000000"/>
              </a:solidFill>
            </a:rPr>
          </a:br>
          <a:r>
            <a:rPr lang="en-US" sz="1200" b="1">
              <a:solidFill>
                <a:sysClr val="windowText" lastClr="000000"/>
              </a:solidFill>
            </a:rPr>
            <a:t>1.</a:t>
          </a:r>
          <a:r>
            <a:rPr lang="en-US" sz="1200" b="0">
              <a:solidFill>
                <a:sysClr val="windowText" lastClr="000000"/>
              </a:solidFill>
            </a:rPr>
            <a:t> Ajustar as especificações</a:t>
          </a:r>
          <a:r>
            <a:rPr lang="en-US" sz="1200" b="0" baseline="0">
              <a:solidFill>
                <a:sysClr val="windowText" lastClr="000000"/>
              </a:solidFill>
            </a:rPr>
            <a:t> </a:t>
          </a:r>
          <a:r>
            <a:rPr lang="en-US" sz="1200" b="0">
              <a:solidFill>
                <a:sysClr val="windowText" lastClr="000000"/>
              </a:solidFill>
            </a:rPr>
            <a:t>conforme a ficha técnica do produto (Colunas D APENAS ). Caso a ficha técnica não esteja preenchida ou atualizada, confirmar as</a:t>
          </a:r>
          <a:r>
            <a:rPr lang="en-US" sz="1200" b="0" baseline="0">
              <a:solidFill>
                <a:sysClr val="windowText" lastClr="000000"/>
              </a:solidFill>
            </a:rPr>
            <a:t> especificações </a:t>
          </a:r>
          <a:r>
            <a:rPr lang="en-US" sz="1200" b="0">
              <a:solidFill>
                <a:sysClr val="windowText" lastClr="000000"/>
              </a:solidFill>
            </a:rPr>
            <a:t>com laboratório;</a:t>
          </a:r>
        </a:p>
        <a:p>
          <a:pPr algn="ctr"/>
          <a:endParaRPr lang="en-US" sz="1200" b="0" baseline="0">
            <a:solidFill>
              <a:sysClr val="windowText" lastClr="000000"/>
            </a:solidFill>
          </a:endParaRPr>
        </a:p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2</a:t>
          </a:r>
          <a:r>
            <a:rPr lang="en-US" sz="1200" b="0" baseline="0">
              <a:solidFill>
                <a:sysClr val="windowText" lastClr="000000"/>
              </a:solidFill>
            </a:rPr>
            <a:t>. Normalmente é necessário ajustar as </a:t>
          </a:r>
          <a:r>
            <a:rPr lang="en-US" sz="1200" b="1" baseline="0">
              <a:solidFill>
                <a:sysClr val="windowText" lastClr="000000"/>
              </a:solidFill>
            </a:rPr>
            <a:t>células D16, D17, D18, D19, D20, D21, D22, D26 e D31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435260</xdr:colOff>
      <xdr:row>2</xdr:row>
      <xdr:rowOff>84654</xdr:rowOff>
    </xdr:from>
    <xdr:to>
      <xdr:col>18</xdr:col>
      <xdr:colOff>168345</xdr:colOff>
      <xdr:row>6</xdr:row>
      <xdr:rowOff>84654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435F1A-8846-4E1A-A380-51C248BDDC2D}"/>
            </a:ext>
          </a:extLst>
        </xdr:cNvPr>
        <xdr:cNvSpPr/>
      </xdr:nvSpPr>
      <xdr:spPr>
        <a:xfrm>
          <a:off x="8969660" y="465654"/>
          <a:ext cx="217148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INSTRUÇÕES</a:t>
          </a:r>
        </a:p>
        <a:p>
          <a:pPr algn="ctr"/>
          <a:r>
            <a:rPr lang="en-US" sz="1100" b="0">
              <a:solidFill>
                <a:sysClr val="windowText" lastClr="000000"/>
              </a:solidFill>
            </a:rPr>
            <a:t>Preencher a data no quadro abaixo para ter o retorno do lote indicativo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08.%20Logistica%20e%20Armazenamento/00.%20Logistica/Controle%20de%20Produtos.xlsx" TargetMode="External"/><Relationship Id="rId2" Type="http://schemas.openxmlformats.org/officeDocument/2006/relationships/externalLinkPath" Target="https://kuryos.sharepoint.com/sites/ServidorKuryos/Shared%20Documents/08.%20Logistica%20e%20Armazenamento/00.%20Logistica/Controle%20de%20Produtos.xlsx" TargetMode="External"/><Relationship Id="rId1" Type="http://schemas.openxmlformats.org/officeDocument/2006/relationships/externalLinkPath" Target="/sites/ServidorKuryos/Shared%20Documents/08.%20Logistica%20e%20Armazenamento/00.%20Logistica/Controle%20de%20Produ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-tXxwIStUOuTRlCGEMWNtPrtsVQ9HBOtnFl2noHyRcEjoDIjaTsRKqihKs8SpeJ" itemId="017DPLXKN5TVGG4PFJPRCIQ5U5UAI22H5B">
      <xxl21:absoluteUrl r:id="rId2"/>
      <xxl21:relativeUrl r:id="rId3"/>
    </xxl21:alternateUrls>
    <sheetNames>
      <sheetName val="Gerador de SKU"/>
      <sheetName val="Produtos"/>
      <sheetName val="Sheet2"/>
      <sheetName val="MPs"/>
      <sheetName val="Insumos"/>
      <sheetName val="Sheet1"/>
      <sheetName val="TAB_FORMAS"/>
      <sheetName val="TAB_CLIENTES"/>
    </sheetNames>
    <sheetDataSet>
      <sheetData sheetId="0"/>
      <sheetData sheetId="1">
        <row r="2">
          <cell r="B2" t="str">
            <v>SKU</v>
          </cell>
          <cell r="C2" t="str">
            <v>Descrição do Item</v>
          </cell>
          <cell r="G2" t="str">
            <v>Cliente</v>
          </cell>
          <cell r="M2" t="str">
            <v>Un. / Cx</v>
          </cell>
          <cell r="O2" t="str">
            <v>COD. CLIENTE</v>
          </cell>
        </row>
        <row r="3">
          <cell r="B3" t="str">
            <v>-</v>
          </cell>
          <cell r="C3" t="str">
            <v>DESODORANTE ROLLON ALGODÃO</v>
          </cell>
          <cell r="E3" t="str">
            <v>-</v>
          </cell>
          <cell r="G3" t="str">
            <v>-</v>
          </cell>
        </row>
        <row r="4">
          <cell r="B4" t="str">
            <v>-</v>
          </cell>
          <cell r="C4" t="str">
            <v>DESODORANTE ROLLON LAVANDA</v>
          </cell>
          <cell r="E4" t="str">
            <v>-</v>
          </cell>
          <cell r="G4" t="str">
            <v>-</v>
          </cell>
        </row>
        <row r="5">
          <cell r="B5" t="str">
            <v>-</v>
          </cell>
          <cell r="C5" t="str">
            <v>GEL BRILHO AMARELO</v>
          </cell>
          <cell r="E5">
            <v>30</v>
          </cell>
          <cell r="G5" t="str">
            <v>BE MAGIC</v>
          </cell>
        </row>
        <row r="6">
          <cell r="B6" t="str">
            <v>-</v>
          </cell>
          <cell r="C6" t="str">
            <v>GEL BRILHO ROSA</v>
          </cell>
          <cell r="E6">
            <v>30</v>
          </cell>
          <cell r="G6" t="str">
            <v>BE MAGIC</v>
          </cell>
        </row>
        <row r="7">
          <cell r="B7" t="str">
            <v>-</v>
          </cell>
          <cell r="C7" t="str">
            <v>GEL BRILHO ROXO</v>
          </cell>
          <cell r="E7">
            <v>30</v>
          </cell>
          <cell r="G7" t="str">
            <v>BE MAGIC</v>
          </cell>
        </row>
        <row r="8">
          <cell r="B8" t="str">
            <v>-</v>
          </cell>
          <cell r="C8" t="str">
            <v>GEL BRILHO VERMELHO</v>
          </cell>
          <cell r="E8">
            <v>30</v>
          </cell>
          <cell r="G8" t="str">
            <v>BE MAGIC</v>
          </cell>
        </row>
        <row r="9">
          <cell r="B9" t="str">
            <v>-</v>
          </cell>
          <cell r="C9" t="str">
            <v>IMEDIATT LISS PASSO 1</v>
          </cell>
          <cell r="E9">
            <v>1000</v>
          </cell>
          <cell r="G9" t="str">
            <v>PRO STYLE</v>
          </cell>
        </row>
        <row r="10">
          <cell r="B10" t="str">
            <v>-</v>
          </cell>
          <cell r="C10" t="str">
            <v>IMEDIATT LISS PASSO 2</v>
          </cell>
          <cell r="E10">
            <v>1000</v>
          </cell>
          <cell r="G10" t="str">
            <v>PRO STYLE</v>
          </cell>
          <cell r="M10">
            <v>8</v>
          </cell>
        </row>
        <row r="11">
          <cell r="B11" t="str">
            <v>AMABBS01</v>
          </cell>
          <cell r="C11" t="str">
            <v>BODY MIST TESOURO DO OASIS</v>
          </cell>
          <cell r="E11">
            <v>250</v>
          </cell>
          <cell r="G11" t="str">
            <v>AMEERATI</v>
          </cell>
          <cell r="M11">
            <v>24</v>
          </cell>
        </row>
        <row r="12">
          <cell r="B12" t="str">
            <v>AMABBS02</v>
          </cell>
          <cell r="C12" t="str">
            <v>BODY MIST JARDINS DO ORIENTE</v>
          </cell>
          <cell r="E12">
            <v>250</v>
          </cell>
          <cell r="G12" t="str">
            <v>AMEERATI</v>
          </cell>
          <cell r="M12">
            <v>24</v>
          </cell>
        </row>
        <row r="13">
          <cell r="B13" t="str">
            <v>AMABBS03</v>
          </cell>
          <cell r="C13" t="str">
            <v>BODY MIST FLOR DO DESERTO</v>
          </cell>
          <cell r="E13">
            <v>250</v>
          </cell>
          <cell r="G13" t="str">
            <v>AMEERATI</v>
          </cell>
          <cell r="M13">
            <v>24</v>
          </cell>
        </row>
        <row r="14">
          <cell r="B14" t="str">
            <v>AMABBS04</v>
          </cell>
          <cell r="C14" t="str">
            <v>BODY MIST PEROLA DO DESERTO</v>
          </cell>
          <cell r="E14">
            <v>250</v>
          </cell>
          <cell r="G14" t="str">
            <v>AMEERATI</v>
          </cell>
          <cell r="M14">
            <v>24</v>
          </cell>
        </row>
        <row r="15">
          <cell r="B15" t="str">
            <v>AMABBS05</v>
          </cell>
          <cell r="C15" t="str">
            <v>BODY MIST ROSA IMPERIAL</v>
          </cell>
          <cell r="E15">
            <v>250</v>
          </cell>
          <cell r="G15" t="str">
            <v>AMEERATI</v>
          </cell>
          <cell r="M15">
            <v>24</v>
          </cell>
        </row>
        <row r="16">
          <cell r="B16" t="str">
            <v>AMABBS06</v>
          </cell>
          <cell r="C16" t="str">
            <v>BODY MIST ENCANTO PERSA</v>
          </cell>
          <cell r="E16">
            <v>250</v>
          </cell>
          <cell r="G16" t="str">
            <v>AMEERATI</v>
          </cell>
          <cell r="M16">
            <v>24</v>
          </cell>
        </row>
        <row r="17">
          <cell r="B17" t="str">
            <v>AMABBS07</v>
          </cell>
          <cell r="C17" t="str">
            <v>BODY MIST MEL DE ESPECIARIAS</v>
          </cell>
          <cell r="E17">
            <v>250</v>
          </cell>
          <cell r="G17" t="str">
            <v>AMEERATI</v>
          </cell>
          <cell r="M17">
            <v>24</v>
          </cell>
        </row>
        <row r="18">
          <cell r="B18" t="str">
            <v>AMABBS08</v>
          </cell>
          <cell r="C18" t="str">
            <v>BODY MIST RARO ELIXIR</v>
          </cell>
          <cell r="E18">
            <v>250</v>
          </cell>
          <cell r="G18" t="str">
            <v>AMEERATI</v>
          </cell>
          <cell r="M18">
            <v>24</v>
          </cell>
        </row>
        <row r="19">
          <cell r="B19" t="str">
            <v>AMABHD01</v>
          </cell>
          <cell r="C19" t="str">
            <v>BODY CREAM TESOURO DO OASIS</v>
          </cell>
          <cell r="E19">
            <v>240</v>
          </cell>
          <cell r="G19" t="str">
            <v>AMEERATI</v>
          </cell>
          <cell r="M19">
            <v>24</v>
          </cell>
        </row>
        <row r="20">
          <cell r="B20" t="str">
            <v>AMABHD02</v>
          </cell>
          <cell r="C20" t="str">
            <v>BODY CREAM JARDINS DO ORIENTE</v>
          </cell>
          <cell r="E20">
            <v>240</v>
          </cell>
          <cell r="G20" t="str">
            <v>AMEERATI</v>
          </cell>
          <cell r="M20">
            <v>24</v>
          </cell>
        </row>
        <row r="21">
          <cell r="B21" t="str">
            <v>AMABHD03</v>
          </cell>
          <cell r="C21" t="str">
            <v>BODY CREAM FLOR DO DESERTO</v>
          </cell>
          <cell r="E21">
            <v>240</v>
          </cell>
          <cell r="G21" t="str">
            <v>AMEERATI</v>
          </cell>
          <cell r="M21">
            <v>24</v>
          </cell>
        </row>
        <row r="22">
          <cell r="B22" t="str">
            <v>AMABHD04</v>
          </cell>
          <cell r="C22" t="str">
            <v>BODY CREAM PEROLA DO DESERTO</v>
          </cell>
          <cell r="E22">
            <v>240</v>
          </cell>
          <cell r="G22" t="str">
            <v>AMEERATI</v>
          </cell>
          <cell r="M22">
            <v>24</v>
          </cell>
        </row>
        <row r="23">
          <cell r="B23" t="str">
            <v>AMABHD05</v>
          </cell>
          <cell r="C23" t="str">
            <v>BODY CREAM ROSA IMPERIAL</v>
          </cell>
          <cell r="E23">
            <v>240</v>
          </cell>
          <cell r="G23" t="str">
            <v>AMEERATI</v>
          </cell>
          <cell r="M23">
            <v>24</v>
          </cell>
        </row>
        <row r="24">
          <cell r="B24" t="str">
            <v>AMABHD06</v>
          </cell>
          <cell r="C24" t="str">
            <v>BODY CREAM ENCANTO PERSA</v>
          </cell>
          <cell r="E24">
            <v>240</v>
          </cell>
          <cell r="G24" t="str">
            <v>AMEERATI</v>
          </cell>
          <cell r="M24">
            <v>24</v>
          </cell>
        </row>
        <row r="25">
          <cell r="B25" t="str">
            <v>AMABHD07</v>
          </cell>
          <cell r="C25" t="str">
            <v>BODY CREAM MEL DE ESPECIARIAS</v>
          </cell>
          <cell r="E25">
            <v>240</v>
          </cell>
          <cell r="G25" t="str">
            <v>AMEERATI</v>
          </cell>
          <cell r="M25">
            <v>24</v>
          </cell>
        </row>
        <row r="26">
          <cell r="B26" t="str">
            <v>AMABHD08</v>
          </cell>
          <cell r="C26" t="str">
            <v>BODY CREAM RARO ELIXIR</v>
          </cell>
          <cell r="E26">
            <v>240</v>
          </cell>
          <cell r="G26" t="str">
            <v>AMEERATI</v>
          </cell>
          <cell r="M26">
            <v>24</v>
          </cell>
        </row>
        <row r="27">
          <cell r="B27" t="str">
            <v>AMCLBS01</v>
          </cell>
          <cell r="C27" t="str">
            <v>BODY MIST BELISSIMA ESSENZA</v>
          </cell>
          <cell r="E27">
            <v>250</v>
          </cell>
          <cell r="G27" t="str">
            <v>AMEERATI</v>
          </cell>
          <cell r="M27">
            <v>24</v>
          </cell>
        </row>
        <row r="28">
          <cell r="B28" t="str">
            <v>AMCLBS02</v>
          </cell>
          <cell r="C28" t="str">
            <v>BODY MIST CHARME FATAL</v>
          </cell>
          <cell r="E28">
            <v>250</v>
          </cell>
          <cell r="G28" t="str">
            <v>AMEERATI</v>
          </cell>
          <cell r="M28">
            <v>24</v>
          </cell>
        </row>
        <row r="29">
          <cell r="B29" t="str">
            <v>AMCLBS03</v>
          </cell>
          <cell r="C29" t="str">
            <v>BODY MIST DOCE BRISA</v>
          </cell>
          <cell r="E29">
            <v>250</v>
          </cell>
          <cell r="G29" t="str">
            <v>AMEERATI</v>
          </cell>
          <cell r="M29">
            <v>24</v>
          </cell>
        </row>
        <row r="30">
          <cell r="B30" t="str">
            <v>AMCLBS04</v>
          </cell>
          <cell r="C30" t="str">
            <v>BODY MIST MISTERIO INFINITO</v>
          </cell>
          <cell r="E30">
            <v>250</v>
          </cell>
          <cell r="G30" t="str">
            <v>AMEERATI</v>
          </cell>
          <cell r="M30">
            <v>24</v>
          </cell>
        </row>
        <row r="31">
          <cell r="B31" t="str">
            <v>AMCLBS05</v>
          </cell>
          <cell r="C31" t="str">
            <v>BODY MIST NEVOA ENCANTADA</v>
          </cell>
          <cell r="E31">
            <v>250</v>
          </cell>
          <cell r="G31" t="str">
            <v>AMEERATI</v>
          </cell>
          <cell r="M31">
            <v>24</v>
          </cell>
        </row>
        <row r="32">
          <cell r="B32" t="str">
            <v>AMCLBS06</v>
          </cell>
          <cell r="C32" t="str">
            <v>BODY MIST INTENSA PAIXAO</v>
          </cell>
          <cell r="E32">
            <v>250</v>
          </cell>
          <cell r="G32" t="str">
            <v>AMEERATI</v>
          </cell>
          <cell r="M32">
            <v>24</v>
          </cell>
        </row>
        <row r="33">
          <cell r="B33" t="str">
            <v>AMCLBS07</v>
          </cell>
          <cell r="C33" t="str">
            <v>BODY MIST FLOR DE CRISTAL</v>
          </cell>
          <cell r="E33">
            <v>250</v>
          </cell>
          <cell r="G33" t="str">
            <v>AMEERATI</v>
          </cell>
          <cell r="M33">
            <v>24</v>
          </cell>
        </row>
        <row r="34">
          <cell r="B34" t="str">
            <v>AMCLBS08</v>
          </cell>
          <cell r="C34" t="str">
            <v>BODY MIST ESTRELA RADIANTE</v>
          </cell>
          <cell r="E34">
            <v>250</v>
          </cell>
          <cell r="G34" t="str">
            <v>AMEERATI</v>
          </cell>
          <cell r="M34">
            <v>24</v>
          </cell>
        </row>
        <row r="35">
          <cell r="B35" t="str">
            <v>AMCLHD01</v>
          </cell>
          <cell r="C35" t="str">
            <v>BODY CREAM BELISSIMA ESSENZA</v>
          </cell>
          <cell r="E35">
            <v>240</v>
          </cell>
          <cell r="G35" t="str">
            <v>AMEERATI</v>
          </cell>
          <cell r="M35">
            <v>24</v>
          </cell>
        </row>
        <row r="36">
          <cell r="B36" t="str">
            <v>AMCLHD02</v>
          </cell>
          <cell r="C36" t="str">
            <v>BODY CREAM CHARME FATAL</v>
          </cell>
          <cell r="E36">
            <v>240</v>
          </cell>
          <cell r="G36" t="str">
            <v>AMEERATI</v>
          </cell>
          <cell r="M36">
            <v>24</v>
          </cell>
        </row>
        <row r="37">
          <cell r="B37" t="str">
            <v>AMCLHD03</v>
          </cell>
          <cell r="C37" t="str">
            <v>BODY CREAM DOCE BRISA</v>
          </cell>
          <cell r="E37">
            <v>240</v>
          </cell>
          <cell r="G37" t="str">
            <v>AMEERATI</v>
          </cell>
          <cell r="M37">
            <v>24</v>
          </cell>
        </row>
        <row r="38">
          <cell r="B38" t="str">
            <v>AMCLHD04</v>
          </cell>
          <cell r="C38" t="str">
            <v>BODY CREAM MISTERIO INFINITO</v>
          </cell>
          <cell r="E38">
            <v>240</v>
          </cell>
          <cell r="G38" t="str">
            <v>AMEERATI</v>
          </cell>
          <cell r="M38">
            <v>24</v>
          </cell>
        </row>
        <row r="39">
          <cell r="B39" t="str">
            <v>AMCLHD05</v>
          </cell>
          <cell r="C39" t="str">
            <v>BODY CREAM NEVOA ENCANTADA</v>
          </cell>
          <cell r="E39">
            <v>240</v>
          </cell>
          <cell r="G39" t="str">
            <v>AMEERATI</v>
          </cell>
          <cell r="M39">
            <v>24</v>
          </cell>
        </row>
        <row r="40">
          <cell r="B40" t="str">
            <v>AMCLHD06</v>
          </cell>
          <cell r="C40" t="str">
            <v>BODY CREAM  INTENSA PAIXAO</v>
          </cell>
          <cell r="E40">
            <v>240</v>
          </cell>
          <cell r="G40" t="str">
            <v>AMEERATI</v>
          </cell>
          <cell r="M40">
            <v>24</v>
          </cell>
        </row>
        <row r="41">
          <cell r="B41" t="str">
            <v>AMCLHD07</v>
          </cell>
          <cell r="C41" t="str">
            <v>BODY CREAM FLOR DE CRISTAL</v>
          </cell>
          <cell r="E41">
            <v>240</v>
          </cell>
          <cell r="G41" t="str">
            <v>AMEERATI</v>
          </cell>
          <cell r="M41">
            <v>24</v>
          </cell>
        </row>
        <row r="42">
          <cell r="B42" t="str">
            <v>AMCLHD08</v>
          </cell>
          <cell r="C42" t="str">
            <v>BODY CREAM ESTRELA RADIANTE</v>
          </cell>
          <cell r="E42">
            <v>240</v>
          </cell>
          <cell r="G42" t="str">
            <v>AMEERATI</v>
          </cell>
          <cell r="M42">
            <v>24</v>
          </cell>
        </row>
        <row r="43">
          <cell r="B43" t="str">
            <v>AMNCBS01</v>
          </cell>
          <cell r="C43" t="str">
            <v>BODY MIST BAUNILHA SELVAGEM</v>
          </cell>
          <cell r="E43">
            <v>250</v>
          </cell>
          <cell r="G43" t="str">
            <v>AMEERATI</v>
          </cell>
          <cell r="M43">
            <v>24</v>
          </cell>
        </row>
        <row r="44">
          <cell r="B44" t="str">
            <v>AMNCBS02</v>
          </cell>
          <cell r="C44" t="str">
            <v>BODY MIST VERDE SUPREMO</v>
          </cell>
          <cell r="E44">
            <v>250</v>
          </cell>
          <cell r="G44" t="str">
            <v>AMEERATI</v>
          </cell>
          <cell r="M44">
            <v>24</v>
          </cell>
        </row>
        <row r="45">
          <cell r="B45" t="str">
            <v>AMNCBS03</v>
          </cell>
          <cell r="C45" t="str">
            <v>BODY MIST SONHO DE PISTACHE</v>
          </cell>
          <cell r="E45">
            <v>250</v>
          </cell>
          <cell r="G45" t="str">
            <v>AMEERATI</v>
          </cell>
          <cell r="M45">
            <v>24</v>
          </cell>
        </row>
        <row r="46">
          <cell r="B46" t="str">
            <v>AMNCBS04</v>
          </cell>
          <cell r="C46" t="str">
            <v>BODY MIST DOCE ROSA</v>
          </cell>
          <cell r="E46">
            <v>250</v>
          </cell>
          <cell r="G46" t="str">
            <v>AMEERATI</v>
          </cell>
          <cell r="M46">
            <v>24</v>
          </cell>
        </row>
        <row r="47">
          <cell r="B47" t="str">
            <v>AMNCBS05</v>
          </cell>
          <cell r="C47" t="str">
            <v>BODY MIST FRESCOR LICHIA</v>
          </cell>
          <cell r="E47">
            <v>250</v>
          </cell>
          <cell r="G47" t="str">
            <v>AMEERATI</v>
          </cell>
          <cell r="M47">
            <v>24</v>
          </cell>
        </row>
        <row r="48">
          <cell r="B48" t="str">
            <v>AMNCBS06</v>
          </cell>
          <cell r="C48" t="str">
            <v>BODY MIST NECTAR DA PERA</v>
          </cell>
          <cell r="E48">
            <v>250</v>
          </cell>
          <cell r="G48" t="str">
            <v>AMEERATI</v>
          </cell>
          <cell r="M48">
            <v>24</v>
          </cell>
        </row>
        <row r="49">
          <cell r="B49" t="str">
            <v>AMNCBS07</v>
          </cell>
          <cell r="C49" t="str">
            <v>BODY MIST BOUQUET CARMIM</v>
          </cell>
          <cell r="E49">
            <v>250</v>
          </cell>
          <cell r="G49" t="str">
            <v>AMEERATI</v>
          </cell>
          <cell r="M49">
            <v>24</v>
          </cell>
        </row>
        <row r="50">
          <cell r="B50" t="str">
            <v>AMNCBS08</v>
          </cell>
          <cell r="C50" t="str">
            <v>BODY MIST SUBLIME CEREJA</v>
          </cell>
          <cell r="E50">
            <v>250</v>
          </cell>
          <cell r="G50" t="str">
            <v>AMEERATI</v>
          </cell>
          <cell r="M50">
            <v>24</v>
          </cell>
        </row>
        <row r="51">
          <cell r="B51" t="str">
            <v>AMNCHD01</v>
          </cell>
          <cell r="C51" t="str">
            <v>BODY CREAM BAUNILHA SELVAGEM</v>
          </cell>
          <cell r="E51">
            <v>240</v>
          </cell>
          <cell r="G51" t="str">
            <v>AMEERATI</v>
          </cell>
          <cell r="M51">
            <v>24</v>
          </cell>
        </row>
        <row r="52">
          <cell r="B52" t="str">
            <v>AMNCHD02</v>
          </cell>
          <cell r="C52" t="str">
            <v>BODY CREAM VERDE SUPREMO</v>
          </cell>
          <cell r="E52">
            <v>240</v>
          </cell>
          <cell r="G52" t="str">
            <v>AMEERATI</v>
          </cell>
          <cell r="M52">
            <v>24</v>
          </cell>
        </row>
        <row r="53">
          <cell r="B53" t="str">
            <v>AMNCHD03</v>
          </cell>
          <cell r="C53" t="str">
            <v>BODY CREAM SONHO DE PISTACHE</v>
          </cell>
          <cell r="E53">
            <v>240</v>
          </cell>
          <cell r="G53" t="str">
            <v>AMEERATI</v>
          </cell>
          <cell r="M53">
            <v>24</v>
          </cell>
        </row>
        <row r="54">
          <cell r="B54" t="str">
            <v>AMNCHD04</v>
          </cell>
          <cell r="C54" t="str">
            <v>BODY CREAM DOCE ROSA</v>
          </cell>
          <cell r="E54">
            <v>240</v>
          </cell>
          <cell r="G54" t="str">
            <v>AMEERATI</v>
          </cell>
          <cell r="M54">
            <v>24</v>
          </cell>
        </row>
        <row r="55">
          <cell r="B55" t="str">
            <v>AMNCHD05</v>
          </cell>
          <cell r="C55" t="str">
            <v>BODY CREAM FRESCOR LICHIA</v>
          </cell>
          <cell r="E55">
            <v>240</v>
          </cell>
          <cell r="G55" t="str">
            <v>AMEERATI</v>
          </cell>
          <cell r="M55">
            <v>24</v>
          </cell>
        </row>
        <row r="56">
          <cell r="B56" t="str">
            <v>AMNCHD06</v>
          </cell>
          <cell r="C56" t="str">
            <v>BODY CREAM NECTAR DA PERA</v>
          </cell>
          <cell r="E56">
            <v>240</v>
          </cell>
          <cell r="G56" t="str">
            <v>AMEERATI</v>
          </cell>
          <cell r="M56">
            <v>24</v>
          </cell>
        </row>
        <row r="57">
          <cell r="B57" t="str">
            <v>AMNCHD07</v>
          </cell>
          <cell r="C57" t="str">
            <v>BODY CREAM BOUQUET CARMIM</v>
          </cell>
          <cell r="E57">
            <v>240</v>
          </cell>
          <cell r="G57" t="str">
            <v>AMEERATI</v>
          </cell>
          <cell r="M57">
            <v>24</v>
          </cell>
        </row>
        <row r="58">
          <cell r="B58" t="str">
            <v>AMNCHD08</v>
          </cell>
          <cell r="C58" t="str">
            <v>BODY CREAM SUBLIME CEREJA</v>
          </cell>
          <cell r="E58">
            <v>240</v>
          </cell>
          <cell r="G58" t="str">
            <v>AMEERATI</v>
          </cell>
          <cell r="M58">
            <v>24</v>
          </cell>
        </row>
        <row r="59">
          <cell r="B59" t="str">
            <v>BBPF0004</v>
          </cell>
          <cell r="C59" t="str">
            <v>PERFUME CAPILAR ZAHRA</v>
          </cell>
          <cell r="E59">
            <v>60</v>
          </cell>
          <cell r="G59" t="str">
            <v>BRIA BEAUTY</v>
          </cell>
          <cell r="M59">
            <v>120</v>
          </cell>
          <cell r="O59" t="str">
            <v>BB0130</v>
          </cell>
        </row>
        <row r="60">
          <cell r="B60" t="str">
            <v>BBSJBS01</v>
          </cell>
          <cell r="C60" t="str">
            <v>BODY SPLASH SOL TROPICAL 61 200ml</v>
          </cell>
          <cell r="E60">
            <v>200</v>
          </cell>
          <cell r="G60" t="str">
            <v>BRIA BEAUTY</v>
          </cell>
          <cell r="M60">
            <v>48</v>
          </cell>
          <cell r="O60" t="str">
            <v>BB0088</v>
          </cell>
        </row>
        <row r="61">
          <cell r="B61" t="str">
            <v>BBSJBS01-2</v>
          </cell>
          <cell r="C61" t="str">
            <v>BODY SPLASH SOL TROPICAL 61 120ml</v>
          </cell>
          <cell r="E61">
            <v>120</v>
          </cell>
          <cell r="G61" t="str">
            <v>BRIA BEAUTY</v>
          </cell>
          <cell r="M61">
            <v>80</v>
          </cell>
          <cell r="O61" t="str">
            <v>BB0084</v>
          </cell>
        </row>
        <row r="62">
          <cell r="B62" t="str">
            <v>BBSJBS02</v>
          </cell>
          <cell r="C62" t="str">
            <v>BODY SPLASH SOL TROPICAL 86 200ml</v>
          </cell>
          <cell r="E62">
            <v>200</v>
          </cell>
          <cell r="G62" t="str">
            <v>BRIA BEAUTY</v>
          </cell>
          <cell r="M62">
            <v>48</v>
          </cell>
          <cell r="O62" t="str">
            <v>BB0089</v>
          </cell>
        </row>
        <row r="63">
          <cell r="B63" t="str">
            <v>BBSJBS02-2</v>
          </cell>
          <cell r="C63" t="str">
            <v>BODY SPLASH SOL TROPICAL 86 120ml</v>
          </cell>
          <cell r="E63">
            <v>120</v>
          </cell>
          <cell r="G63" t="str">
            <v>BRIA BEAUTY</v>
          </cell>
          <cell r="M63">
            <v>80</v>
          </cell>
          <cell r="O63" t="str">
            <v>BB0085</v>
          </cell>
        </row>
        <row r="64">
          <cell r="B64" t="str">
            <v>BBSJBS03</v>
          </cell>
          <cell r="C64" t="str">
            <v>BODY SPLASH LUNAR 200ml</v>
          </cell>
          <cell r="E64">
            <v>200</v>
          </cell>
          <cell r="G64" t="str">
            <v>BRIA BEAUTY</v>
          </cell>
          <cell r="M64">
            <v>48</v>
          </cell>
          <cell r="O64" t="str">
            <v>BB0090</v>
          </cell>
        </row>
        <row r="65">
          <cell r="B65" t="str">
            <v>BBSJBS03-2</v>
          </cell>
          <cell r="C65" t="str">
            <v>BODY SPLASH LUNAR 120ml</v>
          </cell>
          <cell r="E65">
            <v>120</v>
          </cell>
          <cell r="G65" t="str">
            <v>BRIA BEAUTY</v>
          </cell>
          <cell r="M65">
            <v>80</v>
          </cell>
          <cell r="O65" t="str">
            <v>BB0086</v>
          </cell>
        </row>
        <row r="66">
          <cell r="B66" t="str">
            <v>BBSJBS04-2</v>
          </cell>
          <cell r="C66" t="str">
            <v>BODY SPLASH SOL TROPICAL 58 120ml</v>
          </cell>
          <cell r="E66">
            <v>120</v>
          </cell>
          <cell r="G66" t="str">
            <v>BRIA BEAUTY</v>
          </cell>
          <cell r="M66">
            <v>80</v>
          </cell>
          <cell r="O66" t="str">
            <v>BB0083</v>
          </cell>
        </row>
        <row r="67">
          <cell r="B67" t="str">
            <v>BBSJBS05-2</v>
          </cell>
          <cell r="C67" t="str">
            <v>BODY SPLASH ZAHRA 120ml</v>
          </cell>
          <cell r="E67">
            <v>120</v>
          </cell>
          <cell r="G67" t="str">
            <v>BRIA BEAUTY</v>
          </cell>
          <cell r="M67">
            <v>80</v>
          </cell>
          <cell r="O67" t="str">
            <v>BB0087</v>
          </cell>
        </row>
        <row r="68">
          <cell r="B68" t="str">
            <v>BBSJPF01</v>
          </cell>
          <cell r="C68" t="str">
            <v>PERFUME CAPILAR SOL TROPICAL 61</v>
          </cell>
          <cell r="E68">
            <v>60</v>
          </cell>
          <cell r="G68" t="str">
            <v>BRIA BEAUTY</v>
          </cell>
          <cell r="M68">
            <v>120</v>
          </cell>
          <cell r="O68" t="str">
            <v>BB0080</v>
          </cell>
        </row>
        <row r="69">
          <cell r="B69" t="str">
            <v>BBSJPF02</v>
          </cell>
          <cell r="C69" t="str">
            <v>PERFUME CAPILAR SOL TROPICAL 86</v>
          </cell>
          <cell r="E69">
            <v>60</v>
          </cell>
          <cell r="G69" t="str">
            <v>BRIA BEAUTY</v>
          </cell>
          <cell r="M69">
            <v>120</v>
          </cell>
          <cell r="O69" t="str">
            <v>BB0081</v>
          </cell>
        </row>
        <row r="70">
          <cell r="B70" t="str">
            <v>BBSJPF03</v>
          </cell>
          <cell r="C70" t="str">
            <v>PERFUME CAPILAR LUNAR</v>
          </cell>
          <cell r="E70">
            <v>60</v>
          </cell>
          <cell r="G70" t="str">
            <v>BRIA BEAUTY</v>
          </cell>
          <cell r="M70">
            <v>120</v>
          </cell>
          <cell r="O70" t="str">
            <v>BB0082</v>
          </cell>
        </row>
        <row r="71">
          <cell r="B71" t="str">
            <v>BFBBBS01</v>
          </cell>
          <cell r="C71" t="str">
            <v>BODY SPLASH BIO BALM EUPHORIA PINK</v>
          </cell>
          <cell r="E71">
            <v>200</v>
          </cell>
          <cell r="G71" t="str">
            <v>BIOFLORA</v>
          </cell>
          <cell r="M71">
            <v>12</v>
          </cell>
        </row>
        <row r="72">
          <cell r="B72" t="str">
            <v>BFBBBS02</v>
          </cell>
          <cell r="C72" t="str">
            <v>BODY SPLASH BIO BALM INFINITY ROUGE</v>
          </cell>
          <cell r="E72">
            <v>200</v>
          </cell>
          <cell r="G72" t="str">
            <v>BIOFLORA</v>
          </cell>
          <cell r="M72">
            <v>12</v>
          </cell>
        </row>
        <row r="73">
          <cell r="B73" t="str">
            <v>BFBBBS03</v>
          </cell>
          <cell r="C73" t="str">
            <v>BODY SPLASH BIO BALM ROSÉ ABSOLUT</v>
          </cell>
          <cell r="E73">
            <v>200</v>
          </cell>
          <cell r="G73" t="str">
            <v>BIOFLORA</v>
          </cell>
          <cell r="M73">
            <v>12</v>
          </cell>
        </row>
        <row r="74">
          <cell r="B74" t="str">
            <v>BFBBBS04</v>
          </cell>
          <cell r="C74" t="str">
            <v>BODY SPLASH BIO BALM SKINLIGHT</v>
          </cell>
          <cell r="E74">
            <v>200</v>
          </cell>
          <cell r="G74" t="str">
            <v>BIOFLORA</v>
          </cell>
          <cell r="M74">
            <v>12</v>
          </cell>
        </row>
        <row r="75">
          <cell r="B75" t="str">
            <v>BFBBBS05</v>
          </cell>
          <cell r="C75" t="str">
            <v>BODY SPLASH BIO BALM SUNRISE MUSE</v>
          </cell>
          <cell r="E75">
            <v>200</v>
          </cell>
          <cell r="G75" t="str">
            <v>BIOFLORA</v>
          </cell>
          <cell r="M75">
            <v>12</v>
          </cell>
        </row>
        <row r="76">
          <cell r="B76" t="str">
            <v>BFBBBS06</v>
          </cell>
          <cell r="C76" t="str">
            <v>BODY SPLASH BIO BALM V DREAM</v>
          </cell>
          <cell r="E76">
            <v>200</v>
          </cell>
          <cell r="G76" t="str">
            <v>BIOFLORA</v>
          </cell>
          <cell r="M76">
            <v>12</v>
          </cell>
        </row>
        <row r="77">
          <cell r="B77" t="str">
            <v>BMKDBR01</v>
          </cell>
          <cell r="C77" t="str">
            <v>BRUMA KIDS AMARELA</v>
          </cell>
          <cell r="E77">
            <v>30</v>
          </cell>
          <cell r="G77" t="str">
            <v>BE MAGIC</v>
          </cell>
        </row>
        <row r="78">
          <cell r="B78" t="str">
            <v>BMKDBR02</v>
          </cell>
          <cell r="C78" t="str">
            <v>BRUMA KIDS ROSA</v>
          </cell>
          <cell r="E78">
            <v>30</v>
          </cell>
          <cell r="G78" t="str">
            <v>BE MAGIC</v>
          </cell>
        </row>
        <row r="79">
          <cell r="B79" t="str">
            <v>BMKDBR03</v>
          </cell>
          <cell r="C79" t="str">
            <v>BRUMA KIDS ROXA</v>
          </cell>
          <cell r="E79">
            <v>30</v>
          </cell>
          <cell r="G79" t="str">
            <v>BE MAGIC</v>
          </cell>
        </row>
        <row r="80">
          <cell r="B80" t="str">
            <v>BMKDBR04</v>
          </cell>
          <cell r="C80" t="str">
            <v>BRUMA KIDS VERMELHA</v>
          </cell>
          <cell r="E80">
            <v>30</v>
          </cell>
          <cell r="G80" t="str">
            <v>BE MAGIC</v>
          </cell>
        </row>
        <row r="81">
          <cell r="B81" t="str">
            <v>BMKDHD01</v>
          </cell>
          <cell r="C81" t="str">
            <v>CREME HIDRATANTE AMARELO</v>
          </cell>
          <cell r="E81">
            <v>30</v>
          </cell>
          <cell r="G81" t="str">
            <v>BE MAGIC</v>
          </cell>
        </row>
        <row r="82">
          <cell r="B82" t="str">
            <v>BMKDHD02</v>
          </cell>
          <cell r="C82" t="str">
            <v>CREME HIDRATANTE ROSA</v>
          </cell>
          <cell r="E82">
            <v>30</v>
          </cell>
          <cell r="G82" t="str">
            <v>BE MAGIC</v>
          </cell>
        </row>
        <row r="83">
          <cell r="B83" t="str">
            <v>BMKDHD03</v>
          </cell>
          <cell r="C83" t="str">
            <v>CREME HIDRATANTE ROXO</v>
          </cell>
          <cell r="E83">
            <v>30</v>
          </cell>
          <cell r="G83" t="str">
            <v>BE MAGIC</v>
          </cell>
        </row>
        <row r="84">
          <cell r="B84" t="str">
            <v>BMKDHD04</v>
          </cell>
          <cell r="C84" t="str">
            <v>CREME HIDRATANTE VERMELHO</v>
          </cell>
          <cell r="E84">
            <v>30</v>
          </cell>
          <cell r="G84" t="str">
            <v>BE MAGIC</v>
          </cell>
        </row>
        <row r="85">
          <cell r="B85" t="str">
            <v>BMKDPF01</v>
          </cell>
          <cell r="C85" t="str">
            <v>COLÔNIA KIDS AMARELO</v>
          </cell>
          <cell r="E85">
            <v>40</v>
          </cell>
          <cell r="G85" t="str">
            <v>BE MAGIC</v>
          </cell>
        </row>
        <row r="86">
          <cell r="B86" t="str">
            <v>BMKDPF02</v>
          </cell>
          <cell r="C86" t="str">
            <v>COLÔNIA KIDS ROSA</v>
          </cell>
          <cell r="E86">
            <v>40</v>
          </cell>
          <cell r="G86" t="str">
            <v>BE MAGIC</v>
          </cell>
        </row>
        <row r="87">
          <cell r="B87" t="str">
            <v>BMKDPF03</v>
          </cell>
          <cell r="C87" t="str">
            <v>COLÔNIA KIDS ROXO</v>
          </cell>
          <cell r="E87">
            <v>40</v>
          </cell>
          <cell r="G87" t="str">
            <v>BE MAGIC</v>
          </cell>
        </row>
        <row r="88">
          <cell r="B88" t="str">
            <v>BMKDPF04</v>
          </cell>
          <cell r="C88" t="str">
            <v>COLÔNIA KIDS VERMELHO</v>
          </cell>
          <cell r="E88">
            <v>40</v>
          </cell>
          <cell r="G88" t="str">
            <v>BE MAGIC</v>
          </cell>
        </row>
        <row r="89">
          <cell r="B89" t="str">
            <v>CMBS0001</v>
          </cell>
          <cell r="C89" t="str">
            <v>BODY SPLASH CAMIE BEAUTY 120mL</v>
          </cell>
          <cell r="E89">
            <v>120</v>
          </cell>
          <cell r="G89" t="str">
            <v>CAMIE BEAUTY</v>
          </cell>
          <cell r="M89">
            <v>60</v>
          </cell>
        </row>
        <row r="90">
          <cell r="B90" t="str">
            <v>CMGL0001</v>
          </cell>
          <cell r="C90" t="str">
            <v>GLOSS LABIAL CAMIE BEAUTY 4mL</v>
          </cell>
          <cell r="E90">
            <v>4</v>
          </cell>
          <cell r="G90" t="str">
            <v>CAMIE BEAUTY</v>
          </cell>
          <cell r="M90">
            <v>200</v>
          </cell>
        </row>
        <row r="91">
          <cell r="B91" t="str">
            <v>CMOC0001</v>
          </cell>
          <cell r="C91" t="str">
            <v>OLEO CAPILAR CAMIE BEAUTY 60mL</v>
          </cell>
          <cell r="E91">
            <v>60</v>
          </cell>
          <cell r="G91" t="str">
            <v>CAMIE BEAUTY</v>
          </cell>
          <cell r="M91">
            <v>120</v>
          </cell>
        </row>
        <row r="92">
          <cell r="B92" t="str">
            <v>CRPMCR01</v>
          </cell>
          <cell r="C92" t="str">
            <v>POMADA CURADERM</v>
          </cell>
          <cell r="E92">
            <v>30</v>
          </cell>
          <cell r="G92" t="str">
            <v>CURADERM</v>
          </cell>
        </row>
        <row r="93">
          <cell r="B93" t="str">
            <v>DPGLBS01</v>
          </cell>
          <cell r="C93" t="str">
            <v>BODY SPLASH GLOW PAIXÃO IRRESISTÍVEL</v>
          </cell>
          <cell r="E93">
            <v>120</v>
          </cell>
          <cell r="G93" t="str">
            <v>DAPOP</v>
          </cell>
          <cell r="M93">
            <v>60</v>
          </cell>
          <cell r="O93" t="str">
            <v>DP2363</v>
          </cell>
        </row>
        <row r="94">
          <cell r="B94" t="str">
            <v>DPGLBS02</v>
          </cell>
          <cell r="C94" t="str">
            <v>BODY SPLASH GLOW TAÇA DE CHAMPAGNE</v>
          </cell>
          <cell r="E94">
            <v>120</v>
          </cell>
          <cell r="G94" t="str">
            <v>DAPOP</v>
          </cell>
          <cell r="M94">
            <v>60</v>
          </cell>
          <cell r="O94" t="str">
            <v>DP2367</v>
          </cell>
        </row>
        <row r="95">
          <cell r="B95" t="str">
            <v>DPGLBS03</v>
          </cell>
          <cell r="C95" t="str">
            <v>BODY SPLASH GLOW NOITE DE GLAMOUR</v>
          </cell>
          <cell r="E95">
            <v>120</v>
          </cell>
          <cell r="G95" t="str">
            <v>DAPOP</v>
          </cell>
          <cell r="M95">
            <v>60</v>
          </cell>
          <cell r="O95" t="str">
            <v>DP2365</v>
          </cell>
        </row>
        <row r="96">
          <cell r="B96" t="str">
            <v>DPGLES01</v>
          </cell>
          <cell r="C96" t="str">
            <v>ESFOLIANTE GLOW PAIXÃO IRRESISTIVEL</v>
          </cell>
          <cell r="E96">
            <v>150</v>
          </cell>
          <cell r="G96" t="str">
            <v>DAPOP</v>
          </cell>
          <cell r="M96">
            <v>60</v>
          </cell>
          <cell r="O96" t="str">
            <v>DP2369</v>
          </cell>
        </row>
        <row r="97">
          <cell r="B97" t="str">
            <v>DPGLES02</v>
          </cell>
          <cell r="C97" t="str">
            <v>ESFOLIANTE GLOW TAÇA DE CHAMPAGNE</v>
          </cell>
          <cell r="E97">
            <v>150</v>
          </cell>
          <cell r="G97" t="str">
            <v>DAPOP</v>
          </cell>
          <cell r="M97">
            <v>60</v>
          </cell>
          <cell r="O97" t="str">
            <v>DP2373</v>
          </cell>
        </row>
        <row r="98">
          <cell r="B98" t="str">
            <v>DPGLES03</v>
          </cell>
          <cell r="C98" t="str">
            <v>ESFOLIANTE GLOW NOITE DE GLAMOUR</v>
          </cell>
          <cell r="E98">
            <v>150</v>
          </cell>
          <cell r="G98" t="str">
            <v>DAPOP</v>
          </cell>
          <cell r="M98">
            <v>60</v>
          </cell>
          <cell r="O98" t="str">
            <v>DP2371</v>
          </cell>
        </row>
        <row r="99">
          <cell r="B99" t="str">
            <v>DPGLHD01</v>
          </cell>
          <cell r="C99" t="str">
            <v>HIDRATANTE GLOW PAIXÃO IRRESISTÍVEL</v>
          </cell>
          <cell r="E99">
            <v>120</v>
          </cell>
          <cell r="G99" t="str">
            <v>DAPOP</v>
          </cell>
          <cell r="M99">
            <v>60</v>
          </cell>
          <cell r="O99" t="str">
            <v>DP2375</v>
          </cell>
        </row>
        <row r="100">
          <cell r="B100" t="str">
            <v>DPGLHD02</v>
          </cell>
          <cell r="C100" t="str">
            <v>HIDRATANTE GLOW TAÇA DE CHAMPAGNE</v>
          </cell>
          <cell r="E100">
            <v>120</v>
          </cell>
          <cell r="G100" t="str">
            <v>DAPOP</v>
          </cell>
          <cell r="M100">
            <v>60</v>
          </cell>
          <cell r="O100" t="str">
            <v>DP2379</v>
          </cell>
        </row>
        <row r="101">
          <cell r="B101" t="str">
            <v>DPGLHD03</v>
          </cell>
          <cell r="C101" t="str">
            <v>HIDRATANTE GLOW NOITE DE GLAMOUR</v>
          </cell>
          <cell r="E101">
            <v>120</v>
          </cell>
          <cell r="G101" t="str">
            <v>DAPOP</v>
          </cell>
          <cell r="M101">
            <v>60</v>
          </cell>
          <cell r="O101" t="str">
            <v>DP2377</v>
          </cell>
        </row>
        <row r="102">
          <cell r="B102" t="str">
            <v>DPHNBS01</v>
          </cell>
          <cell r="C102" t="str">
            <v>BODY SPLASH DAPOP HONEY BLOOM</v>
          </cell>
          <cell r="E102">
            <v>120</v>
          </cell>
          <cell r="G102" t="str">
            <v>DAPOP</v>
          </cell>
          <cell r="M102">
            <v>60</v>
          </cell>
        </row>
        <row r="103">
          <cell r="B103" t="str">
            <v>DPHNBS02</v>
          </cell>
          <cell r="C103" t="str">
            <v>BODY SPLASH DAPOP HONEY GLOW</v>
          </cell>
          <cell r="E103">
            <v>120</v>
          </cell>
          <cell r="G103" t="str">
            <v>DAPOP</v>
          </cell>
          <cell r="M103">
            <v>60</v>
          </cell>
        </row>
        <row r="104">
          <cell r="B104" t="str">
            <v>DPHNPC01</v>
          </cell>
          <cell r="C104" t="str">
            <v>PERFUME CAPILAR HONEY</v>
          </cell>
          <cell r="E104">
            <v>60</v>
          </cell>
          <cell r="G104" t="str">
            <v>DAPOP</v>
          </cell>
          <cell r="M104">
            <v>192</v>
          </cell>
          <cell r="O104" t="str">
            <v>DP2408</v>
          </cell>
        </row>
        <row r="105">
          <cell r="B105" t="str">
            <v>DPHNSR01</v>
          </cell>
          <cell r="C105" t="str">
            <v>SÉRUM FACIAL HONEY</v>
          </cell>
          <cell r="E105">
            <v>60</v>
          </cell>
          <cell r="G105" t="str">
            <v>DAPOP</v>
          </cell>
        </row>
        <row r="106">
          <cell r="B106" t="str">
            <v>DPMTBS01</v>
          </cell>
          <cell r="C106" t="str">
            <v>BODY SPLASH MATTE DOCE SEDUÇÃO</v>
          </cell>
          <cell r="E106">
            <v>120</v>
          </cell>
          <cell r="G106" t="str">
            <v>DAPOP</v>
          </cell>
          <cell r="M106">
            <v>60</v>
          </cell>
          <cell r="O106" t="str">
            <v>DP2364</v>
          </cell>
        </row>
        <row r="107">
          <cell r="B107" t="str">
            <v>DPMTBS02</v>
          </cell>
          <cell r="C107" t="str">
            <v>BODY SPLASH MATTE SORVETE DE BAUNILHA</v>
          </cell>
          <cell r="E107">
            <v>120</v>
          </cell>
          <cell r="G107" t="str">
            <v>DAPOP</v>
          </cell>
          <cell r="M107">
            <v>60</v>
          </cell>
          <cell r="O107" t="str">
            <v>DP2366</v>
          </cell>
        </row>
        <row r="108">
          <cell r="B108" t="str">
            <v>DPMTBS03</v>
          </cell>
          <cell r="C108" t="str">
            <v>BODY SPLASH MATTE OITAVA MARAVILHA</v>
          </cell>
          <cell r="E108">
            <v>120</v>
          </cell>
          <cell r="G108" t="str">
            <v>DAPOP</v>
          </cell>
          <cell r="M108">
            <v>60</v>
          </cell>
          <cell r="O108" t="str">
            <v>DP2368</v>
          </cell>
        </row>
        <row r="109">
          <cell r="B109" t="str">
            <v>DPMTES01</v>
          </cell>
          <cell r="C109" t="str">
            <v>ESFOLIANTE MATTE DOCE SEDUÇÃO</v>
          </cell>
          <cell r="E109">
            <v>150</v>
          </cell>
          <cell r="G109" t="str">
            <v>DAPOP</v>
          </cell>
          <cell r="M109">
            <v>60</v>
          </cell>
          <cell r="O109" t="str">
            <v>DP2370</v>
          </cell>
        </row>
        <row r="110">
          <cell r="B110" t="str">
            <v>DPMTES02</v>
          </cell>
          <cell r="C110" t="str">
            <v>ESFOLIANTE MATTE SORVETE DE  BAUNILHA</v>
          </cell>
          <cell r="E110">
            <v>150</v>
          </cell>
          <cell r="G110" t="str">
            <v>DAPOP</v>
          </cell>
          <cell r="M110">
            <v>60</v>
          </cell>
          <cell r="O110" t="str">
            <v>DP2372</v>
          </cell>
        </row>
        <row r="111">
          <cell r="B111" t="str">
            <v>DPMTES03</v>
          </cell>
          <cell r="C111" t="str">
            <v>ESFOLIANTE MATTE OITAVA MARAVILHA</v>
          </cell>
          <cell r="E111">
            <v>150</v>
          </cell>
          <cell r="G111" t="str">
            <v>DAPOP</v>
          </cell>
          <cell r="M111">
            <v>60</v>
          </cell>
          <cell r="O111" t="str">
            <v>DP2374</v>
          </cell>
        </row>
        <row r="112">
          <cell r="B112" t="str">
            <v>DPMTHD01</v>
          </cell>
          <cell r="C112" t="str">
            <v>HIDRATANTE MATTE DOCE SEDUÇÃO</v>
          </cell>
          <cell r="E112">
            <v>120</v>
          </cell>
          <cell r="G112" t="str">
            <v>DAPOP</v>
          </cell>
          <cell r="M112">
            <v>60</v>
          </cell>
          <cell r="O112" t="str">
            <v>DP2376</v>
          </cell>
        </row>
        <row r="113">
          <cell r="B113" t="str">
            <v>DPMTHD02</v>
          </cell>
          <cell r="C113" t="str">
            <v>HIDRATANTE MATTE SORVETE DE BAUNILHA</v>
          </cell>
          <cell r="E113">
            <v>120</v>
          </cell>
          <cell r="G113" t="str">
            <v>DAPOP</v>
          </cell>
          <cell r="M113">
            <v>60</v>
          </cell>
          <cell r="O113" t="str">
            <v>DP2378</v>
          </cell>
        </row>
        <row r="114">
          <cell r="B114" t="str">
            <v>DPMTHD03</v>
          </cell>
          <cell r="C114" t="str">
            <v>HIDRATANTE MATTE OITAVA MARAVILHA</v>
          </cell>
          <cell r="E114">
            <v>120</v>
          </cell>
          <cell r="G114" t="str">
            <v>DAPOP</v>
          </cell>
          <cell r="M114">
            <v>60</v>
          </cell>
          <cell r="O114" t="str">
            <v>DP2380</v>
          </cell>
        </row>
        <row r="115">
          <cell r="B115" t="str">
            <v>DPSWHD01</v>
          </cell>
          <cell r="C115" t="str">
            <v>GEL CREME BEIJAVEL HIDRATANTE 2X1</v>
          </cell>
          <cell r="E115">
            <v>120</v>
          </cell>
          <cell r="G115" t="str">
            <v>DAPOP</v>
          </cell>
          <cell r="M115">
            <v>60</v>
          </cell>
        </row>
        <row r="116">
          <cell r="B116" t="str">
            <v>DPSWHD02</v>
          </cell>
          <cell r="C116" t="str">
            <v>GELÉIA CORPORAL GEL / CREME</v>
          </cell>
          <cell r="E116">
            <v>150</v>
          </cell>
          <cell r="G116" t="str">
            <v>DAPOP</v>
          </cell>
        </row>
        <row r="117">
          <cell r="B117" t="str">
            <v>DYPFPF01</v>
          </cell>
          <cell r="C117" t="str">
            <v>PERFUME DALINA</v>
          </cell>
          <cell r="E117">
            <v>57</v>
          </cell>
          <cell r="G117" t="str">
            <v>DYNASTY</v>
          </cell>
          <cell r="M117">
            <v>50</v>
          </cell>
        </row>
        <row r="118">
          <cell r="B118" t="str">
            <v>DYPFPF02</v>
          </cell>
          <cell r="C118" t="str">
            <v>PERFUME SELVER INTENSE</v>
          </cell>
          <cell r="E118">
            <v>57</v>
          </cell>
          <cell r="G118" t="str">
            <v>DYNASTY</v>
          </cell>
          <cell r="M118">
            <v>50</v>
          </cell>
        </row>
        <row r="119">
          <cell r="B119" t="str">
            <v>DYPFPF03</v>
          </cell>
          <cell r="C119" t="str">
            <v>PERFUME IRON</v>
          </cell>
          <cell r="E119">
            <v>50</v>
          </cell>
          <cell r="G119" t="str">
            <v>DYNASTY</v>
          </cell>
          <cell r="M119">
            <v>50</v>
          </cell>
        </row>
        <row r="120">
          <cell r="B120" t="str">
            <v>DYPFPF04</v>
          </cell>
          <cell r="C120" t="str">
            <v>PERFUME VALENTE</v>
          </cell>
          <cell r="E120">
            <v>57</v>
          </cell>
          <cell r="G120" t="str">
            <v>DYNASTY</v>
          </cell>
          <cell r="M120">
            <v>50</v>
          </cell>
        </row>
        <row r="121">
          <cell r="B121" t="str">
            <v>FBBS0001</v>
          </cell>
          <cell r="C121" t="str">
            <v>BODY SPLASH DOCE DE LEITE 120ML</v>
          </cell>
          <cell r="E121">
            <v>120</v>
          </cell>
          <cell r="G121" t="str">
            <v>FEBELLA BEAUTY</v>
          </cell>
        </row>
        <row r="122">
          <cell r="B122" t="str">
            <v>FBBS0002</v>
          </cell>
          <cell r="C122" t="str">
            <v>BODY SPLASH SORVETE DE MORANGO 120ML</v>
          </cell>
          <cell r="E122">
            <v>120</v>
          </cell>
          <cell r="G122" t="str">
            <v>FEBELLA BEAUTY</v>
          </cell>
          <cell r="M122">
            <v>60</v>
          </cell>
        </row>
        <row r="123">
          <cell r="B123" t="str">
            <v>FBBS0003</v>
          </cell>
          <cell r="C123" t="str">
            <v>BODY SPLASH AMBER BLOOM 200ML</v>
          </cell>
          <cell r="E123">
            <v>200</v>
          </cell>
          <cell r="G123" t="str">
            <v>FEBELLA BEAUTY</v>
          </cell>
          <cell r="M123">
            <v>48</v>
          </cell>
        </row>
        <row r="124">
          <cell r="B124" t="str">
            <v>FBBS0004</v>
          </cell>
          <cell r="C124" t="str">
            <v>BODY SPLASH OUD NIGHT 200ML</v>
          </cell>
          <cell r="E124">
            <v>200</v>
          </cell>
          <cell r="G124" t="str">
            <v>FEBELLA BEAUTY</v>
          </cell>
          <cell r="M124">
            <v>48</v>
          </cell>
        </row>
        <row r="125">
          <cell r="B125" t="str">
            <v>FBBS0005</v>
          </cell>
          <cell r="C125" t="str">
            <v>BODY SPLASH ROSE MIRAGE 200ML</v>
          </cell>
          <cell r="E125">
            <v>200</v>
          </cell>
          <cell r="G125" t="str">
            <v>FEBELLA BEAUTY</v>
          </cell>
          <cell r="M125">
            <v>48</v>
          </cell>
        </row>
        <row r="126">
          <cell r="B126" t="str">
            <v>FBBS0006</v>
          </cell>
          <cell r="C126" t="str">
            <v>BODY SPLASH ROUGE OUT 200ML</v>
          </cell>
          <cell r="E126">
            <v>200</v>
          </cell>
          <cell r="G126" t="str">
            <v>FEBELLA BEAUTY</v>
          </cell>
          <cell r="M126">
            <v>48</v>
          </cell>
        </row>
        <row r="127">
          <cell r="B127" t="str">
            <v>FBHD0001</v>
          </cell>
          <cell r="C127" t="str">
            <v>HIDRATANTE DOCE DE LEITE 120ML</v>
          </cell>
          <cell r="E127">
            <v>120</v>
          </cell>
          <cell r="G127" t="str">
            <v>FEBELLA BEAUTY</v>
          </cell>
        </row>
        <row r="128">
          <cell r="B128" t="str">
            <v>FBHD0002</v>
          </cell>
          <cell r="C128" t="str">
            <v>HIDRATANTE SORVETE DE MORANGO 120ML</v>
          </cell>
          <cell r="E128">
            <v>120</v>
          </cell>
          <cell r="G128" t="str">
            <v>FEBELLA BEAUTY</v>
          </cell>
          <cell r="M128">
            <v>60</v>
          </cell>
        </row>
        <row r="129">
          <cell r="B129" t="str">
            <v>FBMF0001</v>
          </cell>
          <cell r="C129" t="str">
            <v>MOUSSE FACIAL DOCE DE LEITE 150ML</v>
          </cell>
          <cell r="E129">
            <v>150</v>
          </cell>
          <cell r="G129" t="str">
            <v>FEBELLA BEAUTY</v>
          </cell>
        </row>
        <row r="130">
          <cell r="B130" t="str">
            <v>FBMF0002</v>
          </cell>
          <cell r="C130" t="str">
            <v>MOUSSE FACIAL SORVETE DE MORANGO 150ML</v>
          </cell>
          <cell r="E130">
            <v>150</v>
          </cell>
          <cell r="G130" t="str">
            <v>FEBELLA BEAUTY</v>
          </cell>
          <cell r="M130">
            <v>48</v>
          </cell>
        </row>
        <row r="131">
          <cell r="B131" t="str">
            <v>FBOC0001</v>
          </cell>
          <cell r="C131" t="str">
            <v>OLEO CORPORAL DOCE DE LEITE 120ML</v>
          </cell>
          <cell r="E131">
            <v>120</v>
          </cell>
          <cell r="G131" t="str">
            <v>FEBELLA BEAUTY</v>
          </cell>
        </row>
        <row r="132">
          <cell r="B132" t="str">
            <v>FBOC0002</v>
          </cell>
          <cell r="C132" t="str">
            <v>OLEO CORPORAL SORVETE DE MORANGO 120ML</v>
          </cell>
          <cell r="E132">
            <v>120</v>
          </cell>
          <cell r="G132" t="str">
            <v>FEBELLA BEAUTY</v>
          </cell>
        </row>
        <row r="133">
          <cell r="B133" t="str">
            <v>FBPF0001</v>
          </cell>
          <cell r="C133" t="str">
            <v>PERFUME RAFINATTO 100ML</v>
          </cell>
          <cell r="E133">
            <v>100</v>
          </cell>
          <cell r="G133" t="str">
            <v>FILATO BENE</v>
          </cell>
          <cell r="M133">
            <v>50</v>
          </cell>
        </row>
        <row r="134">
          <cell r="B134" t="str">
            <v>FBPF0002</v>
          </cell>
          <cell r="C134" t="str">
            <v>PERFUME OSTINATO 100ML</v>
          </cell>
          <cell r="E134">
            <v>100</v>
          </cell>
          <cell r="G134" t="str">
            <v>FILATO BENE</v>
          </cell>
          <cell r="M134">
            <v>50</v>
          </cell>
        </row>
        <row r="135">
          <cell r="B135" t="str">
            <v>GLMKAM01</v>
          </cell>
          <cell r="C135" t="str">
            <v>ÁGUA MICELAR 3 EM 1</v>
          </cell>
          <cell r="E135">
            <v>325</v>
          </cell>
          <cell r="G135" t="str">
            <v>GLOW MAKE UP</v>
          </cell>
          <cell r="M135">
            <v>48</v>
          </cell>
        </row>
        <row r="136">
          <cell r="B136" t="str">
            <v>GLMKAM02</v>
          </cell>
          <cell r="C136" t="str">
            <v>ÁGUA MICELAR ÁCIDO HIAULURÔNICO</v>
          </cell>
          <cell r="E136">
            <v>325</v>
          </cell>
          <cell r="G136" t="str">
            <v>GLOW MAKE UP</v>
          </cell>
          <cell r="M136">
            <v>48</v>
          </cell>
        </row>
        <row r="137">
          <cell r="B137" t="str">
            <v>GLMKAM03</v>
          </cell>
          <cell r="C137" t="str">
            <v>ÁGUA MICELAR CARVÃO ATIVADO</v>
          </cell>
          <cell r="E137">
            <v>325</v>
          </cell>
          <cell r="G137" t="str">
            <v>GLOW MAKE UP</v>
          </cell>
          <cell r="M137">
            <v>48</v>
          </cell>
        </row>
        <row r="138">
          <cell r="B138" t="str">
            <v>GLMKAM04</v>
          </cell>
          <cell r="C138" t="str">
            <v>ÁGUA MICELAR COLÁGENO</v>
          </cell>
          <cell r="E138">
            <v>325</v>
          </cell>
          <cell r="G138" t="str">
            <v>GLOW MAKE UP</v>
          </cell>
          <cell r="M138">
            <v>48</v>
          </cell>
        </row>
        <row r="139">
          <cell r="B139" t="str">
            <v>GLMKAM05</v>
          </cell>
          <cell r="C139" t="str">
            <v>ÁGUA MICELAR ROSA MOSQUETA</v>
          </cell>
          <cell r="E139">
            <v>325</v>
          </cell>
          <cell r="G139" t="str">
            <v>GLOW MAKE UP</v>
          </cell>
          <cell r="M139">
            <v>48</v>
          </cell>
        </row>
        <row r="140">
          <cell r="B140" t="str">
            <v>GLMKAM06</v>
          </cell>
          <cell r="C140" t="str">
            <v>ÁGUA MICELAR BABA GLOW</v>
          </cell>
          <cell r="E140">
            <v>325</v>
          </cell>
          <cell r="G140" t="str">
            <v>GLOW MAKE UP</v>
          </cell>
          <cell r="M140">
            <v>48</v>
          </cell>
        </row>
        <row r="141">
          <cell r="B141" t="str">
            <v>GLMKAM07</v>
          </cell>
          <cell r="C141" t="str">
            <v>ÁGUA MICELAR HONEY</v>
          </cell>
          <cell r="E141">
            <v>325</v>
          </cell>
          <cell r="G141" t="str">
            <v>GLOW MAKE UP</v>
          </cell>
          <cell r="M141">
            <v>48</v>
          </cell>
        </row>
        <row r="142">
          <cell r="B142" t="str">
            <v>GZLBBS01</v>
          </cell>
          <cell r="C142" t="str">
            <v>BODY SPLASH GOTA LOVE</v>
          </cell>
          <cell r="E142">
            <v>210</v>
          </cell>
          <cell r="G142" t="str">
            <v>GOTA ZEN</v>
          </cell>
          <cell r="M142">
            <v>12</v>
          </cell>
        </row>
        <row r="143">
          <cell r="B143" t="str">
            <v>GZLBBS02</v>
          </cell>
          <cell r="C143" t="str">
            <v>BODY SPLASH ARABYS' AMBAR</v>
          </cell>
          <cell r="E143">
            <v>210</v>
          </cell>
          <cell r="G143" t="str">
            <v>GOTA ZEN</v>
          </cell>
          <cell r="M143">
            <v>12</v>
          </cell>
        </row>
        <row r="144">
          <cell r="B144" t="str">
            <v>GZLBBS03</v>
          </cell>
          <cell r="C144" t="str">
            <v>BODY SPLASH GOTA BELLE</v>
          </cell>
          <cell r="E144">
            <v>210</v>
          </cell>
          <cell r="G144" t="str">
            <v>GOTA ZEN</v>
          </cell>
          <cell r="M144">
            <v>12</v>
          </cell>
        </row>
        <row r="145">
          <cell r="B145" t="str">
            <v>GZLBBS04</v>
          </cell>
          <cell r="C145" t="str">
            <v>BODY SPLASH ARABYS' FEROZ</v>
          </cell>
          <cell r="E145">
            <v>210</v>
          </cell>
          <cell r="G145" t="str">
            <v>GOTA ZEN</v>
          </cell>
          <cell r="M145">
            <v>12</v>
          </cell>
        </row>
        <row r="146">
          <cell r="B146" t="str">
            <v>GZLBBS05</v>
          </cell>
          <cell r="C146" t="str">
            <v>BODY SPLASH GLOW CHAMPAGNE</v>
          </cell>
          <cell r="E146">
            <v>210</v>
          </cell>
          <cell r="G146" t="str">
            <v>GOTA ZEN</v>
          </cell>
          <cell r="M146">
            <v>12</v>
          </cell>
        </row>
        <row r="147">
          <cell r="B147" t="str">
            <v>GZLBBS06</v>
          </cell>
          <cell r="C147" t="str">
            <v>BODY SPLASH ESCAN DALOSA</v>
          </cell>
          <cell r="E147">
            <v>210</v>
          </cell>
          <cell r="G147" t="str">
            <v>GOTA ZEN</v>
          </cell>
          <cell r="M147">
            <v>12</v>
          </cell>
        </row>
        <row r="148">
          <cell r="B148" t="str">
            <v>HBHD0001</v>
          </cell>
          <cell r="C148" t="str">
            <v>HIDRATANTE BISNAGA CELESTIA 200g</v>
          </cell>
          <cell r="E148">
            <v>200</v>
          </cell>
          <cell r="G148" t="str">
            <v>HABIBI PERFUMES</v>
          </cell>
          <cell r="M148">
            <v>48</v>
          </cell>
          <cell r="O148" t="str">
            <v>HP007/A</v>
          </cell>
        </row>
        <row r="149">
          <cell r="B149" t="str">
            <v>HBHD0002</v>
          </cell>
          <cell r="C149" t="str">
            <v>HIDRATANTE BISNAGA IMPERIUM 200g</v>
          </cell>
          <cell r="E149">
            <v>200</v>
          </cell>
          <cell r="G149" t="str">
            <v>HABIBI PERFUMES</v>
          </cell>
          <cell r="M149">
            <v>48</v>
          </cell>
          <cell r="O149" t="str">
            <v>HP007/B</v>
          </cell>
        </row>
        <row r="150">
          <cell r="B150" t="str">
            <v>HBHD0003</v>
          </cell>
          <cell r="C150" t="str">
            <v>HIDRATANTE BISNAGA ROSA SUBLIME 200g</v>
          </cell>
          <cell r="E150">
            <v>200</v>
          </cell>
          <cell r="G150" t="str">
            <v>HABIBI PERFUMES</v>
          </cell>
          <cell r="M150">
            <v>48</v>
          </cell>
          <cell r="O150" t="str">
            <v>HP007/C</v>
          </cell>
        </row>
        <row r="151">
          <cell r="B151" t="str">
            <v>HBHD0004</v>
          </cell>
          <cell r="C151" t="str">
            <v>HIDRATANTE BISNAGA ROSE AURORA 200g</v>
          </cell>
          <cell r="E151">
            <v>200</v>
          </cell>
          <cell r="G151" t="str">
            <v>HABIBI PERFUMES</v>
          </cell>
          <cell r="M151">
            <v>48</v>
          </cell>
          <cell r="O151" t="str">
            <v>HP007/D</v>
          </cell>
        </row>
        <row r="152">
          <cell r="B152" t="str">
            <v>HBHD0005</v>
          </cell>
          <cell r="C152" t="str">
            <v>HIDRATANTE BISNAGA LUX AMBER 200g</v>
          </cell>
          <cell r="E152">
            <v>200</v>
          </cell>
          <cell r="G152" t="str">
            <v>HABIBI PERFUMES</v>
          </cell>
          <cell r="M152">
            <v>48</v>
          </cell>
          <cell r="O152" t="str">
            <v>HP007/E</v>
          </cell>
        </row>
        <row r="153">
          <cell r="B153" t="str">
            <v>HBHD0006</v>
          </cell>
          <cell r="C153" t="str">
            <v>HIDRATANTE BISNAGA ANGELUS 200g</v>
          </cell>
          <cell r="E153">
            <v>200</v>
          </cell>
          <cell r="G153" t="str">
            <v>HABIBI PERFUMES</v>
          </cell>
          <cell r="M153">
            <v>48</v>
          </cell>
          <cell r="O153" t="str">
            <v>HP007/F</v>
          </cell>
        </row>
        <row r="154">
          <cell r="B154" t="str">
            <v>HBHD0007</v>
          </cell>
          <cell r="C154" t="str">
            <v>HIDRATANTE BISNAGA IMPERIUM BOURBON 200g</v>
          </cell>
          <cell r="E154">
            <v>200</v>
          </cell>
          <cell r="G154" t="str">
            <v>HABIBI PERFUMES</v>
          </cell>
          <cell r="M154">
            <v>48</v>
          </cell>
          <cell r="O154" t="str">
            <v>HP007/G</v>
          </cell>
        </row>
        <row r="155">
          <cell r="B155" t="str">
            <v>HBHD0008</v>
          </cell>
          <cell r="C155" t="str">
            <v>HIDRATANTE BISNAGA DELICADA 200g</v>
          </cell>
          <cell r="E155">
            <v>200</v>
          </cell>
          <cell r="G155" t="str">
            <v>HABIBI PERFUMES</v>
          </cell>
          <cell r="M155">
            <v>48</v>
          </cell>
          <cell r="O155" t="str">
            <v>HP007/H</v>
          </cell>
        </row>
        <row r="156">
          <cell r="B156" t="str">
            <v>HBPC0001</v>
          </cell>
          <cell r="C156" t="str">
            <v>PERFUME CAPILAR CELESTIA 57ml</v>
          </cell>
          <cell r="E156">
            <v>57</v>
          </cell>
          <cell r="G156" t="str">
            <v>HABIBI PERFUMES</v>
          </cell>
          <cell r="M156">
            <v>36</v>
          </cell>
          <cell r="O156" t="str">
            <v>HP004/A</v>
          </cell>
        </row>
        <row r="157">
          <cell r="B157" t="str">
            <v>IBARBS01</v>
          </cell>
          <cell r="C157" t="str">
            <v>BODY SPLASH SAIND</v>
          </cell>
          <cell r="E157">
            <v>120</v>
          </cell>
          <cell r="G157" t="str">
            <v>ISA BEAUTY</v>
          </cell>
          <cell r="M157">
            <v>48</v>
          </cell>
        </row>
        <row r="158">
          <cell r="B158" t="str">
            <v>IBARBS02</v>
          </cell>
          <cell r="C158" t="str">
            <v>BODY SPLASH ALLAN</v>
          </cell>
          <cell r="E158">
            <v>120</v>
          </cell>
          <cell r="G158" t="str">
            <v>ISA BEAUTY</v>
          </cell>
          <cell r="M158">
            <v>48</v>
          </cell>
        </row>
        <row r="159">
          <cell r="B159" t="str">
            <v>IBARBS03</v>
          </cell>
          <cell r="C159" t="str">
            <v>BODY SPLASH JADE</v>
          </cell>
          <cell r="E159">
            <v>120</v>
          </cell>
          <cell r="G159" t="str">
            <v>ISA BEAUTY</v>
          </cell>
          <cell r="M159">
            <v>48</v>
          </cell>
        </row>
        <row r="160">
          <cell r="B160" t="str">
            <v>IBARBS04</v>
          </cell>
          <cell r="C160" t="str">
            <v>BODY SPLASH ÁRABE</v>
          </cell>
          <cell r="E160">
            <v>120</v>
          </cell>
          <cell r="G160" t="str">
            <v>ISA BEAUTY</v>
          </cell>
          <cell r="M160">
            <v>48</v>
          </cell>
        </row>
        <row r="161">
          <cell r="B161" t="str">
            <v>IBARBS05</v>
          </cell>
          <cell r="C161" t="str">
            <v>BODY SPLASH HABIB</v>
          </cell>
          <cell r="E161">
            <v>120</v>
          </cell>
          <cell r="G161" t="str">
            <v>ISA BEAUTY</v>
          </cell>
          <cell r="M161">
            <v>48</v>
          </cell>
        </row>
        <row r="162">
          <cell r="B162" t="str">
            <v>IBARBS06</v>
          </cell>
          <cell r="C162" t="str">
            <v>BODY SPLASH ABDALLAH</v>
          </cell>
          <cell r="E162">
            <v>120</v>
          </cell>
          <cell r="G162" t="str">
            <v>ISA BEAUTY</v>
          </cell>
          <cell r="M162">
            <v>48</v>
          </cell>
        </row>
        <row r="163">
          <cell r="B163" t="str">
            <v>IBARGB01</v>
          </cell>
          <cell r="C163" t="str">
            <v>GELEIA DE BANHO SAIND</v>
          </cell>
          <cell r="E163">
            <v>190</v>
          </cell>
          <cell r="G163" t="str">
            <v>ISA BEAUTY</v>
          </cell>
          <cell r="M163">
            <v>24</v>
          </cell>
        </row>
        <row r="164">
          <cell r="B164" t="str">
            <v>IBARGB02</v>
          </cell>
          <cell r="C164" t="str">
            <v>GELEIA DE BANHO ALLAN</v>
          </cell>
          <cell r="E164">
            <v>190</v>
          </cell>
          <cell r="G164" t="str">
            <v>ISA BEAUTY</v>
          </cell>
          <cell r="M164">
            <v>24</v>
          </cell>
        </row>
        <row r="165">
          <cell r="B165" t="str">
            <v>IBARGB03</v>
          </cell>
          <cell r="C165" t="str">
            <v>GELEIA DE BANHO JADE</v>
          </cell>
          <cell r="E165">
            <v>190</v>
          </cell>
          <cell r="G165" t="str">
            <v>ISA BEAUTY</v>
          </cell>
          <cell r="M165">
            <v>24</v>
          </cell>
        </row>
        <row r="166">
          <cell r="B166" t="str">
            <v>IBARGB04</v>
          </cell>
          <cell r="C166" t="str">
            <v>GELEIA DE BANHO ÁRABE</v>
          </cell>
          <cell r="E166">
            <v>190</v>
          </cell>
          <cell r="G166" t="str">
            <v>ISA BEAUTY</v>
          </cell>
          <cell r="M166">
            <v>24</v>
          </cell>
        </row>
        <row r="167">
          <cell r="B167" t="str">
            <v>IBARGB05</v>
          </cell>
          <cell r="C167" t="str">
            <v>GELEIA DE BANHO HABIB</v>
          </cell>
          <cell r="E167">
            <v>190</v>
          </cell>
          <cell r="G167" t="str">
            <v>ISA BEAUTY</v>
          </cell>
          <cell r="M167">
            <v>24</v>
          </cell>
        </row>
        <row r="168">
          <cell r="B168" t="str">
            <v>IBARGB06</v>
          </cell>
          <cell r="C168" t="str">
            <v>GELEIA DE BANHO ABDALLAH</v>
          </cell>
          <cell r="E168">
            <v>190</v>
          </cell>
          <cell r="G168" t="str">
            <v>ISA BEAUTY</v>
          </cell>
          <cell r="M168">
            <v>24</v>
          </cell>
        </row>
        <row r="169">
          <cell r="B169" t="str">
            <v>IBARGE01</v>
          </cell>
          <cell r="C169" t="str">
            <v>GEL ESFOLIANTE SAIND</v>
          </cell>
          <cell r="E169">
            <v>180</v>
          </cell>
          <cell r="G169" t="str">
            <v>ISA BEAUTY</v>
          </cell>
          <cell r="M169">
            <v>24</v>
          </cell>
        </row>
        <row r="170">
          <cell r="B170" t="str">
            <v>IBARGE02</v>
          </cell>
          <cell r="C170" t="str">
            <v>GEL ESFOLIANTE ALLAN</v>
          </cell>
          <cell r="E170">
            <v>180</v>
          </cell>
          <cell r="G170" t="str">
            <v>ISA BEAUTY</v>
          </cell>
          <cell r="M170">
            <v>24</v>
          </cell>
        </row>
        <row r="171">
          <cell r="B171" t="str">
            <v>IBARGE03</v>
          </cell>
          <cell r="C171" t="str">
            <v>GEL ESFOLIANTE JADE</v>
          </cell>
          <cell r="E171">
            <v>180</v>
          </cell>
          <cell r="G171" t="str">
            <v>ISA BEAUTY</v>
          </cell>
          <cell r="M171">
            <v>24</v>
          </cell>
        </row>
        <row r="172">
          <cell r="B172" t="str">
            <v>IBARGE04</v>
          </cell>
          <cell r="C172" t="str">
            <v>GEL ESFOLIANTE ÁRABE</v>
          </cell>
          <cell r="E172">
            <v>180</v>
          </cell>
          <cell r="G172" t="str">
            <v>ISA BEAUTY</v>
          </cell>
          <cell r="M172">
            <v>24</v>
          </cell>
        </row>
        <row r="173">
          <cell r="B173" t="str">
            <v>IBARGE05</v>
          </cell>
          <cell r="C173" t="str">
            <v>GEL ESFOLIANTE HABIB</v>
          </cell>
          <cell r="E173">
            <v>180</v>
          </cell>
          <cell r="G173" t="str">
            <v>ISA BEAUTY</v>
          </cell>
          <cell r="M173">
            <v>24</v>
          </cell>
        </row>
        <row r="174">
          <cell r="B174" t="str">
            <v>IBARGE06</v>
          </cell>
          <cell r="C174" t="str">
            <v>GEL ESFOLIANTE ABDALLAH</v>
          </cell>
          <cell r="E174">
            <v>180</v>
          </cell>
          <cell r="G174" t="str">
            <v>ISA BEAUTY</v>
          </cell>
          <cell r="M174">
            <v>24</v>
          </cell>
        </row>
        <row r="175">
          <cell r="B175" t="str">
            <v>IBARHD01</v>
          </cell>
          <cell r="C175" t="str">
            <v>LOÇÃO HIDRATANTE SAIND</v>
          </cell>
          <cell r="E175">
            <v>180</v>
          </cell>
          <cell r="G175" t="str">
            <v>ISA BEAUTY</v>
          </cell>
          <cell r="M175">
            <v>24</v>
          </cell>
        </row>
        <row r="176">
          <cell r="B176" t="str">
            <v>IBARHD02</v>
          </cell>
          <cell r="C176" t="str">
            <v>LOÇÃO HIDRATANTE ALLAN</v>
          </cell>
          <cell r="E176">
            <v>180</v>
          </cell>
          <cell r="G176" t="str">
            <v>ISA BEAUTY</v>
          </cell>
          <cell r="M176">
            <v>24</v>
          </cell>
        </row>
        <row r="177">
          <cell r="B177" t="str">
            <v>IBARHD03</v>
          </cell>
          <cell r="C177" t="str">
            <v>LOÇÃO HIDRATANTE JADE</v>
          </cell>
          <cell r="E177">
            <v>180</v>
          </cell>
          <cell r="G177" t="str">
            <v>ISA BEAUTY</v>
          </cell>
          <cell r="M177">
            <v>24</v>
          </cell>
        </row>
        <row r="178">
          <cell r="B178" t="str">
            <v>IBARHD04</v>
          </cell>
          <cell r="C178" t="str">
            <v>LOÇÃO HIDRATANTE ÁRABE</v>
          </cell>
          <cell r="E178">
            <v>180</v>
          </cell>
          <cell r="G178" t="str">
            <v>ISA BEAUTY</v>
          </cell>
          <cell r="M178">
            <v>24</v>
          </cell>
        </row>
        <row r="179">
          <cell r="B179" t="str">
            <v>IBARHD05</v>
          </cell>
          <cell r="C179" t="str">
            <v>LOÇÃO HIDRATANTE HABIB</v>
          </cell>
          <cell r="E179">
            <v>180</v>
          </cell>
          <cell r="G179" t="str">
            <v>ISA BEAUTY</v>
          </cell>
          <cell r="M179">
            <v>24</v>
          </cell>
        </row>
        <row r="180">
          <cell r="B180" t="str">
            <v>IBARHD06</v>
          </cell>
          <cell r="C180" t="str">
            <v>LOÇÃO HIDRATANTE ABDALLAH</v>
          </cell>
          <cell r="E180">
            <v>180</v>
          </cell>
          <cell r="G180" t="str">
            <v>ISA BEAUTY</v>
          </cell>
          <cell r="M180">
            <v>24</v>
          </cell>
        </row>
        <row r="181">
          <cell r="B181" t="str">
            <v>IBCHEC01</v>
          </cell>
          <cell r="C181" t="str">
            <v>ESCOVA DE CHUVEIRO CHEIRINHO DE MELÂNCIA</v>
          </cell>
          <cell r="E181">
            <v>100</v>
          </cell>
          <cell r="G181" t="str">
            <v>ISA BEAUTY</v>
          </cell>
          <cell r="M181">
            <v>100</v>
          </cell>
        </row>
        <row r="182">
          <cell r="B182" t="str">
            <v>IBCHEC02</v>
          </cell>
          <cell r="C182" t="str">
            <v>ESCOVA DE CHUVEIRO CHEIRINHO DE MORANGO</v>
          </cell>
          <cell r="E182">
            <v>100</v>
          </cell>
          <cell r="G182" t="str">
            <v>ISA BEAUTY</v>
          </cell>
          <cell r="M182">
            <v>100</v>
          </cell>
        </row>
        <row r="183">
          <cell r="B183" t="str">
            <v>IBCHEC03</v>
          </cell>
          <cell r="C183" t="str">
            <v>ESCOVA DE CHUVEIRO CHEIRINHO DE TUTTI-FRUTTI</v>
          </cell>
          <cell r="E183">
            <v>100</v>
          </cell>
          <cell r="G183" t="str">
            <v>ISA BEAUTY</v>
          </cell>
          <cell r="M183">
            <v>100</v>
          </cell>
        </row>
        <row r="184">
          <cell r="B184" t="str">
            <v>IBCHGC01</v>
          </cell>
          <cell r="C184" t="str">
            <v>GELATINA CAPILAR CHEIRINHO DE MELÂNCIA</v>
          </cell>
          <cell r="E184">
            <v>500</v>
          </cell>
          <cell r="G184" t="str">
            <v>ISA BEAUTY</v>
          </cell>
          <cell r="M184">
            <v>40</v>
          </cell>
        </row>
        <row r="185">
          <cell r="B185" t="str">
            <v>IBCHGC02</v>
          </cell>
          <cell r="C185" t="str">
            <v>GELATINA CAPILAR CHEIRINHO DE PISTACHE</v>
          </cell>
          <cell r="E185">
            <v>500</v>
          </cell>
          <cell r="G185" t="str">
            <v>ISA BEAUTY</v>
          </cell>
          <cell r="M185">
            <v>40</v>
          </cell>
        </row>
        <row r="186">
          <cell r="B186" t="str">
            <v>IBCHGC03</v>
          </cell>
          <cell r="C186" t="str">
            <v>GELATINA CAPILAR CHEIRINHO DE TUTTI-FRUTTI</v>
          </cell>
          <cell r="E186">
            <v>500</v>
          </cell>
          <cell r="G186" t="str">
            <v>ISA BEAUTY</v>
          </cell>
          <cell r="M186">
            <v>40</v>
          </cell>
        </row>
        <row r="187">
          <cell r="B187" t="str">
            <v>KUBPBA01</v>
          </cell>
          <cell r="C187" t="str">
            <v>BASE PARA PERFUME FINA BASE 1l</v>
          </cell>
          <cell r="E187">
            <v>1000</v>
          </cell>
          <cell r="G187" t="str">
            <v>KURYOS</v>
          </cell>
          <cell r="M187">
            <v>15</v>
          </cell>
        </row>
        <row r="188">
          <cell r="B188" t="str">
            <v>KUBPBA01 - 2</v>
          </cell>
          <cell r="C188" t="str">
            <v>BASE PARA PERFUME FINA BASE 500ml</v>
          </cell>
          <cell r="E188">
            <v>500</v>
          </cell>
          <cell r="G188" t="str">
            <v>KURYOS</v>
          </cell>
          <cell r="M188">
            <v>15</v>
          </cell>
        </row>
        <row r="189">
          <cell r="B189" t="str">
            <v>KUBPBA02</v>
          </cell>
          <cell r="C189" t="str">
            <v>BASE PARA PERFUME FINA BASE PREMIUM 1l</v>
          </cell>
          <cell r="E189">
            <v>1000</v>
          </cell>
          <cell r="G189" t="str">
            <v>KURYOS</v>
          </cell>
          <cell r="M189">
            <v>15</v>
          </cell>
        </row>
        <row r="190">
          <cell r="B190" t="str">
            <v>KUBPBA02 - 2</v>
          </cell>
          <cell r="C190" t="str">
            <v>BASE PARA PERFUME FINA BASE PREMIUM 500ml</v>
          </cell>
          <cell r="E190">
            <v>500</v>
          </cell>
          <cell r="G190" t="str">
            <v>KURYOS</v>
          </cell>
          <cell r="M190">
            <v>15</v>
          </cell>
        </row>
        <row r="191">
          <cell r="B191" t="str">
            <v>LNHGCN01</v>
          </cell>
          <cell r="C191" t="str">
            <v>CONDICIONADOR HUBBA GUM BANANA</v>
          </cell>
          <cell r="E191">
            <v>300</v>
          </cell>
          <cell r="G191" t="str">
            <v>LUA &amp; NEVE</v>
          </cell>
          <cell r="M191">
            <v>36</v>
          </cell>
        </row>
        <row r="192">
          <cell r="B192" t="str">
            <v>LNHGCN02</v>
          </cell>
          <cell r="C192" t="str">
            <v>CONDICIONADOR HUBBA GUM TUTTI-FRUTTI</v>
          </cell>
          <cell r="E192">
            <v>300</v>
          </cell>
          <cell r="G192" t="str">
            <v>LUA &amp; NEVE</v>
          </cell>
          <cell r="M192">
            <v>36</v>
          </cell>
        </row>
        <row r="193">
          <cell r="B193" t="str">
            <v>LNHGCN03</v>
          </cell>
          <cell r="C193" t="str">
            <v>CONDICIONADOR HUBBA GUM UVA</v>
          </cell>
          <cell r="E193">
            <v>300</v>
          </cell>
          <cell r="G193" t="str">
            <v>LUA &amp; NEVE</v>
          </cell>
          <cell r="M193">
            <v>36</v>
          </cell>
        </row>
        <row r="194">
          <cell r="B194" t="str">
            <v>LNHGFN01</v>
          </cell>
          <cell r="C194" t="str">
            <v>FINALIZADOR HUBBA GUM BANANA</v>
          </cell>
          <cell r="E194">
            <v>250</v>
          </cell>
          <cell r="G194" t="str">
            <v>LUA &amp; NEVE</v>
          </cell>
        </row>
        <row r="195">
          <cell r="B195" t="str">
            <v>LNHGFN02</v>
          </cell>
          <cell r="C195" t="str">
            <v>FINALIZADOR HUBBA GUM TUTTI-FRUTTI</v>
          </cell>
          <cell r="E195">
            <v>250</v>
          </cell>
          <cell r="G195" t="str">
            <v>LUA &amp; NEVE</v>
          </cell>
        </row>
        <row r="196">
          <cell r="B196" t="str">
            <v>LNHGFN03</v>
          </cell>
          <cell r="C196" t="str">
            <v>FINALIZADOR HUBBA GUM UVA</v>
          </cell>
          <cell r="E196">
            <v>250</v>
          </cell>
          <cell r="G196" t="str">
            <v>LUA &amp; NEVE</v>
          </cell>
        </row>
        <row r="197">
          <cell r="B197" t="str">
            <v>LNHGMS01</v>
          </cell>
          <cell r="C197" t="str">
            <v>MÁSCARA HUBBA GUM BANANA</v>
          </cell>
          <cell r="E197">
            <v>250</v>
          </cell>
          <cell r="G197" t="str">
            <v>LUA &amp; NEVE</v>
          </cell>
        </row>
        <row r="198">
          <cell r="B198" t="str">
            <v>LNHGMS02</v>
          </cell>
          <cell r="C198" t="str">
            <v>MÁSCARA HUBBA GUM TUTTI-FRUTTI</v>
          </cell>
          <cell r="E198">
            <v>250</v>
          </cell>
          <cell r="G198" t="str">
            <v>LUA &amp; NEVE</v>
          </cell>
        </row>
        <row r="199">
          <cell r="B199" t="str">
            <v>LNHGMS03</v>
          </cell>
          <cell r="C199" t="str">
            <v>MÁSCARA HUBBA GUM UVA</v>
          </cell>
          <cell r="E199">
            <v>250</v>
          </cell>
          <cell r="G199" t="str">
            <v>LUA &amp; NEVE</v>
          </cell>
        </row>
        <row r="200">
          <cell r="B200" t="str">
            <v>LNHGSH01</v>
          </cell>
          <cell r="C200" t="str">
            <v>SHAMPOO HUBBA GUM BANANA</v>
          </cell>
          <cell r="E200">
            <v>300</v>
          </cell>
          <cell r="G200" t="str">
            <v>LUA &amp; NEVE</v>
          </cell>
          <cell r="M200">
            <v>36</v>
          </cell>
        </row>
        <row r="201">
          <cell r="B201" t="str">
            <v>LNHGSH02</v>
          </cell>
          <cell r="C201" t="str">
            <v>SHAMPOO HUBBA GUM TUTTI-FRUTTI</v>
          </cell>
          <cell r="E201">
            <v>300</v>
          </cell>
          <cell r="G201" t="str">
            <v>LUA &amp; NEVE</v>
          </cell>
          <cell r="M201">
            <v>36</v>
          </cell>
        </row>
        <row r="202">
          <cell r="B202" t="str">
            <v>LNHGSH03</v>
          </cell>
          <cell r="C202" t="str">
            <v>SHAMPOO HUBBA GUM UVA</v>
          </cell>
          <cell r="E202">
            <v>300</v>
          </cell>
          <cell r="G202" t="str">
            <v>LUA &amp; NEVE</v>
          </cell>
          <cell r="M202">
            <v>36</v>
          </cell>
        </row>
        <row r="203">
          <cell r="B203" t="str">
            <v>LNINBS01</v>
          </cell>
          <cell r="C203" t="str">
            <v>BODY SPLASH AMBAR CRUSH</v>
          </cell>
          <cell r="E203">
            <v>200</v>
          </cell>
          <cell r="G203" t="str">
            <v>LUA &amp; NEVE</v>
          </cell>
          <cell r="M203">
            <v>48</v>
          </cell>
        </row>
        <row r="204">
          <cell r="B204" t="str">
            <v>LNINBS02</v>
          </cell>
          <cell r="C204" t="str">
            <v>BODY SPLASH AQUA VIBE</v>
          </cell>
          <cell r="E204">
            <v>200</v>
          </cell>
          <cell r="G204" t="str">
            <v>LUA &amp; NEVE</v>
          </cell>
          <cell r="M204">
            <v>48</v>
          </cell>
        </row>
        <row r="205">
          <cell r="B205" t="str">
            <v>LNINBS03</v>
          </cell>
          <cell r="C205" t="str">
            <v>BODY SPLASH INTENSE RED</v>
          </cell>
          <cell r="E205">
            <v>200</v>
          </cell>
          <cell r="G205" t="str">
            <v>LUA &amp; NEVE</v>
          </cell>
          <cell r="M205">
            <v>48</v>
          </cell>
        </row>
        <row r="206">
          <cell r="B206" t="str">
            <v>LNINBS04</v>
          </cell>
          <cell r="C206" t="str">
            <v>BODY SPLASH MYSTIC SPILL</v>
          </cell>
          <cell r="E206">
            <v>200</v>
          </cell>
          <cell r="G206" t="str">
            <v>LUA &amp; NEVE</v>
          </cell>
          <cell r="M206">
            <v>48</v>
          </cell>
        </row>
        <row r="207">
          <cell r="B207" t="str">
            <v>LNINBS05</v>
          </cell>
          <cell r="C207" t="str">
            <v>BODY SPLASH PINK SEDUCTION</v>
          </cell>
          <cell r="E207">
            <v>200</v>
          </cell>
          <cell r="G207" t="str">
            <v>LUA &amp; NEVE</v>
          </cell>
          <cell r="M207">
            <v>48</v>
          </cell>
        </row>
        <row r="208">
          <cell r="B208" t="str">
            <v>LNINBS06</v>
          </cell>
          <cell r="C208" t="str">
            <v>BODY SPLASH PURE VANILLA</v>
          </cell>
          <cell r="E208">
            <v>200</v>
          </cell>
          <cell r="G208" t="str">
            <v>LUA &amp; NEVE</v>
          </cell>
          <cell r="M208">
            <v>48</v>
          </cell>
        </row>
        <row r="209">
          <cell r="B209" t="str">
            <v>LNINBS07</v>
          </cell>
          <cell r="C209" t="str">
            <v>BODY SPLASH VELVET ROSE</v>
          </cell>
          <cell r="E209">
            <v>200</v>
          </cell>
          <cell r="G209" t="str">
            <v>LUA &amp; NEVE</v>
          </cell>
          <cell r="M209">
            <v>48</v>
          </cell>
        </row>
        <row r="210">
          <cell r="B210" t="str">
            <v>MAOEOL01</v>
          </cell>
          <cell r="C210" t="str">
            <v>ÓLEO CORPORAL AMENDÔAS</v>
          </cell>
          <cell r="E210">
            <v>150</v>
          </cell>
          <cell r="G210" t="str">
            <v>MAAKE</v>
          </cell>
          <cell r="M210">
            <v>72</v>
          </cell>
        </row>
        <row r="211">
          <cell r="B211" t="str">
            <v>MAOEOL02</v>
          </cell>
          <cell r="C211" t="str">
            <v>ÓLEO CORPORAL ALGODÃO</v>
          </cell>
          <cell r="E211">
            <v>150</v>
          </cell>
          <cell r="G211" t="str">
            <v>MAAKE</v>
          </cell>
          <cell r="M211">
            <v>72</v>
          </cell>
        </row>
        <row r="212">
          <cell r="B212" t="str">
            <v>MOPFFM01</v>
          </cell>
          <cell r="C212" t="str">
            <v>PERFUME MASCULINO 102 VIP BLACK</v>
          </cell>
          <cell r="E212">
            <v>50</v>
          </cell>
          <cell r="G212" t="str">
            <v>MOUTIER</v>
          </cell>
        </row>
        <row r="213">
          <cell r="B213" t="str">
            <v>MOPFFM02</v>
          </cell>
          <cell r="C213" t="str">
            <v>PERFUME MASCULINO 103 BOSS BOTTLED</v>
          </cell>
          <cell r="E213">
            <v>50</v>
          </cell>
          <cell r="G213" t="str">
            <v>MOUTIER</v>
          </cell>
        </row>
        <row r="214">
          <cell r="B214" t="str">
            <v>MOPFFM03</v>
          </cell>
          <cell r="C214" t="str">
            <v>PERFUME MASCULINO 104 FERRARI BLACK</v>
          </cell>
          <cell r="E214">
            <v>50</v>
          </cell>
          <cell r="G214" t="str">
            <v>MOUTIER</v>
          </cell>
        </row>
        <row r="215">
          <cell r="B215" t="str">
            <v>MOPFFM04</v>
          </cell>
          <cell r="C215" t="str">
            <v>PERFUME MASCULINO 105 SAUVAGE</v>
          </cell>
          <cell r="E215">
            <v>50</v>
          </cell>
          <cell r="G215" t="str">
            <v>MOUTIER</v>
          </cell>
        </row>
        <row r="216">
          <cell r="B216" t="str">
            <v>MOPFFM05</v>
          </cell>
          <cell r="C216" t="str">
            <v>PERFUME MASCULINO 110 ONE MILLION</v>
          </cell>
          <cell r="E216">
            <v>50</v>
          </cell>
          <cell r="G216" t="str">
            <v>MOUTIER</v>
          </cell>
        </row>
        <row r="217">
          <cell r="B217" t="str">
            <v>MOPFFM06</v>
          </cell>
          <cell r="C217" t="str">
            <v>PERFUME MASCULINO 113 AZZARO WANTED</v>
          </cell>
          <cell r="E217">
            <v>50</v>
          </cell>
          <cell r="G217" t="str">
            <v>MOUTIER</v>
          </cell>
        </row>
        <row r="218">
          <cell r="B218" t="str">
            <v>MOPFFM07</v>
          </cell>
          <cell r="C218" t="str">
            <v>PERFUME MASCULINO 115 BLEU DE CHANEL</v>
          </cell>
          <cell r="E218">
            <v>50</v>
          </cell>
          <cell r="G218" t="str">
            <v>MOUTIER</v>
          </cell>
        </row>
        <row r="219">
          <cell r="B219" t="str">
            <v>MOPFFM08</v>
          </cell>
          <cell r="C219" t="str">
            <v>PERFUME MASCULINO 117 INVICTUS</v>
          </cell>
          <cell r="E219">
            <v>50</v>
          </cell>
          <cell r="G219" t="str">
            <v>MOUTIER</v>
          </cell>
        </row>
        <row r="220">
          <cell r="B220" t="str">
            <v>MOPFFM09</v>
          </cell>
          <cell r="C220" t="str">
            <v>PERFUME MASCULINO 118 CH BAD BOY</v>
          </cell>
          <cell r="E220">
            <v>50</v>
          </cell>
          <cell r="G220" t="str">
            <v>MOUTIER</v>
          </cell>
        </row>
        <row r="221">
          <cell r="B221" t="str">
            <v>MOPFFM10</v>
          </cell>
          <cell r="C221" t="str">
            <v>PERFUME MASCULINO 119 EROS VERSACE</v>
          </cell>
          <cell r="E221">
            <v>50</v>
          </cell>
          <cell r="G221" t="str">
            <v>MOUTIER</v>
          </cell>
        </row>
        <row r="222">
          <cell r="B222" t="str">
            <v>MOPFFM11</v>
          </cell>
          <cell r="C222" t="str">
            <v>PERFUME MASCULINO 122 ANIMALE</v>
          </cell>
          <cell r="E222">
            <v>50</v>
          </cell>
          <cell r="G222" t="str">
            <v>MOUTIER</v>
          </cell>
        </row>
        <row r="223">
          <cell r="B223" t="str">
            <v>MOPFFM12</v>
          </cell>
          <cell r="C223" t="str">
            <v>PERFUME MASCULINO 135 SCANDAL POUR HOMME</v>
          </cell>
          <cell r="E223">
            <v>50</v>
          </cell>
          <cell r="G223" t="str">
            <v>MOUTIER</v>
          </cell>
        </row>
        <row r="224">
          <cell r="B224" t="str">
            <v>MOPFFM13</v>
          </cell>
          <cell r="C224" t="str">
            <v>PERFUME MASCULINO 100 SILVER SCENT</v>
          </cell>
          <cell r="E224">
            <v>50</v>
          </cell>
          <cell r="G224" t="str">
            <v>MOUTIER</v>
          </cell>
        </row>
        <row r="225">
          <cell r="B225" t="str">
            <v>MOPFFM14</v>
          </cell>
          <cell r="C225" t="str">
            <v>PERFUME MASCULINO 101 AZZARRO</v>
          </cell>
          <cell r="E225">
            <v>50</v>
          </cell>
          <cell r="G225" t="str">
            <v>MOUTIER</v>
          </cell>
        </row>
        <row r="226">
          <cell r="B226" t="str">
            <v>MOPFFM15</v>
          </cell>
          <cell r="C226" t="str">
            <v>PERFUME MASCULINO 106 POLO BLUE</v>
          </cell>
          <cell r="E226">
            <v>50</v>
          </cell>
          <cell r="G226" t="str">
            <v>MOUTIER</v>
          </cell>
        </row>
        <row r="227">
          <cell r="B227" t="str">
            <v>MOPFFM16</v>
          </cell>
          <cell r="C227" t="str">
            <v>PERFUME MASCULINO 112 POLO</v>
          </cell>
          <cell r="E227">
            <v>50</v>
          </cell>
          <cell r="G227" t="str">
            <v>MOUTIER</v>
          </cell>
        </row>
        <row r="228">
          <cell r="B228" t="str">
            <v>MOPFFM17</v>
          </cell>
          <cell r="C228" t="str">
            <v>PERFUME MASCULINO 114 212 FOR MEN</v>
          </cell>
          <cell r="E228">
            <v>50</v>
          </cell>
          <cell r="G228" t="str">
            <v>MOUTIER</v>
          </cell>
        </row>
        <row r="229">
          <cell r="B229" t="str">
            <v>MOPFFM18</v>
          </cell>
          <cell r="C229" t="str">
            <v>PERFUME MASCULINO 120 ISSEY MIYAKE</v>
          </cell>
          <cell r="E229">
            <v>50</v>
          </cell>
          <cell r="G229" t="str">
            <v>MOUTIER</v>
          </cell>
        </row>
        <row r="230">
          <cell r="B230" t="str">
            <v>MOPFFM19</v>
          </cell>
          <cell r="C230" t="str">
            <v>PERFUME MASCULINO 121 212 VIP MEN</v>
          </cell>
          <cell r="E230">
            <v>50</v>
          </cell>
          <cell r="G230" t="str">
            <v>MOUTIER</v>
          </cell>
        </row>
        <row r="231">
          <cell r="B231" t="str">
            <v>MOPFFM20</v>
          </cell>
          <cell r="C231" t="str">
            <v>PERFUME MASCULINO 134 MARLY ALTHAIR</v>
          </cell>
          <cell r="E231">
            <v>50</v>
          </cell>
          <cell r="G231" t="str">
            <v>MOUTIER</v>
          </cell>
        </row>
        <row r="232">
          <cell r="B232" t="str">
            <v>MOPFFW01</v>
          </cell>
          <cell r="C232" t="str">
            <v>PERFUME FEMININO 08 DIOR J'ADORE</v>
          </cell>
          <cell r="E232">
            <v>50</v>
          </cell>
          <cell r="G232" t="str">
            <v>MOUTIER</v>
          </cell>
        </row>
        <row r="233">
          <cell r="B233" t="str">
            <v>SRM-SEUN-0001</v>
          </cell>
          <cell r="C233" t="str">
            <v>SERUM FACIAL 30ML</v>
          </cell>
          <cell r="E233">
            <v>30</v>
          </cell>
          <cell r="G233" t="str">
            <v>SEUNOURA</v>
          </cell>
        </row>
        <row r="234">
          <cell r="B234" t="str">
            <v>SRM-SEUN-0002</v>
          </cell>
          <cell r="C234" t="str">
            <v>FIRMADOR 200ML</v>
          </cell>
          <cell r="E234">
            <v>200</v>
          </cell>
          <cell r="G234" t="str">
            <v>SEUNOURA</v>
          </cell>
        </row>
        <row r="235">
          <cell r="B235" t="str">
            <v>ESP-SEUN-0001</v>
          </cell>
          <cell r="C235" t="str">
            <v>ESPUMA DE LIMPEZA FACIAL 100ML</v>
          </cell>
          <cell r="E235">
            <v>100</v>
          </cell>
          <cell r="G235" t="str">
            <v>SEUNOURA</v>
          </cell>
        </row>
        <row r="236">
          <cell r="B236" t="str">
            <v>HID-SEUN-0001</v>
          </cell>
          <cell r="C236" t="str">
            <v>HIDRATANTE FACIAL 50G</v>
          </cell>
          <cell r="E236">
            <v>50</v>
          </cell>
          <cell r="G236" t="str">
            <v>SEUNOURA</v>
          </cell>
        </row>
        <row r="237">
          <cell r="B237" t="str">
            <v>BSP-SEUN-0001</v>
          </cell>
          <cell r="C237" t="str">
            <v>BODY SPLASH SOLAR GLOW MIST 150ML</v>
          </cell>
          <cell r="E237">
            <v>150</v>
          </cell>
          <cell r="G237" t="str">
            <v>SEUNOURA</v>
          </cell>
        </row>
        <row r="238">
          <cell r="B238" t="str">
            <v>AGU-SEUN-0001</v>
          </cell>
          <cell r="C238" t="str">
            <v>AGUA DE BELEZA 100ML</v>
          </cell>
          <cell r="E238">
            <v>100</v>
          </cell>
          <cell r="G238" t="str">
            <v>SEUNOURA</v>
          </cell>
        </row>
        <row r="239">
          <cell r="B239" t="str">
            <v>MOPFFW02</v>
          </cell>
          <cell r="C239" t="str">
            <v>PERFUME FEMININO 09 SCANDAL</v>
          </cell>
          <cell r="E239">
            <v>50</v>
          </cell>
          <cell r="G239" t="str">
            <v>MOUTIER</v>
          </cell>
        </row>
        <row r="240">
          <cell r="B240" t="str">
            <v>MOPFFW03</v>
          </cell>
          <cell r="C240" t="str">
            <v>PERFUME FEMININO 10 212 SEXY</v>
          </cell>
          <cell r="E240">
            <v>50</v>
          </cell>
          <cell r="G240" t="str">
            <v>MOUTIER</v>
          </cell>
        </row>
        <row r="241">
          <cell r="B241" t="str">
            <v>MOPFFW04</v>
          </cell>
          <cell r="C241" t="str">
            <v>PERFUME FEMININO 11 OLYMPEA</v>
          </cell>
          <cell r="E241">
            <v>50</v>
          </cell>
          <cell r="G241" t="str">
            <v>MOUTIER</v>
          </cell>
        </row>
        <row r="242">
          <cell r="B242" t="str">
            <v>MOPFFW05</v>
          </cell>
          <cell r="C242" t="str">
            <v>PERFUME FEMININO 12 LADY MILLION</v>
          </cell>
          <cell r="E242">
            <v>50</v>
          </cell>
          <cell r="G242" t="str">
            <v>MOUTIER</v>
          </cell>
        </row>
        <row r="243">
          <cell r="B243" t="str">
            <v>MOPFFW06</v>
          </cell>
          <cell r="C243" t="str">
            <v>PERFUME FEMININO 16 COCO MADEMOISELLE</v>
          </cell>
          <cell r="E243">
            <v>50</v>
          </cell>
          <cell r="G243" t="str">
            <v>MOUTIER</v>
          </cell>
        </row>
        <row r="244">
          <cell r="B244" t="str">
            <v>MOPFFW07</v>
          </cell>
          <cell r="C244" t="str">
            <v>PERFUME FEMININO 18 AMOR AMOR</v>
          </cell>
          <cell r="E244">
            <v>50</v>
          </cell>
          <cell r="G244" t="str">
            <v>MOUTIER</v>
          </cell>
        </row>
        <row r="245">
          <cell r="B245" t="str">
            <v>MOPFFW08</v>
          </cell>
          <cell r="C245" t="str">
            <v>PERFUME FEMININO 31 L'INTERDIT ROUGE</v>
          </cell>
          <cell r="E245">
            <v>50</v>
          </cell>
          <cell r="G245" t="str">
            <v>MOUTIER</v>
          </cell>
        </row>
        <row r="246">
          <cell r="B246" t="str">
            <v>MOPFFW09</v>
          </cell>
          <cell r="C246" t="str">
            <v>PERFUME FEMININO 02 LA VIE EST BELLE</v>
          </cell>
          <cell r="E246">
            <v>50</v>
          </cell>
          <cell r="G246" t="str">
            <v>MOUTIER</v>
          </cell>
        </row>
        <row r="247">
          <cell r="B247" t="str">
            <v>MOPFFW10</v>
          </cell>
          <cell r="C247" t="str">
            <v>PERFUME FEMININO 03 GOOD GIRL</v>
          </cell>
          <cell r="E247">
            <v>50</v>
          </cell>
          <cell r="G247" t="str">
            <v>MOUTIER</v>
          </cell>
        </row>
        <row r="248">
          <cell r="B248" t="str">
            <v>MOPFFW11</v>
          </cell>
          <cell r="C248" t="str">
            <v>PERFUME FEMININO 04 IDÔLE</v>
          </cell>
          <cell r="E248">
            <v>50</v>
          </cell>
          <cell r="G248" t="str">
            <v>MOUTIER</v>
          </cell>
        </row>
        <row r="249">
          <cell r="B249" t="str">
            <v>MOPFFW12</v>
          </cell>
          <cell r="C249" t="str">
            <v>PERFUME FEMININO 05 ANGEL</v>
          </cell>
          <cell r="E249">
            <v>50</v>
          </cell>
          <cell r="G249" t="str">
            <v>MOUTIER</v>
          </cell>
        </row>
        <row r="250">
          <cell r="B250" t="str">
            <v>MOPFFW13</v>
          </cell>
          <cell r="C250" t="str">
            <v>PERFUME FEMININO 13 212 VIP</v>
          </cell>
          <cell r="E250">
            <v>50</v>
          </cell>
          <cell r="G250" t="str">
            <v>MOUTIER</v>
          </cell>
        </row>
        <row r="251">
          <cell r="B251" t="str">
            <v>MOPFFW14</v>
          </cell>
          <cell r="C251" t="str">
            <v>PERFUME FEMININO 14 CH 212</v>
          </cell>
          <cell r="E251">
            <v>50</v>
          </cell>
          <cell r="G251" t="str">
            <v>MOUTIER</v>
          </cell>
        </row>
        <row r="252">
          <cell r="B252" t="str">
            <v>MOPFFW15</v>
          </cell>
          <cell r="C252" t="str">
            <v>PERFUME FEMININO 21 SO SCANDAL</v>
          </cell>
          <cell r="E252">
            <v>50</v>
          </cell>
          <cell r="G252" t="str">
            <v>MOUTIER</v>
          </cell>
        </row>
        <row r="253">
          <cell r="B253" t="str">
            <v>MOPFFW16</v>
          </cell>
          <cell r="C253" t="str">
            <v>PERFUME FEMININO 25 MISS DIOR</v>
          </cell>
          <cell r="E253">
            <v>50</v>
          </cell>
          <cell r="G253" t="str">
            <v>MOUTIER</v>
          </cell>
        </row>
        <row r="254">
          <cell r="B254" t="str">
            <v>MOPFFW17</v>
          </cell>
          <cell r="C254" t="str">
            <v>PERFUME FEMININO 27 MY WAY</v>
          </cell>
          <cell r="E254">
            <v>50</v>
          </cell>
          <cell r="G254" t="str">
            <v>MOUTIER</v>
          </cell>
        </row>
        <row r="255">
          <cell r="B255" t="str">
            <v>MOPFFW18</v>
          </cell>
          <cell r="C255" t="str">
            <v>PERFUME FEMININO 28 212 VIP ROSÉ</v>
          </cell>
          <cell r="E255">
            <v>50</v>
          </cell>
          <cell r="G255" t="str">
            <v>MOUTIER</v>
          </cell>
        </row>
        <row r="256">
          <cell r="B256" t="str">
            <v>MOPFFW19</v>
          </cell>
          <cell r="C256" t="str">
            <v>PERFUME FEMININO 30 FANTASY</v>
          </cell>
          <cell r="E256">
            <v>50</v>
          </cell>
          <cell r="G256" t="str">
            <v>MOUTIER</v>
          </cell>
        </row>
        <row r="257">
          <cell r="B257" t="str">
            <v>MOPFFW20</v>
          </cell>
          <cell r="C257" t="str">
            <v>PERFUME FEMININO 32 LIGHT BLUE</v>
          </cell>
          <cell r="E257">
            <v>50</v>
          </cell>
          <cell r="G257" t="str">
            <v>MOUTIER</v>
          </cell>
        </row>
        <row r="258">
          <cell r="B258" t="str">
            <v>MRARBS01</v>
          </cell>
          <cell r="C258" t="str">
            <v>BODY SPLASH AURORA IMPERIAL</v>
          </cell>
          <cell r="E258">
            <v>220</v>
          </cell>
          <cell r="G258" t="str">
            <v>MISS RÔSE</v>
          </cell>
          <cell r="M258">
            <v>48</v>
          </cell>
          <cell r="O258" t="str">
            <v>MR103/D</v>
          </cell>
        </row>
        <row r="259">
          <cell r="B259" t="str">
            <v>MRARBS02</v>
          </cell>
          <cell r="C259" t="str">
            <v>BODY SPLASH DEUSA DO NILO</v>
          </cell>
          <cell r="E259">
            <v>220</v>
          </cell>
          <cell r="G259" t="str">
            <v>MISS RÔSE</v>
          </cell>
          <cell r="M259">
            <v>48</v>
          </cell>
          <cell r="O259" t="str">
            <v>MR103/B</v>
          </cell>
        </row>
        <row r="260">
          <cell r="B260" t="str">
            <v>MRARBS03</v>
          </cell>
          <cell r="C260" t="str">
            <v>BODY SPLASH ECLIPSE DOURADO</v>
          </cell>
          <cell r="E260">
            <v>220</v>
          </cell>
          <cell r="G260" t="str">
            <v>MISS RÔSE</v>
          </cell>
          <cell r="M260">
            <v>48</v>
          </cell>
          <cell r="O260" t="str">
            <v>MR103/C</v>
          </cell>
        </row>
        <row r="261">
          <cell r="B261" t="str">
            <v>MRARBS04</v>
          </cell>
          <cell r="C261" t="str">
            <v>BODY SPLASH NÉCTAR DAS TAMARAS</v>
          </cell>
          <cell r="E261">
            <v>220</v>
          </cell>
          <cell r="G261" t="str">
            <v>MISS RÔSE</v>
          </cell>
          <cell r="M261">
            <v>48</v>
          </cell>
          <cell r="O261" t="str">
            <v>MR103/A</v>
          </cell>
        </row>
        <row r="262">
          <cell r="B262" t="str">
            <v>MRARBS05</v>
          </cell>
          <cell r="C262" t="str">
            <v>BODY SPLASH FORÇA DO LEAO</v>
          </cell>
          <cell r="E262">
            <v>220</v>
          </cell>
          <cell r="G262" t="str">
            <v>MISS RÔSE</v>
          </cell>
          <cell r="M262">
            <v>48</v>
          </cell>
          <cell r="O262" t="str">
            <v>MR125</v>
          </cell>
        </row>
        <row r="263">
          <cell r="B263" t="str">
            <v>MRARBS06</v>
          </cell>
          <cell r="C263" t="str">
            <v>BODY SPLASH CEU INFINITO 200ml</v>
          </cell>
          <cell r="E263">
            <v>215</v>
          </cell>
          <cell r="G263" t="str">
            <v>MISS RÔSE</v>
          </cell>
          <cell r="M263">
            <v>48</v>
          </cell>
          <cell r="O263" t="str">
            <v>MR157/A</v>
          </cell>
        </row>
        <row r="264">
          <cell r="B264" t="str">
            <v>MRARBS07</v>
          </cell>
          <cell r="C264" t="str">
            <v>BODY SPLASH LEAO DO DESERTO BOURBON 200ml</v>
          </cell>
          <cell r="E264">
            <v>215</v>
          </cell>
          <cell r="G264" t="str">
            <v>MISS RÔSE</v>
          </cell>
          <cell r="M264">
            <v>48</v>
          </cell>
          <cell r="O264" t="str">
            <v>MR157/B</v>
          </cell>
        </row>
        <row r="265">
          <cell r="B265" t="str">
            <v>MRARBS08</v>
          </cell>
          <cell r="C265" t="str">
            <v>BODY SPLASH CEU CELESTE 200ml</v>
          </cell>
          <cell r="E265">
            <v>215</v>
          </cell>
          <cell r="G265" t="str">
            <v>MISS RÔSE</v>
          </cell>
          <cell r="M265">
            <v>48</v>
          </cell>
          <cell r="O265" t="str">
            <v>MR157/C</v>
          </cell>
        </row>
        <row r="266">
          <cell r="B266" t="str">
            <v>MRARBS09</v>
          </cell>
          <cell r="C266" t="str">
            <v>BODY SPLASH DESPERTAR DAS FLORES 200ml</v>
          </cell>
          <cell r="E266">
            <v>215</v>
          </cell>
          <cell r="G266" t="str">
            <v>MISS RÔSE</v>
          </cell>
          <cell r="M266">
            <v>48</v>
          </cell>
          <cell r="O266" t="str">
            <v>MR157/D</v>
          </cell>
        </row>
        <row r="267">
          <cell r="B267" t="str">
            <v>MRARBS10</v>
          </cell>
          <cell r="C267" t="str">
            <v>BODY SPLASH AMBAR REAL 200ml</v>
          </cell>
          <cell r="E267">
            <v>215</v>
          </cell>
          <cell r="G267" t="str">
            <v>MISS RÔSE</v>
          </cell>
          <cell r="M267">
            <v>48</v>
          </cell>
          <cell r="O267" t="str">
            <v>MR157/E</v>
          </cell>
        </row>
        <row r="268">
          <cell r="B268" t="str">
            <v>MRARBS11</v>
          </cell>
          <cell r="C268" t="str">
            <v>BODY SPLASH ROSA RAINHA 200ml</v>
          </cell>
          <cell r="E268">
            <v>215</v>
          </cell>
          <cell r="G268" t="str">
            <v>MISS RÔSE</v>
          </cell>
          <cell r="M268">
            <v>48</v>
          </cell>
          <cell r="O268" t="str">
            <v>MR157/F</v>
          </cell>
        </row>
        <row r="269">
          <cell r="B269" t="str">
            <v>MRARBS12</v>
          </cell>
          <cell r="C269" t="str">
            <v>BODY SPLASH FLOR D AURA 200ml</v>
          </cell>
          <cell r="E269">
            <v>215</v>
          </cell>
          <cell r="G269" t="str">
            <v>MISS RÔSE</v>
          </cell>
          <cell r="M269">
            <v>48</v>
          </cell>
          <cell r="O269" t="str">
            <v>MR157/G</v>
          </cell>
        </row>
        <row r="270">
          <cell r="B270" t="str">
            <v>MRARES01</v>
          </cell>
          <cell r="C270" t="str">
            <v>ESFOLIANTE AURORA IMPERIAL</v>
          </cell>
          <cell r="E270">
            <v>250</v>
          </cell>
          <cell r="G270" t="str">
            <v>MISS RÔSE</v>
          </cell>
          <cell r="M270">
            <v>36</v>
          </cell>
        </row>
        <row r="271">
          <cell r="B271" t="str">
            <v>MRARES02</v>
          </cell>
          <cell r="C271" t="str">
            <v>ESFOLIANTE DEUSA DO NILO</v>
          </cell>
          <cell r="E271">
            <v>250</v>
          </cell>
          <cell r="G271" t="str">
            <v>MISS RÔSE</v>
          </cell>
          <cell r="M271">
            <v>36</v>
          </cell>
        </row>
        <row r="272">
          <cell r="B272" t="str">
            <v>MRARHD01</v>
          </cell>
          <cell r="C272" t="str">
            <v>CREME HIDRATANTE CORPORAL AURORA IMPERIAL</v>
          </cell>
          <cell r="E272">
            <v>200</v>
          </cell>
          <cell r="G272" t="str">
            <v>MISS RÔSE</v>
          </cell>
          <cell r="M272">
            <v>48</v>
          </cell>
          <cell r="O272" t="str">
            <v>MR104/D</v>
          </cell>
        </row>
        <row r="273">
          <cell r="B273" t="str">
            <v>MRARHD02</v>
          </cell>
          <cell r="C273" t="str">
            <v>CREME HIDRATANTE CORPORAL DEUSA DO NILO</v>
          </cell>
          <cell r="E273">
            <v>200</v>
          </cell>
          <cell r="G273" t="str">
            <v>MISS RÔSE</v>
          </cell>
          <cell r="M273">
            <v>48</v>
          </cell>
          <cell r="O273" t="str">
            <v>MR104/B</v>
          </cell>
        </row>
        <row r="274">
          <cell r="B274" t="str">
            <v>MRARHD03</v>
          </cell>
          <cell r="C274" t="str">
            <v>CREME HIDRATANTE CORPORAL ECLIPSE DOURADO</v>
          </cell>
          <cell r="E274">
            <v>200</v>
          </cell>
          <cell r="G274" t="str">
            <v>MISS RÔSE</v>
          </cell>
          <cell r="M274">
            <v>48</v>
          </cell>
          <cell r="O274" t="str">
            <v>MR104/C</v>
          </cell>
        </row>
        <row r="275">
          <cell r="B275" t="str">
            <v>MRARHD04</v>
          </cell>
          <cell r="C275" t="str">
            <v>CREME HIDRATANTE CORPORAL NÉCTAR DAS TÂMARAS</v>
          </cell>
          <cell r="E275">
            <v>200</v>
          </cell>
          <cell r="G275" t="str">
            <v>MISS RÔSE</v>
          </cell>
          <cell r="M275">
            <v>48</v>
          </cell>
          <cell r="O275" t="str">
            <v>MR104/A</v>
          </cell>
        </row>
        <row r="276">
          <cell r="B276" t="str">
            <v>MRBR0001</v>
          </cell>
          <cell r="C276" t="str">
            <v xml:space="preserve"> BRUMA MATTE FIX 120ml</v>
          </cell>
          <cell r="E276">
            <v>120</v>
          </cell>
          <cell r="G276" t="str">
            <v>MISS RÔSE</v>
          </cell>
          <cell r="M276">
            <v>120</v>
          </cell>
          <cell r="O276" t="str">
            <v xml:space="preserve"> 8002-700M</v>
          </cell>
        </row>
        <row r="277">
          <cell r="B277" t="str">
            <v>MRFX0001</v>
          </cell>
          <cell r="C277" t="str">
            <v>FIXADOR FIX MATTE 120ml</v>
          </cell>
          <cell r="E277">
            <v>120</v>
          </cell>
          <cell r="G277" t="str">
            <v>MISS RÔSE</v>
          </cell>
          <cell r="M277">
            <v>128</v>
          </cell>
          <cell r="O277" t="str">
            <v xml:space="preserve"> MR004</v>
          </cell>
        </row>
        <row r="278">
          <cell r="B278" t="str">
            <v>PEDECR01</v>
          </cell>
          <cell r="C278" t="str">
            <v>DESODORANTE CREME CALM</v>
          </cell>
          <cell r="E278">
            <v>55</v>
          </cell>
          <cell r="G278" t="str">
            <v>PURO EU</v>
          </cell>
        </row>
        <row r="279">
          <cell r="B279" t="str">
            <v>PEDECR02</v>
          </cell>
          <cell r="C279" t="str">
            <v>DESODORANTE CREME FRESH</v>
          </cell>
          <cell r="E279">
            <v>55</v>
          </cell>
          <cell r="G279" t="str">
            <v>PURO EU</v>
          </cell>
        </row>
        <row r="280">
          <cell r="B280" t="str">
            <v>PEDECR03</v>
          </cell>
          <cell r="C280" t="str">
            <v>DESODORANTE CREME RELAX</v>
          </cell>
          <cell r="E280">
            <v>55</v>
          </cell>
          <cell r="G280" t="str">
            <v>PURO EU</v>
          </cell>
        </row>
        <row r="281">
          <cell r="B281" t="str">
            <v>PEDECR04</v>
          </cell>
          <cell r="C281" t="str">
            <v>DESODORANTE CREME SEM PERFUME</v>
          </cell>
          <cell r="E281">
            <v>55</v>
          </cell>
          <cell r="G281" t="str">
            <v>PURO EU</v>
          </cell>
        </row>
        <row r="282">
          <cell r="B282" t="str">
            <v>PEDECR05</v>
          </cell>
          <cell r="C282" t="str">
            <v>DESODORANTE CREME SENSITIVE</v>
          </cell>
          <cell r="E282">
            <v>55</v>
          </cell>
          <cell r="G282" t="str">
            <v>PURO EU</v>
          </cell>
        </row>
        <row r="283">
          <cell r="B283" t="str">
            <v>PEDERL01</v>
          </cell>
          <cell r="C283" t="str">
            <v>DESODORANTE ROLLON CALM</v>
          </cell>
          <cell r="E283">
            <v>55</v>
          </cell>
          <cell r="G283" t="str">
            <v>PURO EU</v>
          </cell>
        </row>
        <row r="284">
          <cell r="B284" t="str">
            <v>PEDERL02</v>
          </cell>
          <cell r="C284" t="str">
            <v>DESODORANTE ROLLON FRESH</v>
          </cell>
          <cell r="E284">
            <v>55</v>
          </cell>
          <cell r="G284" t="str">
            <v>PURO EU</v>
          </cell>
        </row>
        <row r="285">
          <cell r="B285" t="str">
            <v>PEDERL03</v>
          </cell>
          <cell r="C285" t="str">
            <v>DESODORANTE ROLLON RELAX</v>
          </cell>
          <cell r="E285">
            <v>55</v>
          </cell>
          <cell r="G285" t="str">
            <v>PURO EU</v>
          </cell>
        </row>
        <row r="286">
          <cell r="B286" t="str">
            <v>PEDERL04</v>
          </cell>
          <cell r="C286" t="str">
            <v>DESODORANTE ROLLON SEM PERFUME</v>
          </cell>
          <cell r="E286">
            <v>55</v>
          </cell>
          <cell r="G286" t="str">
            <v>PURO EU</v>
          </cell>
        </row>
        <row r="287">
          <cell r="B287" t="str">
            <v>PEDERL05</v>
          </cell>
          <cell r="C287" t="str">
            <v>DESODORANTE ROLLON SENSITIVE</v>
          </cell>
          <cell r="E287">
            <v>55</v>
          </cell>
          <cell r="G287" t="str">
            <v>PURO EU</v>
          </cell>
        </row>
        <row r="288">
          <cell r="B288" t="str">
            <v>PRF-AFEE-0001</v>
          </cell>
          <cell r="C288" t="str">
            <v>PERFUME NUIT ROYALE INTENSE MAN 30ML</v>
          </cell>
          <cell r="E288">
            <v>30</v>
          </cell>
          <cell r="G288" t="str">
            <v>AFEER OF ARABIAN</v>
          </cell>
        </row>
        <row r="289">
          <cell r="B289" t="str">
            <v>PRF-AFEE-0002</v>
          </cell>
          <cell r="C289" t="str">
            <v>PERFUME FAKHAR BLACK 30ML</v>
          </cell>
          <cell r="E289">
            <v>30</v>
          </cell>
          <cell r="G289" t="str">
            <v>AFEER OF ARABIAN</v>
          </cell>
        </row>
        <row r="290">
          <cell r="B290" t="str">
            <v>PRF-AFEE-0003</v>
          </cell>
          <cell r="C290" t="str">
            <v>PERFUME ASAD AFEER 30ML</v>
          </cell>
          <cell r="E290">
            <v>30</v>
          </cell>
          <cell r="G290" t="str">
            <v>AFEER OF ARABIAN</v>
          </cell>
        </row>
        <row r="291">
          <cell r="B291" t="str">
            <v>PRF-AFEE-0004</v>
          </cell>
          <cell r="C291" t="str">
            <v>PERFUME ASAD ELIXIR 30ML</v>
          </cell>
          <cell r="E291">
            <v>30</v>
          </cell>
          <cell r="G291" t="str">
            <v>AFEER OF ARABIAN</v>
          </cell>
        </row>
        <row r="292">
          <cell r="B292" t="str">
            <v>PRF-AFEE-0005</v>
          </cell>
          <cell r="C292" t="str">
            <v>PERFUME N 1 VIP MAN BLACK 30ML</v>
          </cell>
          <cell r="E292">
            <v>30</v>
          </cell>
          <cell r="G292" t="str">
            <v>AFEER OF ARABIAN</v>
          </cell>
        </row>
        <row r="293">
          <cell r="B293" t="str">
            <v>PRF-AFEE-0006</v>
          </cell>
          <cell r="C293" t="str">
            <v>PERFUME BAD ANGEL 30ML</v>
          </cell>
          <cell r="E293">
            <v>30</v>
          </cell>
          <cell r="G293" t="str">
            <v>AFEER OF ARABIAN</v>
          </cell>
        </row>
        <row r="294">
          <cell r="B294" t="str">
            <v>PRF-AFEE-0007</v>
          </cell>
          <cell r="C294" t="str">
            <v>PERFUME BLEU AFEER 30ML</v>
          </cell>
          <cell r="E294">
            <v>30</v>
          </cell>
          <cell r="G294" t="str">
            <v>AFEER OF ARABIAN</v>
          </cell>
        </row>
        <row r="295">
          <cell r="B295" t="str">
            <v>PRF-AFEE-0008</v>
          </cell>
          <cell r="C295" t="str">
            <v>PERFUME SHARIS 30ML</v>
          </cell>
          <cell r="E295">
            <v>30</v>
          </cell>
          <cell r="G295" t="str">
            <v>AFEER OF ARABIAN</v>
          </cell>
        </row>
        <row r="296">
          <cell r="B296" t="str">
            <v>PRF-AFEE-0009</v>
          </cell>
          <cell r="C296" t="str">
            <v>PERFUME ALTAR AL WESAL 30ML</v>
          </cell>
          <cell r="E296">
            <v>30</v>
          </cell>
          <cell r="G296" t="str">
            <v>AFEER OF ARABIAN</v>
          </cell>
        </row>
        <row r="297">
          <cell r="B297" t="str">
            <v>PRF-AFEE-0010</v>
          </cell>
          <cell r="C297" t="str">
            <v>PERFUME FAKHAR ROSE 30ML</v>
          </cell>
          <cell r="E297">
            <v>30</v>
          </cell>
          <cell r="G297" t="str">
            <v>AFEER OF ARABIAN</v>
          </cell>
        </row>
        <row r="298">
          <cell r="B298" t="str">
            <v>PRF-AFEE-0011</v>
          </cell>
          <cell r="C298" t="str">
            <v>PERFUME YARA MOI 30ML</v>
          </cell>
          <cell r="E298">
            <v>30</v>
          </cell>
          <cell r="G298" t="str">
            <v>AFEER OF ARABIAN</v>
          </cell>
        </row>
        <row r="299">
          <cell r="B299" t="str">
            <v>PRF-AFEE-0012</v>
          </cell>
          <cell r="C299" t="str">
            <v>PERFUME ANGEL 30ML</v>
          </cell>
          <cell r="E299">
            <v>30</v>
          </cell>
          <cell r="G299" t="str">
            <v>AFEER OF ARABIAN</v>
          </cell>
        </row>
        <row r="300">
          <cell r="B300" t="str">
            <v>PRF-AFEE-0013</v>
          </cell>
          <cell r="C300" t="str">
            <v>PERFUME NIGHT BLUE 30ML</v>
          </cell>
          <cell r="E300">
            <v>30</v>
          </cell>
          <cell r="G300" t="str">
            <v>AFEER OF ARABIAN</v>
          </cell>
        </row>
        <row r="301">
          <cell r="B301" t="str">
            <v>PRF-AFEE-0014</v>
          </cell>
          <cell r="C301" t="str">
            <v>PERFUME ZAFIYR 30ML</v>
          </cell>
          <cell r="E301">
            <v>30</v>
          </cell>
          <cell r="G301" t="str">
            <v>AFEER OF ARABIAN</v>
          </cell>
        </row>
        <row r="302">
          <cell r="B302" t="str">
            <v>PRF-AFEE-0015</v>
          </cell>
          <cell r="C302" t="str">
            <v>PERFUME DELILAH 30ML</v>
          </cell>
          <cell r="E302">
            <v>30</v>
          </cell>
          <cell r="G302" t="str">
            <v>AFEER OF ARABIAN</v>
          </cell>
        </row>
        <row r="303">
          <cell r="B303" t="str">
            <v>PRF-AFEE-0016</v>
          </cell>
          <cell r="C303" t="str">
            <v>PERFUME YARA 30ML</v>
          </cell>
          <cell r="E303">
            <v>30</v>
          </cell>
          <cell r="G303" t="str">
            <v>AFEER OF ARABIAN</v>
          </cell>
        </row>
        <row r="304">
          <cell r="B304" t="str">
            <v>PRF-AFEE-0017</v>
          </cell>
          <cell r="C304" t="str">
            <v>PERFUME YARA ELIXIR 30ML</v>
          </cell>
          <cell r="E304">
            <v>30</v>
          </cell>
          <cell r="G304" t="str">
            <v>AFEER OF ARABIAN</v>
          </cell>
        </row>
        <row r="305">
          <cell r="B305" t="str">
            <v>PRF-AFEE-0018</v>
          </cell>
          <cell r="C305" t="str">
            <v>PERFUME SABAH SUGAR 30ML</v>
          </cell>
          <cell r="E305">
            <v>30</v>
          </cell>
          <cell r="G305" t="str">
            <v>AFEER OF ARABIAN</v>
          </cell>
        </row>
        <row r="306">
          <cell r="B306" t="str">
            <v>PRF-AFEE-0019</v>
          </cell>
          <cell r="C306" t="str">
            <v>PERFUME SABAH AL WARD 30ML</v>
          </cell>
          <cell r="E306">
            <v>30</v>
          </cell>
          <cell r="G306" t="str">
            <v>AFEER OF ARABIAN</v>
          </cell>
        </row>
        <row r="307">
          <cell r="B307" t="str">
            <v>PRF-AFEE-0020</v>
          </cell>
          <cell r="C307" t="str">
            <v>PERFUME MISSDANCE 16 30ML</v>
          </cell>
          <cell r="E307">
            <v>30</v>
          </cell>
          <cell r="G307" t="str">
            <v>AFEER OF ARABIAN</v>
          </cell>
        </row>
        <row r="308">
          <cell r="B308" t="str">
            <v>PRF-AFEE-0021</v>
          </cell>
          <cell r="C308" t="str">
            <v>PERFUME IZAAH 30ML</v>
          </cell>
          <cell r="E308">
            <v>30</v>
          </cell>
          <cell r="G308" t="str">
            <v>AFEER OF ARABIAN</v>
          </cell>
        </row>
        <row r="309">
          <cell r="B309" t="str">
            <v>PRF-AFEE-0022</v>
          </cell>
          <cell r="C309" t="str">
            <v>PERFUME NUIT ROYALE WOMAN 30ML</v>
          </cell>
          <cell r="E309">
            <v>30</v>
          </cell>
          <cell r="G309" t="str">
            <v>AFEER OF ARABIAN</v>
          </cell>
        </row>
        <row r="310">
          <cell r="B310" t="str">
            <v>PRF-AFEE-0023</v>
          </cell>
          <cell r="C310" t="str">
            <v>PERFUME N 1 VIP ROSE 30ML</v>
          </cell>
          <cell r="E310">
            <v>30</v>
          </cell>
          <cell r="G310" t="str">
            <v>AFEER OF ARABIAN</v>
          </cell>
        </row>
        <row r="311">
          <cell r="B311" t="str">
            <v>PRF-AFEE-0024</v>
          </cell>
          <cell r="C311" t="str">
            <v>PERFUME AL NOBLE 30ML</v>
          </cell>
          <cell r="E311">
            <v>30</v>
          </cell>
          <cell r="G311" t="str">
            <v>AFEER OF ARABIAN</v>
          </cell>
        </row>
        <row r="312">
          <cell r="B312" t="str">
            <v>PRF-AFEE-0025</v>
          </cell>
          <cell r="C312" t="str">
            <v>PERFUME ASAD BOURBON 30ML</v>
          </cell>
          <cell r="E312">
            <v>30</v>
          </cell>
          <cell r="G312" t="str">
            <v>AFEER OF ARABIAN</v>
          </cell>
        </row>
        <row r="313">
          <cell r="B313" t="str">
            <v>PRF-AFEE-0026</v>
          </cell>
          <cell r="C313" t="str">
            <v>PERFUME ROYAL AMBER 30ML</v>
          </cell>
          <cell r="E313">
            <v>30</v>
          </cell>
          <cell r="G313" t="str">
            <v>AFEER OF ARABIAN</v>
          </cell>
        </row>
        <row r="314">
          <cell r="B314" t="str">
            <v>PRF-AFEE-0027</v>
          </cell>
          <cell r="C314" t="str">
            <v>PERFUME MUSAMAM 30ML</v>
          </cell>
          <cell r="E314">
            <v>30</v>
          </cell>
          <cell r="G314" t="str">
            <v>AFEER OF ARABIAN</v>
          </cell>
        </row>
        <row r="315">
          <cell r="B315" t="str">
            <v>PRF-AFEE-0028</v>
          </cell>
          <cell r="C315" t="str">
            <v>PERFUME ZANZIBAR 30ML</v>
          </cell>
          <cell r="E315">
            <v>30</v>
          </cell>
          <cell r="G315" t="str">
            <v>AFEER OF ARABIAN</v>
          </cell>
        </row>
        <row r="316">
          <cell r="B316" t="str">
            <v>PRF-AFEE-0029</v>
          </cell>
          <cell r="C316" t="str">
            <v>PERFUME SIDORE 30ML</v>
          </cell>
          <cell r="E316">
            <v>30</v>
          </cell>
          <cell r="G316" t="str">
            <v>AFEER OF ARABIAN</v>
          </cell>
        </row>
        <row r="317">
          <cell r="B317" t="str">
            <v>PRF-AFEE-0030</v>
          </cell>
          <cell r="C317" t="str">
            <v>PERFUME T-GOLD 30ML</v>
          </cell>
          <cell r="E317">
            <v>30</v>
          </cell>
          <cell r="G317" t="str">
            <v>AFEER OF ARABIAN</v>
          </cell>
        </row>
        <row r="318">
          <cell r="B318" t="str">
            <v>PRF-AFEE-0031</v>
          </cell>
          <cell r="C318" t="str">
            <v>PERFUME ABELHINHA 30ML</v>
          </cell>
          <cell r="E318">
            <v>30</v>
          </cell>
          <cell r="G318" t="str">
            <v>AFEER OF ARABIAN</v>
          </cell>
        </row>
        <row r="319">
          <cell r="B319" t="str">
            <v>PRF-AFEE-0032</v>
          </cell>
          <cell r="C319" t="str">
            <v>PERFUME TAWUS 30ML</v>
          </cell>
          <cell r="E319">
            <v>30</v>
          </cell>
          <cell r="G319" t="str">
            <v>AFEER OF ARABIAN</v>
          </cell>
        </row>
        <row r="320">
          <cell r="B320" t="str">
            <v>PRF-AFEE-0033</v>
          </cell>
          <cell r="C320" t="str">
            <v>PERFUME LEA 30ML</v>
          </cell>
          <cell r="E320">
            <v>30</v>
          </cell>
          <cell r="G320" t="str">
            <v>AFEER OF ARABIAN</v>
          </cell>
        </row>
        <row r="321">
          <cell r="B321" t="str">
            <v>PRF-AFEE-0034</v>
          </cell>
          <cell r="C321" t="str">
            <v>PERFUME DALAL 30ML</v>
          </cell>
          <cell r="E321">
            <v>30</v>
          </cell>
          <cell r="G321" t="str">
            <v>AFEER OF ARABIAN</v>
          </cell>
        </row>
        <row r="322">
          <cell r="B322" t="str">
            <v>PRF-AFEE-0035</v>
          </cell>
          <cell r="C322" t="str">
            <v>PERFUME SUPREMACY 30ML</v>
          </cell>
          <cell r="E322">
            <v>30</v>
          </cell>
          <cell r="G322" t="str">
            <v>AFEER OF ARABIAN</v>
          </cell>
        </row>
        <row r="323">
          <cell r="B323" t="str">
            <v>PRF-MENE-0001</v>
          </cell>
          <cell r="C323" t="str">
            <v>PERFUME WHITE DRESS 100ML</v>
          </cell>
          <cell r="E323">
            <v>100</v>
          </cell>
          <cell r="G323" t="str">
            <v>MENELA</v>
          </cell>
          <cell r="M323">
            <v>24</v>
          </cell>
        </row>
        <row r="324">
          <cell r="B324" t="str">
            <v>PRF-ROSA-0001</v>
          </cell>
          <cell r="C324" t="str">
            <v>PERFUME FEMININO GOOD GIRL 50ML</v>
          </cell>
          <cell r="E324">
            <v>50</v>
          </cell>
          <cell r="G324" t="str">
            <v>ROSA RAINHA</v>
          </cell>
        </row>
        <row r="325">
          <cell r="B325" t="str">
            <v>PRF-ROSA-0002</v>
          </cell>
          <cell r="C325" t="str">
            <v>PERFUME MASCULINO ONE MILLION 50ML</v>
          </cell>
          <cell r="E325">
            <v>50</v>
          </cell>
          <cell r="G325" t="str">
            <v>ROSA RAINHA</v>
          </cell>
        </row>
        <row r="326">
          <cell r="B326" t="str">
            <v>PRF-ROSA-0003</v>
          </cell>
          <cell r="C326" t="str">
            <v>PERFUME MASCULINO 212 VIP BLACK 50ML</v>
          </cell>
          <cell r="E326">
            <v>50</v>
          </cell>
          <cell r="G326" t="str">
            <v>ROSA RAINHA</v>
          </cell>
        </row>
        <row r="327">
          <cell r="B327" t="str">
            <v>PRF-ROSA-0004</v>
          </cell>
          <cell r="C327" t="str">
            <v>PERFUME FEMININO FANTASY 50ML</v>
          </cell>
          <cell r="E327">
            <v>50</v>
          </cell>
          <cell r="G327" t="str">
            <v>ROSA RAINHA</v>
          </cell>
        </row>
        <row r="328">
          <cell r="B328" t="str">
            <v>PRF-ROSA-0005</v>
          </cell>
          <cell r="C328" t="str">
            <v>PERFUME FEMININO SCANDAL 50ML</v>
          </cell>
          <cell r="E328">
            <v>50</v>
          </cell>
          <cell r="G328" t="str">
            <v>ROSA RAINHA</v>
          </cell>
        </row>
        <row r="329">
          <cell r="B329" t="str">
            <v>PRF-VELL-0001</v>
          </cell>
          <cell r="C329" t="str">
            <v>PERFUME SALVOH 15 ML</v>
          </cell>
          <cell r="E329">
            <v>15</v>
          </cell>
          <cell r="G329" t="str">
            <v>VELLARIS ESSENCE</v>
          </cell>
        </row>
        <row r="330">
          <cell r="B330" t="str">
            <v>PRF-VELL-0002</v>
          </cell>
          <cell r="C330" t="str">
            <v>PERFUME YARAH 15 ML</v>
          </cell>
          <cell r="E330">
            <v>15</v>
          </cell>
          <cell r="G330" t="str">
            <v>VELLARIS ESSENCE</v>
          </cell>
        </row>
        <row r="331">
          <cell r="B331" t="str">
            <v>PRF-VELL-0003</v>
          </cell>
          <cell r="C331" t="str">
            <v>PERFUME SABAAH 15 ML</v>
          </cell>
          <cell r="E331">
            <v>15</v>
          </cell>
          <cell r="G331" t="str">
            <v>VELLARIS ESSENCE</v>
          </cell>
        </row>
        <row r="332">
          <cell r="B332" t="str">
            <v>PRF-VELL-0004</v>
          </cell>
          <cell r="C332" t="str">
            <v>PERFUME FAAKAR ROSEÉ 15 ML</v>
          </cell>
          <cell r="E332">
            <v>15</v>
          </cell>
          <cell r="G332" t="str">
            <v>VELLARIS ESSENCE</v>
          </cell>
        </row>
        <row r="333">
          <cell r="B333" t="str">
            <v>PRF-VELL-0005</v>
          </cell>
          <cell r="C333" t="str">
            <v>PERFUME ATEERH 15 ML</v>
          </cell>
          <cell r="E333">
            <v>15</v>
          </cell>
          <cell r="G333" t="str">
            <v>VELLARIS ESSENCE</v>
          </cell>
        </row>
        <row r="334">
          <cell r="B334" t="str">
            <v>PRF-VELL-0006</v>
          </cell>
          <cell r="C334" t="str">
            <v>PERFUME CLUB NUITÈ 15 ML</v>
          </cell>
          <cell r="E334">
            <v>15</v>
          </cell>
          <cell r="G334" t="str">
            <v>VELLARIS ESSENCE</v>
          </cell>
        </row>
        <row r="335">
          <cell r="B335" t="str">
            <v>PRF-VELL-0007</v>
          </cell>
          <cell r="C335" t="str">
            <v>PERFUME L'ÉCLAIRE 15 ML</v>
          </cell>
          <cell r="E335">
            <v>15</v>
          </cell>
          <cell r="G335" t="str">
            <v>VELLARIS ESSENCE</v>
          </cell>
        </row>
        <row r="336">
          <cell r="B336" t="str">
            <v>PRF-VELL-0008</v>
          </cell>
          <cell r="C336" t="str">
            <v>PERFUME COCO MOISELLE 15 ML</v>
          </cell>
          <cell r="E336">
            <v>15</v>
          </cell>
          <cell r="G336" t="str">
            <v>VELLARIS ESSENCE</v>
          </cell>
        </row>
        <row r="337">
          <cell r="B337" t="str">
            <v>PRF-VELL-0009</v>
          </cell>
          <cell r="C337" t="str">
            <v>PERFUME AZUUR FANTASIS 15 ML</v>
          </cell>
          <cell r="E337">
            <v>15</v>
          </cell>
          <cell r="G337" t="str">
            <v>VELLARIS ESSENCE</v>
          </cell>
        </row>
        <row r="338">
          <cell r="B338" t="str">
            <v>PRF-VELL-0010</v>
          </cell>
          <cell r="C338" t="str">
            <v>PERFUME ASAAD 15 ML</v>
          </cell>
          <cell r="E338">
            <v>15</v>
          </cell>
          <cell r="G338" t="str">
            <v>VELLARIS ESSENCE</v>
          </cell>
        </row>
        <row r="339">
          <cell r="B339" t="str">
            <v>RETRAB01</v>
          </cell>
          <cell r="C339" t="str">
            <v>RE.PERFUMES 15ML - TROCA DE CAIXINHA E INKJET</v>
          </cell>
          <cell r="E339">
            <v>15</v>
          </cell>
          <cell r="G339" t="str">
            <v>LUCROSS</v>
          </cell>
        </row>
        <row r="340">
          <cell r="B340" t="str">
            <v>RETRAB02</v>
          </cell>
          <cell r="C340" t="str">
            <v>RE.ESFOLIANTE ARABE ECLIPSE E AURORA</v>
          </cell>
          <cell r="E340">
            <v>200</v>
          </cell>
          <cell r="G340" t="str">
            <v>MISS RÔSE</v>
          </cell>
          <cell r="M340">
            <v>36</v>
          </cell>
        </row>
        <row r="341">
          <cell r="B341" t="str">
            <v>RETRAB03</v>
          </cell>
          <cell r="C341" t="str">
            <v>RE.BODY SPLASH B.BALM</v>
          </cell>
          <cell r="E341">
            <v>250</v>
          </cell>
          <cell r="G341" t="str">
            <v>BIOFLORA</v>
          </cell>
        </row>
        <row r="342">
          <cell r="B342" t="str">
            <v>RETRAB04</v>
          </cell>
          <cell r="C342" t="str">
            <v>RE.SHAMPOO PASSO 1</v>
          </cell>
          <cell r="E342">
            <v>1000</v>
          </cell>
          <cell r="G342" t="str">
            <v>KURYOS</v>
          </cell>
          <cell r="M342">
            <v>8</v>
          </cell>
        </row>
        <row r="343">
          <cell r="B343" t="str">
            <v>RETRAB05</v>
          </cell>
          <cell r="C343" t="str">
            <v>RE.PROGRESSIVA PASSO 2</v>
          </cell>
          <cell r="E343">
            <v>1000</v>
          </cell>
          <cell r="G343" t="str">
            <v>KURYOS</v>
          </cell>
          <cell r="M343">
            <v>8</v>
          </cell>
        </row>
        <row r="344">
          <cell r="B344" t="str">
            <v>RETRAB06</v>
          </cell>
          <cell r="C344" t="str">
            <v>RE.BODY SPLASH DAPOP HONEY GLOW</v>
          </cell>
          <cell r="E344">
            <v>120</v>
          </cell>
          <cell r="G344" t="str">
            <v>DAPOP</v>
          </cell>
          <cell r="M344">
            <v>60</v>
          </cell>
        </row>
        <row r="345">
          <cell r="B345" t="str">
            <v>RETRAB07</v>
          </cell>
          <cell r="C345" t="str">
            <v>RE.BODY SPLASH LEAO DO DESERTO BOURBON 200ml</v>
          </cell>
          <cell r="E345">
            <v>215</v>
          </cell>
          <cell r="G345" t="str">
            <v>MISS RÔSE</v>
          </cell>
          <cell r="M345">
            <v>48</v>
          </cell>
          <cell r="O345" t="str">
            <v>MR157/B</v>
          </cell>
        </row>
        <row r="346">
          <cell r="B346" t="str">
            <v>SAGLBS01</v>
          </cell>
          <cell r="C346" t="str">
            <v>BODY SPLASH BAUNILHA COM COCO BRONZE GLOW</v>
          </cell>
          <cell r="E346">
            <v>100</v>
          </cell>
          <cell r="G346" t="str">
            <v>SAFIRA</v>
          </cell>
        </row>
        <row r="347">
          <cell r="B347" t="str">
            <v>SAGLBS02</v>
          </cell>
          <cell r="C347" t="str">
            <v>BODY SPLASH DAMASCO COM COCO BRONZE GLOW</v>
          </cell>
          <cell r="E347">
            <v>100</v>
          </cell>
          <cell r="G347" t="str">
            <v>SAFIRA</v>
          </cell>
        </row>
        <row r="348">
          <cell r="B348" t="str">
            <v>SAGLBS03</v>
          </cell>
          <cell r="C348" t="str">
            <v>BODY SPLASH MANGA GOLD SHINE GLOW</v>
          </cell>
          <cell r="E348">
            <v>100</v>
          </cell>
          <cell r="G348" t="str">
            <v>SAFIRA</v>
          </cell>
        </row>
        <row r="349">
          <cell r="B349" t="str">
            <v>SAMTBS01</v>
          </cell>
          <cell r="C349" t="str">
            <v>BODY SPLASH MATTE BAUNILHA TROPICAL</v>
          </cell>
          <cell r="E349">
            <v>100</v>
          </cell>
          <cell r="G349" t="str">
            <v>SAFIRA</v>
          </cell>
        </row>
        <row r="350">
          <cell r="B350" t="str">
            <v>SAMTBS02</v>
          </cell>
          <cell r="C350" t="str">
            <v>BODY SPLASH MATTE PÊSSEGO</v>
          </cell>
          <cell r="E350">
            <v>100</v>
          </cell>
          <cell r="G350" t="str">
            <v>SAFIRA</v>
          </cell>
        </row>
        <row r="351">
          <cell r="B351" t="str">
            <v>SAMTBS03</v>
          </cell>
          <cell r="C351" t="str">
            <v>BODY SPLASH MATTE PITAYA</v>
          </cell>
          <cell r="E351">
            <v>100</v>
          </cell>
          <cell r="G351" t="str">
            <v>SAFIRA</v>
          </cell>
        </row>
        <row r="352">
          <cell r="B352" t="str">
            <v>SASCDM01</v>
          </cell>
          <cell r="C352" t="str">
            <v>SABONETE DEMAQUILANTE PITAYA</v>
          </cell>
          <cell r="E352">
            <v>100</v>
          </cell>
          <cell r="G352" t="str">
            <v>SAFIRA</v>
          </cell>
          <cell r="M352">
            <v>48</v>
          </cell>
        </row>
        <row r="353">
          <cell r="B353" t="str">
            <v>SASCDM02</v>
          </cell>
          <cell r="C353" t="str">
            <v>SABONETE DEMAQUILANTE VITAMINA C</v>
          </cell>
          <cell r="E353">
            <v>100</v>
          </cell>
          <cell r="G353" t="str">
            <v>SAFIRA</v>
          </cell>
          <cell r="M353">
            <v>48</v>
          </cell>
        </row>
        <row r="354">
          <cell r="B354" t="str">
            <v>SASCES01</v>
          </cell>
          <cell r="C354" t="str">
            <v>ESFOLIANTE FACIAL PITAYA</v>
          </cell>
          <cell r="E354">
            <v>100</v>
          </cell>
          <cell r="G354" t="str">
            <v>SAFIRA</v>
          </cell>
          <cell r="M354">
            <v>48</v>
          </cell>
        </row>
        <row r="355">
          <cell r="B355" t="str">
            <v>SASCES02</v>
          </cell>
          <cell r="C355" t="str">
            <v>ESFOLIANTE FACIAL VITAMINA C</v>
          </cell>
          <cell r="E355">
            <v>100</v>
          </cell>
          <cell r="G355" t="str">
            <v>SAFIRA</v>
          </cell>
          <cell r="M355">
            <v>48</v>
          </cell>
        </row>
        <row r="356">
          <cell r="B356" t="str">
            <v>SASCGF01</v>
          </cell>
          <cell r="C356" t="str">
            <v>GEL FACIAL ANTI OLEOSIDADE PITAYA</v>
          </cell>
          <cell r="E356">
            <v>100</v>
          </cell>
          <cell r="G356" t="str">
            <v>SAFIRA</v>
          </cell>
          <cell r="M356">
            <v>48</v>
          </cell>
        </row>
        <row r="357">
          <cell r="B357" t="str">
            <v>SASCGF02</v>
          </cell>
          <cell r="C357" t="str">
            <v>GEL FACIAL ANTI OLEOSIDADE VITAMINA C</v>
          </cell>
          <cell r="E357">
            <v>100</v>
          </cell>
          <cell r="G357" t="str">
            <v>SAFIRA</v>
          </cell>
          <cell r="M357">
            <v>48</v>
          </cell>
        </row>
        <row r="358">
          <cell r="B358" t="str">
            <v>WKBM0001</v>
          </cell>
          <cell r="C358" t="str">
            <v>BRUMA MATTE #ENTREGOUTUDOO 120ml</v>
          </cell>
          <cell r="E358">
            <v>120</v>
          </cell>
          <cell r="G358" t="str">
            <v>WIKE MAKE</v>
          </cell>
          <cell r="M358">
            <v>72</v>
          </cell>
          <cell r="O358" t="str">
            <v xml:space="preserve"> WM0038</v>
          </cell>
        </row>
        <row r="359">
          <cell r="B359" t="str">
            <v>WKBS0001</v>
          </cell>
          <cell r="C359" t="str">
            <v>BODY SPLASH DESERTO DOURADO 120ml</v>
          </cell>
          <cell r="E359">
            <v>120</v>
          </cell>
          <cell r="G359" t="str">
            <v>WIKE MAKE</v>
          </cell>
          <cell r="M359">
            <v>48</v>
          </cell>
          <cell r="O359" t="str">
            <v>WM0059/A</v>
          </cell>
        </row>
        <row r="360">
          <cell r="B360" t="str">
            <v>WKBS0002</v>
          </cell>
          <cell r="C360" t="str">
            <v>BODY SPLASH JARDIM DO ORIENTE 120ml</v>
          </cell>
          <cell r="E360">
            <v>120</v>
          </cell>
          <cell r="G360" t="str">
            <v>WIKE MAKE</v>
          </cell>
          <cell r="M360">
            <v>48</v>
          </cell>
          <cell r="O360" t="str">
            <v>WM0059/B</v>
          </cell>
        </row>
        <row r="361">
          <cell r="B361" t="str">
            <v>WKBS0003</v>
          </cell>
          <cell r="C361" t="str">
            <v>BODY SPLASH NOITE DE AMBAR 120ml</v>
          </cell>
          <cell r="E361">
            <v>120</v>
          </cell>
          <cell r="G361" t="str">
            <v>WIKE MAKE</v>
          </cell>
          <cell r="M361">
            <v>48</v>
          </cell>
          <cell r="O361" t="str">
            <v>WM0059/C</v>
          </cell>
        </row>
        <row r="362">
          <cell r="B362" t="str">
            <v>WKBS0004</v>
          </cell>
          <cell r="C362" t="str">
            <v>BODY SPLASH LINDA VIDA 120ml</v>
          </cell>
          <cell r="E362">
            <v>120</v>
          </cell>
          <cell r="G362" t="str">
            <v>WIKE MAKE</v>
          </cell>
          <cell r="M362">
            <v>48</v>
          </cell>
          <cell r="O362" t="str">
            <v>WM0060/A</v>
          </cell>
        </row>
        <row r="363">
          <cell r="B363" t="str">
            <v>WKBS0005</v>
          </cell>
          <cell r="C363" t="str">
            <v>BODY SPLASH CLAIRE 120ml</v>
          </cell>
          <cell r="E363">
            <v>120</v>
          </cell>
          <cell r="G363" t="str">
            <v>WIKE MAKE</v>
          </cell>
          <cell r="M363">
            <v>48</v>
          </cell>
          <cell r="O363" t="str">
            <v>WM0060/B</v>
          </cell>
        </row>
        <row r="364">
          <cell r="B364" t="str">
            <v>WKBS0006</v>
          </cell>
          <cell r="C364" t="str">
            <v>BODY SPLASH IDOLA 120ml</v>
          </cell>
          <cell r="E364">
            <v>120</v>
          </cell>
          <cell r="G364" t="str">
            <v>WIKE MAKE</v>
          </cell>
          <cell r="M364">
            <v>48</v>
          </cell>
          <cell r="O364" t="str">
            <v>WM0060/C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3820-BB1C-47B8-A722-D517FBBEF4AC}">
  <sheetPr codeName="Sheet1">
    <pageSetUpPr fitToPage="1"/>
  </sheetPr>
  <dimension ref="A1:O46"/>
  <sheetViews>
    <sheetView showGridLines="0" tabSelected="1" view="pageBreakPreview" zoomScaleNormal="100" zoomScaleSheetLayoutView="100" workbookViewId="0">
      <selection activeCell="B24" sqref="B24"/>
    </sheetView>
  </sheetViews>
  <sheetFormatPr defaultColWidth="8.7109375" defaultRowHeight="15.75" x14ac:dyDescent="0.25"/>
  <cols>
    <col min="1" max="1" width="18.28515625" style="1" customWidth="1"/>
    <col min="2" max="2" width="15.28515625" style="1" customWidth="1"/>
    <col min="3" max="3" width="15.42578125" style="1" customWidth="1"/>
    <col min="4" max="4" width="42.28515625" style="1" customWidth="1"/>
    <col min="5" max="5" width="12.85546875" style="1" bestFit="1" customWidth="1"/>
    <col min="6" max="6" width="13.7109375" style="3" customWidth="1"/>
    <col min="7" max="7" width="9.140625" style="3" customWidth="1"/>
    <col min="8" max="8" width="8.7109375" style="1"/>
    <col min="9" max="9" width="13.7109375" style="1" customWidth="1"/>
    <col min="10" max="10" width="17" style="1" customWidth="1"/>
    <col min="11" max="11" width="8.7109375" style="1"/>
    <col min="12" max="12" width="15.5703125" style="1" customWidth="1"/>
    <col min="13" max="13" width="17" style="1" customWidth="1"/>
    <col min="14" max="16384" width="8.7109375" style="1"/>
  </cols>
  <sheetData>
    <row r="1" spans="1:15" ht="17.25" customHeight="1" x14ac:dyDescent="0.25">
      <c r="A1" s="170"/>
      <c r="B1" s="19"/>
      <c r="C1" s="20"/>
      <c r="D1" s="20"/>
      <c r="E1" s="20"/>
      <c r="F1" s="166" t="s">
        <v>0</v>
      </c>
      <c r="G1" s="513" t="b">
        <v>0</v>
      </c>
    </row>
    <row r="2" spans="1:15" ht="36" customHeight="1" x14ac:dyDescent="0.25">
      <c r="A2" s="170"/>
      <c r="B2" s="20"/>
      <c r="C2" s="167" t="s">
        <v>128</v>
      </c>
      <c r="D2" s="21"/>
      <c r="E2" s="20"/>
      <c r="F2" s="373" t="s">
        <v>165</v>
      </c>
      <c r="G2" s="149"/>
    </row>
    <row r="3" spans="1:15" ht="10.5" customHeight="1" x14ac:dyDescent="0.25">
      <c r="A3" s="170"/>
      <c r="B3" s="20"/>
      <c r="C3" s="20"/>
      <c r="D3" s="20"/>
      <c r="E3" s="20"/>
      <c r="F3" s="2"/>
      <c r="G3" s="2"/>
    </row>
    <row r="4" spans="1:15" ht="15" customHeight="1" x14ac:dyDescent="0.25"/>
    <row r="5" spans="1:15" ht="18.75" customHeight="1" x14ac:dyDescent="0.25">
      <c r="A5" s="363" t="s">
        <v>1</v>
      </c>
      <c r="B5" s="322" t="s">
        <v>103</v>
      </c>
      <c r="C5" s="4"/>
      <c r="D5" s="4"/>
      <c r="E5" s="4"/>
      <c r="F5" s="5"/>
      <c r="G5" s="6"/>
      <c r="O5" s="338"/>
    </row>
    <row r="6" spans="1:15" x14ac:dyDescent="0.25">
      <c r="A6" s="363" t="s">
        <v>2</v>
      </c>
      <c r="B6" s="370" t="s">
        <v>3</v>
      </c>
      <c r="C6" s="7"/>
      <c r="D6" s="7"/>
      <c r="E6" s="8"/>
      <c r="F6" s="371" t="s">
        <v>141</v>
      </c>
      <c r="G6" s="320"/>
    </row>
    <row r="7" spans="1:15" ht="18" customHeight="1" x14ac:dyDescent="0.25">
      <c r="A7" s="475">
        <v>46205</v>
      </c>
      <c r="B7" s="9" t="str">
        <f>INDEX([1]Produtos!$G:$G,MATCH(B11,[1]Produtos!$C:$C,0))</f>
        <v>MISS RÔSE</v>
      </c>
      <c r="C7" s="10"/>
      <c r="D7" s="10"/>
      <c r="E7" s="278"/>
      <c r="F7" s="546">
        <f>'ORDEM DE ENVASE'!B7</f>
        <v>47301</v>
      </c>
      <c r="G7" s="323"/>
    </row>
    <row r="8" spans="1:15" ht="8.25" customHeight="1" x14ac:dyDescent="0.25">
      <c r="A8" s="509"/>
    </row>
    <row r="9" spans="1:15" ht="18" customHeight="1" x14ac:dyDescent="0.25">
      <c r="A9" s="22" t="s">
        <v>4</v>
      </c>
      <c r="B9" s="23"/>
      <c r="C9" s="23"/>
      <c r="D9" s="23"/>
      <c r="E9" s="23"/>
      <c r="F9" s="23"/>
      <c r="G9" s="24"/>
      <c r="M9" s="338"/>
    </row>
    <row r="10" spans="1:15" x14ac:dyDescent="0.25">
      <c r="A10" s="363" t="s">
        <v>134</v>
      </c>
      <c r="B10" s="544" t="s">
        <v>5</v>
      </c>
      <c r="C10" s="365"/>
      <c r="D10" s="366"/>
      <c r="E10" s="363" t="s">
        <v>7</v>
      </c>
      <c r="F10" s="363" t="s">
        <v>119</v>
      </c>
      <c r="G10" s="369" t="s">
        <v>120</v>
      </c>
      <c r="M10" s="341"/>
    </row>
    <row r="11" spans="1:15" ht="25.5" customHeight="1" x14ac:dyDescent="0.25">
      <c r="A11" s="562" t="str">
        <f>INDEX([1]Produtos!$B:$B,MATCH(B11,[1]Produtos!$C:$C,0))</f>
        <v>MRARBS10</v>
      </c>
      <c r="B11" s="615" t="s">
        <v>166</v>
      </c>
      <c r="C11" s="276"/>
      <c r="D11" s="277"/>
      <c r="E11" s="476">
        <v>4608</v>
      </c>
      <c r="F11" s="349">
        <f>INDEX([1]Produtos!$E:$E,MATCH(B11,[1]Produtos!$C:$C,0))/1000</f>
        <v>0.215</v>
      </c>
      <c r="G11" s="348">
        <v>1</v>
      </c>
      <c r="H11" s="110"/>
    </row>
    <row r="12" spans="1:15" x14ac:dyDescent="0.25">
      <c r="A12" s="497" t="str">
        <f>INDEX([1]Produtos!$O:$O,MATCH(B11,[1]Produtos!$C:$C,0))</f>
        <v>MR157/E</v>
      </c>
    </row>
    <row r="13" spans="1:15" x14ac:dyDescent="0.25">
      <c r="A13" s="25" t="s">
        <v>9</v>
      </c>
      <c r="B13" s="25"/>
      <c r="C13" s="25"/>
      <c r="D13" s="25"/>
      <c r="E13" s="25"/>
      <c r="F13" s="25"/>
      <c r="G13" s="25"/>
    </row>
    <row r="14" spans="1:15" x14ac:dyDescent="0.25">
      <c r="A14" s="363" t="s">
        <v>118</v>
      </c>
      <c r="B14" s="364" t="s">
        <v>10</v>
      </c>
      <c r="C14" s="365"/>
      <c r="D14" s="366"/>
      <c r="E14" s="363" t="s">
        <v>123</v>
      </c>
      <c r="F14" s="367" t="s">
        <v>125</v>
      </c>
      <c r="G14" s="368"/>
    </row>
    <row r="15" spans="1:15" x14ac:dyDescent="0.25">
      <c r="A15" s="11" t="s">
        <v>103</v>
      </c>
      <c r="B15" s="535" t="str">
        <f>"FORMULA "&amp;B11</f>
        <v>FORMULA BODY SPLASH AMBAR REAL 200ml</v>
      </c>
      <c r="C15" s="536"/>
      <c r="D15" s="15"/>
      <c r="E15" s="392">
        <f>OF!G6</f>
        <v>990.72</v>
      </c>
      <c r="F15" s="321" t="s">
        <v>124</v>
      </c>
      <c r="G15" s="321"/>
    </row>
    <row r="16" spans="1:15" x14ac:dyDescent="0.25">
      <c r="A16" s="545" t="s">
        <v>167</v>
      </c>
      <c r="B16" s="563" t="s">
        <v>168</v>
      </c>
      <c r="C16" s="538"/>
      <c r="D16" s="15"/>
      <c r="E16" s="350">
        <f>E11</f>
        <v>4608</v>
      </c>
      <c r="F16" s="321"/>
      <c r="G16" s="321"/>
    </row>
    <row r="17" spans="1:7" s="564" customFormat="1" x14ac:dyDescent="0.25">
      <c r="A17" s="545" t="s">
        <v>169</v>
      </c>
      <c r="B17" s="563" t="s">
        <v>170</v>
      </c>
      <c r="C17" s="567"/>
      <c r="D17" s="566"/>
      <c r="E17" s="350">
        <f>E18</f>
        <v>4608</v>
      </c>
      <c r="F17" s="565"/>
      <c r="G17" s="565"/>
    </row>
    <row r="18" spans="1:7" x14ac:dyDescent="0.25">
      <c r="A18" s="545" t="s">
        <v>171</v>
      </c>
      <c r="B18" s="563" t="s">
        <v>172</v>
      </c>
      <c r="C18" s="619"/>
      <c r="D18" s="15"/>
      <c r="E18" s="350">
        <f>E11</f>
        <v>4608</v>
      </c>
      <c r="F18" s="321"/>
      <c r="G18" s="321"/>
    </row>
    <row r="19" spans="1:7" x14ac:dyDescent="0.25">
      <c r="A19" s="545"/>
      <c r="B19" s="563"/>
      <c r="C19" s="538"/>
      <c r="D19" s="15"/>
      <c r="E19" s="350"/>
      <c r="F19" s="321"/>
      <c r="G19" s="321"/>
    </row>
    <row r="20" spans="1:7" x14ac:dyDescent="0.25">
      <c r="A20" s="545"/>
      <c r="B20" s="537"/>
      <c r="C20" s="13"/>
      <c r="D20" s="12"/>
      <c r="E20" s="350"/>
      <c r="F20" s="321" t="s">
        <v>124</v>
      </c>
      <c r="G20" s="321"/>
    </row>
    <row r="21" spans="1:7" x14ac:dyDescent="0.25">
      <c r="A21" s="545"/>
      <c r="B21" s="537"/>
      <c r="C21" s="539"/>
      <c r="D21" s="540" t="s">
        <v>124</v>
      </c>
      <c r="E21" s="350"/>
      <c r="F21" s="321" t="s">
        <v>124</v>
      </c>
      <c r="G21" s="321"/>
    </row>
    <row r="22" spans="1:7" x14ac:dyDescent="0.25">
      <c r="A22" s="11"/>
      <c r="B22" s="537"/>
      <c r="C22" s="13"/>
      <c r="D22" s="12"/>
      <c r="E22" s="417"/>
      <c r="F22" s="321" t="s">
        <v>124</v>
      </c>
      <c r="G22" s="321"/>
    </row>
    <row r="23" spans="1:7" x14ac:dyDescent="0.25">
      <c r="A23" s="11"/>
      <c r="B23" s="537"/>
      <c r="C23" s="13" t="s">
        <v>146</v>
      </c>
      <c r="D23" s="12"/>
      <c r="E23" s="411"/>
      <c r="F23" s="321" t="s">
        <v>124</v>
      </c>
      <c r="G23" s="321"/>
    </row>
    <row r="24" spans="1:7" x14ac:dyDescent="0.25">
      <c r="A24" s="11"/>
      <c r="B24" s="537"/>
      <c r="C24" s="13"/>
      <c r="D24" s="12"/>
      <c r="E24" s="11"/>
      <c r="F24" s="321" t="s">
        <v>124</v>
      </c>
      <c r="G24" s="321"/>
    </row>
    <row r="25" spans="1:7" x14ac:dyDescent="0.25">
      <c r="A25" s="11"/>
      <c r="B25" s="537"/>
      <c r="C25" s="14"/>
      <c r="D25" s="15"/>
      <c r="E25" s="319"/>
      <c r="F25" s="321" t="s">
        <v>124</v>
      </c>
      <c r="G25" s="321"/>
    </row>
    <row r="26" spans="1:7" x14ac:dyDescent="0.25">
      <c r="A26" s="545" t="s">
        <v>173</v>
      </c>
      <c r="B26" s="538" t="s">
        <v>174</v>
      </c>
      <c r="C26" s="538"/>
      <c r="D26" s="15"/>
      <c r="E26" s="411">
        <f>E11/INDEX([1]Produtos!$M:$M,MATCH(B11,[1]Produtos!$C:$C,0))</f>
        <v>96</v>
      </c>
      <c r="F26" s="321" t="s">
        <v>124</v>
      </c>
      <c r="G26" s="321"/>
    </row>
    <row r="27" spans="1:7" x14ac:dyDescent="0.25">
      <c r="A27" s="11" t="s">
        <v>103</v>
      </c>
      <c r="B27" s="537" t="s">
        <v>144</v>
      </c>
      <c r="C27" s="13"/>
      <c r="D27" s="12"/>
      <c r="E27" s="411">
        <f>E26</f>
        <v>96</v>
      </c>
      <c r="F27" s="321" t="s">
        <v>124</v>
      </c>
      <c r="G27" s="321"/>
    </row>
    <row r="28" spans="1:7" ht="16.5" thickBot="1" x14ac:dyDescent="0.3">
      <c r="A28" s="286"/>
      <c r="B28" s="287"/>
      <c r="C28" s="287"/>
      <c r="D28" s="287"/>
      <c r="E28" s="287"/>
      <c r="F28" s="287"/>
      <c r="G28" s="288"/>
    </row>
    <row r="29" spans="1:7" ht="16.5" thickBot="1" x14ac:dyDescent="0.3">
      <c r="A29" s="26" t="s">
        <v>11</v>
      </c>
      <c r="B29" s="26"/>
      <c r="C29" s="26"/>
      <c r="D29" s="26"/>
      <c r="E29" s="26"/>
      <c r="F29" s="26"/>
      <c r="G29" s="26"/>
    </row>
    <row r="30" spans="1:7" ht="16.5" thickBot="1" x14ac:dyDescent="0.3">
      <c r="A30" s="16" t="s">
        <v>12</v>
      </c>
      <c r="B30" s="16" t="s">
        <v>13</v>
      </c>
      <c r="C30" s="16" t="s">
        <v>121</v>
      </c>
      <c r="D30" s="17" t="s">
        <v>14</v>
      </c>
      <c r="E30" s="27" t="s">
        <v>15</v>
      </c>
      <c r="F30" s="28"/>
      <c r="G30" s="29"/>
    </row>
    <row r="31" spans="1:7" ht="39.950000000000003" customHeight="1" x14ac:dyDescent="0.25">
      <c r="A31" s="351">
        <v>1</v>
      </c>
      <c r="B31" s="352"/>
      <c r="C31" s="352"/>
      <c r="D31" s="353"/>
      <c r="E31" s="354"/>
      <c r="F31" s="355"/>
      <c r="G31" s="356"/>
    </row>
    <row r="32" spans="1:7" ht="39.950000000000003" customHeight="1" x14ac:dyDescent="0.25">
      <c r="A32" s="351">
        <v>2</v>
      </c>
      <c r="B32" s="352"/>
      <c r="C32" s="352"/>
      <c r="D32" s="353"/>
      <c r="E32" s="357"/>
      <c r="F32" s="358"/>
      <c r="G32" s="359"/>
    </row>
    <row r="33" spans="1:7" ht="39.950000000000003" customHeight="1" thickBot="1" x14ac:dyDescent="0.3">
      <c r="A33" s="351">
        <v>3</v>
      </c>
      <c r="B33" s="352"/>
      <c r="C33" s="352"/>
      <c r="D33" s="353"/>
      <c r="E33" s="357"/>
      <c r="F33" s="358"/>
      <c r="G33" s="359"/>
    </row>
    <row r="34" spans="1:7" ht="39.950000000000003" customHeight="1" thickBot="1" x14ac:dyDescent="0.3">
      <c r="A34" s="18" t="s">
        <v>16</v>
      </c>
      <c r="B34" s="30"/>
      <c r="C34" s="31"/>
      <c r="D34" s="32"/>
      <c r="E34" s="33"/>
      <c r="F34" s="34"/>
      <c r="G34" s="35"/>
    </row>
    <row r="35" spans="1:7" ht="39.950000000000003" customHeight="1" thickBot="1" x14ac:dyDescent="0.3">
      <c r="A35" s="27" t="s">
        <v>17</v>
      </c>
      <c r="B35" s="29"/>
      <c r="C35" s="289"/>
      <c r="D35" s="290"/>
      <c r="E35" s="290"/>
      <c r="F35" s="290"/>
      <c r="G35" s="291"/>
    </row>
    <row r="36" spans="1:7" customFormat="1" thickBot="1" x14ac:dyDescent="0.3"/>
    <row r="37" spans="1:7" ht="30" customHeight="1" thickBot="1" x14ac:dyDescent="0.3">
      <c r="A37" s="360" t="s">
        <v>18</v>
      </c>
      <c r="B37" s="361"/>
      <c r="C37" s="361"/>
      <c r="D37" s="361"/>
      <c r="E37" s="362"/>
    </row>
    <row r="45" spans="1:7" x14ac:dyDescent="0.25">
      <c r="A45" s="1" t="s">
        <v>19</v>
      </c>
    </row>
    <row r="46" spans="1:7" x14ac:dyDescent="0.25">
      <c r="A46" s="1" t="s">
        <v>20</v>
      </c>
    </row>
  </sheetData>
  <conditionalFormatting sqref="B11">
    <cfRule type="expression" dxfId="2" priority="1">
      <formula>$B11="ON-HOLD"</formula>
    </cfRule>
    <cfRule type="expression" dxfId="1" priority="2">
      <formula>$AO11=TRUE</formula>
    </cfRule>
    <cfRule type="expression" dxfId="0" priority="3">
      <formula>AND($AB11="Programado",$AO11&lt;&gt;TRUE)</formula>
    </cfRule>
  </conditionalFormatting>
  <printOptions horizontalCentered="1"/>
  <pageMargins left="0.25" right="0.25" top="0.75" bottom="0.75" header="0.3" footer="0.3"/>
  <pageSetup paperSize="9" scale="77" orientation="portrait" horizontalDpi="300" verticalDpi="300" r:id="rId1"/>
  <colBreaks count="1" manualBreakCount="1">
    <brk id="7" max="4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5894-A8DE-4FD3-B49A-932477415BA8}">
  <sheetPr codeName="Sheet2">
    <pageSetUpPr fitToPage="1"/>
  </sheetPr>
  <dimension ref="A1:O56"/>
  <sheetViews>
    <sheetView showGridLines="0" view="pageBreakPreview" zoomScale="85" zoomScaleNormal="100" zoomScaleSheetLayoutView="85" workbookViewId="0">
      <selection activeCell="E15" sqref="E15"/>
    </sheetView>
  </sheetViews>
  <sheetFormatPr defaultColWidth="9.28515625" defaultRowHeight="15" x14ac:dyDescent="0.25"/>
  <cols>
    <col min="1" max="2" width="14.5703125" customWidth="1"/>
    <col min="3" max="3" width="17.42578125" customWidth="1"/>
    <col min="4" max="4" width="43" customWidth="1"/>
    <col min="5" max="5" width="13.7109375" bestFit="1" customWidth="1"/>
    <col min="6" max="6" width="18.28515625" bestFit="1" customWidth="1"/>
    <col min="7" max="7" width="22.140625" customWidth="1"/>
    <col min="8" max="8" width="13.42578125" bestFit="1" customWidth="1"/>
    <col min="9" max="9" width="13.42578125" customWidth="1"/>
    <col min="10" max="10" width="11.5703125" customWidth="1"/>
    <col min="13" max="13" width="36.7109375" bestFit="1" customWidth="1"/>
    <col min="15" max="16" width="10" bestFit="1" customWidth="1"/>
    <col min="240" max="240" width="14.7109375" customWidth="1"/>
    <col min="241" max="241" width="10.7109375" customWidth="1"/>
    <col min="242" max="242" width="48.42578125" customWidth="1"/>
    <col min="244" max="244" width="16.85546875" customWidth="1"/>
    <col min="245" max="245" width="9" customWidth="1"/>
    <col min="246" max="246" width="6.28515625" customWidth="1"/>
    <col min="247" max="247" width="5.7109375" customWidth="1"/>
    <col min="248" max="248" width="18.42578125" customWidth="1"/>
    <col min="249" max="249" width="2.5703125" customWidth="1"/>
    <col min="496" max="496" width="14.7109375" customWidth="1"/>
    <col min="497" max="497" width="10.7109375" customWidth="1"/>
    <col min="498" max="498" width="48.42578125" customWidth="1"/>
    <col min="500" max="500" width="16.85546875" customWidth="1"/>
    <col min="501" max="501" width="9" customWidth="1"/>
    <col min="502" max="502" width="6.28515625" customWidth="1"/>
    <col min="503" max="503" width="5.7109375" customWidth="1"/>
    <col min="504" max="504" width="18.42578125" customWidth="1"/>
    <col min="505" max="505" width="2.5703125" customWidth="1"/>
    <col min="752" max="752" width="14.7109375" customWidth="1"/>
    <col min="753" max="753" width="10.7109375" customWidth="1"/>
    <col min="754" max="754" width="48.42578125" customWidth="1"/>
    <col min="756" max="756" width="16.85546875" customWidth="1"/>
    <col min="757" max="757" width="9" customWidth="1"/>
    <col min="758" max="758" width="6.28515625" customWidth="1"/>
    <col min="759" max="759" width="5.7109375" customWidth="1"/>
    <col min="760" max="760" width="18.42578125" customWidth="1"/>
    <col min="761" max="761" width="2.5703125" customWidth="1"/>
    <col min="1008" max="1008" width="14.7109375" customWidth="1"/>
    <col min="1009" max="1009" width="10.7109375" customWidth="1"/>
    <col min="1010" max="1010" width="48.42578125" customWidth="1"/>
    <col min="1012" max="1012" width="16.85546875" customWidth="1"/>
    <col min="1013" max="1013" width="9" customWidth="1"/>
    <col min="1014" max="1014" width="6.28515625" customWidth="1"/>
    <col min="1015" max="1015" width="5.7109375" customWidth="1"/>
    <col min="1016" max="1016" width="18.42578125" customWidth="1"/>
    <col min="1017" max="1017" width="2.5703125" customWidth="1"/>
    <col min="1264" max="1264" width="14.7109375" customWidth="1"/>
    <col min="1265" max="1265" width="10.7109375" customWidth="1"/>
    <col min="1266" max="1266" width="48.42578125" customWidth="1"/>
    <col min="1268" max="1268" width="16.85546875" customWidth="1"/>
    <col min="1269" max="1269" width="9" customWidth="1"/>
    <col min="1270" max="1270" width="6.28515625" customWidth="1"/>
    <col min="1271" max="1271" width="5.7109375" customWidth="1"/>
    <col min="1272" max="1272" width="18.42578125" customWidth="1"/>
    <col min="1273" max="1273" width="2.5703125" customWidth="1"/>
    <col min="1520" max="1520" width="14.7109375" customWidth="1"/>
    <col min="1521" max="1521" width="10.7109375" customWidth="1"/>
    <col min="1522" max="1522" width="48.42578125" customWidth="1"/>
    <col min="1524" max="1524" width="16.85546875" customWidth="1"/>
    <col min="1525" max="1525" width="9" customWidth="1"/>
    <col min="1526" max="1526" width="6.28515625" customWidth="1"/>
    <col min="1527" max="1527" width="5.7109375" customWidth="1"/>
    <col min="1528" max="1528" width="18.42578125" customWidth="1"/>
    <col min="1529" max="1529" width="2.5703125" customWidth="1"/>
    <col min="1776" max="1776" width="14.7109375" customWidth="1"/>
    <col min="1777" max="1777" width="10.7109375" customWidth="1"/>
    <col min="1778" max="1778" width="48.42578125" customWidth="1"/>
    <col min="1780" max="1780" width="16.85546875" customWidth="1"/>
    <col min="1781" max="1781" width="9" customWidth="1"/>
    <col min="1782" max="1782" width="6.28515625" customWidth="1"/>
    <col min="1783" max="1783" width="5.7109375" customWidth="1"/>
    <col min="1784" max="1784" width="18.42578125" customWidth="1"/>
    <col min="1785" max="1785" width="2.5703125" customWidth="1"/>
    <col min="2032" max="2032" width="14.7109375" customWidth="1"/>
    <col min="2033" max="2033" width="10.7109375" customWidth="1"/>
    <col min="2034" max="2034" width="48.42578125" customWidth="1"/>
    <col min="2036" max="2036" width="16.85546875" customWidth="1"/>
    <col min="2037" max="2037" width="9" customWidth="1"/>
    <col min="2038" max="2038" width="6.28515625" customWidth="1"/>
    <col min="2039" max="2039" width="5.7109375" customWidth="1"/>
    <col min="2040" max="2040" width="18.42578125" customWidth="1"/>
    <col min="2041" max="2041" width="2.5703125" customWidth="1"/>
    <col min="2288" max="2288" width="14.7109375" customWidth="1"/>
    <col min="2289" max="2289" width="10.7109375" customWidth="1"/>
    <col min="2290" max="2290" width="48.42578125" customWidth="1"/>
    <col min="2292" max="2292" width="16.85546875" customWidth="1"/>
    <col min="2293" max="2293" width="9" customWidth="1"/>
    <col min="2294" max="2294" width="6.28515625" customWidth="1"/>
    <col min="2295" max="2295" width="5.7109375" customWidth="1"/>
    <col min="2296" max="2296" width="18.42578125" customWidth="1"/>
    <col min="2297" max="2297" width="2.5703125" customWidth="1"/>
    <col min="2544" max="2544" width="14.7109375" customWidth="1"/>
    <col min="2545" max="2545" width="10.7109375" customWidth="1"/>
    <col min="2546" max="2546" width="48.42578125" customWidth="1"/>
    <col min="2548" max="2548" width="16.85546875" customWidth="1"/>
    <col min="2549" max="2549" width="9" customWidth="1"/>
    <col min="2550" max="2550" width="6.28515625" customWidth="1"/>
    <col min="2551" max="2551" width="5.7109375" customWidth="1"/>
    <col min="2552" max="2552" width="18.42578125" customWidth="1"/>
    <col min="2553" max="2553" width="2.5703125" customWidth="1"/>
    <col min="2800" max="2800" width="14.7109375" customWidth="1"/>
    <col min="2801" max="2801" width="10.7109375" customWidth="1"/>
    <col min="2802" max="2802" width="48.42578125" customWidth="1"/>
    <col min="2804" max="2804" width="16.85546875" customWidth="1"/>
    <col min="2805" max="2805" width="9" customWidth="1"/>
    <col min="2806" max="2806" width="6.28515625" customWidth="1"/>
    <col min="2807" max="2807" width="5.7109375" customWidth="1"/>
    <col min="2808" max="2808" width="18.42578125" customWidth="1"/>
    <col min="2809" max="2809" width="2.5703125" customWidth="1"/>
    <col min="3056" max="3056" width="14.7109375" customWidth="1"/>
    <col min="3057" max="3057" width="10.7109375" customWidth="1"/>
    <col min="3058" max="3058" width="48.42578125" customWidth="1"/>
    <col min="3060" max="3060" width="16.85546875" customWidth="1"/>
    <col min="3061" max="3061" width="9" customWidth="1"/>
    <col min="3062" max="3062" width="6.28515625" customWidth="1"/>
    <col min="3063" max="3063" width="5.7109375" customWidth="1"/>
    <col min="3064" max="3064" width="18.42578125" customWidth="1"/>
    <col min="3065" max="3065" width="2.5703125" customWidth="1"/>
    <col min="3312" max="3312" width="14.7109375" customWidth="1"/>
    <col min="3313" max="3313" width="10.7109375" customWidth="1"/>
    <col min="3314" max="3314" width="48.42578125" customWidth="1"/>
    <col min="3316" max="3316" width="16.85546875" customWidth="1"/>
    <col min="3317" max="3317" width="9" customWidth="1"/>
    <col min="3318" max="3318" width="6.28515625" customWidth="1"/>
    <col min="3319" max="3319" width="5.7109375" customWidth="1"/>
    <col min="3320" max="3320" width="18.42578125" customWidth="1"/>
    <col min="3321" max="3321" width="2.5703125" customWidth="1"/>
    <col min="3568" max="3568" width="14.7109375" customWidth="1"/>
    <col min="3569" max="3569" width="10.7109375" customWidth="1"/>
    <col min="3570" max="3570" width="48.42578125" customWidth="1"/>
    <col min="3572" max="3572" width="16.85546875" customWidth="1"/>
    <col min="3573" max="3573" width="9" customWidth="1"/>
    <col min="3574" max="3574" width="6.28515625" customWidth="1"/>
    <col min="3575" max="3575" width="5.7109375" customWidth="1"/>
    <col min="3576" max="3576" width="18.42578125" customWidth="1"/>
    <col min="3577" max="3577" width="2.5703125" customWidth="1"/>
    <col min="3824" max="3824" width="14.7109375" customWidth="1"/>
    <col min="3825" max="3825" width="10.7109375" customWidth="1"/>
    <col min="3826" max="3826" width="48.42578125" customWidth="1"/>
    <col min="3828" max="3828" width="16.85546875" customWidth="1"/>
    <col min="3829" max="3829" width="9" customWidth="1"/>
    <col min="3830" max="3830" width="6.28515625" customWidth="1"/>
    <col min="3831" max="3831" width="5.7109375" customWidth="1"/>
    <col min="3832" max="3832" width="18.42578125" customWidth="1"/>
    <col min="3833" max="3833" width="2.5703125" customWidth="1"/>
    <col min="4080" max="4080" width="14.7109375" customWidth="1"/>
    <col min="4081" max="4081" width="10.7109375" customWidth="1"/>
    <col min="4082" max="4082" width="48.42578125" customWidth="1"/>
    <col min="4084" max="4084" width="16.85546875" customWidth="1"/>
    <col min="4085" max="4085" width="9" customWidth="1"/>
    <col min="4086" max="4086" width="6.28515625" customWidth="1"/>
    <col min="4087" max="4087" width="5.7109375" customWidth="1"/>
    <col min="4088" max="4088" width="18.42578125" customWidth="1"/>
    <col min="4089" max="4089" width="2.5703125" customWidth="1"/>
    <col min="4336" max="4336" width="14.7109375" customWidth="1"/>
    <col min="4337" max="4337" width="10.7109375" customWidth="1"/>
    <col min="4338" max="4338" width="48.42578125" customWidth="1"/>
    <col min="4340" max="4340" width="16.85546875" customWidth="1"/>
    <col min="4341" max="4341" width="9" customWidth="1"/>
    <col min="4342" max="4342" width="6.28515625" customWidth="1"/>
    <col min="4343" max="4343" width="5.7109375" customWidth="1"/>
    <col min="4344" max="4344" width="18.42578125" customWidth="1"/>
    <col min="4345" max="4345" width="2.5703125" customWidth="1"/>
    <col min="4592" max="4592" width="14.7109375" customWidth="1"/>
    <col min="4593" max="4593" width="10.7109375" customWidth="1"/>
    <col min="4594" max="4594" width="48.42578125" customWidth="1"/>
    <col min="4596" max="4596" width="16.85546875" customWidth="1"/>
    <col min="4597" max="4597" width="9" customWidth="1"/>
    <col min="4598" max="4598" width="6.28515625" customWidth="1"/>
    <col min="4599" max="4599" width="5.7109375" customWidth="1"/>
    <col min="4600" max="4600" width="18.42578125" customWidth="1"/>
    <col min="4601" max="4601" width="2.5703125" customWidth="1"/>
    <col min="4848" max="4848" width="14.7109375" customWidth="1"/>
    <col min="4849" max="4849" width="10.7109375" customWidth="1"/>
    <col min="4850" max="4850" width="48.42578125" customWidth="1"/>
    <col min="4852" max="4852" width="16.85546875" customWidth="1"/>
    <col min="4853" max="4853" width="9" customWidth="1"/>
    <col min="4854" max="4854" width="6.28515625" customWidth="1"/>
    <col min="4855" max="4855" width="5.7109375" customWidth="1"/>
    <col min="4856" max="4856" width="18.42578125" customWidth="1"/>
    <col min="4857" max="4857" width="2.5703125" customWidth="1"/>
    <col min="5104" max="5104" width="14.7109375" customWidth="1"/>
    <col min="5105" max="5105" width="10.7109375" customWidth="1"/>
    <col min="5106" max="5106" width="48.42578125" customWidth="1"/>
    <col min="5108" max="5108" width="16.85546875" customWidth="1"/>
    <col min="5109" max="5109" width="9" customWidth="1"/>
    <col min="5110" max="5110" width="6.28515625" customWidth="1"/>
    <col min="5111" max="5111" width="5.7109375" customWidth="1"/>
    <col min="5112" max="5112" width="18.42578125" customWidth="1"/>
    <col min="5113" max="5113" width="2.5703125" customWidth="1"/>
    <col min="5360" max="5360" width="14.7109375" customWidth="1"/>
    <col min="5361" max="5361" width="10.7109375" customWidth="1"/>
    <col min="5362" max="5362" width="48.42578125" customWidth="1"/>
    <col min="5364" max="5364" width="16.85546875" customWidth="1"/>
    <col min="5365" max="5365" width="9" customWidth="1"/>
    <col min="5366" max="5366" width="6.28515625" customWidth="1"/>
    <col min="5367" max="5367" width="5.7109375" customWidth="1"/>
    <col min="5368" max="5368" width="18.42578125" customWidth="1"/>
    <col min="5369" max="5369" width="2.5703125" customWidth="1"/>
    <col min="5616" max="5616" width="14.7109375" customWidth="1"/>
    <col min="5617" max="5617" width="10.7109375" customWidth="1"/>
    <col min="5618" max="5618" width="48.42578125" customWidth="1"/>
    <col min="5620" max="5620" width="16.85546875" customWidth="1"/>
    <col min="5621" max="5621" width="9" customWidth="1"/>
    <col min="5622" max="5622" width="6.28515625" customWidth="1"/>
    <col min="5623" max="5623" width="5.7109375" customWidth="1"/>
    <col min="5624" max="5624" width="18.42578125" customWidth="1"/>
    <col min="5625" max="5625" width="2.5703125" customWidth="1"/>
    <col min="5872" max="5872" width="14.7109375" customWidth="1"/>
    <col min="5873" max="5873" width="10.7109375" customWidth="1"/>
    <col min="5874" max="5874" width="48.42578125" customWidth="1"/>
    <col min="5876" max="5876" width="16.85546875" customWidth="1"/>
    <col min="5877" max="5877" width="9" customWidth="1"/>
    <col min="5878" max="5878" width="6.28515625" customWidth="1"/>
    <col min="5879" max="5879" width="5.7109375" customWidth="1"/>
    <col min="5880" max="5880" width="18.42578125" customWidth="1"/>
    <col min="5881" max="5881" width="2.5703125" customWidth="1"/>
    <col min="6128" max="6128" width="14.7109375" customWidth="1"/>
    <col min="6129" max="6129" width="10.7109375" customWidth="1"/>
    <col min="6130" max="6130" width="48.42578125" customWidth="1"/>
    <col min="6132" max="6132" width="16.85546875" customWidth="1"/>
    <col min="6133" max="6133" width="9" customWidth="1"/>
    <col min="6134" max="6134" width="6.28515625" customWidth="1"/>
    <col min="6135" max="6135" width="5.7109375" customWidth="1"/>
    <col min="6136" max="6136" width="18.42578125" customWidth="1"/>
    <col min="6137" max="6137" width="2.5703125" customWidth="1"/>
    <col min="6384" max="6384" width="14.7109375" customWidth="1"/>
    <col min="6385" max="6385" width="10.7109375" customWidth="1"/>
    <col min="6386" max="6386" width="48.42578125" customWidth="1"/>
    <col min="6388" max="6388" width="16.85546875" customWidth="1"/>
    <col min="6389" max="6389" width="9" customWidth="1"/>
    <col min="6390" max="6390" width="6.28515625" customWidth="1"/>
    <col min="6391" max="6391" width="5.7109375" customWidth="1"/>
    <col min="6392" max="6392" width="18.42578125" customWidth="1"/>
    <col min="6393" max="6393" width="2.5703125" customWidth="1"/>
    <col min="6640" max="6640" width="14.7109375" customWidth="1"/>
    <col min="6641" max="6641" width="10.7109375" customWidth="1"/>
    <col min="6642" max="6642" width="48.42578125" customWidth="1"/>
    <col min="6644" max="6644" width="16.85546875" customWidth="1"/>
    <col min="6645" max="6645" width="9" customWidth="1"/>
    <col min="6646" max="6646" width="6.28515625" customWidth="1"/>
    <col min="6647" max="6647" width="5.7109375" customWidth="1"/>
    <col min="6648" max="6648" width="18.42578125" customWidth="1"/>
    <col min="6649" max="6649" width="2.5703125" customWidth="1"/>
    <col min="6896" max="6896" width="14.7109375" customWidth="1"/>
    <col min="6897" max="6897" width="10.7109375" customWidth="1"/>
    <col min="6898" max="6898" width="48.42578125" customWidth="1"/>
    <col min="6900" max="6900" width="16.85546875" customWidth="1"/>
    <col min="6901" max="6901" width="9" customWidth="1"/>
    <col min="6902" max="6902" width="6.28515625" customWidth="1"/>
    <col min="6903" max="6903" width="5.7109375" customWidth="1"/>
    <col min="6904" max="6904" width="18.42578125" customWidth="1"/>
    <col min="6905" max="6905" width="2.5703125" customWidth="1"/>
    <col min="7152" max="7152" width="14.7109375" customWidth="1"/>
    <col min="7153" max="7153" width="10.7109375" customWidth="1"/>
    <col min="7154" max="7154" width="48.42578125" customWidth="1"/>
    <col min="7156" max="7156" width="16.85546875" customWidth="1"/>
    <col min="7157" max="7157" width="9" customWidth="1"/>
    <col min="7158" max="7158" width="6.28515625" customWidth="1"/>
    <col min="7159" max="7159" width="5.7109375" customWidth="1"/>
    <col min="7160" max="7160" width="18.42578125" customWidth="1"/>
    <col min="7161" max="7161" width="2.5703125" customWidth="1"/>
    <col min="7408" max="7408" width="14.7109375" customWidth="1"/>
    <col min="7409" max="7409" width="10.7109375" customWidth="1"/>
    <col min="7410" max="7410" width="48.42578125" customWidth="1"/>
    <col min="7412" max="7412" width="16.85546875" customWidth="1"/>
    <col min="7413" max="7413" width="9" customWidth="1"/>
    <col min="7414" max="7414" width="6.28515625" customWidth="1"/>
    <col min="7415" max="7415" width="5.7109375" customWidth="1"/>
    <col min="7416" max="7416" width="18.42578125" customWidth="1"/>
    <col min="7417" max="7417" width="2.5703125" customWidth="1"/>
    <col min="7664" max="7664" width="14.7109375" customWidth="1"/>
    <col min="7665" max="7665" width="10.7109375" customWidth="1"/>
    <col min="7666" max="7666" width="48.42578125" customWidth="1"/>
    <col min="7668" max="7668" width="16.85546875" customWidth="1"/>
    <col min="7669" max="7669" width="9" customWidth="1"/>
    <col min="7670" max="7670" width="6.28515625" customWidth="1"/>
    <col min="7671" max="7671" width="5.7109375" customWidth="1"/>
    <col min="7672" max="7672" width="18.42578125" customWidth="1"/>
    <col min="7673" max="7673" width="2.5703125" customWidth="1"/>
    <col min="7920" max="7920" width="14.7109375" customWidth="1"/>
    <col min="7921" max="7921" width="10.7109375" customWidth="1"/>
    <col min="7922" max="7922" width="48.42578125" customWidth="1"/>
    <col min="7924" max="7924" width="16.85546875" customWidth="1"/>
    <col min="7925" max="7925" width="9" customWidth="1"/>
    <col min="7926" max="7926" width="6.28515625" customWidth="1"/>
    <col min="7927" max="7927" width="5.7109375" customWidth="1"/>
    <col min="7928" max="7928" width="18.42578125" customWidth="1"/>
    <col min="7929" max="7929" width="2.5703125" customWidth="1"/>
    <col min="8176" max="8176" width="14.7109375" customWidth="1"/>
    <col min="8177" max="8177" width="10.7109375" customWidth="1"/>
    <col min="8178" max="8178" width="48.42578125" customWidth="1"/>
    <col min="8180" max="8180" width="16.85546875" customWidth="1"/>
    <col min="8181" max="8181" width="9" customWidth="1"/>
    <col min="8182" max="8182" width="6.28515625" customWidth="1"/>
    <col min="8183" max="8183" width="5.7109375" customWidth="1"/>
    <col min="8184" max="8184" width="18.42578125" customWidth="1"/>
    <col min="8185" max="8185" width="2.5703125" customWidth="1"/>
    <col min="8432" max="8432" width="14.7109375" customWidth="1"/>
    <col min="8433" max="8433" width="10.7109375" customWidth="1"/>
    <col min="8434" max="8434" width="48.42578125" customWidth="1"/>
    <col min="8436" max="8436" width="16.85546875" customWidth="1"/>
    <col min="8437" max="8437" width="9" customWidth="1"/>
    <col min="8438" max="8438" width="6.28515625" customWidth="1"/>
    <col min="8439" max="8439" width="5.7109375" customWidth="1"/>
    <col min="8440" max="8440" width="18.42578125" customWidth="1"/>
    <col min="8441" max="8441" width="2.5703125" customWidth="1"/>
    <col min="8688" max="8688" width="14.7109375" customWidth="1"/>
    <col min="8689" max="8689" width="10.7109375" customWidth="1"/>
    <col min="8690" max="8690" width="48.42578125" customWidth="1"/>
    <col min="8692" max="8692" width="16.85546875" customWidth="1"/>
    <col min="8693" max="8693" width="9" customWidth="1"/>
    <col min="8694" max="8694" width="6.28515625" customWidth="1"/>
    <col min="8695" max="8695" width="5.7109375" customWidth="1"/>
    <col min="8696" max="8696" width="18.42578125" customWidth="1"/>
    <col min="8697" max="8697" width="2.5703125" customWidth="1"/>
    <col min="8944" max="8944" width="14.7109375" customWidth="1"/>
    <col min="8945" max="8945" width="10.7109375" customWidth="1"/>
    <col min="8946" max="8946" width="48.42578125" customWidth="1"/>
    <col min="8948" max="8948" width="16.85546875" customWidth="1"/>
    <col min="8949" max="8949" width="9" customWidth="1"/>
    <col min="8950" max="8950" width="6.28515625" customWidth="1"/>
    <col min="8951" max="8951" width="5.7109375" customWidth="1"/>
    <col min="8952" max="8952" width="18.42578125" customWidth="1"/>
    <col min="8953" max="8953" width="2.5703125" customWidth="1"/>
    <col min="9200" max="9200" width="14.7109375" customWidth="1"/>
    <col min="9201" max="9201" width="10.7109375" customWidth="1"/>
    <col min="9202" max="9202" width="48.42578125" customWidth="1"/>
    <col min="9204" max="9204" width="16.85546875" customWidth="1"/>
    <col min="9205" max="9205" width="9" customWidth="1"/>
    <col min="9206" max="9206" width="6.28515625" customWidth="1"/>
    <col min="9207" max="9207" width="5.7109375" customWidth="1"/>
    <col min="9208" max="9208" width="18.42578125" customWidth="1"/>
    <col min="9209" max="9209" width="2.5703125" customWidth="1"/>
    <col min="9456" max="9456" width="14.7109375" customWidth="1"/>
    <col min="9457" max="9457" width="10.7109375" customWidth="1"/>
    <col min="9458" max="9458" width="48.42578125" customWidth="1"/>
    <col min="9460" max="9460" width="16.85546875" customWidth="1"/>
    <col min="9461" max="9461" width="9" customWidth="1"/>
    <col min="9462" max="9462" width="6.28515625" customWidth="1"/>
    <col min="9463" max="9463" width="5.7109375" customWidth="1"/>
    <col min="9464" max="9464" width="18.42578125" customWidth="1"/>
    <col min="9465" max="9465" width="2.5703125" customWidth="1"/>
    <col min="9712" max="9712" width="14.7109375" customWidth="1"/>
    <col min="9713" max="9713" width="10.7109375" customWidth="1"/>
    <col min="9714" max="9714" width="48.42578125" customWidth="1"/>
    <col min="9716" max="9716" width="16.85546875" customWidth="1"/>
    <col min="9717" max="9717" width="9" customWidth="1"/>
    <col min="9718" max="9718" width="6.28515625" customWidth="1"/>
    <col min="9719" max="9719" width="5.7109375" customWidth="1"/>
    <col min="9720" max="9720" width="18.42578125" customWidth="1"/>
    <col min="9721" max="9721" width="2.5703125" customWidth="1"/>
    <col min="9968" max="9968" width="14.7109375" customWidth="1"/>
    <col min="9969" max="9969" width="10.7109375" customWidth="1"/>
    <col min="9970" max="9970" width="48.42578125" customWidth="1"/>
    <col min="9972" max="9972" width="16.85546875" customWidth="1"/>
    <col min="9973" max="9973" width="9" customWidth="1"/>
    <col min="9974" max="9974" width="6.28515625" customWidth="1"/>
    <col min="9975" max="9975" width="5.7109375" customWidth="1"/>
    <col min="9976" max="9976" width="18.42578125" customWidth="1"/>
    <col min="9977" max="9977" width="2.5703125" customWidth="1"/>
    <col min="10224" max="10224" width="14.7109375" customWidth="1"/>
    <col min="10225" max="10225" width="10.7109375" customWidth="1"/>
    <col min="10226" max="10226" width="48.42578125" customWidth="1"/>
    <col min="10228" max="10228" width="16.85546875" customWidth="1"/>
    <col min="10229" max="10229" width="9" customWidth="1"/>
    <col min="10230" max="10230" width="6.28515625" customWidth="1"/>
    <col min="10231" max="10231" width="5.7109375" customWidth="1"/>
    <col min="10232" max="10232" width="18.42578125" customWidth="1"/>
    <col min="10233" max="10233" width="2.5703125" customWidth="1"/>
    <col min="10480" max="10480" width="14.7109375" customWidth="1"/>
    <col min="10481" max="10481" width="10.7109375" customWidth="1"/>
    <col min="10482" max="10482" width="48.42578125" customWidth="1"/>
    <col min="10484" max="10484" width="16.85546875" customWidth="1"/>
    <col min="10485" max="10485" width="9" customWidth="1"/>
    <col min="10486" max="10486" width="6.28515625" customWidth="1"/>
    <col min="10487" max="10487" width="5.7109375" customWidth="1"/>
    <col min="10488" max="10488" width="18.42578125" customWidth="1"/>
    <col min="10489" max="10489" width="2.5703125" customWidth="1"/>
    <col min="10736" max="10736" width="14.7109375" customWidth="1"/>
    <col min="10737" max="10737" width="10.7109375" customWidth="1"/>
    <col min="10738" max="10738" width="48.42578125" customWidth="1"/>
    <col min="10740" max="10740" width="16.85546875" customWidth="1"/>
    <col min="10741" max="10741" width="9" customWidth="1"/>
    <col min="10742" max="10742" width="6.28515625" customWidth="1"/>
    <col min="10743" max="10743" width="5.7109375" customWidth="1"/>
    <col min="10744" max="10744" width="18.42578125" customWidth="1"/>
    <col min="10745" max="10745" width="2.5703125" customWidth="1"/>
    <col min="10992" max="10992" width="14.7109375" customWidth="1"/>
    <col min="10993" max="10993" width="10.7109375" customWidth="1"/>
    <col min="10994" max="10994" width="48.42578125" customWidth="1"/>
    <col min="10996" max="10996" width="16.85546875" customWidth="1"/>
    <col min="10997" max="10997" width="9" customWidth="1"/>
    <col min="10998" max="10998" width="6.28515625" customWidth="1"/>
    <col min="10999" max="10999" width="5.7109375" customWidth="1"/>
    <col min="11000" max="11000" width="18.42578125" customWidth="1"/>
    <col min="11001" max="11001" width="2.5703125" customWidth="1"/>
    <col min="11248" max="11248" width="14.7109375" customWidth="1"/>
    <col min="11249" max="11249" width="10.7109375" customWidth="1"/>
    <col min="11250" max="11250" width="48.42578125" customWidth="1"/>
    <col min="11252" max="11252" width="16.85546875" customWidth="1"/>
    <col min="11253" max="11253" width="9" customWidth="1"/>
    <col min="11254" max="11254" width="6.28515625" customWidth="1"/>
    <col min="11255" max="11255" width="5.7109375" customWidth="1"/>
    <col min="11256" max="11256" width="18.42578125" customWidth="1"/>
    <col min="11257" max="11257" width="2.5703125" customWidth="1"/>
    <col min="11504" max="11504" width="14.7109375" customWidth="1"/>
    <col min="11505" max="11505" width="10.7109375" customWidth="1"/>
    <col min="11506" max="11506" width="48.42578125" customWidth="1"/>
    <col min="11508" max="11508" width="16.85546875" customWidth="1"/>
    <col min="11509" max="11509" width="9" customWidth="1"/>
    <col min="11510" max="11510" width="6.28515625" customWidth="1"/>
    <col min="11511" max="11511" width="5.7109375" customWidth="1"/>
    <col min="11512" max="11512" width="18.42578125" customWidth="1"/>
    <col min="11513" max="11513" width="2.5703125" customWidth="1"/>
    <col min="11760" max="11760" width="14.7109375" customWidth="1"/>
    <col min="11761" max="11761" width="10.7109375" customWidth="1"/>
    <col min="11762" max="11762" width="48.42578125" customWidth="1"/>
    <col min="11764" max="11764" width="16.85546875" customWidth="1"/>
    <col min="11765" max="11765" width="9" customWidth="1"/>
    <col min="11766" max="11766" width="6.28515625" customWidth="1"/>
    <col min="11767" max="11767" width="5.7109375" customWidth="1"/>
    <col min="11768" max="11768" width="18.42578125" customWidth="1"/>
    <col min="11769" max="11769" width="2.5703125" customWidth="1"/>
    <col min="12016" max="12016" width="14.7109375" customWidth="1"/>
    <col min="12017" max="12017" width="10.7109375" customWidth="1"/>
    <col min="12018" max="12018" width="48.42578125" customWidth="1"/>
    <col min="12020" max="12020" width="16.85546875" customWidth="1"/>
    <col min="12021" max="12021" width="9" customWidth="1"/>
    <col min="12022" max="12022" width="6.28515625" customWidth="1"/>
    <col min="12023" max="12023" width="5.7109375" customWidth="1"/>
    <col min="12024" max="12024" width="18.42578125" customWidth="1"/>
    <col min="12025" max="12025" width="2.5703125" customWidth="1"/>
    <col min="12272" max="12272" width="14.7109375" customWidth="1"/>
    <col min="12273" max="12273" width="10.7109375" customWidth="1"/>
    <col min="12274" max="12274" width="48.42578125" customWidth="1"/>
    <col min="12276" max="12276" width="16.85546875" customWidth="1"/>
    <col min="12277" max="12277" width="9" customWidth="1"/>
    <col min="12278" max="12278" width="6.28515625" customWidth="1"/>
    <col min="12279" max="12279" width="5.7109375" customWidth="1"/>
    <col min="12280" max="12280" width="18.42578125" customWidth="1"/>
    <col min="12281" max="12281" width="2.5703125" customWidth="1"/>
    <col min="12528" max="12528" width="14.7109375" customWidth="1"/>
    <col min="12529" max="12529" width="10.7109375" customWidth="1"/>
    <col min="12530" max="12530" width="48.42578125" customWidth="1"/>
    <col min="12532" max="12532" width="16.85546875" customWidth="1"/>
    <col min="12533" max="12533" width="9" customWidth="1"/>
    <col min="12534" max="12534" width="6.28515625" customWidth="1"/>
    <col min="12535" max="12535" width="5.7109375" customWidth="1"/>
    <col min="12536" max="12536" width="18.42578125" customWidth="1"/>
    <col min="12537" max="12537" width="2.5703125" customWidth="1"/>
    <col min="12784" max="12784" width="14.7109375" customWidth="1"/>
    <col min="12785" max="12785" width="10.7109375" customWidth="1"/>
    <col min="12786" max="12786" width="48.42578125" customWidth="1"/>
    <col min="12788" max="12788" width="16.85546875" customWidth="1"/>
    <col min="12789" max="12789" width="9" customWidth="1"/>
    <col min="12790" max="12790" width="6.28515625" customWidth="1"/>
    <col min="12791" max="12791" width="5.7109375" customWidth="1"/>
    <col min="12792" max="12792" width="18.42578125" customWidth="1"/>
    <col min="12793" max="12793" width="2.5703125" customWidth="1"/>
    <col min="13040" max="13040" width="14.7109375" customWidth="1"/>
    <col min="13041" max="13041" width="10.7109375" customWidth="1"/>
    <col min="13042" max="13042" width="48.42578125" customWidth="1"/>
    <col min="13044" max="13044" width="16.85546875" customWidth="1"/>
    <col min="13045" max="13045" width="9" customWidth="1"/>
    <col min="13046" max="13046" width="6.28515625" customWidth="1"/>
    <col min="13047" max="13047" width="5.7109375" customWidth="1"/>
    <col min="13048" max="13048" width="18.42578125" customWidth="1"/>
    <col min="13049" max="13049" width="2.5703125" customWidth="1"/>
    <col min="13296" max="13296" width="14.7109375" customWidth="1"/>
    <col min="13297" max="13297" width="10.7109375" customWidth="1"/>
    <col min="13298" max="13298" width="48.42578125" customWidth="1"/>
    <col min="13300" max="13300" width="16.85546875" customWidth="1"/>
    <col min="13301" max="13301" width="9" customWidth="1"/>
    <col min="13302" max="13302" width="6.28515625" customWidth="1"/>
    <col min="13303" max="13303" width="5.7109375" customWidth="1"/>
    <col min="13304" max="13304" width="18.42578125" customWidth="1"/>
    <col min="13305" max="13305" width="2.5703125" customWidth="1"/>
    <col min="13552" max="13552" width="14.7109375" customWidth="1"/>
    <col min="13553" max="13553" width="10.7109375" customWidth="1"/>
    <col min="13554" max="13554" width="48.42578125" customWidth="1"/>
    <col min="13556" max="13556" width="16.85546875" customWidth="1"/>
    <col min="13557" max="13557" width="9" customWidth="1"/>
    <col min="13558" max="13558" width="6.28515625" customWidth="1"/>
    <col min="13559" max="13559" width="5.7109375" customWidth="1"/>
    <col min="13560" max="13560" width="18.42578125" customWidth="1"/>
    <col min="13561" max="13561" width="2.5703125" customWidth="1"/>
    <col min="13808" max="13808" width="14.7109375" customWidth="1"/>
    <col min="13809" max="13809" width="10.7109375" customWidth="1"/>
    <col min="13810" max="13810" width="48.42578125" customWidth="1"/>
    <col min="13812" max="13812" width="16.85546875" customWidth="1"/>
    <col min="13813" max="13813" width="9" customWidth="1"/>
    <col min="13814" max="13814" width="6.28515625" customWidth="1"/>
    <col min="13815" max="13815" width="5.7109375" customWidth="1"/>
    <col min="13816" max="13816" width="18.42578125" customWidth="1"/>
    <col min="13817" max="13817" width="2.5703125" customWidth="1"/>
    <col min="14064" max="14064" width="14.7109375" customWidth="1"/>
    <col min="14065" max="14065" width="10.7109375" customWidth="1"/>
    <col min="14066" max="14066" width="48.42578125" customWidth="1"/>
    <col min="14068" max="14068" width="16.85546875" customWidth="1"/>
    <col min="14069" max="14069" width="9" customWidth="1"/>
    <col min="14070" max="14070" width="6.28515625" customWidth="1"/>
    <col min="14071" max="14071" width="5.7109375" customWidth="1"/>
    <col min="14072" max="14072" width="18.42578125" customWidth="1"/>
    <col min="14073" max="14073" width="2.5703125" customWidth="1"/>
    <col min="14320" max="14320" width="14.7109375" customWidth="1"/>
    <col min="14321" max="14321" width="10.7109375" customWidth="1"/>
    <col min="14322" max="14322" width="48.42578125" customWidth="1"/>
    <col min="14324" max="14324" width="16.85546875" customWidth="1"/>
    <col min="14325" max="14325" width="9" customWidth="1"/>
    <col min="14326" max="14326" width="6.28515625" customWidth="1"/>
    <col min="14327" max="14327" width="5.7109375" customWidth="1"/>
    <col min="14328" max="14328" width="18.42578125" customWidth="1"/>
    <col min="14329" max="14329" width="2.5703125" customWidth="1"/>
    <col min="14576" max="14576" width="14.7109375" customWidth="1"/>
    <col min="14577" max="14577" width="10.7109375" customWidth="1"/>
    <col min="14578" max="14578" width="48.42578125" customWidth="1"/>
    <col min="14580" max="14580" width="16.85546875" customWidth="1"/>
    <col min="14581" max="14581" width="9" customWidth="1"/>
    <col min="14582" max="14582" width="6.28515625" customWidth="1"/>
    <col min="14583" max="14583" width="5.7109375" customWidth="1"/>
    <col min="14584" max="14584" width="18.42578125" customWidth="1"/>
    <col min="14585" max="14585" width="2.5703125" customWidth="1"/>
    <col min="14832" max="14832" width="14.7109375" customWidth="1"/>
    <col min="14833" max="14833" width="10.7109375" customWidth="1"/>
    <col min="14834" max="14834" width="48.42578125" customWidth="1"/>
    <col min="14836" max="14836" width="16.85546875" customWidth="1"/>
    <col min="14837" max="14837" width="9" customWidth="1"/>
    <col min="14838" max="14838" width="6.28515625" customWidth="1"/>
    <col min="14839" max="14839" width="5.7109375" customWidth="1"/>
    <col min="14840" max="14840" width="18.42578125" customWidth="1"/>
    <col min="14841" max="14841" width="2.5703125" customWidth="1"/>
    <col min="15088" max="15088" width="14.7109375" customWidth="1"/>
    <col min="15089" max="15089" width="10.7109375" customWidth="1"/>
    <col min="15090" max="15090" width="48.42578125" customWidth="1"/>
    <col min="15092" max="15092" width="16.85546875" customWidth="1"/>
    <col min="15093" max="15093" width="9" customWidth="1"/>
    <col min="15094" max="15094" width="6.28515625" customWidth="1"/>
    <col min="15095" max="15095" width="5.7109375" customWidth="1"/>
    <col min="15096" max="15096" width="18.42578125" customWidth="1"/>
    <col min="15097" max="15097" width="2.5703125" customWidth="1"/>
    <col min="15344" max="15344" width="14.7109375" customWidth="1"/>
    <col min="15345" max="15345" width="10.7109375" customWidth="1"/>
    <col min="15346" max="15346" width="48.42578125" customWidth="1"/>
    <col min="15348" max="15348" width="16.85546875" customWidth="1"/>
    <col min="15349" max="15349" width="9" customWidth="1"/>
    <col min="15350" max="15350" width="6.28515625" customWidth="1"/>
    <col min="15351" max="15351" width="5.7109375" customWidth="1"/>
    <col min="15352" max="15352" width="18.42578125" customWidth="1"/>
    <col min="15353" max="15353" width="2.5703125" customWidth="1"/>
    <col min="15600" max="15600" width="14.7109375" customWidth="1"/>
    <col min="15601" max="15601" width="10.7109375" customWidth="1"/>
    <col min="15602" max="15602" width="48.42578125" customWidth="1"/>
    <col min="15604" max="15604" width="16.85546875" customWidth="1"/>
    <col min="15605" max="15605" width="9" customWidth="1"/>
    <col min="15606" max="15606" width="6.28515625" customWidth="1"/>
    <col min="15607" max="15607" width="5.7109375" customWidth="1"/>
    <col min="15608" max="15608" width="18.42578125" customWidth="1"/>
    <col min="15609" max="15609" width="2.5703125" customWidth="1"/>
    <col min="15856" max="15856" width="14.7109375" customWidth="1"/>
    <col min="15857" max="15857" width="10.7109375" customWidth="1"/>
    <col min="15858" max="15858" width="48.42578125" customWidth="1"/>
    <col min="15860" max="15860" width="16.85546875" customWidth="1"/>
    <col min="15861" max="15861" width="9" customWidth="1"/>
    <col min="15862" max="15862" width="6.28515625" customWidth="1"/>
    <col min="15863" max="15863" width="5.7109375" customWidth="1"/>
    <col min="15864" max="15864" width="18.42578125" customWidth="1"/>
    <col min="15865" max="15865" width="2.5703125" customWidth="1"/>
    <col min="16112" max="16112" width="14.7109375" customWidth="1"/>
    <col min="16113" max="16113" width="10.7109375" customWidth="1"/>
    <col min="16114" max="16114" width="48.42578125" customWidth="1"/>
    <col min="16116" max="16116" width="16.85546875" customWidth="1"/>
    <col min="16117" max="16117" width="9" customWidth="1"/>
    <col min="16118" max="16118" width="6.28515625" customWidth="1"/>
    <col min="16119" max="16119" width="5.7109375" customWidth="1"/>
    <col min="16120" max="16120" width="18.42578125" customWidth="1"/>
    <col min="16121" max="16121" width="2.5703125" customWidth="1"/>
  </cols>
  <sheetData>
    <row r="1" spans="1:15" s="1" customFormat="1" ht="17.25" customHeight="1" x14ac:dyDescent="0.25">
      <c r="A1" s="620"/>
      <c r="B1" s="164"/>
      <c r="C1" s="19"/>
      <c r="D1" s="20"/>
      <c r="E1" s="20"/>
      <c r="F1" s="20"/>
      <c r="G1" s="165"/>
      <c r="H1" s="166" t="s">
        <v>78</v>
      </c>
      <c r="I1" s="166"/>
      <c r="J1" s="166"/>
      <c r="K1" s="165"/>
    </row>
    <row r="2" spans="1:15" s="1" customFormat="1" ht="26.25" customHeight="1" x14ac:dyDescent="0.25">
      <c r="A2" s="620"/>
      <c r="B2" s="164"/>
      <c r="C2" s="20"/>
      <c r="D2" s="167" t="s">
        <v>21</v>
      </c>
      <c r="E2" s="21"/>
      <c r="F2" s="21"/>
      <c r="G2" s="149"/>
      <c r="H2" s="541" t="str">
        <f>'OP 1'!F2</f>
        <v>26183/03</v>
      </c>
      <c r="I2" s="373"/>
      <c r="J2" s="149"/>
    </row>
    <row r="3" spans="1:15" s="1" customFormat="1" ht="10.5" customHeight="1" x14ac:dyDescent="0.25">
      <c r="A3" s="620"/>
      <c r="B3" s="164"/>
      <c r="C3" s="20"/>
      <c r="D3" s="20"/>
      <c r="E3" s="20"/>
      <c r="F3" s="20"/>
      <c r="G3" s="2"/>
      <c r="H3" s="2"/>
      <c r="I3" s="2"/>
    </row>
    <row r="4" spans="1:15" s="1" customFormat="1" ht="15" customHeight="1" x14ac:dyDescent="0.25">
      <c r="A4" s="164"/>
      <c r="B4" s="164"/>
      <c r="C4" s="20"/>
      <c r="D4" s="20"/>
      <c r="E4" s="20"/>
      <c r="F4" s="20"/>
      <c r="G4" s="2"/>
      <c r="H4" s="2"/>
      <c r="I4" s="2"/>
    </row>
    <row r="5" spans="1:15" s="425" customFormat="1" ht="15.75" x14ac:dyDescent="0.25">
      <c r="A5" s="419" t="s">
        <v>22</v>
      </c>
      <c r="B5" s="596"/>
      <c r="C5" s="420" t="str">
        <f>'OP 1'!B11</f>
        <v>BODY SPLASH AMBAR REAL 200ml</v>
      </c>
      <c r="D5" s="421"/>
      <c r="E5" s="422"/>
      <c r="F5" s="423" t="s">
        <v>23</v>
      </c>
      <c r="G5" s="424" t="str">
        <f>H2</f>
        <v>26183/03</v>
      </c>
      <c r="H5" s="424" t="s">
        <v>132</v>
      </c>
      <c r="I5" s="501"/>
    </row>
    <row r="6" spans="1:15" s="425" customFormat="1" ht="15.75" x14ac:dyDescent="0.25">
      <c r="A6" s="419" t="s">
        <v>24</v>
      </c>
      <c r="B6" s="596"/>
      <c r="C6" s="420" t="str">
        <f>'OP 1'!B7</f>
        <v>MISS RÔSE</v>
      </c>
      <c r="D6" s="421"/>
      <c r="E6" s="422"/>
      <c r="F6" s="423" t="s">
        <v>25</v>
      </c>
      <c r="G6" s="561">
        <f>'OP 1'!E11*'OP 1'!F11*(1+H6)</f>
        <v>990.72</v>
      </c>
      <c r="H6" s="426">
        <v>0</v>
      </c>
      <c r="I6" s="502"/>
    </row>
    <row r="7" spans="1:15" s="425" customFormat="1" ht="16.5" thickBot="1" x14ac:dyDescent="0.3">
      <c r="A7" s="427">
        <f>'OP 1'!A7</f>
        <v>46205</v>
      </c>
      <c r="B7" s="597"/>
      <c r="C7" s="420" t="str">
        <f>'OP 1'!A11</f>
        <v>MRARBS10</v>
      </c>
      <c r="D7" s="557"/>
      <c r="E7" s="420"/>
      <c r="F7" s="423" t="s">
        <v>26</v>
      </c>
      <c r="G7" s="428">
        <v>1</v>
      </c>
    </row>
    <row r="8" spans="1:15" s="425" customFormat="1" ht="24.75" customHeight="1" thickBot="1" x14ac:dyDescent="0.3">
      <c r="A8" s="625" t="s">
        <v>27</v>
      </c>
      <c r="B8" s="626"/>
      <c r="C8" s="626"/>
      <c r="D8" s="627"/>
      <c r="E8" s="429"/>
      <c r="F8" s="430"/>
      <c r="G8" s="430"/>
      <c r="H8" s="430"/>
      <c r="I8" s="430"/>
      <c r="J8" s="431"/>
    </row>
    <row r="9" spans="1:15" s="425" customFormat="1" ht="20.25" customHeight="1" x14ac:dyDescent="0.25">
      <c r="A9" s="628" t="s">
        <v>28</v>
      </c>
      <c r="B9" s="629"/>
      <c r="C9" s="629"/>
      <c r="D9" s="630"/>
      <c r="E9" s="432"/>
      <c r="F9" s="433"/>
      <c r="G9" s="433"/>
      <c r="H9" s="433"/>
      <c r="I9" s="433"/>
      <c r="J9" s="434"/>
      <c r="O9" s="435"/>
    </row>
    <row r="10" spans="1:15" s="425" customFormat="1" ht="22.5" customHeight="1" thickBot="1" x14ac:dyDescent="0.3">
      <c r="A10" s="621" t="s">
        <v>29</v>
      </c>
      <c r="B10" s="622"/>
      <c r="C10" s="622"/>
      <c r="D10" s="623"/>
      <c r="E10" s="436"/>
      <c r="F10" s="437"/>
      <c r="G10" s="437"/>
      <c r="H10" s="437"/>
      <c r="I10" s="437"/>
      <c r="J10" s="438"/>
      <c r="O10" s="439"/>
    </row>
    <row r="11" spans="1:15" s="425" customFormat="1" ht="16.5" thickBot="1" x14ac:dyDescent="0.3">
      <c r="A11" s="440"/>
      <c r="B11" s="441"/>
      <c r="C11" s="441"/>
      <c r="D11" s="441"/>
      <c r="E11" s="441"/>
      <c r="F11" s="441"/>
      <c r="G11" s="441"/>
      <c r="H11" s="441"/>
      <c r="I11" s="441"/>
      <c r="J11" s="442"/>
    </row>
    <row r="12" spans="1:15" s="425" customFormat="1" ht="16.5" thickBot="1" x14ac:dyDescent="0.3">
      <c r="A12" s="443"/>
      <c r="B12" s="444"/>
      <c r="C12" s="444"/>
      <c r="D12" s="444"/>
      <c r="E12" s="444"/>
      <c r="F12" s="444"/>
      <c r="G12" s="444"/>
      <c r="H12" s="444"/>
      <c r="I12" s="444"/>
      <c r="J12" s="445"/>
    </row>
    <row r="13" spans="1:15" s="425" customFormat="1" ht="27.75" customHeight="1" x14ac:dyDescent="0.25">
      <c r="A13" s="446" t="s">
        <v>23</v>
      </c>
      <c r="B13" s="598" t="s">
        <v>118</v>
      </c>
      <c r="C13" s="447" t="s">
        <v>30</v>
      </c>
      <c r="D13" s="448"/>
      <c r="E13" s="449" t="s">
        <v>31</v>
      </c>
      <c r="F13" s="449" t="s">
        <v>32</v>
      </c>
      <c r="G13" s="450" t="s">
        <v>38</v>
      </c>
      <c r="H13" s="450" t="s">
        <v>113</v>
      </c>
      <c r="I13" s="450" t="s">
        <v>136</v>
      </c>
      <c r="J13" s="451" t="s">
        <v>127</v>
      </c>
    </row>
    <row r="14" spans="1:15" s="425" customFormat="1" ht="24" customHeight="1" x14ac:dyDescent="0.25">
      <c r="A14" s="452"/>
      <c r="B14" s="599"/>
      <c r="C14" s="498" t="s">
        <v>135</v>
      </c>
      <c r="D14" s="499"/>
      <c r="E14" s="453"/>
      <c r="F14" s="453"/>
      <c r="G14" s="453"/>
      <c r="H14" s="454"/>
      <c r="I14" s="503"/>
      <c r="J14" s="455"/>
    </row>
    <row r="15" spans="1:15" s="425" customFormat="1" ht="21" customHeight="1" x14ac:dyDescent="0.25">
      <c r="A15" s="568"/>
      <c r="B15" s="547" t="s">
        <v>154</v>
      </c>
      <c r="C15" s="547" t="s">
        <v>147</v>
      </c>
      <c r="D15" s="510"/>
      <c r="E15" s="571">
        <f>100-SUM(E16:E26)</f>
        <v>26.771000000000001</v>
      </c>
      <c r="F15" s="335">
        <f t="shared" ref="F15:F18" si="0">(E15*$G$6)/100*G15</f>
        <v>265.22565120000002</v>
      </c>
      <c r="G15" s="548">
        <v>1</v>
      </c>
      <c r="H15" s="345">
        <f t="shared" ref="H15:H18" si="1">F15/G15</f>
        <v>265.22565120000002</v>
      </c>
      <c r="I15" s="344"/>
      <c r="J15" s="456"/>
    </row>
    <row r="16" spans="1:15" s="425" customFormat="1" ht="21" customHeight="1" x14ac:dyDescent="0.25">
      <c r="A16" s="568"/>
      <c r="B16" s="547"/>
      <c r="C16" s="547" t="s">
        <v>175</v>
      </c>
      <c r="D16" s="511"/>
      <c r="E16" s="571">
        <v>70.388999999999996</v>
      </c>
      <c r="F16" s="335">
        <f t="shared" si="0"/>
        <v>557.88632064000001</v>
      </c>
      <c r="G16" s="548">
        <v>0.8</v>
      </c>
      <c r="H16" s="345">
        <f t="shared" si="1"/>
        <v>697.35790079999992</v>
      </c>
      <c r="I16" s="344"/>
      <c r="J16" s="457"/>
    </row>
    <row r="17" spans="1:10" s="425" customFormat="1" ht="21" customHeight="1" x14ac:dyDescent="0.25">
      <c r="A17" s="568"/>
      <c r="B17" s="547" t="s">
        <v>178</v>
      </c>
      <c r="C17" s="547" t="s">
        <v>176</v>
      </c>
      <c r="D17" s="556"/>
      <c r="E17" s="571">
        <v>2.8</v>
      </c>
      <c r="F17" s="344">
        <f t="shared" si="0"/>
        <v>27.740159999999999</v>
      </c>
      <c r="G17" s="548">
        <v>1</v>
      </c>
      <c r="H17" s="345">
        <f t="shared" si="1"/>
        <v>27.740159999999999</v>
      </c>
      <c r="I17" s="344"/>
      <c r="J17" s="457"/>
    </row>
    <row r="18" spans="1:10" s="425" customFormat="1" ht="21" customHeight="1" x14ac:dyDescent="0.25">
      <c r="A18" s="569"/>
      <c r="B18" s="547"/>
      <c r="C18" s="547" t="s">
        <v>177</v>
      </c>
      <c r="D18" s="459"/>
      <c r="E18" s="571">
        <v>0.04</v>
      </c>
      <c r="F18" s="344">
        <f t="shared" si="0"/>
        <v>0.39628800000000003</v>
      </c>
      <c r="G18" s="548">
        <v>1</v>
      </c>
      <c r="H18" s="345">
        <f t="shared" si="1"/>
        <v>0.39628800000000003</v>
      </c>
      <c r="I18" s="344"/>
      <c r="J18" s="460"/>
    </row>
    <row r="19" spans="1:10" s="425" customFormat="1" ht="21" customHeight="1" x14ac:dyDescent="0.25">
      <c r="A19" s="569"/>
      <c r="B19" s="547"/>
      <c r="C19" s="547"/>
      <c r="D19" s="459"/>
      <c r="E19" s="571"/>
      <c r="F19" s="344"/>
      <c r="G19" s="548"/>
      <c r="H19" s="345"/>
      <c r="I19" s="344"/>
      <c r="J19" s="460"/>
    </row>
    <row r="20" spans="1:10" s="425" customFormat="1" ht="21" customHeight="1" x14ac:dyDescent="0.25">
      <c r="A20" s="570"/>
      <c r="B20" s="547"/>
      <c r="C20" s="547"/>
      <c r="D20" s="512"/>
      <c r="E20" s="571"/>
      <c r="F20" s="344"/>
      <c r="G20" s="548"/>
      <c r="H20" s="345"/>
      <c r="I20" s="344"/>
      <c r="J20" s="460"/>
    </row>
    <row r="21" spans="1:10" s="425" customFormat="1" ht="21" customHeight="1" x14ac:dyDescent="0.25">
      <c r="A21" s="458"/>
      <c r="B21" s="547"/>
      <c r="C21" s="547"/>
      <c r="D21" s="512"/>
      <c r="E21" s="571"/>
      <c r="F21" s="344"/>
      <c r="G21" s="548"/>
      <c r="H21" s="345"/>
      <c r="I21" s="344"/>
      <c r="J21" s="460"/>
    </row>
    <row r="22" spans="1:10" s="425" customFormat="1" ht="21" customHeight="1" x14ac:dyDescent="0.25">
      <c r="A22" s="458"/>
      <c r="C22" s="547"/>
      <c r="D22" s="512"/>
      <c r="E22" s="571"/>
      <c r="F22" s="344"/>
      <c r="G22" s="548"/>
      <c r="H22" s="345"/>
      <c r="I22" s="344"/>
      <c r="J22" s="460"/>
    </row>
    <row r="23" spans="1:10" s="425" customFormat="1" ht="21" customHeight="1" x14ac:dyDescent="0.25">
      <c r="A23" s="458"/>
      <c r="B23" s="547"/>
      <c r="C23" s="547"/>
      <c r="D23" s="512"/>
      <c r="E23" s="571"/>
      <c r="F23" s="344"/>
      <c r="G23" s="548"/>
      <c r="H23" s="345"/>
      <c r="I23" s="344"/>
      <c r="J23" s="460"/>
    </row>
    <row r="24" spans="1:10" s="425" customFormat="1" ht="21" customHeight="1" x14ac:dyDescent="0.25">
      <c r="A24" s="458"/>
      <c r="B24" s="547"/>
      <c r="C24" s="547"/>
      <c r="D24" s="512"/>
      <c r="E24" s="571"/>
      <c r="F24" s="344"/>
      <c r="G24" s="548"/>
      <c r="H24" s="345"/>
      <c r="I24" s="344"/>
      <c r="J24" s="460"/>
    </row>
    <row r="25" spans="1:10" s="425" customFormat="1" ht="21" customHeight="1" x14ac:dyDescent="0.25">
      <c r="A25" s="458"/>
      <c r="B25" s="547"/>
      <c r="C25" s="547"/>
      <c r="D25" s="512"/>
      <c r="E25" s="571"/>
      <c r="F25" s="344"/>
      <c r="G25" s="548"/>
      <c r="H25" s="345"/>
      <c r="I25" s="344"/>
      <c r="J25" s="460"/>
    </row>
    <row r="26" spans="1:10" s="425" customFormat="1" ht="21" customHeight="1" x14ac:dyDescent="0.25">
      <c r="A26" s="458"/>
      <c r="B26" s="547"/>
      <c r="C26" s="547"/>
      <c r="D26" s="512"/>
      <c r="E26" s="571"/>
      <c r="F26" s="344"/>
      <c r="G26" s="548"/>
      <c r="H26" s="345"/>
      <c r="I26" s="344"/>
      <c r="J26" s="460"/>
    </row>
    <row r="27" spans="1:10" s="425" customFormat="1" ht="21" customHeight="1" x14ac:dyDescent="0.25">
      <c r="A27" s="458"/>
      <c r="B27" s="600"/>
      <c r="C27" s="36"/>
      <c r="D27" s="459"/>
      <c r="E27" s="318"/>
      <c r="F27" s="319"/>
      <c r="G27" s="336"/>
      <c r="H27" s="345"/>
      <c r="I27" s="344"/>
      <c r="J27" s="460"/>
    </row>
    <row r="28" spans="1:10" s="425" customFormat="1" ht="21" customHeight="1" x14ac:dyDescent="0.25">
      <c r="A28" s="458"/>
      <c r="B28" s="600"/>
      <c r="C28" s="36"/>
      <c r="D28" s="459"/>
      <c r="E28" s="318"/>
      <c r="F28" s="319"/>
      <c r="G28" s="336"/>
      <c r="H28" s="345"/>
      <c r="I28" s="344"/>
      <c r="J28" s="460"/>
    </row>
    <row r="29" spans="1:10" s="425" customFormat="1" ht="21" customHeight="1" x14ac:dyDescent="0.25">
      <c r="A29" s="458"/>
      <c r="B29" s="600"/>
      <c r="C29" s="36"/>
      <c r="D29" s="459"/>
      <c r="E29" s="318"/>
      <c r="F29" s="319"/>
      <c r="G29" s="336"/>
      <c r="H29" s="345"/>
      <c r="I29" s="344"/>
      <c r="J29" s="460"/>
    </row>
    <row r="30" spans="1:10" s="425" customFormat="1" ht="21" customHeight="1" x14ac:dyDescent="0.25">
      <c r="A30" s="458"/>
      <c r="B30" s="600"/>
      <c r="C30" s="36"/>
      <c r="D30" s="461"/>
      <c r="E30" s="318"/>
      <c r="F30" s="319"/>
      <c r="G30" s="336"/>
      <c r="H30" s="345"/>
      <c r="I30" s="344"/>
      <c r="J30" s="460"/>
    </row>
    <row r="31" spans="1:10" s="425" customFormat="1" ht="21" customHeight="1" x14ac:dyDescent="0.25">
      <c r="A31" s="458"/>
      <c r="B31" s="600"/>
      <c r="C31" s="462"/>
      <c r="D31" s="459"/>
      <c r="E31" s="318"/>
      <c r="F31" s="319"/>
      <c r="G31" s="336"/>
      <c r="H31" s="335"/>
      <c r="I31" s="344"/>
      <c r="J31" s="460"/>
    </row>
    <row r="32" spans="1:10" s="425" customFormat="1" ht="21" customHeight="1" thickBot="1" x14ac:dyDescent="0.3">
      <c r="A32" s="458"/>
      <c r="B32" s="600"/>
      <c r="C32" s="463"/>
      <c r="D32" s="464"/>
      <c r="E32" s="318"/>
      <c r="F32" s="319"/>
      <c r="G32" s="336"/>
      <c r="H32" s="335"/>
      <c r="I32" s="344"/>
      <c r="J32" s="460"/>
    </row>
    <row r="33" spans="1:11" s="425" customFormat="1" ht="15.75" customHeight="1" thickBot="1" x14ac:dyDescent="0.3">
      <c r="A33" s="292"/>
      <c r="B33" s="601"/>
      <c r="C33" s="465" t="s">
        <v>33</v>
      </c>
      <c r="D33" s="466"/>
      <c r="E33" s="467">
        <f>SUM(E15:E32)</f>
        <v>100</v>
      </c>
      <c r="F33" s="468">
        <f>SUM(F15:F32)</f>
        <v>851.24841984</v>
      </c>
      <c r="G33" s="337" t="s">
        <v>103</v>
      </c>
      <c r="H33" s="468">
        <f>SUM(H15:H32)</f>
        <v>990.71999999999991</v>
      </c>
      <c r="I33" s="468">
        <f>SUM(I15:I32)</f>
        <v>0</v>
      </c>
      <c r="J33" s="293"/>
    </row>
    <row r="34" spans="1:11" s="425" customFormat="1" ht="15" customHeight="1" x14ac:dyDescent="0.25">
      <c r="A34" s="469"/>
      <c r="B34" s="602"/>
      <c r="C34" s="631"/>
      <c r="D34" s="632"/>
      <c r="E34" s="632"/>
      <c r="F34" s="632"/>
      <c r="G34" s="632"/>
      <c r="H34" s="633"/>
      <c r="I34" s="500"/>
      <c r="K34" s="504" t="s">
        <v>137</v>
      </c>
    </row>
    <row r="35" spans="1:11" s="425" customFormat="1" ht="15.75" customHeight="1" x14ac:dyDescent="0.25">
      <c r="A35" s="470" t="s">
        <v>34</v>
      </c>
      <c r="B35" s="603"/>
      <c r="C35" s="634"/>
      <c r="D35" s="635"/>
      <c r="E35" s="635"/>
      <c r="F35" s="635"/>
      <c r="G35" s="635"/>
      <c r="H35" s="636"/>
      <c r="I35" s="500"/>
    </row>
    <row r="36" spans="1:11" s="425" customFormat="1" ht="25.5" customHeight="1" x14ac:dyDescent="0.25">
      <c r="A36" s="458"/>
      <c r="B36" s="604"/>
      <c r="C36" s="634"/>
      <c r="D36" s="635"/>
      <c r="E36" s="635"/>
      <c r="F36" s="635"/>
      <c r="G36" s="635"/>
      <c r="H36" s="636"/>
      <c r="I36" s="500"/>
    </row>
    <row r="37" spans="1:11" s="425" customFormat="1" ht="15.75" x14ac:dyDescent="0.25">
      <c r="A37" s="458"/>
      <c r="B37" s="604"/>
      <c r="C37" s="634"/>
      <c r="D37" s="635"/>
      <c r="E37" s="635"/>
      <c r="F37" s="635"/>
      <c r="G37" s="635"/>
      <c r="H37" s="636"/>
      <c r="I37" s="500"/>
    </row>
    <row r="38" spans="1:11" s="425" customFormat="1" ht="15.75" x14ac:dyDescent="0.25">
      <c r="A38" s="458"/>
      <c r="B38" s="604"/>
      <c r="C38" s="634"/>
      <c r="D38" s="635"/>
      <c r="E38" s="635"/>
      <c r="F38" s="635"/>
      <c r="G38" s="635"/>
      <c r="H38" s="636"/>
      <c r="I38" s="500"/>
    </row>
    <row r="39" spans="1:11" s="425" customFormat="1" ht="15.75" x14ac:dyDescent="0.25">
      <c r="A39" s="458"/>
      <c r="B39" s="604"/>
      <c r="C39" s="634"/>
      <c r="D39" s="635"/>
      <c r="E39" s="635"/>
      <c r="F39" s="635"/>
      <c r="G39" s="635"/>
      <c r="H39" s="636"/>
      <c r="I39" s="500"/>
    </row>
    <row r="40" spans="1:11" s="425" customFormat="1" ht="16.5" thickBot="1" x14ac:dyDescent="0.3">
      <c r="A40" s="471"/>
      <c r="B40" s="605"/>
      <c r="C40" s="637"/>
      <c r="D40" s="638"/>
      <c r="E40" s="638"/>
      <c r="F40" s="638"/>
      <c r="G40" s="638"/>
      <c r="H40" s="639"/>
      <c r="I40" s="500"/>
    </row>
    <row r="41" spans="1:11" s="425" customFormat="1" ht="15.75" x14ac:dyDescent="0.25">
      <c r="A41" s="472"/>
      <c r="B41" s="472"/>
      <c r="C41" s="472"/>
      <c r="D41" s="473"/>
      <c r="E41" s="473"/>
      <c r="F41" s="473"/>
      <c r="G41" s="473"/>
      <c r="H41" s="473"/>
      <c r="I41" s="473"/>
      <c r="J41" s="473"/>
    </row>
    <row r="42" spans="1:11" s="425" customFormat="1" ht="16.5" thickBot="1" x14ac:dyDescent="0.3">
      <c r="A42" s="472"/>
      <c r="B42" s="472"/>
      <c r="C42" s="472"/>
      <c r="D42" s="473"/>
    </row>
    <row r="43" spans="1:11" s="425" customFormat="1" ht="15.75" x14ac:dyDescent="0.25">
      <c r="A43" s="574" t="s">
        <v>114</v>
      </c>
      <c r="B43" s="606"/>
      <c r="C43" s="575"/>
      <c r="D43" s="576"/>
      <c r="E43" s="577"/>
      <c r="F43" s="582" t="s">
        <v>148</v>
      </c>
      <c r="G43" s="583"/>
      <c r="H43" s="583"/>
      <c r="I43" s="583"/>
      <c r="J43" s="584"/>
    </row>
    <row r="44" spans="1:11" s="425" customFormat="1" ht="15" customHeight="1" x14ac:dyDescent="0.25">
      <c r="A44" s="578" t="s">
        <v>35</v>
      </c>
      <c r="B44" s="607"/>
      <c r="C44" s="472"/>
      <c r="D44" s="473"/>
      <c r="E44" s="473"/>
      <c r="F44" s="585" t="s">
        <v>93</v>
      </c>
      <c r="G44" s="586" t="s">
        <v>36</v>
      </c>
      <c r="H44" s="587" t="s">
        <v>37</v>
      </c>
      <c r="I44" s="587"/>
      <c r="J44" s="588"/>
    </row>
    <row r="45" spans="1:11" s="425" customFormat="1" ht="15.75" x14ac:dyDescent="0.25">
      <c r="A45" s="578" t="s">
        <v>35</v>
      </c>
      <c r="B45" s="607"/>
      <c r="C45" s="472"/>
      <c r="D45" s="473"/>
      <c r="E45" s="473"/>
      <c r="F45" s="589" t="s">
        <v>149</v>
      </c>
      <c r="G45" s="595" t="str">
        <f>'RELATÓRIO PRODUTO ACABADO'!D16</f>
        <v>Líquido</v>
      </c>
      <c r="H45" s="590"/>
      <c r="I45" s="590"/>
      <c r="J45" s="591"/>
    </row>
    <row r="46" spans="1:11" s="425" customFormat="1" ht="17.25" customHeight="1" x14ac:dyDescent="0.25">
      <c r="A46" s="578" t="s">
        <v>35</v>
      </c>
      <c r="B46" s="607"/>
      <c r="C46" s="472"/>
      <c r="D46" s="473"/>
      <c r="E46" s="473"/>
      <c r="F46" s="592" t="s">
        <v>150</v>
      </c>
      <c r="G46" s="595" t="str">
        <f>'RELATÓRIO PRODUTO ACABADO'!D17</f>
        <v>Transparente</v>
      </c>
      <c r="H46" s="590"/>
      <c r="I46" s="590"/>
      <c r="J46" s="591"/>
    </row>
    <row r="47" spans="1:11" s="425" customFormat="1" ht="17.25" customHeight="1" x14ac:dyDescent="0.25">
      <c r="A47" s="578"/>
      <c r="B47" s="607"/>
      <c r="C47" s="472"/>
      <c r="D47" s="473"/>
      <c r="E47" s="473"/>
      <c r="F47" s="592" t="s">
        <v>151</v>
      </c>
      <c r="G47" s="595" t="str">
        <f>'RELATÓRIO PRODUTO ACABADO'!D19</f>
        <v>170g - 190g</v>
      </c>
      <c r="H47" s="590"/>
      <c r="I47" s="590"/>
      <c r="J47" s="591"/>
    </row>
    <row r="48" spans="1:11" s="425" customFormat="1" ht="15" customHeight="1" x14ac:dyDescent="0.25">
      <c r="A48" s="578" t="s">
        <v>35</v>
      </c>
      <c r="B48" s="607"/>
      <c r="C48" s="472"/>
      <c r="D48" s="473"/>
      <c r="E48" s="473"/>
      <c r="F48" s="592" t="s">
        <v>38</v>
      </c>
      <c r="G48" s="595" t="str">
        <f>'RELATÓRIO PRODUTO ACABADO'!D18</f>
        <v>0,8 - 0,9</v>
      </c>
      <c r="H48" s="590"/>
      <c r="I48" s="590"/>
      <c r="J48" s="591"/>
    </row>
    <row r="49" spans="1:10" s="425" customFormat="1" ht="15.75" x14ac:dyDescent="0.25">
      <c r="A49" s="578" t="s">
        <v>35</v>
      </c>
      <c r="B49" s="607"/>
      <c r="C49" s="472"/>
      <c r="D49" s="473"/>
      <c r="E49" s="473"/>
      <c r="F49" s="593" t="s">
        <v>152</v>
      </c>
      <c r="G49" s="595" t="str">
        <f>'RELATÓRIO PRODUTO ACABADO'!D21</f>
        <v>65°g/L - 75°g/L</v>
      </c>
      <c r="H49" s="590"/>
      <c r="I49" s="590"/>
      <c r="J49" s="591"/>
    </row>
    <row r="50" spans="1:10" s="425" customFormat="1" ht="16.5" thickBot="1" x14ac:dyDescent="0.3">
      <c r="A50" s="579" t="s">
        <v>35</v>
      </c>
      <c r="B50" s="608"/>
      <c r="C50" s="580"/>
      <c r="D50" s="581"/>
      <c r="E50" s="581"/>
      <c r="F50" s="594" t="s">
        <v>153</v>
      </c>
      <c r="G50" s="595" t="str">
        <f>'RELATÓRIO PRODUTO ACABADO'!D27</f>
        <v>NA</v>
      </c>
      <c r="H50" s="590"/>
      <c r="I50" s="590"/>
      <c r="J50" s="591"/>
    </row>
    <row r="51" spans="1:10" s="425" customFormat="1" ht="15.75" x14ac:dyDescent="0.25"/>
    <row r="52" spans="1:10" s="425" customFormat="1" ht="15.75" x14ac:dyDescent="0.25"/>
    <row r="53" spans="1:10" s="425" customFormat="1" ht="15.75" x14ac:dyDescent="0.25">
      <c r="F53" s="504"/>
    </row>
    <row r="54" spans="1:10" s="425" customFormat="1" ht="15.75" x14ac:dyDescent="0.25"/>
    <row r="55" spans="1:10" s="425" customFormat="1" ht="15.75" x14ac:dyDescent="0.25"/>
    <row r="56" spans="1:10" s="425" customFormat="1" ht="15.75" x14ac:dyDescent="0.25">
      <c r="A56" s="624" t="s">
        <v>39</v>
      </c>
      <c r="B56" s="624"/>
      <c r="C56" s="624"/>
      <c r="D56" s="474" t="s">
        <v>40</v>
      </c>
      <c r="E56" s="474"/>
      <c r="G56" s="474"/>
      <c r="H56" s="474"/>
      <c r="I56" s="474"/>
      <c r="J56" s="474"/>
    </row>
  </sheetData>
  <mergeCells count="6">
    <mergeCell ref="A1:A3"/>
    <mergeCell ref="A10:D10"/>
    <mergeCell ref="A56:C56"/>
    <mergeCell ref="A8:D8"/>
    <mergeCell ref="A9:D9"/>
    <mergeCell ref="C34:H40"/>
  </mergeCells>
  <printOptions horizontalCentered="1"/>
  <pageMargins left="0" right="0" top="0" bottom="0" header="0" footer="0"/>
  <pageSetup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5D19-E723-4B6D-8E9E-7C9EDF1AA86B}">
  <sheetPr codeName="Sheet3"/>
  <dimension ref="A1:M60"/>
  <sheetViews>
    <sheetView showGridLines="0" view="pageBreakPreview" zoomScale="70" zoomScaleNormal="100" zoomScaleSheetLayoutView="70" workbookViewId="0">
      <selection activeCell="J2" sqref="J2"/>
    </sheetView>
  </sheetViews>
  <sheetFormatPr defaultColWidth="9.140625" defaultRowHeight="15" x14ac:dyDescent="0.25"/>
  <cols>
    <col min="1" max="1" width="22.42578125" bestFit="1" customWidth="1"/>
    <col min="2" max="2" width="23.28515625" customWidth="1"/>
    <col min="3" max="3" width="22" bestFit="1" customWidth="1"/>
    <col min="4" max="4" width="13.28515625" customWidth="1"/>
    <col min="5" max="6" width="10" customWidth="1"/>
    <col min="7" max="7" width="8.85546875" bestFit="1" customWidth="1"/>
    <col min="8" max="8" width="12.85546875" customWidth="1"/>
    <col min="9" max="9" width="11.140625" customWidth="1"/>
    <col min="10" max="10" width="16.85546875" customWidth="1"/>
    <col min="11" max="11" width="14" customWidth="1"/>
  </cols>
  <sheetData>
    <row r="1" spans="1:13" s="1" customFormat="1" ht="17.25" customHeight="1" x14ac:dyDescent="0.25">
      <c r="A1" s="170"/>
      <c r="B1" s="19"/>
      <c r="C1" s="20"/>
      <c r="D1" s="20"/>
      <c r="E1" s="20"/>
      <c r="F1" s="165"/>
      <c r="G1"/>
      <c r="H1"/>
      <c r="I1" s="165"/>
      <c r="J1" s="166" t="s">
        <v>78</v>
      </c>
      <c r="K1" s="166"/>
    </row>
    <row r="2" spans="1:13" s="1" customFormat="1" ht="26.25" customHeight="1" x14ac:dyDescent="0.25">
      <c r="A2" s="170"/>
      <c r="B2" s="20"/>
      <c r="C2" s="167" t="s">
        <v>41</v>
      </c>
      <c r="D2" s="21"/>
      <c r="E2" s="21"/>
      <c r="F2" s="149"/>
      <c r="G2" s="168"/>
      <c r="H2" s="168"/>
      <c r="I2" s="169"/>
      <c r="J2" s="541" t="str">
        <f>'OP 1'!F2</f>
        <v>26183/03</v>
      </c>
      <c r="K2" s="149"/>
    </row>
    <row r="3" spans="1:13" ht="17.25" customHeight="1" x14ac:dyDescent="0.25">
      <c r="A3" s="39"/>
      <c r="B3" s="40"/>
      <c r="C3" s="40"/>
      <c r="D3" s="40"/>
      <c r="E3" s="40"/>
      <c r="F3" s="40"/>
      <c r="G3" s="41"/>
      <c r="H3" s="41"/>
      <c r="J3" s="171" t="s">
        <v>109</v>
      </c>
      <c r="K3" s="172">
        <f>'OP 1'!A7</f>
        <v>46205</v>
      </c>
    </row>
    <row r="4" spans="1:13" ht="15" customHeight="1" thickBot="1" x14ac:dyDescent="0.3">
      <c r="A4" s="39"/>
      <c r="B4" s="40"/>
      <c r="C4" s="40"/>
      <c r="D4" s="40"/>
      <c r="E4" s="40"/>
      <c r="F4" s="40"/>
      <c r="G4" s="42"/>
      <c r="H4" s="40"/>
      <c r="I4" s="40"/>
      <c r="J4" s="40"/>
      <c r="K4" s="40"/>
    </row>
    <row r="5" spans="1:13" ht="15" customHeight="1" x14ac:dyDescent="0.25">
      <c r="A5" s="43" t="s">
        <v>22</v>
      </c>
      <c r="B5" s="70" t="str">
        <f>'OP 1'!B11</f>
        <v>BODY SPLASH AMBAR REAL 200ml</v>
      </c>
      <c r="C5" s="71"/>
      <c r="D5" s="71"/>
      <c r="E5" s="71"/>
      <c r="F5" s="346" t="str">
        <f>'OP 1'!A11</f>
        <v>MRARBS10</v>
      </c>
      <c r="G5" s="347"/>
      <c r="H5" s="44" t="s">
        <v>42</v>
      </c>
      <c r="I5" s="390">
        <f>'OP 1'!E11</f>
        <v>4608</v>
      </c>
      <c r="J5" s="317" t="str">
        <f>"Volume = "&amp;'OP 1'!F11</f>
        <v>Volume = 0,215</v>
      </c>
      <c r="K5" s="317" t="str">
        <f>"Densi. = "&amp;'OP 1'!G11</f>
        <v>Densi. = 1</v>
      </c>
    </row>
    <row r="6" spans="1:13" ht="15" customHeight="1" thickBot="1" x14ac:dyDescent="0.3">
      <c r="A6" s="265" t="s">
        <v>43</v>
      </c>
      <c r="B6" s="98"/>
      <c r="C6" s="99"/>
      <c r="D6" s="99"/>
      <c r="E6" s="99"/>
      <c r="F6" s="99"/>
      <c r="G6" s="100"/>
      <c r="H6" s="45" t="s">
        <v>42</v>
      </c>
      <c r="I6" s="393">
        <f>'OP 1'!E26</f>
        <v>96</v>
      </c>
      <c r="J6" s="325"/>
    </row>
    <row r="7" spans="1:13" ht="15" customHeight="1" thickBot="1" x14ac:dyDescent="0.3">
      <c r="A7" s="263" t="s">
        <v>108</v>
      </c>
      <c r="B7" s="264">
        <f>K3+1096</f>
        <v>47301</v>
      </c>
      <c r="C7" s="573"/>
      <c r="D7" s="560"/>
      <c r="E7" s="558"/>
      <c r="F7" s="560"/>
      <c r="G7" s="559"/>
      <c r="H7" s="48" t="s">
        <v>44</v>
      </c>
      <c r="I7" s="316" t="str">
        <f>'OP 1'!F2</f>
        <v>26183/03</v>
      </c>
      <c r="J7" s="72"/>
      <c r="K7" s="49"/>
    </row>
    <row r="8" spans="1:13" ht="15" customHeight="1" thickBot="1" x14ac:dyDescent="0.3">
      <c r="A8" s="616" t="s">
        <v>160</v>
      </c>
      <c r="B8" s="617" t="str">
        <f>'OP 1'!A12</f>
        <v>MR157/E</v>
      </c>
      <c r="C8" s="46"/>
      <c r="D8" s="46"/>
      <c r="E8" s="46"/>
      <c r="F8" s="47"/>
      <c r="G8" s="50"/>
      <c r="H8" s="50"/>
      <c r="I8" s="49"/>
      <c r="J8" s="40"/>
      <c r="K8" s="40"/>
    </row>
    <row r="9" spans="1:13" ht="27" customHeight="1" thickBot="1" x14ac:dyDescent="0.3">
      <c r="A9" s="189" t="s">
        <v>45</v>
      </c>
      <c r="B9" s="155"/>
      <c r="C9" s="155"/>
      <c r="D9" s="155"/>
      <c r="E9" s="155"/>
      <c r="F9" s="155"/>
      <c r="G9" s="155"/>
      <c r="H9" s="194"/>
      <c r="I9" s="194"/>
      <c r="J9" s="194"/>
      <c r="K9" s="194"/>
      <c r="M9" s="340"/>
    </row>
    <row r="10" spans="1:13" ht="27" customHeight="1" thickBot="1" x14ac:dyDescent="0.3">
      <c r="A10" s="188" t="s">
        <v>111</v>
      </c>
      <c r="B10" s="186"/>
      <c r="C10" s="186"/>
      <c r="D10" s="186"/>
      <c r="E10" s="186"/>
      <c r="F10" s="186"/>
      <c r="G10" s="187"/>
      <c r="H10" s="194"/>
      <c r="I10" s="194"/>
      <c r="J10" s="194"/>
      <c r="K10" s="194"/>
      <c r="M10" s="343"/>
    </row>
    <row r="11" spans="1:13" ht="27" customHeight="1" thickBot="1" x14ac:dyDescent="0.3">
      <c r="A11" s="188" t="s">
        <v>126</v>
      </c>
      <c r="B11" s="186"/>
      <c r="C11" s="186"/>
      <c r="D11" s="186"/>
      <c r="E11" s="186"/>
      <c r="F11" s="186"/>
      <c r="G11" s="187"/>
      <c r="H11" s="194"/>
      <c r="I11" s="194"/>
      <c r="J11" s="194"/>
      <c r="K11" s="194"/>
    </row>
    <row r="12" spans="1:13" ht="33" customHeight="1" x14ac:dyDescent="0.25">
      <c r="A12" s="613" t="s">
        <v>155</v>
      </c>
      <c r="B12" s="190" t="s">
        <v>47</v>
      </c>
      <c r="C12" s="614" t="s">
        <v>156</v>
      </c>
      <c r="D12" s="190" t="s">
        <v>47</v>
      </c>
      <c r="E12" s="191"/>
      <c r="F12" s="191"/>
      <c r="G12" s="191"/>
      <c r="H12" s="194"/>
      <c r="I12" s="194"/>
      <c r="J12" s="194"/>
      <c r="K12" s="194"/>
    </row>
    <row r="13" spans="1:13" ht="33" customHeight="1" thickBot="1" x14ac:dyDescent="0.3">
      <c r="A13" s="614" t="s">
        <v>163</v>
      </c>
      <c r="B13" s="192" t="s">
        <v>47</v>
      </c>
      <c r="C13" s="614" t="s">
        <v>157</v>
      </c>
      <c r="D13" s="190" t="s">
        <v>47</v>
      </c>
      <c r="E13" s="193"/>
      <c r="F13" s="193"/>
      <c r="G13" s="193"/>
      <c r="H13" s="194"/>
      <c r="I13" s="194"/>
      <c r="J13" s="194"/>
      <c r="K13" s="194"/>
    </row>
    <row r="14" spans="1:13" ht="15" customHeight="1" thickBot="1" x14ac:dyDescent="0.3">
      <c r="A14" s="150"/>
      <c r="B14" s="151"/>
      <c r="C14" s="151"/>
      <c r="D14" s="151"/>
      <c r="E14" s="151"/>
      <c r="F14" s="151"/>
      <c r="G14" s="151"/>
      <c r="H14" s="151"/>
      <c r="I14" s="152"/>
      <c r="J14" s="153"/>
      <c r="K14" s="154"/>
    </row>
    <row r="15" spans="1:13" ht="16.5" thickBot="1" x14ac:dyDescent="0.3">
      <c r="A15" s="39"/>
      <c r="B15" s="40"/>
      <c r="C15" s="40"/>
      <c r="D15" s="40"/>
      <c r="E15" s="40"/>
      <c r="F15" s="40"/>
      <c r="G15" s="40"/>
      <c r="H15" s="40"/>
      <c r="I15" s="51"/>
      <c r="J15" s="40"/>
      <c r="K15" s="40"/>
    </row>
    <row r="16" spans="1:13" ht="29.25" customHeight="1" thickBot="1" x14ac:dyDescent="0.3">
      <c r="A16" s="52" t="s">
        <v>118</v>
      </c>
      <c r="B16" s="73" t="s">
        <v>48</v>
      </c>
      <c r="C16" s="73"/>
      <c r="D16" s="73"/>
      <c r="E16" s="73"/>
      <c r="F16" s="73" t="s">
        <v>123</v>
      </c>
      <c r="G16" s="73"/>
      <c r="H16" s="54" t="s">
        <v>49</v>
      </c>
      <c r="I16" s="54" t="s">
        <v>50</v>
      </c>
      <c r="J16" s="53" t="s">
        <v>51</v>
      </c>
      <c r="K16" s="55" t="s">
        <v>52</v>
      </c>
    </row>
    <row r="17" spans="1:11" ht="25.5" customHeight="1" x14ac:dyDescent="0.25">
      <c r="A17" s="56"/>
      <c r="B17" s="478" t="str">
        <f>IF('OP 1'!B15=0,"",'OP 1'!B15)</f>
        <v>FORMULA BODY SPLASH AMBAR REAL 200ml</v>
      </c>
      <c r="C17" s="413"/>
      <c r="D17" s="413"/>
      <c r="E17" s="414"/>
      <c r="F17" s="415">
        <f>IF('OP 1'!E15=0,"",'OP 1'!E15)</f>
        <v>990.72</v>
      </c>
      <c r="G17" s="416"/>
      <c r="H17" s="57"/>
      <c r="I17" s="57"/>
      <c r="J17" s="57"/>
      <c r="K17" s="58"/>
    </row>
    <row r="18" spans="1:11" ht="25.5" customHeight="1" x14ac:dyDescent="0.25">
      <c r="A18" s="59"/>
      <c r="B18" s="478" t="str">
        <f>IF('OP 1'!B16=0,"",'OP 1'!B16)</f>
        <v>ROTULO BODY SPLASH AMBAR REAL - (MISS ROSE)</v>
      </c>
      <c r="C18" s="399"/>
      <c r="D18" s="399"/>
      <c r="E18" s="400"/>
      <c r="F18" s="412">
        <f>IF('OP 1'!E16=0,"",'OP 1'!E16)</f>
        <v>4608</v>
      </c>
      <c r="G18" s="401"/>
      <c r="H18" s="37"/>
      <c r="I18" s="37"/>
      <c r="J18" s="37"/>
      <c r="K18" s="60"/>
    </row>
    <row r="19" spans="1:11" ht="25.5" customHeight="1" x14ac:dyDescent="0.25">
      <c r="A19" s="59"/>
      <c r="B19" s="478" t="str">
        <f>IF('OP 1'!B16=0,"",'OP 1'!B16)</f>
        <v>ROTULO BODY SPLASH AMBAR REAL - (MISS ROSE)</v>
      </c>
      <c r="C19" s="399"/>
      <c r="D19" s="399"/>
      <c r="E19" s="400"/>
      <c r="F19" s="412">
        <f>IF('OP 1'!E17=0,"",'OP 1'!E17)</f>
        <v>4608</v>
      </c>
      <c r="G19" s="401"/>
      <c r="H19" s="37"/>
      <c r="I19" s="37"/>
      <c r="J19" s="37"/>
      <c r="K19" s="60"/>
    </row>
    <row r="20" spans="1:11" ht="25.5" customHeight="1" x14ac:dyDescent="0.25">
      <c r="A20" s="59"/>
      <c r="B20" s="478" t="str">
        <f>IF('OP 1'!B18=0,"",'OP 1'!B18)</f>
        <v>SOBRETAMPA CILINDRICA RECRAVE NATURAL</v>
      </c>
      <c r="C20" s="399"/>
      <c r="D20" s="399"/>
      <c r="E20" s="400"/>
      <c r="F20" s="412">
        <f>IF('OP 1'!E18=0,"",'OP 1'!E18)</f>
        <v>4608</v>
      </c>
      <c r="G20" s="401"/>
      <c r="H20" s="37"/>
      <c r="I20" s="37"/>
      <c r="J20" s="37"/>
      <c r="K20" s="60"/>
    </row>
    <row r="21" spans="1:11" ht="25.5" customHeight="1" x14ac:dyDescent="0.25">
      <c r="A21" s="59"/>
      <c r="B21" s="478" t="str">
        <f>IF('OP 1'!B19=0,"",'OP 1'!B19)</f>
        <v/>
      </c>
      <c r="C21" s="399"/>
      <c r="D21" s="399"/>
      <c r="E21" s="400"/>
      <c r="F21" s="412" t="str">
        <f>IF('OP 1'!E19=0,"",'OP 1'!E19)</f>
        <v/>
      </c>
      <c r="G21" s="401"/>
      <c r="H21" s="37"/>
      <c r="I21" s="37"/>
      <c r="J21" s="37"/>
      <c r="K21" s="60"/>
    </row>
    <row r="22" spans="1:11" ht="25.5" customHeight="1" x14ac:dyDescent="0.25">
      <c r="A22" s="59"/>
      <c r="B22" s="478" t="str">
        <f>IF('OP 1'!B26=0,"",'OP 1'!B26)</f>
        <v>CAIXA DE PAPELAO BODY SPLASH REFRESCANTE</v>
      </c>
      <c r="C22" s="399"/>
      <c r="D22" s="399"/>
      <c r="E22" s="400"/>
      <c r="F22" s="412">
        <f>IF('OP 1'!E26=0,"",'OP 1'!E26)</f>
        <v>96</v>
      </c>
      <c r="G22" s="401"/>
      <c r="H22" s="37"/>
      <c r="I22" s="37"/>
      <c r="J22" s="37"/>
      <c r="K22" s="60"/>
    </row>
    <row r="23" spans="1:11" ht="25.5" customHeight="1" x14ac:dyDescent="0.25">
      <c r="A23" s="59"/>
      <c r="B23" s="478" t="str">
        <f>IF('OP 1'!B27=0,"",'OP 1'!B27)</f>
        <v>ETIQUETA PARA CAIXA DE EMBARQUE 90x55mm</v>
      </c>
      <c r="C23" s="399"/>
      <c r="D23" s="399"/>
      <c r="E23" s="400"/>
      <c r="F23" s="412">
        <f>IF('OP 1'!E27=0,"",'OP 1'!E27)</f>
        <v>96</v>
      </c>
      <c r="G23" s="401"/>
      <c r="H23" s="37"/>
      <c r="I23" s="37"/>
      <c r="J23" s="37"/>
      <c r="K23" s="60"/>
    </row>
    <row r="24" spans="1:11" ht="25.5" customHeight="1" x14ac:dyDescent="0.25">
      <c r="A24" s="59"/>
      <c r="B24" s="478" t="s">
        <v>161</v>
      </c>
      <c r="C24" s="399"/>
      <c r="D24" s="399"/>
      <c r="E24" s="400"/>
      <c r="F24" s="412" t="s">
        <v>162</v>
      </c>
      <c r="G24" s="401"/>
      <c r="H24" s="37"/>
      <c r="I24" s="37"/>
      <c r="J24" s="37"/>
      <c r="K24" s="60"/>
    </row>
    <row r="25" spans="1:11" ht="25.5" customHeight="1" x14ac:dyDescent="0.25">
      <c r="A25" s="59"/>
      <c r="B25" s="418"/>
      <c r="C25" s="399"/>
      <c r="D25" s="399"/>
      <c r="E25" s="400"/>
      <c r="F25" s="412"/>
      <c r="G25" s="401"/>
      <c r="H25" s="37"/>
      <c r="I25" s="37"/>
      <c r="J25" s="37"/>
      <c r="K25" s="60"/>
    </row>
    <row r="26" spans="1:11" ht="25.5" customHeight="1" x14ac:dyDescent="0.25">
      <c r="A26" s="59"/>
      <c r="B26" s="478"/>
      <c r="C26" s="399"/>
      <c r="D26" s="399"/>
      <c r="E26" s="400"/>
      <c r="F26" s="412"/>
      <c r="G26" s="401"/>
      <c r="H26" s="37"/>
      <c r="I26" s="37"/>
      <c r="J26" s="37"/>
      <c r="K26" s="60"/>
    </row>
    <row r="27" spans="1:11" ht="25.5" customHeight="1" thickBot="1" x14ac:dyDescent="0.3">
      <c r="A27" s="146"/>
      <c r="B27" s="324" t="str">
        <f>IF('OP 1'!B24=0,"",'OP 1'!B24)</f>
        <v/>
      </c>
      <c r="C27" s="402"/>
      <c r="D27" s="402"/>
      <c r="E27" s="403"/>
      <c r="F27" s="404" t="str">
        <f>IF('OP 1'!E24=0,"",'OP 1'!E24)</f>
        <v/>
      </c>
      <c r="G27" s="405"/>
      <c r="H27" s="147"/>
      <c r="I27" s="147"/>
      <c r="J27" s="147"/>
      <c r="K27" s="148"/>
    </row>
    <row r="28" spans="1:11" ht="16.5" thickBot="1" x14ac:dyDescent="0.3">
      <c r="A28" s="618"/>
      <c r="B28" s="143"/>
      <c r="C28" s="143"/>
      <c r="D28" s="143"/>
      <c r="E28" s="143"/>
      <c r="F28" s="144"/>
      <c r="G28" s="145"/>
      <c r="H28" s="144"/>
      <c r="I28" s="144"/>
      <c r="J28" s="144"/>
    </row>
    <row r="29" spans="1:11" ht="16.5" thickBot="1" x14ac:dyDescent="0.3">
      <c r="A29" s="257" t="s">
        <v>53</v>
      </c>
      <c r="B29" s="258"/>
      <c r="C29" s="259"/>
      <c r="D29" s="260"/>
      <c r="E29" s="261"/>
      <c r="F29" s="255"/>
      <c r="G29" s="255"/>
      <c r="H29" s="262"/>
      <c r="I29" s="255"/>
      <c r="J29" s="255"/>
      <c r="K29" s="256"/>
    </row>
    <row r="30" spans="1:11" ht="15.75" x14ac:dyDescent="0.25">
      <c r="A30" s="239" t="s">
        <v>55</v>
      </c>
      <c r="B30" s="240"/>
      <c r="C30" s="241" t="s">
        <v>62</v>
      </c>
      <c r="D30" s="241"/>
      <c r="E30" s="242"/>
      <c r="F30" s="243" t="s">
        <v>56</v>
      </c>
      <c r="G30" s="243"/>
      <c r="H30" s="244"/>
      <c r="I30" s="245" t="s">
        <v>57</v>
      </c>
      <c r="J30" s="245"/>
      <c r="K30" s="245"/>
    </row>
    <row r="31" spans="1:11" ht="30" customHeight="1" x14ac:dyDescent="0.25">
      <c r="A31" s="661" t="s">
        <v>63</v>
      </c>
      <c r="B31" s="662"/>
      <c r="C31" s="157"/>
      <c r="E31" s="158"/>
      <c r="F31" s="649" t="s">
        <v>64</v>
      </c>
      <c r="G31" s="650"/>
      <c r="H31" s="651"/>
      <c r="I31" s="643" t="s">
        <v>65</v>
      </c>
      <c r="J31" s="644"/>
      <c r="K31" s="645"/>
    </row>
    <row r="32" spans="1:11" ht="30" customHeight="1" x14ac:dyDescent="0.25">
      <c r="A32" s="663"/>
      <c r="B32" s="664"/>
      <c r="C32" s="159"/>
      <c r="D32" s="160"/>
      <c r="E32" s="161"/>
      <c r="F32" s="652"/>
      <c r="G32" s="653"/>
      <c r="H32" s="654"/>
      <c r="I32" s="646" t="s">
        <v>66</v>
      </c>
      <c r="J32" s="647"/>
      <c r="K32" s="648"/>
    </row>
    <row r="33" spans="1:11" ht="30" customHeight="1" x14ac:dyDescent="0.25">
      <c r="A33" s="661" t="s">
        <v>67</v>
      </c>
      <c r="B33" s="662"/>
      <c r="C33" s="162"/>
      <c r="D33" s="163"/>
      <c r="E33" s="156"/>
      <c r="F33" s="649" t="s">
        <v>64</v>
      </c>
      <c r="G33" s="650"/>
      <c r="H33" s="651"/>
      <c r="I33" s="643" t="s">
        <v>65</v>
      </c>
      <c r="J33" s="644"/>
      <c r="K33" s="645"/>
    </row>
    <row r="34" spans="1:11" ht="30" customHeight="1" x14ac:dyDescent="0.25">
      <c r="A34" s="663"/>
      <c r="B34" s="664"/>
      <c r="C34" s="159"/>
      <c r="D34" s="160"/>
      <c r="E34" s="161"/>
      <c r="F34" s="652"/>
      <c r="G34" s="653"/>
      <c r="H34" s="654"/>
      <c r="I34" s="646" t="s">
        <v>66</v>
      </c>
      <c r="J34" s="647"/>
      <c r="K34" s="648"/>
    </row>
    <row r="35" spans="1:11" ht="30" customHeight="1" x14ac:dyDescent="0.25">
      <c r="A35" s="661" t="s">
        <v>68</v>
      </c>
      <c r="B35" s="662"/>
      <c r="C35" s="162"/>
      <c r="D35" s="163"/>
      <c r="E35" s="156"/>
      <c r="F35" s="649" t="s">
        <v>64</v>
      </c>
      <c r="G35" s="650"/>
      <c r="H35" s="651"/>
      <c r="I35" s="643" t="s">
        <v>65</v>
      </c>
      <c r="J35" s="644"/>
      <c r="K35" s="645"/>
    </row>
    <row r="36" spans="1:11" ht="30" customHeight="1" x14ac:dyDescent="0.25">
      <c r="A36" s="663"/>
      <c r="B36" s="664"/>
      <c r="C36" s="159"/>
      <c r="D36" s="160"/>
      <c r="E36" s="161"/>
      <c r="F36" s="652"/>
      <c r="G36" s="653"/>
      <c r="H36" s="654"/>
      <c r="I36" s="646" t="s">
        <v>66</v>
      </c>
      <c r="J36" s="647"/>
      <c r="K36" s="648"/>
    </row>
    <row r="37" spans="1:11" ht="30" customHeight="1" x14ac:dyDescent="0.25">
      <c r="A37" s="661" t="s">
        <v>112</v>
      </c>
      <c r="B37" s="662"/>
      <c r="C37" s="163"/>
      <c r="D37" s="163"/>
      <c r="E37" s="163"/>
      <c r="F37" s="649" t="s">
        <v>64</v>
      </c>
      <c r="G37" s="650"/>
      <c r="H37" s="651"/>
      <c r="I37" s="643" t="s">
        <v>65</v>
      </c>
      <c r="J37" s="644"/>
      <c r="K37" s="645"/>
    </row>
    <row r="38" spans="1:11" ht="30" customHeight="1" x14ac:dyDescent="0.25">
      <c r="A38" s="663"/>
      <c r="B38" s="664"/>
      <c r="C38" s="160"/>
      <c r="D38" s="160"/>
      <c r="E38" s="160"/>
      <c r="F38" s="652"/>
      <c r="G38" s="653"/>
      <c r="H38" s="654"/>
      <c r="I38" s="646" t="s">
        <v>66</v>
      </c>
      <c r="J38" s="647"/>
      <c r="K38" s="648"/>
    </row>
    <row r="39" spans="1:11" ht="30" customHeight="1" x14ac:dyDescent="0.25">
      <c r="A39" s="665" t="s">
        <v>69</v>
      </c>
      <c r="B39" s="666"/>
      <c r="F39" s="669" t="s">
        <v>64</v>
      </c>
      <c r="G39" s="670"/>
      <c r="H39" s="671"/>
      <c r="I39" s="655" t="s">
        <v>65</v>
      </c>
      <c r="J39" s="656"/>
      <c r="K39" s="657"/>
    </row>
    <row r="40" spans="1:11" ht="30" customHeight="1" thickBot="1" x14ac:dyDescent="0.3">
      <c r="A40" s="667"/>
      <c r="B40" s="668"/>
      <c r="C40" s="246"/>
      <c r="D40" s="246"/>
      <c r="E40" s="246"/>
      <c r="F40" s="672"/>
      <c r="G40" s="673"/>
      <c r="H40" s="674"/>
      <c r="I40" s="658" t="s">
        <v>66</v>
      </c>
      <c r="J40" s="659"/>
      <c r="K40" s="660"/>
    </row>
    <row r="41" spans="1:11" ht="16.5" thickBot="1" x14ac:dyDescent="0.3">
      <c r="A41" s="251" t="s">
        <v>54</v>
      </c>
      <c r="B41" s="252"/>
      <c r="C41" s="253"/>
      <c r="D41" s="253"/>
      <c r="E41" s="253"/>
      <c r="F41" s="254"/>
      <c r="G41" s="255"/>
      <c r="H41" s="255"/>
      <c r="I41" s="255"/>
      <c r="J41" s="255"/>
      <c r="K41" s="256"/>
    </row>
    <row r="42" spans="1:11" ht="15" customHeight="1" x14ac:dyDescent="0.25">
      <c r="A42" s="247" t="s">
        <v>58</v>
      </c>
      <c r="B42" s="248"/>
      <c r="C42" s="479"/>
      <c r="D42" s="480"/>
      <c r="E42" s="248" t="s">
        <v>59</v>
      </c>
      <c r="F42" s="249" t="s">
        <v>60</v>
      </c>
      <c r="G42" s="249" t="s">
        <v>61</v>
      </c>
      <c r="H42" s="249"/>
      <c r="I42" s="249" t="s">
        <v>62</v>
      </c>
      <c r="J42" s="249"/>
      <c r="K42" s="250"/>
    </row>
    <row r="43" spans="1:11" ht="30" customHeight="1" x14ac:dyDescent="0.25">
      <c r="A43" s="481"/>
      <c r="B43" s="482"/>
      <c r="C43" s="483"/>
      <c r="D43" s="484"/>
      <c r="E43" s="485" t="s">
        <v>133</v>
      </c>
      <c r="F43" s="485" t="s">
        <v>133</v>
      </c>
      <c r="G43" s="486"/>
      <c r="H43" s="487"/>
      <c r="I43" s="486"/>
      <c r="J43" s="482"/>
      <c r="K43" s="488"/>
    </row>
    <row r="44" spans="1:11" ht="30" customHeight="1" x14ac:dyDescent="0.25">
      <c r="A44" s="481"/>
      <c r="B44" s="482"/>
      <c r="C44" s="483"/>
      <c r="D44" s="484"/>
      <c r="E44" s="485" t="s">
        <v>133</v>
      </c>
      <c r="F44" s="485" t="s">
        <v>133</v>
      </c>
      <c r="G44" s="486"/>
      <c r="H44" s="487"/>
      <c r="I44" s="486"/>
      <c r="J44" s="482"/>
      <c r="K44" s="488"/>
    </row>
    <row r="45" spans="1:11" ht="30" customHeight="1" x14ac:dyDescent="0.25">
      <c r="A45" s="481"/>
      <c r="B45" s="482"/>
      <c r="C45" s="483"/>
      <c r="D45" s="484"/>
      <c r="E45" s="485" t="s">
        <v>133</v>
      </c>
      <c r="F45" s="485" t="s">
        <v>133</v>
      </c>
      <c r="G45" s="486"/>
      <c r="H45" s="487"/>
      <c r="I45" s="486"/>
      <c r="J45" s="482"/>
      <c r="K45" s="488"/>
    </row>
    <row r="46" spans="1:11" ht="30" customHeight="1" x14ac:dyDescent="0.25">
      <c r="A46" s="481"/>
      <c r="B46" s="482"/>
      <c r="C46" s="483"/>
      <c r="D46" s="484"/>
      <c r="E46" s="485" t="s">
        <v>133</v>
      </c>
      <c r="F46" s="485" t="s">
        <v>133</v>
      </c>
      <c r="G46" s="486"/>
      <c r="H46" s="487"/>
      <c r="I46" s="486"/>
      <c r="J46" s="482"/>
      <c r="K46" s="488"/>
    </row>
    <row r="47" spans="1:11" ht="30" customHeight="1" x14ac:dyDescent="0.25">
      <c r="A47" s="481"/>
      <c r="B47" s="482"/>
      <c r="C47" s="483"/>
      <c r="D47" s="484"/>
      <c r="E47" s="485" t="s">
        <v>133</v>
      </c>
      <c r="F47" s="485" t="s">
        <v>133</v>
      </c>
      <c r="G47" s="486"/>
      <c r="H47" s="487"/>
      <c r="I47" s="486"/>
      <c r="J47" s="482"/>
      <c r="K47" s="488"/>
    </row>
    <row r="48" spans="1:11" ht="30" customHeight="1" thickBot="1" x14ac:dyDescent="0.3">
      <c r="A48" s="489"/>
      <c r="B48" s="490"/>
      <c r="C48" s="491"/>
      <c r="D48" s="492"/>
      <c r="E48" s="493" t="s">
        <v>133</v>
      </c>
      <c r="F48" s="493" t="s">
        <v>133</v>
      </c>
      <c r="G48" s="494"/>
      <c r="H48" s="495"/>
      <c r="I48" s="494"/>
      <c r="J48" s="490"/>
      <c r="K48" s="496"/>
    </row>
    <row r="49" spans="1:11" ht="16.5" thickBot="1" x14ac:dyDescent="0.3">
      <c r="A49" s="74" t="s">
        <v>70</v>
      </c>
      <c r="B49" s="75"/>
      <c r="C49" s="75"/>
      <c r="D49" s="75"/>
      <c r="E49" s="75"/>
      <c r="F49" s="75"/>
      <c r="G49" s="75"/>
      <c r="H49" s="75"/>
      <c r="I49" s="75"/>
      <c r="J49" s="75"/>
      <c r="K49" s="76"/>
    </row>
    <row r="50" spans="1:11" ht="15.75" x14ac:dyDescent="0.25">
      <c r="A50" s="62" t="s">
        <v>71</v>
      </c>
      <c r="B50" s="195" t="s">
        <v>72</v>
      </c>
      <c r="C50" s="196"/>
      <c r="D50" s="77"/>
      <c r="E50" s="77"/>
      <c r="F50" s="77"/>
      <c r="G50" s="77"/>
      <c r="H50" s="78"/>
      <c r="I50" s="63" t="s">
        <v>73</v>
      </c>
      <c r="J50" s="79" t="s">
        <v>44</v>
      </c>
      <c r="K50" s="80"/>
    </row>
    <row r="51" spans="1:11" ht="15.75" x14ac:dyDescent="0.25">
      <c r="A51" s="62"/>
      <c r="B51" s="609"/>
      <c r="C51" s="610"/>
      <c r="D51" s="611"/>
      <c r="E51" s="611"/>
      <c r="F51" s="611"/>
      <c r="G51" s="611"/>
      <c r="H51" s="612"/>
      <c r="I51" s="63"/>
      <c r="J51" s="85"/>
      <c r="K51" s="88"/>
    </row>
    <row r="52" spans="1:11" ht="15.75" x14ac:dyDescent="0.25">
      <c r="A52" s="62"/>
      <c r="B52" s="609"/>
      <c r="C52" s="610"/>
      <c r="D52" s="611"/>
      <c r="E52" s="611"/>
      <c r="F52" s="611"/>
      <c r="G52" s="611"/>
      <c r="H52" s="612"/>
      <c r="I52" s="63"/>
      <c r="J52" s="85"/>
      <c r="K52" s="88"/>
    </row>
    <row r="53" spans="1:11" ht="15.75" x14ac:dyDescent="0.25">
      <c r="A53" s="64"/>
      <c r="B53" s="89"/>
      <c r="C53" s="90"/>
      <c r="D53" s="90"/>
      <c r="E53" s="90"/>
      <c r="F53" s="90"/>
      <c r="G53" s="90"/>
      <c r="H53" s="91"/>
      <c r="I53" s="61"/>
      <c r="J53" s="85"/>
      <c r="K53" s="88"/>
    </row>
    <row r="54" spans="1:11" ht="15.75" x14ac:dyDescent="0.25">
      <c r="A54" s="64"/>
      <c r="B54" s="85"/>
      <c r="C54" s="86"/>
      <c r="D54" s="86"/>
      <c r="E54" s="86"/>
      <c r="F54" s="86"/>
      <c r="G54" s="86"/>
      <c r="H54" s="87"/>
      <c r="I54" s="61"/>
      <c r="J54" s="85"/>
      <c r="K54" s="88"/>
    </row>
    <row r="55" spans="1:11" ht="16.5" thickBot="1" x14ac:dyDescent="0.3">
      <c r="A55" s="65"/>
      <c r="B55" s="81"/>
      <c r="C55" s="82"/>
      <c r="D55" s="82"/>
      <c r="E55" s="82"/>
      <c r="F55" s="82"/>
      <c r="G55" s="82"/>
      <c r="H55" s="92"/>
      <c r="I55" s="66"/>
      <c r="J55" s="83"/>
      <c r="K55" s="84"/>
    </row>
    <row r="56" spans="1:11" ht="18.75" customHeight="1" thickBot="1" x14ac:dyDescent="0.3">
      <c r="A56" s="376" t="s">
        <v>12</v>
      </c>
      <c r="B56" s="376" t="s">
        <v>13</v>
      </c>
      <c r="C56" s="381" t="s">
        <v>121</v>
      </c>
      <c r="D56" s="377" t="s">
        <v>129</v>
      </c>
      <c r="E56" s="377"/>
      <c r="F56" s="377"/>
      <c r="G56" s="377" t="s">
        <v>130</v>
      </c>
      <c r="H56" s="377"/>
      <c r="I56" s="378" t="s">
        <v>15</v>
      </c>
      <c r="J56" s="379"/>
      <c r="K56" s="380"/>
    </row>
    <row r="57" spans="1:11" ht="30" customHeight="1" x14ac:dyDescent="0.25">
      <c r="A57" s="374">
        <v>1</v>
      </c>
      <c r="B57" s="67"/>
      <c r="C57" s="382"/>
      <c r="D57" s="93"/>
      <c r="E57" s="94"/>
      <c r="F57" s="94"/>
      <c r="G57" s="640" t="s">
        <v>74</v>
      </c>
      <c r="H57" s="94"/>
      <c r="I57" s="93"/>
      <c r="J57" s="94"/>
      <c r="K57" s="94"/>
    </row>
    <row r="58" spans="1:11" ht="30" customHeight="1" x14ac:dyDescent="0.25">
      <c r="A58" s="374">
        <v>2</v>
      </c>
      <c r="B58" s="67"/>
      <c r="C58" s="383"/>
      <c r="D58" s="385"/>
      <c r="E58" s="387"/>
      <c r="F58" s="387"/>
      <c r="G58" s="641"/>
      <c r="H58" s="387"/>
      <c r="I58" s="385"/>
      <c r="J58" s="387"/>
      <c r="K58" s="387"/>
    </row>
    <row r="59" spans="1:11" ht="30" customHeight="1" thickBot="1" x14ac:dyDescent="0.3">
      <c r="A59" s="375">
        <v>3</v>
      </c>
      <c r="B59" s="68"/>
      <c r="C59" s="384"/>
      <c r="D59" s="386"/>
      <c r="E59" s="388"/>
      <c r="F59" s="388"/>
      <c r="G59" s="642"/>
      <c r="H59" s="388"/>
      <c r="I59" s="386"/>
      <c r="J59" s="388"/>
      <c r="K59" s="388"/>
    </row>
    <row r="60" spans="1:11" ht="15" customHeight="1" thickBot="1" x14ac:dyDescent="0.3">
      <c r="A60" s="69" t="s">
        <v>75</v>
      </c>
      <c r="B60" s="95"/>
      <c r="C60" s="96"/>
      <c r="D60" s="96"/>
      <c r="E60" s="96"/>
      <c r="F60" s="96"/>
      <c r="G60" s="96"/>
      <c r="H60" s="96"/>
      <c r="I60" s="96"/>
      <c r="J60" s="96"/>
      <c r="K60" s="97"/>
    </row>
  </sheetData>
  <mergeCells count="21">
    <mergeCell ref="I31:K31"/>
    <mergeCell ref="I32:K32"/>
    <mergeCell ref="I33:K33"/>
    <mergeCell ref="I34:K34"/>
    <mergeCell ref="I35:K35"/>
    <mergeCell ref="A37:B38"/>
    <mergeCell ref="A31:B32"/>
    <mergeCell ref="F31:H32"/>
    <mergeCell ref="A39:B40"/>
    <mergeCell ref="F39:H40"/>
    <mergeCell ref="A33:B34"/>
    <mergeCell ref="A35:B36"/>
    <mergeCell ref="G57:G59"/>
    <mergeCell ref="I37:K37"/>
    <mergeCell ref="I38:K38"/>
    <mergeCell ref="F33:H34"/>
    <mergeCell ref="F35:H36"/>
    <mergeCell ref="F37:H38"/>
    <mergeCell ref="I39:K39"/>
    <mergeCell ref="I40:K40"/>
    <mergeCell ref="I36:K3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fitToWidth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6149-A909-465E-9D0A-71EAC102DC1E}">
  <sheetPr codeName="Sheet4"/>
  <dimension ref="A1:P160"/>
  <sheetViews>
    <sheetView showGridLines="0" view="pageBreakPreview" zoomScale="80" zoomScaleNormal="100" zoomScaleSheetLayoutView="80" workbookViewId="0">
      <selection activeCell="M10" sqref="M10"/>
    </sheetView>
  </sheetViews>
  <sheetFormatPr defaultColWidth="9.140625" defaultRowHeight="15.75" x14ac:dyDescent="0.25"/>
  <cols>
    <col min="1" max="1" width="30.7109375" style="1" customWidth="1"/>
    <col min="2" max="2" width="14.5703125" style="1" customWidth="1"/>
    <col min="3" max="3" width="29.42578125" style="1" customWidth="1"/>
    <col min="4" max="4" width="11.140625" style="1" customWidth="1"/>
    <col min="5" max="5" width="15.7109375" style="1" customWidth="1"/>
    <col min="6" max="7" width="9.42578125" style="1" customWidth="1"/>
    <col min="8" max="8" width="7.5703125" style="1" customWidth="1"/>
    <col min="9" max="16384" width="9.140625" style="1"/>
  </cols>
  <sheetData>
    <row r="1" spans="1:16" ht="18.75" customHeight="1" x14ac:dyDescent="0.25">
      <c r="A1" s="219" t="s">
        <v>131</v>
      </c>
      <c r="B1" s="199"/>
      <c r="C1" s="200"/>
      <c r="D1" s="200"/>
      <c r="E1" s="201"/>
      <c r="F1" s="202" t="s">
        <v>124</v>
      </c>
      <c r="G1" s="203"/>
    </row>
    <row r="2" spans="1:16" ht="15" customHeight="1" x14ac:dyDescent="0.25">
      <c r="A2" s="220"/>
      <c r="B2" s="372" t="s">
        <v>110</v>
      </c>
      <c r="C2" s="197"/>
      <c r="D2" s="197"/>
      <c r="E2" s="175"/>
      <c r="F2" s="394">
        <f>'OP 1'!A7</f>
        <v>46205</v>
      </c>
      <c r="G2" s="204"/>
    </row>
    <row r="3" spans="1:16" ht="17.25" customHeight="1" x14ac:dyDescent="0.25">
      <c r="A3" s="221"/>
      <c r="B3" s="198"/>
      <c r="C3" s="173"/>
      <c r="D3" s="173"/>
      <c r="E3" s="174"/>
      <c r="F3" s="176"/>
      <c r="G3" s="205"/>
    </row>
    <row r="4" spans="1:16" ht="15" customHeight="1" x14ac:dyDescent="0.25">
      <c r="A4" s="206" t="s">
        <v>76</v>
      </c>
      <c r="B4" s="294" t="s">
        <v>118</v>
      </c>
      <c r="C4" s="296" t="s">
        <v>77</v>
      </c>
      <c r="D4" s="296"/>
      <c r="E4" s="297"/>
      <c r="F4" s="112" t="s">
        <v>78</v>
      </c>
      <c r="G4" s="207"/>
    </row>
    <row r="5" spans="1:16" ht="23.25" customHeight="1" x14ac:dyDescent="0.25">
      <c r="A5" s="314" t="str">
        <f>'OP 1'!B7</f>
        <v>MISS RÔSE</v>
      </c>
      <c r="B5" s="295" t="str">
        <f>'OP 1'!A11</f>
        <v>MRARBS10</v>
      </c>
      <c r="C5" s="298" t="str">
        <f>'OP 1'!B11</f>
        <v>BODY SPLASH AMBAR REAL 200ml</v>
      </c>
      <c r="D5" s="298"/>
      <c r="E5" s="299"/>
      <c r="F5" s="542" t="str">
        <f>'OP 1'!F2</f>
        <v>26183/03</v>
      </c>
      <c r="G5" s="208"/>
    </row>
    <row r="6" spans="1:16" ht="23.25" customHeight="1" x14ac:dyDescent="0.25">
      <c r="A6" s="330"/>
      <c r="B6" s="331"/>
      <c r="C6" s="332"/>
      <c r="D6" s="332"/>
      <c r="E6" s="332"/>
      <c r="F6" s="333"/>
      <c r="G6" s="334"/>
    </row>
    <row r="7" spans="1:16" ht="26.25" customHeight="1" thickBot="1" x14ac:dyDescent="0.3">
      <c r="A7" s="213" t="s">
        <v>79</v>
      </c>
      <c r="B7" s="214"/>
      <c r="C7" s="215"/>
      <c r="D7" s="215"/>
      <c r="E7" s="215"/>
      <c r="F7" s="215"/>
      <c r="G7" s="216"/>
    </row>
    <row r="8" spans="1:16" x14ac:dyDescent="0.25">
      <c r="A8" s="209" t="s">
        <v>10</v>
      </c>
      <c r="B8" s="101"/>
      <c r="C8" s="101"/>
      <c r="D8" s="101"/>
      <c r="E8" s="102" t="s">
        <v>6</v>
      </c>
      <c r="F8" s="101" t="s">
        <v>7</v>
      </c>
      <c r="G8" s="274"/>
    </row>
    <row r="9" spans="1:16" ht="16.5" thickBot="1" x14ac:dyDescent="0.3">
      <c r="A9" s="210" t="str">
        <f>'OP 1'!B11</f>
        <v>BODY SPLASH AMBAR REAL 200ml</v>
      </c>
      <c r="B9" s="211"/>
      <c r="C9" s="211"/>
      <c r="D9" s="266"/>
      <c r="E9" s="212" t="s">
        <v>8</v>
      </c>
      <c r="F9" s="315">
        <f>'OP 1'!E11</f>
        <v>4608</v>
      </c>
      <c r="G9" s="275"/>
    </row>
    <row r="10" spans="1:16" ht="16.5" thickBot="1" x14ac:dyDescent="0.3">
      <c r="A10" s="271" t="s">
        <v>80</v>
      </c>
      <c r="B10" s="268"/>
      <c r="C10" s="268"/>
      <c r="D10" s="223"/>
      <c r="E10" s="223"/>
      <c r="F10" s="223"/>
      <c r="G10" s="224"/>
    </row>
    <row r="11" spans="1:16" ht="16.5" thickBot="1" x14ac:dyDescent="0.3">
      <c r="A11" s="675" t="s">
        <v>115</v>
      </c>
      <c r="B11" s="677" t="s">
        <v>116</v>
      </c>
      <c r="C11" s="678"/>
      <c r="E11" s="305" t="s">
        <v>81</v>
      </c>
      <c r="F11" s="306"/>
      <c r="G11" s="307"/>
      <c r="O11" s="1" t="s">
        <v>158</v>
      </c>
    </row>
    <row r="12" spans="1:16" x14ac:dyDescent="0.25">
      <c r="A12" s="676"/>
      <c r="B12" s="679"/>
      <c r="C12" s="680"/>
      <c r="E12" s="303"/>
      <c r="F12" s="169"/>
      <c r="G12" s="304"/>
    </row>
    <row r="13" spans="1:16" ht="33" customHeight="1" thickBot="1" x14ac:dyDescent="0.3">
      <c r="A13" s="272" t="s">
        <v>117</v>
      </c>
      <c r="B13" s="269" t="s">
        <v>117</v>
      </c>
      <c r="C13" s="273"/>
      <c r="E13" s="300"/>
      <c r="F13" s="301"/>
      <c r="G13" s="302"/>
    </row>
    <row r="14" spans="1:16" customFormat="1" ht="24.95" customHeight="1" thickBot="1" x14ac:dyDescent="0.3"/>
    <row r="15" spans="1:16" ht="16.5" thickBot="1" x14ac:dyDescent="0.3">
      <c r="A15" s="222" t="s">
        <v>54</v>
      </c>
      <c r="B15" s="223"/>
      <c r="C15" s="223"/>
      <c r="D15" s="223"/>
      <c r="E15" s="223"/>
      <c r="F15" s="223"/>
      <c r="G15" s="224"/>
      <c r="H15" s="110"/>
    </row>
    <row r="16" spans="1:16" ht="14.25" customHeight="1" x14ac:dyDescent="0.25">
      <c r="A16" s="62" t="s">
        <v>58</v>
      </c>
      <c r="B16" s="63" t="s">
        <v>46</v>
      </c>
      <c r="C16" s="63" t="s">
        <v>60</v>
      </c>
      <c r="D16" s="63" t="s">
        <v>61</v>
      </c>
      <c r="E16" s="237" t="s">
        <v>62</v>
      </c>
      <c r="F16" s="237"/>
      <c r="G16" s="238"/>
      <c r="H16" s="103"/>
      <c r="I16" s="103"/>
      <c r="J16" s="103"/>
      <c r="K16" s="103"/>
      <c r="L16" s="103"/>
      <c r="M16" s="103"/>
      <c r="N16" s="103"/>
      <c r="O16" s="103"/>
      <c r="P16" s="103"/>
    </row>
    <row r="17" spans="1:7" ht="14.25" customHeight="1" x14ac:dyDescent="0.25">
      <c r="A17" s="217"/>
      <c r="B17" s="61"/>
      <c r="C17" s="61"/>
      <c r="D17" s="61"/>
      <c r="E17" s="85"/>
      <c r="F17" s="86"/>
      <c r="G17" s="88"/>
    </row>
    <row r="18" spans="1:7" ht="14.25" customHeight="1" x14ac:dyDescent="0.25">
      <c r="A18" s="217"/>
      <c r="B18" s="61"/>
      <c r="C18" s="61"/>
      <c r="D18" s="61"/>
      <c r="E18" s="85"/>
      <c r="F18" s="86"/>
      <c r="G18" s="88"/>
    </row>
    <row r="19" spans="1:7" ht="14.25" customHeight="1" x14ac:dyDescent="0.25">
      <c r="A19" s="217"/>
      <c r="B19" s="61"/>
      <c r="C19" s="61"/>
      <c r="D19" s="61"/>
      <c r="E19" s="85"/>
      <c r="F19" s="86"/>
      <c r="G19" s="88"/>
    </row>
    <row r="20" spans="1:7" ht="16.5" thickBot="1" x14ac:dyDescent="0.3">
      <c r="A20" s="225"/>
      <c r="B20" s="66"/>
      <c r="C20" s="66"/>
      <c r="D20" s="66"/>
      <c r="E20" s="226"/>
      <c r="F20" s="227"/>
      <c r="G20" s="228"/>
    </row>
    <row r="21" spans="1:7" ht="16.5" thickBot="1" x14ac:dyDescent="0.3">
      <c r="A21" s="74" t="s">
        <v>70</v>
      </c>
      <c r="B21" s="75"/>
      <c r="C21" s="75"/>
      <c r="D21" s="75"/>
      <c r="E21" s="75"/>
      <c r="F21" s="236"/>
      <c r="G21" s="76"/>
    </row>
    <row r="22" spans="1:7" x14ac:dyDescent="0.25">
      <c r="A22" s="229" t="s">
        <v>71</v>
      </c>
      <c r="B22" s="230" t="s">
        <v>72</v>
      </c>
      <c r="C22" s="231"/>
      <c r="D22" s="232"/>
      <c r="E22" s="233"/>
      <c r="F22" s="234" t="s">
        <v>73</v>
      </c>
      <c r="G22" s="235" t="s">
        <v>44</v>
      </c>
    </row>
    <row r="23" spans="1:7" x14ac:dyDescent="0.25">
      <c r="A23" s="64"/>
      <c r="B23" s="105"/>
      <c r="C23" s="106"/>
      <c r="D23" s="107"/>
      <c r="E23" s="108"/>
      <c r="F23" s="104"/>
      <c r="G23" s="218"/>
    </row>
    <row r="24" spans="1:7" x14ac:dyDescent="0.25">
      <c r="A24" s="64"/>
      <c r="B24" s="105"/>
      <c r="C24" s="106"/>
      <c r="D24" s="107"/>
      <c r="E24" s="108"/>
      <c r="F24" s="104"/>
      <c r="G24" s="218"/>
    </row>
    <row r="25" spans="1:7" x14ac:dyDescent="0.25">
      <c r="A25" s="64"/>
      <c r="B25" s="105"/>
      <c r="C25" s="106"/>
      <c r="D25" s="107"/>
      <c r="E25" s="108"/>
      <c r="F25" s="104"/>
      <c r="G25" s="218"/>
    </row>
    <row r="26" spans="1:7" ht="16.5" thickBot="1" x14ac:dyDescent="0.3">
      <c r="A26" s="308"/>
      <c r="B26" s="309"/>
      <c r="C26" s="310"/>
      <c r="D26" s="310"/>
      <c r="E26" s="311"/>
      <c r="F26" s="312"/>
      <c r="G26" s="313"/>
    </row>
    <row r="27" spans="1:7" x14ac:dyDescent="0.25">
      <c r="A27" s="267"/>
      <c r="B27" s="270"/>
      <c r="C27" s="168"/>
      <c r="D27"/>
    </row>
    <row r="28" spans="1:7" customFormat="1" ht="9.75" customHeight="1" thickBot="1" x14ac:dyDescent="0.3"/>
    <row r="29" spans="1:7" x14ac:dyDescent="0.25">
      <c r="A29" s="109" t="s">
        <v>82</v>
      </c>
      <c r="B29" s="118"/>
      <c r="C29" s="118"/>
      <c r="D29" s="118"/>
      <c r="E29" s="118"/>
      <c r="F29" s="118"/>
      <c r="G29" s="117"/>
    </row>
    <row r="30" spans="1:7" x14ac:dyDescent="0.25">
      <c r="A30" s="124"/>
      <c r="B30"/>
      <c r="C30" s="113"/>
      <c r="D30" s="113"/>
      <c r="E30" s="113"/>
      <c r="F30" s="113"/>
      <c r="G30" s="120"/>
    </row>
    <row r="31" spans="1:7" x14ac:dyDescent="0.25">
      <c r="A31" s="119"/>
      <c r="B31" s="113"/>
      <c r="C31" s="113"/>
      <c r="D31" s="113"/>
      <c r="E31" s="113"/>
      <c r="F31" s="113"/>
      <c r="G31" s="120"/>
    </row>
    <row r="32" spans="1:7" x14ac:dyDescent="0.25">
      <c r="A32" s="119"/>
      <c r="B32" s="113"/>
      <c r="C32" s="113"/>
      <c r="D32" s="113"/>
      <c r="E32" s="113"/>
      <c r="F32" s="113"/>
      <c r="G32" s="120"/>
    </row>
    <row r="33" spans="1:7" ht="16.5" thickBot="1" x14ac:dyDescent="0.3">
      <c r="A33" s="114"/>
      <c r="B33" s="115"/>
      <c r="C33" s="115"/>
      <c r="D33" s="115"/>
      <c r="E33" s="115"/>
      <c r="F33" s="115"/>
      <c r="G33" s="116"/>
    </row>
    <row r="49" spans="10:10" x14ac:dyDescent="0.25">
      <c r="J49" s="110"/>
    </row>
    <row r="50" spans="10:10" x14ac:dyDescent="0.25">
      <c r="J50" s="110"/>
    </row>
    <row r="51" spans="10:10" x14ac:dyDescent="0.25">
      <c r="J51" s="110"/>
    </row>
    <row r="52" spans="10:10" x14ac:dyDescent="0.25">
      <c r="J52" s="110"/>
    </row>
    <row r="53" spans="10:10" x14ac:dyDescent="0.25">
      <c r="J53" s="110"/>
    </row>
    <row r="54" spans="10:10" x14ac:dyDescent="0.25">
      <c r="J54" s="111"/>
    </row>
    <row r="55" spans="10:10" x14ac:dyDescent="0.25">
      <c r="J55" s="110"/>
    </row>
    <row r="56" spans="10:10" x14ac:dyDescent="0.25">
      <c r="J56" s="110"/>
    </row>
    <row r="57" spans="10:10" x14ac:dyDescent="0.25">
      <c r="J57" s="110"/>
    </row>
    <row r="58" spans="10:10" x14ac:dyDescent="0.25">
      <c r="J58" s="110"/>
    </row>
    <row r="59" spans="10:10" x14ac:dyDescent="0.25">
      <c r="J59" s="111"/>
    </row>
    <row r="60" spans="10:10" x14ac:dyDescent="0.25">
      <c r="J60" s="110"/>
    </row>
    <row r="61" spans="10:10" x14ac:dyDescent="0.25">
      <c r="J61" s="110"/>
    </row>
    <row r="62" spans="10:10" x14ac:dyDescent="0.25">
      <c r="J62" s="110"/>
    </row>
    <row r="63" spans="10:10" x14ac:dyDescent="0.25">
      <c r="J63" s="110"/>
    </row>
    <row r="64" spans="10:10" x14ac:dyDescent="0.25">
      <c r="J64" s="110"/>
    </row>
    <row r="65" spans="10:10" x14ac:dyDescent="0.25">
      <c r="J65" s="110"/>
    </row>
    <row r="66" spans="10:10" x14ac:dyDescent="0.25">
      <c r="J66" s="110"/>
    </row>
    <row r="67" spans="10:10" x14ac:dyDescent="0.25">
      <c r="J67" s="110"/>
    </row>
    <row r="68" spans="10:10" x14ac:dyDescent="0.25">
      <c r="J68" s="110"/>
    </row>
    <row r="69" spans="10:10" x14ac:dyDescent="0.25">
      <c r="J69" s="110"/>
    </row>
    <row r="70" spans="10:10" x14ac:dyDescent="0.25">
      <c r="J70" s="110"/>
    </row>
    <row r="71" spans="10:10" x14ac:dyDescent="0.25">
      <c r="J71" s="110"/>
    </row>
    <row r="72" spans="10:10" x14ac:dyDescent="0.25">
      <c r="J72" s="110"/>
    </row>
    <row r="73" spans="10:10" x14ac:dyDescent="0.25">
      <c r="J73" s="110"/>
    </row>
    <row r="74" spans="10:10" x14ac:dyDescent="0.25">
      <c r="J74" s="110"/>
    </row>
    <row r="75" spans="10:10" x14ac:dyDescent="0.25">
      <c r="J75" s="110"/>
    </row>
    <row r="76" spans="10:10" x14ac:dyDescent="0.25">
      <c r="J76" s="110"/>
    </row>
    <row r="77" spans="10:10" x14ac:dyDescent="0.25">
      <c r="J77" s="110"/>
    </row>
    <row r="78" spans="10:10" x14ac:dyDescent="0.25">
      <c r="J78" s="110"/>
    </row>
    <row r="79" spans="10:10" x14ac:dyDescent="0.25">
      <c r="J79" s="110"/>
    </row>
    <row r="80" spans="10:10" x14ac:dyDescent="0.25">
      <c r="J80" s="111"/>
    </row>
    <row r="81" spans="10:10" x14ac:dyDescent="0.25">
      <c r="J81" s="110"/>
    </row>
    <row r="82" spans="10:10" x14ac:dyDescent="0.25">
      <c r="J82" s="110"/>
    </row>
    <row r="83" spans="10:10" x14ac:dyDescent="0.25">
      <c r="J83" s="111"/>
    </row>
    <row r="84" spans="10:10" x14ac:dyDescent="0.25">
      <c r="J84" s="111"/>
    </row>
    <row r="85" spans="10:10" x14ac:dyDescent="0.25">
      <c r="J85" s="110"/>
    </row>
    <row r="86" spans="10:10" x14ac:dyDescent="0.25">
      <c r="J86" s="111"/>
    </row>
    <row r="87" spans="10:10" x14ac:dyDescent="0.25">
      <c r="J87" s="111"/>
    </row>
    <row r="88" spans="10:10" x14ac:dyDescent="0.25">
      <c r="J88" s="110"/>
    </row>
    <row r="89" spans="10:10" x14ac:dyDescent="0.25">
      <c r="J89" s="111"/>
    </row>
    <row r="90" spans="10:10" x14ac:dyDescent="0.25">
      <c r="J90" s="110"/>
    </row>
    <row r="91" spans="10:10" x14ac:dyDescent="0.25">
      <c r="J91" s="110"/>
    </row>
    <row r="92" spans="10:10" x14ac:dyDescent="0.25">
      <c r="J92" s="110"/>
    </row>
    <row r="93" spans="10:10" x14ac:dyDescent="0.25">
      <c r="J93" s="110"/>
    </row>
    <row r="94" spans="10:10" x14ac:dyDescent="0.25">
      <c r="J94" s="110"/>
    </row>
    <row r="95" spans="10:10" x14ac:dyDescent="0.25">
      <c r="J95" s="111"/>
    </row>
    <row r="96" spans="10:10" x14ac:dyDescent="0.25">
      <c r="J96" s="110"/>
    </row>
    <row r="97" spans="10:10" x14ac:dyDescent="0.25">
      <c r="J97" s="111"/>
    </row>
    <row r="98" spans="10:10" x14ac:dyDescent="0.25">
      <c r="J98" s="110"/>
    </row>
    <row r="99" spans="10:10" x14ac:dyDescent="0.25">
      <c r="J99" s="110"/>
    </row>
    <row r="100" spans="10:10" x14ac:dyDescent="0.25">
      <c r="J100" s="110"/>
    </row>
    <row r="101" spans="10:10" x14ac:dyDescent="0.25">
      <c r="J101" s="110"/>
    </row>
    <row r="102" spans="10:10" x14ac:dyDescent="0.25">
      <c r="J102" s="110"/>
    </row>
    <row r="103" spans="10:10" x14ac:dyDescent="0.25">
      <c r="J103" s="110"/>
    </row>
    <row r="104" spans="10:10" x14ac:dyDescent="0.25">
      <c r="J104" s="110"/>
    </row>
    <row r="105" spans="10:10" x14ac:dyDescent="0.25">
      <c r="J105" s="110"/>
    </row>
    <row r="106" spans="10:10" x14ac:dyDescent="0.25">
      <c r="J106" s="110"/>
    </row>
    <row r="107" spans="10:10" x14ac:dyDescent="0.25">
      <c r="J107" s="111"/>
    </row>
    <row r="108" spans="10:10" x14ac:dyDescent="0.25">
      <c r="J108" s="110"/>
    </row>
    <row r="109" spans="10:10" x14ac:dyDescent="0.25">
      <c r="J109" s="110"/>
    </row>
    <row r="110" spans="10:10" x14ac:dyDescent="0.25">
      <c r="J110" s="110"/>
    </row>
    <row r="111" spans="10:10" x14ac:dyDescent="0.25">
      <c r="J111" s="110"/>
    </row>
    <row r="112" spans="10:10" x14ac:dyDescent="0.25">
      <c r="J112" s="110"/>
    </row>
    <row r="113" spans="10:10" x14ac:dyDescent="0.25">
      <c r="J113" s="110"/>
    </row>
    <row r="114" spans="10:10" x14ac:dyDescent="0.25">
      <c r="J114" s="110"/>
    </row>
    <row r="115" spans="10:10" x14ac:dyDescent="0.25">
      <c r="J115" s="110"/>
    </row>
    <row r="116" spans="10:10" x14ac:dyDescent="0.25">
      <c r="J116" s="110"/>
    </row>
    <row r="117" spans="10:10" x14ac:dyDescent="0.25">
      <c r="J117" s="110"/>
    </row>
    <row r="118" spans="10:10" x14ac:dyDescent="0.25">
      <c r="J118" s="110"/>
    </row>
    <row r="119" spans="10:10" x14ac:dyDescent="0.25">
      <c r="J119" s="110"/>
    </row>
    <row r="120" spans="10:10" x14ac:dyDescent="0.25">
      <c r="J120" s="110"/>
    </row>
    <row r="121" spans="10:10" x14ac:dyDescent="0.25">
      <c r="J121" s="110"/>
    </row>
    <row r="122" spans="10:10" x14ac:dyDescent="0.25">
      <c r="J122" s="110"/>
    </row>
    <row r="123" spans="10:10" x14ac:dyDescent="0.25">
      <c r="J123" s="110"/>
    </row>
    <row r="124" spans="10:10" x14ac:dyDescent="0.25">
      <c r="J124" s="110"/>
    </row>
    <row r="125" spans="10:10" x14ac:dyDescent="0.25">
      <c r="J125" s="110"/>
    </row>
    <row r="126" spans="10:10" x14ac:dyDescent="0.25">
      <c r="J126" s="110"/>
    </row>
    <row r="127" spans="10:10" x14ac:dyDescent="0.25">
      <c r="J127" s="110"/>
    </row>
    <row r="128" spans="10:10" x14ac:dyDescent="0.25">
      <c r="J128" s="110"/>
    </row>
    <row r="129" spans="10:10" x14ac:dyDescent="0.25">
      <c r="J129" s="110"/>
    </row>
    <row r="130" spans="10:10" x14ac:dyDescent="0.25">
      <c r="J130" s="110"/>
    </row>
    <row r="131" spans="10:10" x14ac:dyDescent="0.25">
      <c r="J131" s="110"/>
    </row>
    <row r="132" spans="10:10" x14ac:dyDescent="0.25">
      <c r="J132" s="110"/>
    </row>
    <row r="133" spans="10:10" x14ac:dyDescent="0.25">
      <c r="J133" s="110"/>
    </row>
    <row r="134" spans="10:10" x14ac:dyDescent="0.25">
      <c r="J134" s="110"/>
    </row>
    <row r="135" spans="10:10" x14ac:dyDescent="0.25">
      <c r="J135" s="110"/>
    </row>
    <row r="136" spans="10:10" x14ac:dyDescent="0.25">
      <c r="J136" s="110"/>
    </row>
    <row r="137" spans="10:10" x14ac:dyDescent="0.25">
      <c r="J137" s="110"/>
    </row>
    <row r="138" spans="10:10" x14ac:dyDescent="0.25">
      <c r="J138" s="110"/>
    </row>
    <row r="139" spans="10:10" x14ac:dyDescent="0.25">
      <c r="J139" s="110"/>
    </row>
    <row r="140" spans="10:10" x14ac:dyDescent="0.25">
      <c r="J140" s="110"/>
    </row>
    <row r="141" spans="10:10" x14ac:dyDescent="0.25">
      <c r="J141" s="110"/>
    </row>
    <row r="142" spans="10:10" x14ac:dyDescent="0.25">
      <c r="J142" s="110"/>
    </row>
    <row r="143" spans="10:10" x14ac:dyDescent="0.25">
      <c r="J143" s="110"/>
    </row>
    <row r="144" spans="10:10" x14ac:dyDescent="0.25">
      <c r="J144" s="110"/>
    </row>
    <row r="145" spans="10:10" x14ac:dyDescent="0.25">
      <c r="J145" s="110"/>
    </row>
    <row r="146" spans="10:10" x14ac:dyDescent="0.25">
      <c r="J146" s="110"/>
    </row>
    <row r="147" spans="10:10" x14ac:dyDescent="0.25">
      <c r="J147" s="110"/>
    </row>
    <row r="148" spans="10:10" x14ac:dyDescent="0.25">
      <c r="J148" s="110"/>
    </row>
    <row r="149" spans="10:10" x14ac:dyDescent="0.25">
      <c r="J149" s="110"/>
    </row>
    <row r="150" spans="10:10" x14ac:dyDescent="0.25">
      <c r="J150" s="110"/>
    </row>
    <row r="151" spans="10:10" x14ac:dyDescent="0.25">
      <c r="J151" s="110"/>
    </row>
    <row r="152" spans="10:10" x14ac:dyDescent="0.25">
      <c r="J152" s="110"/>
    </row>
    <row r="153" spans="10:10" x14ac:dyDescent="0.25">
      <c r="J153" s="110"/>
    </row>
    <row r="154" spans="10:10" x14ac:dyDescent="0.25">
      <c r="J154" s="110"/>
    </row>
    <row r="155" spans="10:10" x14ac:dyDescent="0.25">
      <c r="J155" s="110"/>
    </row>
    <row r="156" spans="10:10" x14ac:dyDescent="0.25">
      <c r="J156" s="110"/>
    </row>
    <row r="157" spans="10:10" x14ac:dyDescent="0.25">
      <c r="J157" s="110"/>
    </row>
    <row r="158" spans="10:10" x14ac:dyDescent="0.25">
      <c r="J158" s="110"/>
    </row>
    <row r="159" spans="10:10" x14ac:dyDescent="0.25">
      <c r="J159" s="110"/>
    </row>
    <row r="160" spans="10:10" x14ac:dyDescent="0.25">
      <c r="J160" s="110"/>
    </row>
  </sheetData>
  <mergeCells count="2">
    <mergeCell ref="A11:A12"/>
    <mergeCell ref="B11:C12"/>
  </mergeCells>
  <pageMargins left="0.7" right="0.7" top="0.75" bottom="0.75" header="0.3" footer="0.3"/>
  <pageSetup paperSize="9" scale="72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0CD4-1D66-49D6-A900-98049FC0F383}">
  <sheetPr codeName="Sheet5">
    <pageSetUpPr fitToPage="1"/>
  </sheetPr>
  <dimension ref="A1:U37"/>
  <sheetViews>
    <sheetView showGridLines="0" view="pageBreakPreview" topLeftCell="A6" zoomScale="106" zoomScaleNormal="100" zoomScaleSheetLayoutView="106" workbookViewId="0">
      <selection activeCell="D20" sqref="D20"/>
    </sheetView>
  </sheetViews>
  <sheetFormatPr defaultColWidth="9.140625" defaultRowHeight="15" x14ac:dyDescent="0.2"/>
  <cols>
    <col min="1" max="1" width="9.140625" style="38"/>
    <col min="2" max="2" width="14" style="38" customWidth="1"/>
    <col min="3" max="3" width="21.85546875" style="38" customWidth="1"/>
    <col min="4" max="5" width="9.140625" style="38"/>
    <col min="6" max="6" width="9.42578125" style="38" customWidth="1"/>
    <col min="7" max="9" width="9.140625" style="38"/>
    <col min="10" max="10" width="9.28515625" style="38" customWidth="1"/>
    <col min="11" max="20" width="9.140625" style="38"/>
    <col min="21" max="21" width="10.85546875" style="38" bestFit="1" customWidth="1"/>
    <col min="22" max="16384" width="9.140625" style="38"/>
  </cols>
  <sheetData>
    <row r="1" spans="1:13" ht="15.75" x14ac:dyDescent="0.25">
      <c r="B1" s="121"/>
    </row>
    <row r="2" spans="1:13" ht="15.75" thickBot="1" x14ac:dyDescent="0.25"/>
    <row r="3" spans="1:13" ht="18" customHeight="1" x14ac:dyDescent="0.25">
      <c r="B3" s="122"/>
      <c r="C3" s="123"/>
      <c r="D3" s="684" t="s">
        <v>83</v>
      </c>
      <c r="E3" s="685"/>
      <c r="F3" s="685"/>
      <c r="G3" s="685"/>
      <c r="H3" s="685"/>
      <c r="I3" s="685"/>
      <c r="J3" s="686"/>
    </row>
    <row r="4" spans="1:13" ht="18" customHeight="1" thickBot="1" x14ac:dyDescent="0.3">
      <c r="B4" s="124"/>
      <c r="C4" s="125"/>
      <c r="D4" s="687"/>
      <c r="E4" s="688"/>
      <c r="F4" s="688"/>
      <c r="G4" s="688"/>
      <c r="H4" s="688"/>
      <c r="I4" s="688"/>
      <c r="J4" s="689"/>
    </row>
    <row r="5" spans="1:13" ht="18" customHeight="1" x14ac:dyDescent="0.25">
      <c r="B5" s="124"/>
      <c r="C5" s="125"/>
      <c r="D5" s="690" t="s">
        <v>84</v>
      </c>
      <c r="E5" s="691"/>
      <c r="F5" s="691"/>
      <c r="G5" s="691"/>
      <c r="H5" s="691"/>
      <c r="I5" s="691"/>
      <c r="J5" s="692"/>
    </row>
    <row r="6" spans="1:13" ht="27.75" customHeight="1" thickBot="1" x14ac:dyDescent="0.3">
      <c r="B6" s="126"/>
      <c r="C6" s="127"/>
      <c r="D6" s="693"/>
      <c r="E6" s="694"/>
      <c r="F6" s="694"/>
      <c r="G6" s="694"/>
      <c r="H6" s="694"/>
      <c r="I6" s="694"/>
      <c r="J6" s="695"/>
    </row>
    <row r="7" spans="1:13" s="282" customFormat="1" ht="18" customHeight="1" x14ac:dyDescent="0.25">
      <c r="A7" s="279"/>
      <c r="B7" s="280" t="s">
        <v>85</v>
      </c>
      <c r="C7" s="326" t="str">
        <f>'OP 1'!B7</f>
        <v>MISS RÔSE</v>
      </c>
      <c r="D7" s="326"/>
      <c r="E7" s="326"/>
      <c r="F7" s="326"/>
      <c r="G7" s="326"/>
      <c r="H7" s="326"/>
      <c r="I7" s="326"/>
      <c r="J7" s="281"/>
    </row>
    <row r="8" spans="1:13" s="282" customFormat="1" ht="18" customHeight="1" x14ac:dyDescent="0.25">
      <c r="B8" s="280" t="s">
        <v>86</v>
      </c>
      <c r="C8" s="326" t="str">
        <f>'OP 1'!B11</f>
        <v>BODY SPLASH AMBAR REAL 200ml</v>
      </c>
      <c r="D8" s="326"/>
      <c r="E8" s="326"/>
      <c r="F8" s="326"/>
      <c r="G8" s="326"/>
      <c r="H8" s="326"/>
      <c r="I8" s="326"/>
      <c r="J8" s="281"/>
    </row>
    <row r="9" spans="1:13" s="282" customFormat="1" ht="15.75" x14ac:dyDescent="0.25">
      <c r="B9" s="280" t="s">
        <v>87</v>
      </c>
      <c r="C9" s="543" t="str">
        <f>'OP 1'!F2</f>
        <v>26183/03</v>
      </c>
      <c r="D9" s="326"/>
      <c r="E9" s="326"/>
      <c r="F9" s="326"/>
      <c r="G9" s="326"/>
      <c r="H9" s="326"/>
      <c r="I9" s="326"/>
      <c r="J9" s="281"/>
      <c r="M9" s="339"/>
    </row>
    <row r="10" spans="1:13" s="282" customFormat="1" ht="37.5" customHeight="1" x14ac:dyDescent="0.25">
      <c r="B10" s="283" t="s">
        <v>88</v>
      </c>
      <c r="C10" s="327" t="s">
        <v>122</v>
      </c>
      <c r="D10" s="326"/>
      <c r="E10" s="326"/>
      <c r="F10" s="326"/>
      <c r="G10" s="326"/>
      <c r="H10" s="326"/>
      <c r="I10" s="326"/>
      <c r="J10" s="281"/>
      <c r="M10" s="342"/>
    </row>
    <row r="11" spans="1:13" s="282" customFormat="1" ht="19.5" customHeight="1" x14ac:dyDescent="0.25">
      <c r="B11" s="280" t="s">
        <v>89</v>
      </c>
      <c r="C11" s="328">
        <f>'ORDEM DE ENVASE'!B7</f>
        <v>47301</v>
      </c>
      <c r="D11" s="326"/>
      <c r="E11" s="326"/>
      <c r="F11" s="326"/>
      <c r="G11" s="326"/>
      <c r="H11" s="326"/>
      <c r="I11" s="326"/>
      <c r="J11" s="281"/>
    </row>
    <row r="12" spans="1:13" s="282" customFormat="1" ht="30.75" customHeight="1" x14ac:dyDescent="0.25">
      <c r="B12" s="283" t="s">
        <v>90</v>
      </c>
      <c r="C12" s="389">
        <f>'OP 1'!E11</f>
        <v>4608</v>
      </c>
      <c r="D12" s="326"/>
      <c r="E12" s="326"/>
      <c r="F12" s="326"/>
      <c r="G12" s="326"/>
      <c r="H12" s="326"/>
      <c r="I12" s="326"/>
      <c r="J12" s="281"/>
    </row>
    <row r="13" spans="1:13" s="282" customFormat="1" ht="38.25" customHeight="1" thickBot="1" x14ac:dyDescent="0.3">
      <c r="B13" s="284" t="s">
        <v>91</v>
      </c>
      <c r="C13" s="391">
        <f>'OP 1'!E26</f>
        <v>96</v>
      </c>
      <c r="D13" s="128"/>
      <c r="E13" s="128"/>
      <c r="F13" s="128"/>
      <c r="G13" s="128"/>
      <c r="H13" s="128"/>
      <c r="I13" s="128"/>
      <c r="J13" s="285"/>
    </row>
    <row r="14" spans="1:13" ht="18" customHeight="1" thickBot="1" x14ac:dyDescent="0.3">
      <c r="B14" s="129" t="s">
        <v>92</v>
      </c>
      <c r="C14" s="129"/>
      <c r="D14" s="129"/>
      <c r="E14" s="129"/>
      <c r="F14" s="129"/>
      <c r="G14" s="129"/>
      <c r="H14" s="129"/>
      <c r="I14" s="129"/>
      <c r="J14" s="129"/>
    </row>
    <row r="15" spans="1:13" ht="18" customHeight="1" x14ac:dyDescent="0.25">
      <c r="B15" s="130" t="s">
        <v>93</v>
      </c>
      <c r="C15" s="130"/>
      <c r="D15" s="130" t="s">
        <v>36</v>
      </c>
      <c r="E15" s="130"/>
      <c r="F15" s="130"/>
      <c r="G15" s="130" t="s">
        <v>37</v>
      </c>
      <c r="H15" s="130"/>
      <c r="I15" s="130" t="s">
        <v>94</v>
      </c>
      <c r="J15" s="130"/>
    </row>
    <row r="16" spans="1:13" ht="18" customHeight="1" x14ac:dyDescent="0.25">
      <c r="B16" s="131" t="s">
        <v>96</v>
      </c>
      <c r="C16" s="131"/>
      <c r="D16" s="477" t="s">
        <v>179</v>
      </c>
      <c r="E16" s="407"/>
      <c r="F16" s="408"/>
      <c r="G16" s="132"/>
      <c r="H16" s="133"/>
      <c r="I16" s="131" t="s">
        <v>95</v>
      </c>
      <c r="J16" s="131"/>
    </row>
    <row r="17" spans="2:21" ht="16.5" customHeight="1" x14ac:dyDescent="0.25">
      <c r="B17" s="134" t="s">
        <v>97</v>
      </c>
      <c r="C17" s="131"/>
      <c r="D17" s="477" t="s">
        <v>180</v>
      </c>
      <c r="E17" s="550"/>
      <c r="F17" s="551"/>
      <c r="G17" s="552" t="s">
        <v>103</v>
      </c>
      <c r="H17" s="549"/>
      <c r="I17" s="134" t="s">
        <v>95</v>
      </c>
      <c r="J17" s="134"/>
    </row>
    <row r="18" spans="2:21" ht="15.75" x14ac:dyDescent="0.25">
      <c r="B18" s="134" t="s">
        <v>98</v>
      </c>
      <c r="C18" s="135"/>
      <c r="D18" s="477" t="s">
        <v>181</v>
      </c>
      <c r="E18" s="553"/>
      <c r="F18" s="554"/>
      <c r="G18" s="136"/>
      <c r="H18" s="137"/>
      <c r="I18" s="131" t="s">
        <v>145</v>
      </c>
      <c r="J18" s="131"/>
      <c r="U18" s="572"/>
    </row>
    <row r="19" spans="2:21" ht="18" customHeight="1" x14ac:dyDescent="0.25">
      <c r="B19" s="134" t="s">
        <v>99</v>
      </c>
      <c r="C19" s="135"/>
      <c r="D19" s="477" t="s">
        <v>182</v>
      </c>
      <c r="E19" s="407"/>
      <c r="F19" s="408"/>
      <c r="G19" s="136"/>
      <c r="H19" s="137"/>
      <c r="I19" s="131" t="s">
        <v>95</v>
      </c>
      <c r="J19" s="131"/>
      <c r="U19" s="572"/>
    </row>
    <row r="20" spans="2:21" ht="18" customHeight="1" x14ac:dyDescent="0.25">
      <c r="B20" s="681" t="s">
        <v>159</v>
      </c>
      <c r="C20" s="682"/>
      <c r="D20" s="477" t="s">
        <v>164</v>
      </c>
      <c r="E20" s="553"/>
      <c r="F20" s="554"/>
      <c r="G20" s="507"/>
      <c r="H20" s="508"/>
      <c r="I20" s="406" t="s">
        <v>142</v>
      </c>
      <c r="J20" s="506"/>
    </row>
    <row r="21" spans="2:21" ht="18" customHeight="1" thickBot="1" x14ac:dyDescent="0.3">
      <c r="B21" s="138" t="s">
        <v>100</v>
      </c>
      <c r="C21" s="477"/>
      <c r="D21" s="477" t="s">
        <v>183</v>
      </c>
      <c r="E21" s="409"/>
      <c r="F21" s="410"/>
      <c r="G21" s="139"/>
      <c r="H21" s="140"/>
      <c r="I21" s="138" t="s">
        <v>101</v>
      </c>
      <c r="J21" s="138"/>
    </row>
    <row r="22" spans="2:21" ht="18" customHeight="1" thickBot="1" x14ac:dyDescent="0.3">
      <c r="B22" s="129" t="s">
        <v>102</v>
      </c>
      <c r="C22" s="129"/>
      <c r="D22" s="477"/>
      <c r="E22" s="129"/>
      <c r="F22" s="129"/>
      <c r="G22" s="129"/>
      <c r="H22" s="129"/>
      <c r="I22" s="129"/>
      <c r="J22" s="129"/>
    </row>
    <row r="23" spans="2:21" ht="18" customHeight="1" x14ac:dyDescent="0.25">
      <c r="B23" s="131" t="s">
        <v>96</v>
      </c>
      <c r="C23" s="131"/>
      <c r="D23" s="477" t="str">
        <f>D16</f>
        <v>Líquido</v>
      </c>
      <c r="E23" s="407"/>
      <c r="F23" s="408"/>
      <c r="G23" s="132"/>
      <c r="H23" s="133"/>
      <c r="I23" s="696" t="s">
        <v>95</v>
      </c>
      <c r="J23" s="697"/>
    </row>
    <row r="24" spans="2:21" ht="21" customHeight="1" x14ac:dyDescent="0.25">
      <c r="B24" s="134" t="s">
        <v>97</v>
      </c>
      <c r="C24" s="131"/>
      <c r="D24" s="477" t="str">
        <f>D17</f>
        <v>Transparente</v>
      </c>
      <c r="E24" s="555"/>
      <c r="F24" s="549"/>
      <c r="G24" s="132"/>
      <c r="H24" s="133"/>
      <c r="I24" s="698" t="s">
        <v>104</v>
      </c>
      <c r="J24" s="698"/>
    </row>
    <row r="25" spans="2:21" ht="18" customHeight="1" x14ac:dyDescent="0.25">
      <c r="B25" s="131" t="s">
        <v>140</v>
      </c>
      <c r="C25" s="131"/>
      <c r="D25" s="477" t="s">
        <v>182</v>
      </c>
      <c r="E25" s="407"/>
      <c r="F25" s="408"/>
      <c r="G25" s="136"/>
      <c r="H25" s="137"/>
      <c r="I25" s="683" t="s">
        <v>105</v>
      </c>
      <c r="J25" s="683"/>
    </row>
    <row r="26" spans="2:21" ht="18" customHeight="1" x14ac:dyDescent="0.25">
      <c r="B26" s="131" t="s">
        <v>99</v>
      </c>
      <c r="C26" s="131"/>
      <c r="D26" s="406" t="s">
        <v>139</v>
      </c>
      <c r="E26" s="407"/>
      <c r="F26" s="408"/>
      <c r="G26" s="132"/>
      <c r="H26" s="133"/>
      <c r="I26" s="683" t="s">
        <v>104</v>
      </c>
      <c r="J26" s="683"/>
    </row>
    <row r="27" spans="2:21" ht="18" customHeight="1" x14ac:dyDescent="0.25">
      <c r="B27" s="406" t="s">
        <v>138</v>
      </c>
      <c r="C27" s="505"/>
      <c r="D27" s="406" t="str">
        <f>D20</f>
        <v>NA</v>
      </c>
      <c r="E27" s="407"/>
      <c r="F27" s="408"/>
      <c r="G27" s="132"/>
      <c r="H27" s="133"/>
      <c r="I27" s="683" t="s">
        <v>143</v>
      </c>
      <c r="J27" s="683"/>
    </row>
    <row r="28" spans="2:21" ht="18" customHeight="1" thickBot="1" x14ac:dyDescent="0.3">
      <c r="B28" s="139"/>
      <c r="C28" s="181"/>
      <c r="D28" s="181"/>
      <c r="E28" s="181"/>
      <c r="F28" s="181"/>
      <c r="G28" s="181"/>
      <c r="H28" s="181"/>
      <c r="I28" s="181"/>
      <c r="J28" s="140"/>
    </row>
    <row r="29" spans="2:21" ht="8.1" customHeight="1" x14ac:dyDescent="0.25">
      <c r="B29" s="178"/>
      <c r="C29" s="179"/>
      <c r="D29" s="179"/>
      <c r="E29" s="179"/>
      <c r="F29" s="179"/>
      <c r="G29" s="179"/>
      <c r="H29" s="179"/>
      <c r="I29" s="179"/>
      <c r="J29" s="180"/>
    </row>
    <row r="30" spans="2:21" s="398" customFormat="1" ht="18" customHeight="1" x14ac:dyDescent="0.25">
      <c r="B30" s="395" t="s">
        <v>106</v>
      </c>
      <c r="C30" s="395"/>
      <c r="D30" s="395"/>
      <c r="E30" s="395"/>
      <c r="F30" s="395"/>
      <c r="G30" s="396"/>
      <c r="H30" s="396"/>
      <c r="I30" s="396"/>
      <c r="J30" s="397"/>
    </row>
    <row r="31" spans="2:21" ht="8.1" customHeight="1" thickBot="1" x14ac:dyDescent="0.3">
      <c r="B31" s="182"/>
      <c r="C31" s="152"/>
      <c r="D31" s="152"/>
      <c r="E31" s="152"/>
      <c r="F31" s="152"/>
      <c r="G31" s="152"/>
      <c r="H31" s="152"/>
      <c r="I31" s="152"/>
      <c r="J31" s="183"/>
    </row>
    <row r="32" spans="2:21" ht="18" customHeight="1" x14ac:dyDescent="0.25">
      <c r="B32" s="131" t="s">
        <v>107</v>
      </c>
      <c r="C32" s="131"/>
      <c r="D32" s="141"/>
      <c r="E32" s="184"/>
      <c r="F32" s="184"/>
      <c r="G32" s="184"/>
      <c r="H32" s="184"/>
      <c r="I32" s="184"/>
      <c r="J32" s="142"/>
    </row>
    <row r="33" spans="2:10" ht="18" customHeight="1" x14ac:dyDescent="0.25">
      <c r="B33" s="132"/>
      <c r="C33" s="177"/>
      <c r="D33" s="132"/>
      <c r="E33" s="185"/>
      <c r="F33" s="185"/>
      <c r="G33" s="185"/>
      <c r="H33" s="185"/>
      <c r="I33" s="185"/>
      <c r="J33" s="133"/>
    </row>
    <row r="34" spans="2:10" ht="18" customHeight="1" thickBot="1" x14ac:dyDescent="0.3">
      <c r="B34" s="182"/>
      <c r="C34" s="140"/>
      <c r="D34" s="139"/>
      <c r="E34" s="181"/>
      <c r="F34" s="181"/>
      <c r="G34" s="181"/>
      <c r="H34" s="181"/>
      <c r="I34" s="181"/>
      <c r="J34" s="140"/>
    </row>
    <row r="35" spans="2:10" ht="8.1" customHeight="1" x14ac:dyDescent="0.25">
      <c r="B35" s="178"/>
      <c r="C35" s="179"/>
      <c r="D35" s="179"/>
      <c r="E35" s="179"/>
      <c r="F35" s="179"/>
      <c r="G35" s="179"/>
      <c r="H35" s="179"/>
      <c r="I35" s="179"/>
      <c r="J35" s="180"/>
    </row>
    <row r="36" spans="2:10" s="398" customFormat="1" ht="18" customHeight="1" x14ac:dyDescent="0.25">
      <c r="B36" s="395" t="s">
        <v>106</v>
      </c>
      <c r="C36" s="395"/>
      <c r="D36" s="395"/>
      <c r="E36" s="395"/>
      <c r="F36" s="395"/>
      <c r="G36" s="396"/>
      <c r="H36" s="396"/>
      <c r="I36" s="396"/>
      <c r="J36" s="397"/>
    </row>
    <row r="37" spans="2:10" ht="8.1" customHeight="1" thickBot="1" x14ac:dyDescent="0.3">
      <c r="B37" s="182"/>
      <c r="C37" s="152"/>
      <c r="D37" s="152"/>
      <c r="E37" s="152"/>
      <c r="F37" s="152"/>
      <c r="G37" s="152"/>
      <c r="H37" s="152"/>
      <c r="I37" s="152"/>
      <c r="J37" s="329"/>
    </row>
  </sheetData>
  <mergeCells count="8">
    <mergeCell ref="B20:C20"/>
    <mergeCell ref="I25:J25"/>
    <mergeCell ref="I26:J26"/>
    <mergeCell ref="I27:J27"/>
    <mergeCell ref="D3:J4"/>
    <mergeCell ref="D5:J6"/>
    <mergeCell ref="I23:J23"/>
    <mergeCell ref="I24:J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F1D6-65BE-4F9D-9D1A-88C19F496961}">
  <dimension ref="B2:Q33"/>
  <sheetViews>
    <sheetView zoomScale="89" zoomScaleNormal="89" workbookViewId="0">
      <selection activeCell="Q9" sqref="Q9"/>
    </sheetView>
  </sheetViews>
  <sheetFormatPr defaultColWidth="9.140625" defaultRowHeight="15" x14ac:dyDescent="0.25"/>
  <cols>
    <col min="1" max="1" width="3.28515625" style="533" customWidth="1"/>
    <col min="2" max="2" width="3.7109375" style="533" customWidth="1"/>
    <col min="3" max="3" width="7.85546875" style="533" customWidth="1"/>
    <col min="4" max="4" width="6.28515625" style="533" customWidth="1"/>
    <col min="5" max="5" width="5.5703125" style="533" customWidth="1"/>
    <col min="6" max="6" width="6.5703125" style="533" customWidth="1"/>
    <col min="7" max="7" width="6" style="533" customWidth="1"/>
    <col min="8" max="8" width="5.28515625" style="533" customWidth="1"/>
    <col min="9" max="10" width="6" style="533" customWidth="1"/>
    <col min="11" max="11" width="5.42578125" style="533" customWidth="1"/>
    <col min="12" max="12" width="6.7109375" style="533" customWidth="1"/>
    <col min="13" max="13" width="6" style="533" customWidth="1"/>
    <col min="14" max="14" width="6.42578125" style="533" customWidth="1"/>
    <col min="15" max="16" width="9.140625" style="533"/>
    <col min="17" max="17" width="11.7109375" style="533" bestFit="1" customWidth="1"/>
    <col min="18" max="16384" width="9.140625" style="533"/>
  </cols>
  <sheetData>
    <row r="2" spans="2:17" x14ac:dyDescent="0.25">
      <c r="B2" s="534"/>
      <c r="C2" s="514">
        <v>1</v>
      </c>
      <c r="D2" s="515">
        <v>2</v>
      </c>
      <c r="E2" s="515">
        <f t="shared" ref="E2:N2" si="0">D2+1</f>
        <v>3</v>
      </c>
      <c r="F2" s="515">
        <f t="shared" si="0"/>
        <v>4</v>
      </c>
      <c r="G2" s="515">
        <f t="shared" si="0"/>
        <v>5</v>
      </c>
      <c r="H2" s="515">
        <f t="shared" si="0"/>
        <v>6</v>
      </c>
      <c r="I2" s="515">
        <f t="shared" si="0"/>
        <v>7</v>
      </c>
      <c r="J2" s="515">
        <f t="shared" si="0"/>
        <v>8</v>
      </c>
      <c r="K2" s="515">
        <f t="shared" si="0"/>
        <v>9</v>
      </c>
      <c r="L2" s="515">
        <f t="shared" si="0"/>
        <v>10</v>
      </c>
      <c r="M2" s="515">
        <f t="shared" si="0"/>
        <v>11</v>
      </c>
      <c r="N2" s="516">
        <f t="shared" si="0"/>
        <v>12</v>
      </c>
    </row>
    <row r="3" spans="2:17" x14ac:dyDescent="0.25">
      <c r="B3" s="517">
        <v>1</v>
      </c>
      <c r="C3" s="520">
        <v>1</v>
      </c>
      <c r="D3" s="521">
        <f>C33+1</f>
        <v>32</v>
      </c>
      <c r="E3" s="521">
        <f>D30+1</f>
        <v>60</v>
      </c>
      <c r="F3" s="521">
        <f>E33+1</f>
        <v>91</v>
      </c>
      <c r="G3" s="521">
        <f>F32+1</f>
        <v>121</v>
      </c>
      <c r="H3" s="521">
        <f>G33+1</f>
        <v>152</v>
      </c>
      <c r="I3" s="521">
        <f>H32+1</f>
        <v>182</v>
      </c>
      <c r="J3" s="521">
        <f>I33+1</f>
        <v>213</v>
      </c>
      <c r="K3" s="521">
        <f>J33+1</f>
        <v>244</v>
      </c>
      <c r="L3" s="521">
        <f>K32+1</f>
        <v>274</v>
      </c>
      <c r="M3" s="521">
        <f>L33+1</f>
        <v>305</v>
      </c>
      <c r="N3" s="522">
        <f>M32+1</f>
        <v>335</v>
      </c>
    </row>
    <row r="4" spans="2:17" x14ac:dyDescent="0.25">
      <c r="B4" s="518">
        <f t="shared" ref="B4:B30" si="1">B3+1</f>
        <v>2</v>
      </c>
      <c r="C4" s="523">
        <f t="shared" ref="C4:C30" si="2">C3+1</f>
        <v>2</v>
      </c>
      <c r="D4" s="524">
        <f t="shared" ref="D4:D30" si="3">D3+1</f>
        <v>33</v>
      </c>
      <c r="E4" s="524">
        <f t="shared" ref="E4:E30" si="4">E3+1</f>
        <v>61</v>
      </c>
      <c r="F4" s="524">
        <f t="shared" ref="F4:F30" si="5">F3+1</f>
        <v>92</v>
      </c>
      <c r="G4" s="524">
        <f t="shared" ref="G4:G30" si="6">G3+1</f>
        <v>122</v>
      </c>
      <c r="H4" s="524">
        <f t="shared" ref="H4:H30" si="7">H3+1</f>
        <v>153</v>
      </c>
      <c r="I4" s="524">
        <f t="shared" ref="I4:I30" si="8">I3+1</f>
        <v>183</v>
      </c>
      <c r="J4" s="524">
        <f t="shared" ref="J4:J30" si="9">J3+1</f>
        <v>214</v>
      </c>
      <c r="K4" s="524">
        <f t="shared" ref="K4:K30" si="10">K3+1</f>
        <v>245</v>
      </c>
      <c r="L4" s="524">
        <f t="shared" ref="L4:L30" si="11">L3+1</f>
        <v>275</v>
      </c>
      <c r="M4" s="524">
        <f t="shared" ref="M4:M30" si="12">M3+1</f>
        <v>306</v>
      </c>
      <c r="N4" s="525">
        <f t="shared" ref="N4:N30" si="13">N3+1</f>
        <v>336</v>
      </c>
    </row>
    <row r="5" spans="2:17" x14ac:dyDescent="0.25">
      <c r="B5" s="518">
        <f t="shared" si="1"/>
        <v>3</v>
      </c>
      <c r="C5" s="523">
        <f t="shared" si="2"/>
        <v>3</v>
      </c>
      <c r="D5" s="524">
        <f t="shared" si="3"/>
        <v>34</v>
      </c>
      <c r="E5" s="524">
        <f t="shared" si="4"/>
        <v>62</v>
      </c>
      <c r="F5" s="524">
        <f t="shared" si="5"/>
        <v>93</v>
      </c>
      <c r="G5" s="524">
        <f t="shared" si="6"/>
        <v>123</v>
      </c>
      <c r="H5" s="524">
        <f t="shared" si="7"/>
        <v>154</v>
      </c>
      <c r="I5" s="524">
        <f t="shared" si="8"/>
        <v>184</v>
      </c>
      <c r="J5" s="524">
        <f t="shared" si="9"/>
        <v>215</v>
      </c>
      <c r="K5" s="524">
        <f t="shared" si="10"/>
        <v>246</v>
      </c>
      <c r="L5" s="524">
        <f t="shared" si="11"/>
        <v>276</v>
      </c>
      <c r="M5" s="524">
        <f t="shared" si="12"/>
        <v>307</v>
      </c>
      <c r="N5" s="525">
        <f t="shared" si="13"/>
        <v>337</v>
      </c>
    </row>
    <row r="6" spans="2:17" x14ac:dyDescent="0.25">
      <c r="B6" s="518">
        <f t="shared" si="1"/>
        <v>4</v>
      </c>
      <c r="C6" s="523">
        <f t="shared" si="2"/>
        <v>4</v>
      </c>
      <c r="D6" s="524">
        <f t="shared" si="3"/>
        <v>35</v>
      </c>
      <c r="E6" s="524">
        <f t="shared" si="4"/>
        <v>63</v>
      </c>
      <c r="F6" s="524">
        <f t="shared" si="5"/>
        <v>94</v>
      </c>
      <c r="G6" s="524">
        <f t="shared" si="6"/>
        <v>124</v>
      </c>
      <c r="H6" s="524">
        <f t="shared" si="7"/>
        <v>155</v>
      </c>
      <c r="I6" s="524">
        <f t="shared" si="8"/>
        <v>185</v>
      </c>
      <c r="J6" s="524">
        <f t="shared" si="9"/>
        <v>216</v>
      </c>
      <c r="K6" s="524">
        <f t="shared" si="10"/>
        <v>247</v>
      </c>
      <c r="L6" s="524">
        <f t="shared" si="11"/>
        <v>277</v>
      </c>
      <c r="M6" s="524">
        <f t="shared" si="12"/>
        <v>308</v>
      </c>
      <c r="N6" s="525">
        <f t="shared" si="13"/>
        <v>338</v>
      </c>
    </row>
    <row r="7" spans="2:17" x14ac:dyDescent="0.25">
      <c r="B7" s="518">
        <f t="shared" si="1"/>
        <v>5</v>
      </c>
      <c r="C7" s="523">
        <f t="shared" si="2"/>
        <v>5</v>
      </c>
      <c r="D7" s="524">
        <f t="shared" si="3"/>
        <v>36</v>
      </c>
      <c r="E7" s="524">
        <f t="shared" si="4"/>
        <v>64</v>
      </c>
      <c r="F7" s="524">
        <f t="shared" si="5"/>
        <v>95</v>
      </c>
      <c r="G7" s="524">
        <f t="shared" si="6"/>
        <v>125</v>
      </c>
      <c r="H7" s="524">
        <f t="shared" si="7"/>
        <v>156</v>
      </c>
      <c r="I7" s="524">
        <f t="shared" si="8"/>
        <v>186</v>
      </c>
      <c r="J7" s="524">
        <f t="shared" si="9"/>
        <v>217</v>
      </c>
      <c r="K7" s="524">
        <f t="shared" si="10"/>
        <v>248</v>
      </c>
      <c r="L7" s="524">
        <f t="shared" si="11"/>
        <v>278</v>
      </c>
      <c r="M7" s="524">
        <f t="shared" si="12"/>
        <v>309</v>
      </c>
      <c r="N7" s="525">
        <f t="shared" si="13"/>
        <v>339</v>
      </c>
    </row>
    <row r="8" spans="2:17" x14ac:dyDescent="0.25">
      <c r="B8" s="518">
        <f t="shared" si="1"/>
        <v>6</v>
      </c>
      <c r="C8" s="523">
        <f t="shared" si="2"/>
        <v>6</v>
      </c>
      <c r="D8" s="524">
        <f t="shared" si="3"/>
        <v>37</v>
      </c>
      <c r="E8" s="524">
        <f t="shared" si="4"/>
        <v>65</v>
      </c>
      <c r="F8" s="524">
        <f t="shared" si="5"/>
        <v>96</v>
      </c>
      <c r="G8" s="524">
        <f t="shared" si="6"/>
        <v>126</v>
      </c>
      <c r="H8" s="524">
        <f t="shared" si="7"/>
        <v>157</v>
      </c>
      <c r="I8" s="524">
        <f t="shared" si="8"/>
        <v>187</v>
      </c>
      <c r="J8" s="524">
        <f t="shared" si="9"/>
        <v>218</v>
      </c>
      <c r="K8" s="524">
        <f t="shared" si="10"/>
        <v>249</v>
      </c>
      <c r="L8" s="524">
        <f t="shared" si="11"/>
        <v>279</v>
      </c>
      <c r="M8" s="524">
        <f t="shared" si="12"/>
        <v>310</v>
      </c>
      <c r="N8" s="525">
        <f t="shared" si="13"/>
        <v>340</v>
      </c>
      <c r="Q8" s="531">
        <v>46205</v>
      </c>
    </row>
    <row r="9" spans="2:17" x14ac:dyDescent="0.25">
      <c r="B9" s="518">
        <f t="shared" si="1"/>
        <v>7</v>
      </c>
      <c r="C9" s="523">
        <f t="shared" si="2"/>
        <v>7</v>
      </c>
      <c r="D9" s="524">
        <f t="shared" si="3"/>
        <v>38</v>
      </c>
      <c r="E9" s="524">
        <f t="shared" si="4"/>
        <v>66</v>
      </c>
      <c r="F9" s="524">
        <f t="shared" si="5"/>
        <v>97</v>
      </c>
      <c r="G9" s="524">
        <f t="shared" si="6"/>
        <v>127</v>
      </c>
      <c r="H9" s="524">
        <f t="shared" si="7"/>
        <v>158</v>
      </c>
      <c r="I9" s="524">
        <f t="shared" si="8"/>
        <v>188</v>
      </c>
      <c r="J9" s="524">
        <f t="shared" si="9"/>
        <v>219</v>
      </c>
      <c r="K9" s="524">
        <f t="shared" si="10"/>
        <v>250</v>
      </c>
      <c r="L9" s="524">
        <f t="shared" si="11"/>
        <v>280</v>
      </c>
      <c r="M9" s="524">
        <f t="shared" si="12"/>
        <v>311</v>
      </c>
      <c r="N9" s="525">
        <f t="shared" si="13"/>
        <v>341</v>
      </c>
      <c r="Q9" s="532" t="str">
        <f>RIGHT(YEAR(Q8),2)&amp;INDEX($C$3:$N$33,MATCH(DAY(Q8),$B$3:$B$33,0),MATCH(MONTH($Q$8),$C$2:$N$2,0))</f>
        <v>26183</v>
      </c>
    </row>
    <row r="10" spans="2:17" x14ac:dyDescent="0.25">
      <c r="B10" s="518">
        <f t="shared" si="1"/>
        <v>8</v>
      </c>
      <c r="C10" s="523">
        <f t="shared" si="2"/>
        <v>8</v>
      </c>
      <c r="D10" s="524">
        <f t="shared" si="3"/>
        <v>39</v>
      </c>
      <c r="E10" s="524">
        <f t="shared" si="4"/>
        <v>67</v>
      </c>
      <c r="F10" s="524">
        <f t="shared" si="5"/>
        <v>98</v>
      </c>
      <c r="G10" s="524">
        <f t="shared" si="6"/>
        <v>128</v>
      </c>
      <c r="H10" s="524">
        <f t="shared" si="7"/>
        <v>159</v>
      </c>
      <c r="I10" s="524">
        <f t="shared" si="8"/>
        <v>189</v>
      </c>
      <c r="J10" s="524">
        <f t="shared" si="9"/>
        <v>220</v>
      </c>
      <c r="K10" s="524">
        <f t="shared" si="10"/>
        <v>251</v>
      </c>
      <c r="L10" s="524">
        <f t="shared" si="11"/>
        <v>281</v>
      </c>
      <c r="M10" s="524">
        <f t="shared" si="12"/>
        <v>312</v>
      </c>
      <c r="N10" s="525">
        <f t="shared" si="13"/>
        <v>342</v>
      </c>
    </row>
    <row r="11" spans="2:17" x14ac:dyDescent="0.25">
      <c r="B11" s="518">
        <f t="shared" si="1"/>
        <v>9</v>
      </c>
      <c r="C11" s="523">
        <f t="shared" si="2"/>
        <v>9</v>
      </c>
      <c r="D11" s="524">
        <f t="shared" si="3"/>
        <v>40</v>
      </c>
      <c r="E11" s="524">
        <f t="shared" si="4"/>
        <v>68</v>
      </c>
      <c r="F11" s="524">
        <f t="shared" si="5"/>
        <v>99</v>
      </c>
      <c r="G11" s="524">
        <f t="shared" si="6"/>
        <v>129</v>
      </c>
      <c r="H11" s="524">
        <f t="shared" si="7"/>
        <v>160</v>
      </c>
      <c r="I11" s="524">
        <f t="shared" si="8"/>
        <v>190</v>
      </c>
      <c r="J11" s="524">
        <f t="shared" si="9"/>
        <v>221</v>
      </c>
      <c r="K11" s="524">
        <f t="shared" si="10"/>
        <v>252</v>
      </c>
      <c r="L11" s="524">
        <f t="shared" si="11"/>
        <v>282</v>
      </c>
      <c r="M11" s="524">
        <f t="shared" si="12"/>
        <v>313</v>
      </c>
      <c r="N11" s="525">
        <f t="shared" si="13"/>
        <v>343</v>
      </c>
    </row>
    <row r="12" spans="2:17" x14ac:dyDescent="0.25">
      <c r="B12" s="518">
        <f t="shared" si="1"/>
        <v>10</v>
      </c>
      <c r="C12" s="523">
        <f t="shared" si="2"/>
        <v>10</v>
      </c>
      <c r="D12" s="524">
        <f t="shared" si="3"/>
        <v>41</v>
      </c>
      <c r="E12" s="524">
        <f t="shared" si="4"/>
        <v>69</v>
      </c>
      <c r="F12" s="524">
        <f t="shared" si="5"/>
        <v>100</v>
      </c>
      <c r="G12" s="524">
        <f t="shared" si="6"/>
        <v>130</v>
      </c>
      <c r="H12" s="524">
        <f t="shared" si="7"/>
        <v>161</v>
      </c>
      <c r="I12" s="524">
        <f t="shared" si="8"/>
        <v>191</v>
      </c>
      <c r="J12" s="524">
        <f t="shared" si="9"/>
        <v>222</v>
      </c>
      <c r="K12" s="524">
        <f t="shared" si="10"/>
        <v>253</v>
      </c>
      <c r="L12" s="524">
        <f t="shared" si="11"/>
        <v>283</v>
      </c>
      <c r="M12" s="524">
        <f t="shared" si="12"/>
        <v>314</v>
      </c>
      <c r="N12" s="525">
        <f t="shared" si="13"/>
        <v>344</v>
      </c>
    </row>
    <row r="13" spans="2:17" x14ac:dyDescent="0.25">
      <c r="B13" s="518">
        <f t="shared" si="1"/>
        <v>11</v>
      </c>
      <c r="C13" s="523">
        <f t="shared" si="2"/>
        <v>11</v>
      </c>
      <c r="D13" s="524">
        <f t="shared" si="3"/>
        <v>42</v>
      </c>
      <c r="E13" s="524">
        <f t="shared" si="4"/>
        <v>70</v>
      </c>
      <c r="F13" s="524">
        <f t="shared" si="5"/>
        <v>101</v>
      </c>
      <c r="G13" s="524">
        <f t="shared" si="6"/>
        <v>131</v>
      </c>
      <c r="H13" s="524">
        <f t="shared" si="7"/>
        <v>162</v>
      </c>
      <c r="I13" s="524">
        <f t="shared" si="8"/>
        <v>192</v>
      </c>
      <c r="J13" s="524">
        <f t="shared" si="9"/>
        <v>223</v>
      </c>
      <c r="K13" s="524">
        <f t="shared" si="10"/>
        <v>254</v>
      </c>
      <c r="L13" s="524">
        <f t="shared" si="11"/>
        <v>284</v>
      </c>
      <c r="M13" s="524">
        <f t="shared" si="12"/>
        <v>315</v>
      </c>
      <c r="N13" s="525">
        <f t="shared" si="13"/>
        <v>345</v>
      </c>
    </row>
    <row r="14" spans="2:17" x14ac:dyDescent="0.25">
      <c r="B14" s="518">
        <f t="shared" si="1"/>
        <v>12</v>
      </c>
      <c r="C14" s="523">
        <f t="shared" si="2"/>
        <v>12</v>
      </c>
      <c r="D14" s="524">
        <f t="shared" si="3"/>
        <v>43</v>
      </c>
      <c r="E14" s="524">
        <f t="shared" si="4"/>
        <v>71</v>
      </c>
      <c r="F14" s="524">
        <f t="shared" si="5"/>
        <v>102</v>
      </c>
      <c r="G14" s="524">
        <f t="shared" si="6"/>
        <v>132</v>
      </c>
      <c r="H14" s="524">
        <f t="shared" si="7"/>
        <v>163</v>
      </c>
      <c r="I14" s="524">
        <f t="shared" si="8"/>
        <v>193</v>
      </c>
      <c r="J14" s="524">
        <f t="shared" si="9"/>
        <v>224</v>
      </c>
      <c r="K14" s="524">
        <f t="shared" si="10"/>
        <v>255</v>
      </c>
      <c r="L14" s="524">
        <f t="shared" si="11"/>
        <v>285</v>
      </c>
      <c r="M14" s="524">
        <f t="shared" si="12"/>
        <v>316</v>
      </c>
      <c r="N14" s="525">
        <f t="shared" si="13"/>
        <v>346</v>
      </c>
    </row>
    <row r="15" spans="2:17" x14ac:dyDescent="0.25">
      <c r="B15" s="518">
        <f t="shared" si="1"/>
        <v>13</v>
      </c>
      <c r="C15" s="523">
        <f t="shared" si="2"/>
        <v>13</v>
      </c>
      <c r="D15" s="524">
        <f t="shared" si="3"/>
        <v>44</v>
      </c>
      <c r="E15" s="524">
        <f t="shared" si="4"/>
        <v>72</v>
      </c>
      <c r="F15" s="524">
        <f t="shared" si="5"/>
        <v>103</v>
      </c>
      <c r="G15" s="524">
        <f t="shared" si="6"/>
        <v>133</v>
      </c>
      <c r="H15" s="524">
        <f t="shared" si="7"/>
        <v>164</v>
      </c>
      <c r="I15" s="524">
        <f t="shared" si="8"/>
        <v>194</v>
      </c>
      <c r="J15" s="524">
        <f t="shared" si="9"/>
        <v>225</v>
      </c>
      <c r="K15" s="524">
        <f t="shared" si="10"/>
        <v>256</v>
      </c>
      <c r="L15" s="524">
        <f t="shared" si="11"/>
        <v>286</v>
      </c>
      <c r="M15" s="524">
        <f t="shared" si="12"/>
        <v>317</v>
      </c>
      <c r="N15" s="525">
        <f t="shared" si="13"/>
        <v>347</v>
      </c>
    </row>
    <row r="16" spans="2:17" x14ac:dyDescent="0.25">
      <c r="B16" s="518">
        <f t="shared" si="1"/>
        <v>14</v>
      </c>
      <c r="C16" s="523">
        <f t="shared" si="2"/>
        <v>14</v>
      </c>
      <c r="D16" s="524">
        <f t="shared" si="3"/>
        <v>45</v>
      </c>
      <c r="E16" s="524">
        <f t="shared" si="4"/>
        <v>73</v>
      </c>
      <c r="F16" s="524">
        <f t="shared" si="5"/>
        <v>104</v>
      </c>
      <c r="G16" s="524">
        <f t="shared" si="6"/>
        <v>134</v>
      </c>
      <c r="H16" s="524">
        <f t="shared" si="7"/>
        <v>165</v>
      </c>
      <c r="I16" s="524">
        <f t="shared" si="8"/>
        <v>195</v>
      </c>
      <c r="J16" s="524">
        <f t="shared" si="9"/>
        <v>226</v>
      </c>
      <c r="K16" s="524">
        <f t="shared" si="10"/>
        <v>257</v>
      </c>
      <c r="L16" s="524">
        <f t="shared" si="11"/>
        <v>287</v>
      </c>
      <c r="M16" s="524">
        <f t="shared" si="12"/>
        <v>318</v>
      </c>
      <c r="N16" s="525">
        <f t="shared" si="13"/>
        <v>348</v>
      </c>
    </row>
    <row r="17" spans="2:14" x14ac:dyDescent="0.25">
      <c r="B17" s="518">
        <f t="shared" si="1"/>
        <v>15</v>
      </c>
      <c r="C17" s="523">
        <f t="shared" si="2"/>
        <v>15</v>
      </c>
      <c r="D17" s="524">
        <f t="shared" si="3"/>
        <v>46</v>
      </c>
      <c r="E17" s="524">
        <f t="shared" si="4"/>
        <v>74</v>
      </c>
      <c r="F17" s="524">
        <f t="shared" si="5"/>
        <v>105</v>
      </c>
      <c r="G17" s="524">
        <f t="shared" si="6"/>
        <v>135</v>
      </c>
      <c r="H17" s="524">
        <f t="shared" si="7"/>
        <v>166</v>
      </c>
      <c r="I17" s="524">
        <f t="shared" si="8"/>
        <v>196</v>
      </c>
      <c r="J17" s="524">
        <f t="shared" si="9"/>
        <v>227</v>
      </c>
      <c r="K17" s="524">
        <f t="shared" si="10"/>
        <v>258</v>
      </c>
      <c r="L17" s="524">
        <f t="shared" si="11"/>
        <v>288</v>
      </c>
      <c r="M17" s="524">
        <f t="shared" si="12"/>
        <v>319</v>
      </c>
      <c r="N17" s="525">
        <f t="shared" si="13"/>
        <v>349</v>
      </c>
    </row>
    <row r="18" spans="2:14" x14ac:dyDescent="0.25">
      <c r="B18" s="518">
        <f t="shared" si="1"/>
        <v>16</v>
      </c>
      <c r="C18" s="523">
        <f t="shared" si="2"/>
        <v>16</v>
      </c>
      <c r="D18" s="524">
        <f t="shared" si="3"/>
        <v>47</v>
      </c>
      <c r="E18" s="524">
        <f t="shared" si="4"/>
        <v>75</v>
      </c>
      <c r="F18" s="524">
        <f t="shared" si="5"/>
        <v>106</v>
      </c>
      <c r="G18" s="524">
        <f t="shared" si="6"/>
        <v>136</v>
      </c>
      <c r="H18" s="524">
        <f t="shared" si="7"/>
        <v>167</v>
      </c>
      <c r="I18" s="524">
        <f t="shared" si="8"/>
        <v>197</v>
      </c>
      <c r="J18" s="524">
        <f t="shared" si="9"/>
        <v>228</v>
      </c>
      <c r="K18" s="524">
        <f t="shared" si="10"/>
        <v>259</v>
      </c>
      <c r="L18" s="524">
        <f t="shared" si="11"/>
        <v>289</v>
      </c>
      <c r="M18" s="524">
        <f t="shared" si="12"/>
        <v>320</v>
      </c>
      <c r="N18" s="525">
        <f t="shared" si="13"/>
        <v>350</v>
      </c>
    </row>
    <row r="19" spans="2:14" x14ac:dyDescent="0.25">
      <c r="B19" s="518">
        <f t="shared" si="1"/>
        <v>17</v>
      </c>
      <c r="C19" s="523">
        <f t="shared" si="2"/>
        <v>17</v>
      </c>
      <c r="D19" s="524">
        <f t="shared" si="3"/>
        <v>48</v>
      </c>
      <c r="E19" s="524">
        <f t="shared" si="4"/>
        <v>76</v>
      </c>
      <c r="F19" s="524">
        <f t="shared" si="5"/>
        <v>107</v>
      </c>
      <c r="G19" s="524">
        <f t="shared" si="6"/>
        <v>137</v>
      </c>
      <c r="H19" s="524">
        <f t="shared" si="7"/>
        <v>168</v>
      </c>
      <c r="I19" s="524">
        <f t="shared" si="8"/>
        <v>198</v>
      </c>
      <c r="J19" s="524">
        <f t="shared" si="9"/>
        <v>229</v>
      </c>
      <c r="K19" s="524">
        <f t="shared" si="10"/>
        <v>260</v>
      </c>
      <c r="L19" s="524">
        <f t="shared" si="11"/>
        <v>290</v>
      </c>
      <c r="M19" s="524">
        <f t="shared" si="12"/>
        <v>321</v>
      </c>
      <c r="N19" s="525">
        <f t="shared" si="13"/>
        <v>351</v>
      </c>
    </row>
    <row r="20" spans="2:14" x14ac:dyDescent="0.25">
      <c r="B20" s="518">
        <f t="shared" si="1"/>
        <v>18</v>
      </c>
      <c r="C20" s="523">
        <f t="shared" si="2"/>
        <v>18</v>
      </c>
      <c r="D20" s="524">
        <f t="shared" si="3"/>
        <v>49</v>
      </c>
      <c r="E20" s="524">
        <f t="shared" si="4"/>
        <v>77</v>
      </c>
      <c r="F20" s="524">
        <f t="shared" si="5"/>
        <v>108</v>
      </c>
      <c r="G20" s="524">
        <f t="shared" si="6"/>
        <v>138</v>
      </c>
      <c r="H20" s="524">
        <f t="shared" si="7"/>
        <v>169</v>
      </c>
      <c r="I20" s="524">
        <f t="shared" si="8"/>
        <v>199</v>
      </c>
      <c r="J20" s="524">
        <f t="shared" si="9"/>
        <v>230</v>
      </c>
      <c r="K20" s="524">
        <f t="shared" si="10"/>
        <v>261</v>
      </c>
      <c r="L20" s="524">
        <f t="shared" si="11"/>
        <v>291</v>
      </c>
      <c r="M20" s="524">
        <f t="shared" si="12"/>
        <v>322</v>
      </c>
      <c r="N20" s="525">
        <f t="shared" si="13"/>
        <v>352</v>
      </c>
    </row>
    <row r="21" spans="2:14" x14ac:dyDescent="0.25">
      <c r="B21" s="518">
        <f t="shared" si="1"/>
        <v>19</v>
      </c>
      <c r="C21" s="523">
        <f t="shared" si="2"/>
        <v>19</v>
      </c>
      <c r="D21" s="524">
        <f t="shared" si="3"/>
        <v>50</v>
      </c>
      <c r="E21" s="524">
        <f t="shared" si="4"/>
        <v>78</v>
      </c>
      <c r="F21" s="524">
        <f t="shared" si="5"/>
        <v>109</v>
      </c>
      <c r="G21" s="524">
        <f t="shared" si="6"/>
        <v>139</v>
      </c>
      <c r="H21" s="524">
        <f t="shared" si="7"/>
        <v>170</v>
      </c>
      <c r="I21" s="524">
        <f t="shared" si="8"/>
        <v>200</v>
      </c>
      <c r="J21" s="524">
        <f t="shared" si="9"/>
        <v>231</v>
      </c>
      <c r="K21" s="524">
        <f t="shared" si="10"/>
        <v>262</v>
      </c>
      <c r="L21" s="524">
        <f t="shared" si="11"/>
        <v>292</v>
      </c>
      <c r="M21" s="524">
        <f t="shared" si="12"/>
        <v>323</v>
      </c>
      <c r="N21" s="525">
        <f t="shared" si="13"/>
        <v>353</v>
      </c>
    </row>
    <row r="22" spans="2:14" x14ac:dyDescent="0.25">
      <c r="B22" s="518">
        <f t="shared" si="1"/>
        <v>20</v>
      </c>
      <c r="C22" s="523">
        <f t="shared" si="2"/>
        <v>20</v>
      </c>
      <c r="D22" s="524">
        <f t="shared" si="3"/>
        <v>51</v>
      </c>
      <c r="E22" s="524">
        <f t="shared" si="4"/>
        <v>79</v>
      </c>
      <c r="F22" s="524">
        <f t="shared" si="5"/>
        <v>110</v>
      </c>
      <c r="G22" s="524">
        <f t="shared" si="6"/>
        <v>140</v>
      </c>
      <c r="H22" s="524">
        <f t="shared" si="7"/>
        <v>171</v>
      </c>
      <c r="I22" s="524">
        <f t="shared" si="8"/>
        <v>201</v>
      </c>
      <c r="J22" s="524">
        <f t="shared" si="9"/>
        <v>232</v>
      </c>
      <c r="K22" s="524">
        <f t="shared" si="10"/>
        <v>263</v>
      </c>
      <c r="L22" s="524">
        <f t="shared" si="11"/>
        <v>293</v>
      </c>
      <c r="M22" s="524">
        <f t="shared" si="12"/>
        <v>324</v>
      </c>
      <c r="N22" s="525">
        <f t="shared" si="13"/>
        <v>354</v>
      </c>
    </row>
    <row r="23" spans="2:14" x14ac:dyDescent="0.25">
      <c r="B23" s="518">
        <f t="shared" si="1"/>
        <v>21</v>
      </c>
      <c r="C23" s="523">
        <f t="shared" si="2"/>
        <v>21</v>
      </c>
      <c r="D23" s="524">
        <f t="shared" si="3"/>
        <v>52</v>
      </c>
      <c r="E23" s="524">
        <f t="shared" si="4"/>
        <v>80</v>
      </c>
      <c r="F23" s="524">
        <f t="shared" si="5"/>
        <v>111</v>
      </c>
      <c r="G23" s="524">
        <f t="shared" si="6"/>
        <v>141</v>
      </c>
      <c r="H23" s="524">
        <f t="shared" si="7"/>
        <v>172</v>
      </c>
      <c r="I23" s="524">
        <f t="shared" si="8"/>
        <v>202</v>
      </c>
      <c r="J23" s="524">
        <f t="shared" si="9"/>
        <v>233</v>
      </c>
      <c r="K23" s="524">
        <f t="shared" si="10"/>
        <v>264</v>
      </c>
      <c r="L23" s="524">
        <f t="shared" si="11"/>
        <v>294</v>
      </c>
      <c r="M23" s="524">
        <f t="shared" si="12"/>
        <v>325</v>
      </c>
      <c r="N23" s="525">
        <f t="shared" si="13"/>
        <v>355</v>
      </c>
    </row>
    <row r="24" spans="2:14" x14ac:dyDescent="0.25">
      <c r="B24" s="518">
        <f t="shared" si="1"/>
        <v>22</v>
      </c>
      <c r="C24" s="523">
        <f t="shared" si="2"/>
        <v>22</v>
      </c>
      <c r="D24" s="524">
        <f t="shared" si="3"/>
        <v>53</v>
      </c>
      <c r="E24" s="524">
        <f t="shared" si="4"/>
        <v>81</v>
      </c>
      <c r="F24" s="524">
        <f t="shared" si="5"/>
        <v>112</v>
      </c>
      <c r="G24" s="524">
        <f t="shared" si="6"/>
        <v>142</v>
      </c>
      <c r="H24" s="524">
        <f t="shared" si="7"/>
        <v>173</v>
      </c>
      <c r="I24" s="524">
        <f t="shared" si="8"/>
        <v>203</v>
      </c>
      <c r="J24" s="524">
        <f t="shared" si="9"/>
        <v>234</v>
      </c>
      <c r="K24" s="524">
        <f t="shared" si="10"/>
        <v>265</v>
      </c>
      <c r="L24" s="524">
        <f t="shared" si="11"/>
        <v>295</v>
      </c>
      <c r="M24" s="524">
        <f t="shared" si="12"/>
        <v>326</v>
      </c>
      <c r="N24" s="525">
        <f t="shared" si="13"/>
        <v>356</v>
      </c>
    </row>
    <row r="25" spans="2:14" x14ac:dyDescent="0.25">
      <c r="B25" s="518">
        <f t="shared" si="1"/>
        <v>23</v>
      </c>
      <c r="C25" s="523">
        <f t="shared" si="2"/>
        <v>23</v>
      </c>
      <c r="D25" s="524">
        <f t="shared" si="3"/>
        <v>54</v>
      </c>
      <c r="E25" s="524">
        <f t="shared" si="4"/>
        <v>82</v>
      </c>
      <c r="F25" s="524">
        <f t="shared" si="5"/>
        <v>113</v>
      </c>
      <c r="G25" s="524">
        <f t="shared" si="6"/>
        <v>143</v>
      </c>
      <c r="H25" s="524">
        <f t="shared" si="7"/>
        <v>174</v>
      </c>
      <c r="I25" s="524">
        <f t="shared" si="8"/>
        <v>204</v>
      </c>
      <c r="J25" s="524">
        <f t="shared" si="9"/>
        <v>235</v>
      </c>
      <c r="K25" s="524">
        <f t="shared" si="10"/>
        <v>266</v>
      </c>
      <c r="L25" s="524">
        <f t="shared" si="11"/>
        <v>296</v>
      </c>
      <c r="M25" s="524">
        <f t="shared" si="12"/>
        <v>327</v>
      </c>
      <c r="N25" s="525">
        <f t="shared" si="13"/>
        <v>357</v>
      </c>
    </row>
    <row r="26" spans="2:14" x14ac:dyDescent="0.25">
      <c r="B26" s="518">
        <f t="shared" si="1"/>
        <v>24</v>
      </c>
      <c r="C26" s="523">
        <f t="shared" si="2"/>
        <v>24</v>
      </c>
      <c r="D26" s="524">
        <f t="shared" si="3"/>
        <v>55</v>
      </c>
      <c r="E26" s="524">
        <f t="shared" si="4"/>
        <v>83</v>
      </c>
      <c r="F26" s="524">
        <f t="shared" si="5"/>
        <v>114</v>
      </c>
      <c r="G26" s="524">
        <f t="shared" si="6"/>
        <v>144</v>
      </c>
      <c r="H26" s="524">
        <f t="shared" si="7"/>
        <v>175</v>
      </c>
      <c r="I26" s="524">
        <f t="shared" si="8"/>
        <v>205</v>
      </c>
      <c r="J26" s="524">
        <f t="shared" si="9"/>
        <v>236</v>
      </c>
      <c r="K26" s="524">
        <f t="shared" si="10"/>
        <v>267</v>
      </c>
      <c r="L26" s="524">
        <f t="shared" si="11"/>
        <v>297</v>
      </c>
      <c r="M26" s="524">
        <f t="shared" si="12"/>
        <v>328</v>
      </c>
      <c r="N26" s="525">
        <f t="shared" si="13"/>
        <v>358</v>
      </c>
    </row>
    <row r="27" spans="2:14" x14ac:dyDescent="0.25">
      <c r="B27" s="518">
        <f t="shared" si="1"/>
        <v>25</v>
      </c>
      <c r="C27" s="523">
        <f t="shared" si="2"/>
        <v>25</v>
      </c>
      <c r="D27" s="524">
        <f t="shared" si="3"/>
        <v>56</v>
      </c>
      <c r="E27" s="524">
        <f t="shared" si="4"/>
        <v>84</v>
      </c>
      <c r="F27" s="524">
        <f t="shared" si="5"/>
        <v>115</v>
      </c>
      <c r="G27" s="524">
        <f t="shared" si="6"/>
        <v>145</v>
      </c>
      <c r="H27" s="524">
        <f t="shared" si="7"/>
        <v>176</v>
      </c>
      <c r="I27" s="524">
        <f t="shared" si="8"/>
        <v>206</v>
      </c>
      <c r="J27" s="524">
        <f t="shared" si="9"/>
        <v>237</v>
      </c>
      <c r="K27" s="524">
        <f t="shared" si="10"/>
        <v>268</v>
      </c>
      <c r="L27" s="524">
        <f t="shared" si="11"/>
        <v>298</v>
      </c>
      <c r="M27" s="524">
        <f t="shared" si="12"/>
        <v>329</v>
      </c>
      <c r="N27" s="525">
        <f t="shared" si="13"/>
        <v>359</v>
      </c>
    </row>
    <row r="28" spans="2:14" x14ac:dyDescent="0.25">
      <c r="B28" s="518">
        <f t="shared" si="1"/>
        <v>26</v>
      </c>
      <c r="C28" s="523">
        <f t="shared" si="2"/>
        <v>26</v>
      </c>
      <c r="D28" s="524">
        <f t="shared" si="3"/>
        <v>57</v>
      </c>
      <c r="E28" s="524">
        <f t="shared" si="4"/>
        <v>85</v>
      </c>
      <c r="F28" s="524">
        <f t="shared" si="5"/>
        <v>116</v>
      </c>
      <c r="G28" s="524">
        <f t="shared" si="6"/>
        <v>146</v>
      </c>
      <c r="H28" s="524">
        <f t="shared" si="7"/>
        <v>177</v>
      </c>
      <c r="I28" s="524">
        <f t="shared" si="8"/>
        <v>207</v>
      </c>
      <c r="J28" s="524">
        <f t="shared" si="9"/>
        <v>238</v>
      </c>
      <c r="K28" s="524">
        <f t="shared" si="10"/>
        <v>269</v>
      </c>
      <c r="L28" s="524">
        <f t="shared" si="11"/>
        <v>299</v>
      </c>
      <c r="M28" s="524">
        <f t="shared" si="12"/>
        <v>330</v>
      </c>
      <c r="N28" s="525">
        <f t="shared" si="13"/>
        <v>360</v>
      </c>
    </row>
    <row r="29" spans="2:14" x14ac:dyDescent="0.25">
      <c r="B29" s="518">
        <f t="shared" si="1"/>
        <v>27</v>
      </c>
      <c r="C29" s="523">
        <f t="shared" si="2"/>
        <v>27</v>
      </c>
      <c r="D29" s="524">
        <f t="shared" si="3"/>
        <v>58</v>
      </c>
      <c r="E29" s="524">
        <f t="shared" si="4"/>
        <v>86</v>
      </c>
      <c r="F29" s="524">
        <f t="shared" si="5"/>
        <v>117</v>
      </c>
      <c r="G29" s="524">
        <f t="shared" si="6"/>
        <v>147</v>
      </c>
      <c r="H29" s="524">
        <f t="shared" si="7"/>
        <v>178</v>
      </c>
      <c r="I29" s="524">
        <f t="shared" si="8"/>
        <v>208</v>
      </c>
      <c r="J29" s="524">
        <f t="shared" si="9"/>
        <v>239</v>
      </c>
      <c r="K29" s="524">
        <f t="shared" si="10"/>
        <v>270</v>
      </c>
      <c r="L29" s="524">
        <f t="shared" si="11"/>
        <v>300</v>
      </c>
      <c r="M29" s="524">
        <f t="shared" si="12"/>
        <v>331</v>
      </c>
      <c r="N29" s="525">
        <f t="shared" si="13"/>
        <v>361</v>
      </c>
    </row>
    <row r="30" spans="2:14" x14ac:dyDescent="0.25">
      <c r="B30" s="518">
        <f t="shared" si="1"/>
        <v>28</v>
      </c>
      <c r="C30" s="523">
        <f t="shared" si="2"/>
        <v>28</v>
      </c>
      <c r="D30" s="524">
        <f t="shared" si="3"/>
        <v>59</v>
      </c>
      <c r="E30" s="524">
        <f t="shared" si="4"/>
        <v>87</v>
      </c>
      <c r="F30" s="524">
        <f t="shared" si="5"/>
        <v>118</v>
      </c>
      <c r="G30" s="524">
        <f t="shared" si="6"/>
        <v>148</v>
      </c>
      <c r="H30" s="524">
        <f t="shared" si="7"/>
        <v>179</v>
      </c>
      <c r="I30" s="524">
        <f t="shared" si="8"/>
        <v>209</v>
      </c>
      <c r="J30" s="524">
        <f t="shared" si="9"/>
        <v>240</v>
      </c>
      <c r="K30" s="524">
        <f t="shared" si="10"/>
        <v>271</v>
      </c>
      <c r="L30" s="524">
        <f t="shared" si="11"/>
        <v>301</v>
      </c>
      <c r="M30" s="524">
        <f t="shared" si="12"/>
        <v>332</v>
      </c>
      <c r="N30" s="525">
        <f t="shared" si="13"/>
        <v>362</v>
      </c>
    </row>
    <row r="31" spans="2:14" x14ac:dyDescent="0.25">
      <c r="B31" s="518">
        <f t="shared" ref="B31:C33" si="14">B30+1</f>
        <v>29</v>
      </c>
      <c r="C31" s="523">
        <f t="shared" si="14"/>
        <v>29</v>
      </c>
      <c r="D31" s="526"/>
      <c r="E31" s="524">
        <f t="shared" ref="E31:N32" si="15">E30+1</f>
        <v>88</v>
      </c>
      <c r="F31" s="524">
        <f t="shared" si="15"/>
        <v>119</v>
      </c>
      <c r="G31" s="524">
        <f t="shared" si="15"/>
        <v>149</v>
      </c>
      <c r="H31" s="524">
        <f t="shared" si="15"/>
        <v>180</v>
      </c>
      <c r="I31" s="524">
        <f t="shared" si="15"/>
        <v>210</v>
      </c>
      <c r="J31" s="524">
        <f t="shared" si="15"/>
        <v>241</v>
      </c>
      <c r="K31" s="524">
        <f t="shared" si="15"/>
        <v>272</v>
      </c>
      <c r="L31" s="524">
        <f t="shared" si="15"/>
        <v>302</v>
      </c>
      <c r="M31" s="524">
        <f t="shared" si="15"/>
        <v>333</v>
      </c>
      <c r="N31" s="525">
        <f t="shared" si="15"/>
        <v>363</v>
      </c>
    </row>
    <row r="32" spans="2:14" x14ac:dyDescent="0.25">
      <c r="B32" s="518">
        <f t="shared" si="14"/>
        <v>30</v>
      </c>
      <c r="C32" s="523">
        <f t="shared" si="14"/>
        <v>30</v>
      </c>
      <c r="D32" s="526"/>
      <c r="E32" s="524">
        <f t="shared" si="15"/>
        <v>89</v>
      </c>
      <c r="F32" s="524">
        <f t="shared" si="15"/>
        <v>120</v>
      </c>
      <c r="G32" s="524">
        <f t="shared" si="15"/>
        <v>150</v>
      </c>
      <c r="H32" s="524">
        <f t="shared" si="15"/>
        <v>181</v>
      </c>
      <c r="I32" s="524">
        <f t="shared" si="15"/>
        <v>211</v>
      </c>
      <c r="J32" s="524">
        <f t="shared" si="15"/>
        <v>242</v>
      </c>
      <c r="K32" s="524">
        <f t="shared" si="15"/>
        <v>273</v>
      </c>
      <c r="L32" s="524">
        <f t="shared" si="15"/>
        <v>303</v>
      </c>
      <c r="M32" s="524">
        <f t="shared" si="15"/>
        <v>334</v>
      </c>
      <c r="N32" s="525">
        <f t="shared" si="15"/>
        <v>364</v>
      </c>
    </row>
    <row r="33" spans="2:14" x14ac:dyDescent="0.25">
      <c r="B33" s="519">
        <f t="shared" si="14"/>
        <v>31</v>
      </c>
      <c r="C33" s="527">
        <f t="shared" si="14"/>
        <v>31</v>
      </c>
      <c r="D33" s="528"/>
      <c r="E33" s="529">
        <f>E32+1</f>
        <v>90</v>
      </c>
      <c r="F33" s="529"/>
      <c r="G33" s="529">
        <f>G32+1</f>
        <v>151</v>
      </c>
      <c r="H33" s="529"/>
      <c r="I33" s="529">
        <f>I32+1</f>
        <v>212</v>
      </c>
      <c r="J33" s="529">
        <f>J32+1</f>
        <v>243</v>
      </c>
      <c r="K33" s="529"/>
      <c r="L33" s="529">
        <f>L32+1</f>
        <v>304</v>
      </c>
      <c r="M33" s="529"/>
      <c r="N33" s="530">
        <f>N32+1</f>
        <v>365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447714D3A6D845B2C488CFF31F7610" ma:contentTypeVersion="12" ma:contentTypeDescription="Crie um novo documento." ma:contentTypeScope="" ma:versionID="6fa32a5c988deab99a0b1251f5483cb4">
  <xsd:schema xmlns:xsd="http://www.w3.org/2001/XMLSchema" xmlns:xs="http://www.w3.org/2001/XMLSchema" xmlns:p="http://schemas.microsoft.com/office/2006/metadata/properties" xmlns:ns2="c8808e04-a48d-44ec-aaa2-84ab3c4a9789" xmlns:ns3="c5b6ebd3-f450-4e70-b671-65da7a07c917" targetNamespace="http://schemas.microsoft.com/office/2006/metadata/properties" ma:root="true" ma:fieldsID="55497553e391f965470c51cd26d4f446" ns2:_="" ns3:_="">
    <xsd:import namespace="c8808e04-a48d-44ec-aaa2-84ab3c4a9789"/>
    <xsd:import namespace="c5b6ebd3-f450-4e70-b671-65da7a07c9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08e04-a48d-44ec-aaa2-84ab3c4a9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7a8b96-04af-4aae-8640-b2dc0a4a6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ebd3-f450-4e70-b671-65da7a07c9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13b66-1a75-4ca6-8753-51d1ed2a48c5}" ma:internalName="TaxCatchAll" ma:showField="CatchAllData" ma:web="c5b6ebd3-f450-4e70-b671-65da7a07c9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808e04-a48d-44ec-aaa2-84ab3c4a9789">
      <Terms xmlns="http://schemas.microsoft.com/office/infopath/2007/PartnerControls"/>
    </lcf76f155ced4ddcb4097134ff3c332f>
    <TaxCatchAll xmlns="c5b6ebd3-f450-4e70-b671-65da7a07c9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6FB0F9-1408-488E-80D8-A17DEED97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08e04-a48d-44ec-aaa2-84ab3c4a9789"/>
    <ds:schemaRef ds:uri="c5b6ebd3-f450-4e70-b671-65da7a07c9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B76E0D-75C1-4A02-A32F-80FCF6CE57BC}">
  <ds:schemaRefs>
    <ds:schemaRef ds:uri="c5b6ebd3-f450-4e70-b671-65da7a07c917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8808e04-a48d-44ec-aaa2-84ab3c4a978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4E14AF6-2C5F-4B21-8F59-9680557A2C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OP 1</vt:lpstr>
      <vt:lpstr>OF</vt:lpstr>
      <vt:lpstr>ORDEM DE ENVASE</vt:lpstr>
      <vt:lpstr>ROTULAGEM</vt:lpstr>
      <vt:lpstr>RELATÓRIO PRODUTO ACABADO</vt:lpstr>
      <vt:lpstr>BUSCA LOTE</vt:lpstr>
      <vt:lpstr>OF!Print_Area</vt:lpstr>
      <vt:lpstr>'OP 1'!Print_Area</vt:lpstr>
      <vt:lpstr>'ORDEM DE ENVASE'!Print_Area</vt:lpstr>
      <vt:lpstr>'RELATÓRIO PRODUTO ACABADO'!Print_Area</vt:lpstr>
      <vt:lpstr>ROTULAGEM!Print_Area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Menezes Silva</dc:creator>
  <cp:lastModifiedBy>Gustavo Callegaro</cp:lastModifiedBy>
  <cp:lastPrinted>2026-07-02T13:10:16Z</cp:lastPrinted>
  <dcterms:created xsi:type="dcterms:W3CDTF">2025-07-01T13:54:42Z</dcterms:created>
  <dcterms:modified xsi:type="dcterms:W3CDTF">2026-07-13T12:51:21Z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0x01010079447714D3A6D845B2C488CFF31F7610</vt:lpwstr>
  </property>
  <property fmtid="{D5CDD505-2E9C-101B-9397-08002B2CF9AE}" pid="3" name="MediaServiceImageTags">
    <vt:lpwstr/>
  </property>
</Properties>
</file>