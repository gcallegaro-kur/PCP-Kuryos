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ryos.sharepoint.com/sites/ServidorKuryos/Shared Documents/02. Comercial/01. Pedidos/"/>
    </mc:Choice>
  </mc:AlternateContent>
  <xr:revisionPtr revIDLastSave="342" documentId="8_{869A0DF7-4CD7-429D-A989-20BCFF8928EF}" xr6:coauthVersionLast="47" xr6:coauthVersionMax="47" xr10:uidLastSave="{C315F897-3C37-4F0C-BC13-D7B5EEBDFC46}"/>
  <bookViews>
    <workbookView xWindow="-120" yWindow="-120" windowWidth="29040" windowHeight="15720" xr2:uid="{D0F024CD-7DB4-4ADE-9516-0B7DC3BFDFA3}"/>
  </bookViews>
  <sheets>
    <sheet name="Sheet1" sheetId="1" r:id="rId1"/>
  </sheets>
  <definedNames>
    <definedName name="_xlnm.Print_Area" localSheetId="0">Sheet1!$B$2:$AC$78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D70" i="1"/>
  <c r="D71" i="1" s="1"/>
  <c r="D72" i="1" s="1"/>
  <c r="D73" i="1" s="1"/>
  <c r="D65" i="1"/>
  <c r="V64" i="1"/>
  <c r="Z27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 l="1"/>
  <c r="D31" i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Z33" i="1"/>
  <c r="Z34" i="1"/>
  <c r="Z35" i="1"/>
  <c r="Z28" i="1"/>
  <c r="Z60" i="1" s="1"/>
  <c r="Z29" i="1"/>
  <c r="Z30" i="1"/>
  <c r="Z31" i="1"/>
  <c r="Z32" i="1"/>
  <c r="V70" i="1" l="1"/>
  <c r="V65" i="1"/>
  <c r="V69" i="1" l="1"/>
  <c r="V68" i="1" s="1"/>
  <c r="V71" i="1"/>
  <c r="V72" i="1" s="1"/>
  <c r="V73" i="1"/>
</calcChain>
</file>

<file path=xl/sharedStrings.xml><?xml version="1.0" encoding="utf-8"?>
<sst xmlns="http://schemas.openxmlformats.org/spreadsheetml/2006/main" count="221" uniqueCount="134">
  <si>
    <t>1)</t>
  </si>
  <si>
    <t>Cliente</t>
  </si>
  <si>
    <t>Data</t>
  </si>
  <si>
    <t>2)</t>
  </si>
  <si>
    <t># Pedido</t>
  </si>
  <si>
    <t>DADOS DO CLIENTE</t>
  </si>
  <si>
    <t>Razão Social</t>
  </si>
  <si>
    <t>São Paulo/SP</t>
  </si>
  <si>
    <t>Responsável</t>
  </si>
  <si>
    <t>Telefone</t>
  </si>
  <si>
    <t>e-mail</t>
  </si>
  <si>
    <t>3)</t>
  </si>
  <si>
    <t>FRETE</t>
  </si>
  <si>
    <t>Tipo de Frete</t>
  </si>
  <si>
    <t>FOB</t>
  </si>
  <si>
    <t>Endereço</t>
  </si>
  <si>
    <t>Cidade / UF</t>
  </si>
  <si>
    <t>INFORMAÇÕES INICIAIS</t>
  </si>
  <si>
    <t>4)</t>
  </si>
  <si>
    <t>PEDIDO</t>
  </si>
  <si>
    <t>Código Kuryos</t>
  </si>
  <si>
    <t>Item</t>
  </si>
  <si>
    <t>Valor Unitário</t>
  </si>
  <si>
    <t>Quantidade</t>
  </si>
  <si>
    <t>Valor Total</t>
  </si>
  <si>
    <t>Código Cliente</t>
  </si>
  <si>
    <t>Prazo p/ Coleta</t>
  </si>
  <si>
    <t>Total do Pedido</t>
  </si>
  <si>
    <t>#</t>
  </si>
  <si>
    <t>5)</t>
  </si>
  <si>
    <t>Qtd.</t>
  </si>
  <si>
    <r>
      <rPr>
        <b/>
        <sz val="11"/>
        <color theme="1"/>
        <rFont val="Aptos Narrow"/>
        <family val="2"/>
        <scheme val="minor"/>
      </rPr>
      <t>RETIRADA EM</t>
    </r>
    <r>
      <rPr>
        <sz val="11"/>
        <color theme="1"/>
        <rFont val="Aptos Narrow"/>
        <family val="2"/>
        <scheme val="minor"/>
      </rPr>
      <t>: RUA LAGOA TAÍ GRANDE, 1130 - CEP 08290-500</t>
    </r>
  </si>
  <si>
    <t>Especificações ³</t>
  </si>
  <si>
    <t>Prazo de Entrega ²</t>
  </si>
  <si>
    <r>
      <t xml:space="preserve">2. Prazo de entrega passa a contar no momento da confirmação de recebimento e aprovação de todos os insumos referentes ao pedido, sendo estes </t>
    </r>
    <r>
      <rPr>
        <i/>
        <sz val="11"/>
        <color theme="1"/>
        <rFont val="Aptos Narrow"/>
        <family val="2"/>
        <scheme val="minor"/>
      </rPr>
      <t xml:space="preserve">full service </t>
    </r>
    <r>
      <rPr>
        <sz val="11"/>
        <color theme="1"/>
        <rFont val="Aptos Narrow"/>
        <family val="2"/>
        <scheme val="minor"/>
      </rPr>
      <t>ou terceirização</t>
    </r>
  </si>
  <si>
    <t>1. Após a confirmação da produção por parte da Kuryos, uma vez não retirado o material indicado no prazo, será cobrado o valor de posição de pallets, no valor de R$ 40,00 / dia</t>
  </si>
  <si>
    <t>3. Material / Altura x Largura ou Diâmetro x Profundidade (em milímetros) / Capacidade</t>
  </si>
  <si>
    <t>Caixa de Embarque</t>
  </si>
  <si>
    <t>Rótulos</t>
  </si>
  <si>
    <t>-</t>
  </si>
  <si>
    <t>SÃO PAULO, SP</t>
  </si>
  <si>
    <t>Até 2 dias úteis após liberação ¹</t>
  </si>
  <si>
    <t>PEDIDO DE FABRICAÇÃO - INDUSTRIALIZAÇÃO TERCEIRIZAÇÃO</t>
  </si>
  <si>
    <t>Valores</t>
  </si>
  <si>
    <t>Kuryos</t>
  </si>
  <si>
    <t>Envase</t>
  </si>
  <si>
    <t>Resp. Insumos</t>
  </si>
  <si>
    <t>INSUMOS GERAIS &amp; VALORES GERAIS</t>
  </si>
  <si>
    <t>Prazo de Pgto</t>
  </si>
  <si>
    <t>FGM</t>
  </si>
  <si>
    <t>A DEFINIR</t>
  </si>
  <si>
    <t>EDUARDO E FERNANDO</t>
  </si>
  <si>
    <t>Válvula Spray</t>
  </si>
  <si>
    <t>Cartucho</t>
  </si>
  <si>
    <t>Cartucho padrão para os perfumes</t>
  </si>
  <si>
    <t>PRF-AFEE-0001</t>
  </si>
  <si>
    <t>PRF-AFEE-0003</t>
  </si>
  <si>
    <t>PRF-AFEE-0004</t>
  </si>
  <si>
    <t>PRF-AFEE-0005</t>
  </si>
  <si>
    <t>PRF-AFEE-0006</t>
  </si>
  <si>
    <t>PRF-AFEE-0007</t>
  </si>
  <si>
    <t>PRF-AFEE-0008</t>
  </si>
  <si>
    <t>PRF-AFEE-0009</t>
  </si>
  <si>
    <t>PRF-AFEE-0012</t>
  </si>
  <si>
    <t>PRF-AFEE-0013</t>
  </si>
  <si>
    <t>PRF-AFEE-0014</t>
  </si>
  <si>
    <t>PRF-AFEE-0015</t>
  </si>
  <si>
    <t>PRF-AFEE-0016</t>
  </si>
  <si>
    <t>PRF-AFEE-0017</t>
  </si>
  <si>
    <t>PRF-AFEE-0018</t>
  </si>
  <si>
    <t>PRF-AFEE-0019</t>
  </si>
  <si>
    <t>PRF-AFEE-0020</t>
  </si>
  <si>
    <t>PRF-AFEE-0021</t>
  </si>
  <si>
    <t>PRF-AFEE-0022</t>
  </si>
  <si>
    <t>PRF-AFEE-0023</t>
  </si>
  <si>
    <t>PRF-AFEE-0025</t>
  </si>
  <si>
    <t>PRF-AFEE-0026</t>
  </si>
  <si>
    <t>PRF-AFEE-0027</t>
  </si>
  <si>
    <t>PRF-AFEE-0028</t>
  </si>
  <si>
    <t>PRF-AFEE-0029</t>
  </si>
  <si>
    <t>PRF-AFEE-0030</t>
  </si>
  <si>
    <t>PRF-AFEE-0031</t>
  </si>
  <si>
    <t>PRF-AFEE-0032</t>
  </si>
  <si>
    <t>PRF-AFEE-0033</t>
  </si>
  <si>
    <t>PRF-AFEE-0034</t>
  </si>
  <si>
    <t>PRF-AFEE-0035</t>
  </si>
  <si>
    <t>PERFUME NUIT ROYALE INTENSE MAN 30ML</t>
  </si>
  <si>
    <t>PERFUME ASAD AFEER 30ML</t>
  </si>
  <si>
    <t>PERFUME ASAD ELIXIR 30ML</t>
  </si>
  <si>
    <t>PERFUME N 1 VIP MAN BLACK 30ML</t>
  </si>
  <si>
    <t>PERFUME BAD ANGEL 30ML</t>
  </si>
  <si>
    <t>PERFUME BLEU AFEER 30ML</t>
  </si>
  <si>
    <t>PERFUME SHARIS 30ML</t>
  </si>
  <si>
    <t>PERFUME ALTAR AL WESAL 30ML</t>
  </si>
  <si>
    <t>PERFUME ANGEL 30ML</t>
  </si>
  <si>
    <t>PERFUME NIGHT BLUE 30ML</t>
  </si>
  <si>
    <t>PERFUME ZAFIYR 30ML</t>
  </si>
  <si>
    <t>PERFUME DELILAH 30ML</t>
  </si>
  <si>
    <t>PERFUME YARA 30ML</t>
  </si>
  <si>
    <t>PERFUME YARA ELIXIR 30ML</t>
  </si>
  <si>
    <t>PERFUME SABAH SUGAR 30ML</t>
  </si>
  <si>
    <t>PERFUME SABAH AL WARD 30ML</t>
  </si>
  <si>
    <t>PERFUME MISSDANCE 16 30ML</t>
  </si>
  <si>
    <t>PERFUME IZAAH 30ML</t>
  </si>
  <si>
    <t>PERFUME NUIT ROYALE WOMAN 30ML</t>
  </si>
  <si>
    <t>PERFUME N 1 VIP ROSE 30ML</t>
  </si>
  <si>
    <t>PERFUME ASAD BOURBON 30ML</t>
  </si>
  <si>
    <t>PERFUME ROYAL AMBER 30ML</t>
  </si>
  <si>
    <t>PERFUME MUSAMAM 30ML</t>
  </si>
  <si>
    <t>PERFUME ZANZIBAR 30ML</t>
  </si>
  <si>
    <t>PERFUME SIDORE 30ML</t>
  </si>
  <si>
    <t>PERFUME T-GOLD 30ML</t>
  </si>
  <si>
    <t>PERFUME ABELHINHA 30ML</t>
  </si>
  <si>
    <t>PERFUME TAWUS 30ML</t>
  </si>
  <si>
    <t>PERFUME LEA 30ML</t>
  </si>
  <si>
    <t>PERFUME DALAL 30ML</t>
  </si>
  <si>
    <t>PERFUME SUPREMACY 30ML</t>
  </si>
  <si>
    <t>Frascos 30 mL</t>
  </si>
  <si>
    <t>Frasco de vidro de 30mL - Conforme cada identidade de pintura</t>
  </si>
  <si>
    <t>2.1</t>
  </si>
  <si>
    <t>2.2</t>
  </si>
  <si>
    <t>Válvula spray easy lock</t>
  </si>
  <si>
    <t>Válvula spray easy lock Dourada</t>
  </si>
  <si>
    <t>Válvula spray easy lock Prata</t>
  </si>
  <si>
    <t>Afeer</t>
  </si>
  <si>
    <t>Rótulo conforme especificação e identidade visual</t>
  </si>
  <si>
    <t>Berço para Cartucho</t>
  </si>
  <si>
    <t>Berços para Cartuchos conforme especificação e identidade visual</t>
  </si>
  <si>
    <t>30% sinal / 20% entrega / 30/45/60</t>
  </si>
  <si>
    <t>Sobretampa</t>
  </si>
  <si>
    <t>Sobretampa dourada ou prata, de acordo com padrão de cada SKU</t>
  </si>
  <si>
    <t>Caixa de embarque para 12 unidades</t>
  </si>
  <si>
    <t>x</t>
  </si>
  <si>
    <t>Inspirações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</si>
</sst>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&quot; Dias&quot;"/>
    <numFmt numFmtId="165" formatCode="&quot;R$&quot;\ #,##0.00"/>
    <numFmt numFmtId="166" formatCode="#,##0&quot; un.&quot;"/>
    <numFmt numFmtId="167" formatCode="0000"/>
    <numFmt numFmtId="168" formatCode="0&quot; un&quot;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101E5C"/>
      <name val="Aptos Narrow"/>
      <family val="2"/>
      <scheme val="minor"/>
    </font>
    <font>
      <b/>
      <sz val="10"/>
      <color rgb="FF101E5C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01E5C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rgb="FF101E5C"/>
      </left>
      <right/>
      <top style="thin">
        <color rgb="FF101E5C"/>
      </top>
      <bottom/>
      <diagonal/>
    </border>
    <border>
      <left/>
      <right/>
      <top style="thin">
        <color rgb="FF101E5C"/>
      </top>
      <bottom/>
      <diagonal/>
    </border>
    <border>
      <left/>
      <right style="thin">
        <color rgb="FF101E5C"/>
      </right>
      <top style="thin">
        <color rgb="FF101E5C"/>
      </top>
      <bottom/>
      <diagonal/>
    </border>
    <border>
      <left style="thin">
        <color rgb="FF101E5C"/>
      </left>
      <right/>
      <top/>
      <bottom/>
      <diagonal/>
    </border>
    <border>
      <left/>
      <right style="thin">
        <color rgb="FF101E5C"/>
      </right>
      <top/>
      <bottom/>
      <diagonal/>
    </border>
    <border>
      <left style="thin">
        <color rgb="FF101E5C"/>
      </left>
      <right/>
      <top/>
      <bottom style="thin">
        <color rgb="FF101E5C"/>
      </bottom>
      <diagonal/>
    </border>
    <border>
      <left/>
      <right/>
      <top/>
      <bottom style="thin">
        <color rgb="FF101E5C"/>
      </bottom>
      <diagonal/>
    </border>
    <border>
      <left/>
      <right style="thin">
        <color rgb="FF101E5C"/>
      </right>
      <top/>
      <bottom style="thin">
        <color rgb="FF101E5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theme="0"/>
      </left>
      <right/>
      <top/>
      <bottom/>
      <diagonal/>
    </border>
    <border>
      <left/>
      <right style="dashed">
        <color theme="0"/>
      </right>
      <top/>
      <bottom/>
      <diagonal/>
    </border>
    <border>
      <left/>
      <right/>
      <top/>
      <bottom style="dotted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9" xfId="0" applyBorder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9" xfId="0" applyBorder="1"/>
    <xf numFmtId="0" fontId="2" fillId="0" borderId="11" xfId="0" applyFont="1" applyBorder="1"/>
    <xf numFmtId="0" fontId="1" fillId="2" borderId="0" xfId="0" applyFont="1" applyFill="1" applyAlignment="1">
      <alignment horizontal="centerContinuous"/>
    </xf>
    <xf numFmtId="0" fontId="1" fillId="2" borderId="12" xfId="0" applyFont="1" applyFill="1" applyBorder="1" applyAlignment="1">
      <alignment horizontal="centerContinuous"/>
    </xf>
    <xf numFmtId="0" fontId="1" fillId="2" borderId="13" xfId="0" applyFont="1" applyFill="1" applyBorder="1" applyAlignment="1">
      <alignment horizontal="centerContinuous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Continuous"/>
    </xf>
    <xf numFmtId="164" fontId="0" fillId="0" borderId="14" xfId="0" applyNumberFormat="1" applyBorder="1" applyAlignment="1">
      <alignment horizontal="centerContinuous"/>
    </xf>
    <xf numFmtId="3" fontId="0" fillId="0" borderId="14" xfId="0" applyNumberFormat="1" applyBorder="1" applyAlignment="1">
      <alignment horizontal="centerContinuous"/>
    </xf>
    <xf numFmtId="0" fontId="6" fillId="0" borderId="0" xfId="0" applyFont="1"/>
    <xf numFmtId="0" fontId="8" fillId="0" borderId="0" xfId="0" applyFont="1" applyAlignment="1">
      <alignment horizontal="centerContinuous"/>
    </xf>
    <xf numFmtId="0" fontId="1" fillId="2" borderId="15" xfId="0" applyFont="1" applyFill="1" applyBorder="1" applyAlignment="1">
      <alignment horizontal="centerContinuous"/>
    </xf>
    <xf numFmtId="0" fontId="2" fillId="0" borderId="0" xfId="0" applyFont="1"/>
    <xf numFmtId="0" fontId="3" fillId="0" borderId="0" xfId="1" applyBorder="1" applyAlignment="1">
      <alignment horizontal="centerContinuous"/>
    </xf>
    <xf numFmtId="0" fontId="2" fillId="0" borderId="16" xfId="0" applyFont="1" applyBorder="1"/>
    <xf numFmtId="0" fontId="0" fillId="0" borderId="17" xfId="0" applyBorder="1" applyAlignment="1">
      <alignment horizontal="centerContinuous"/>
    </xf>
    <xf numFmtId="0" fontId="0" fillId="0" borderId="18" xfId="0" applyBorder="1" applyAlignment="1">
      <alignment horizontal="centerContinuous"/>
    </xf>
    <xf numFmtId="0" fontId="0" fillId="0" borderId="19" xfId="0" applyBorder="1" applyAlignment="1">
      <alignment horizontal="centerContinuous"/>
    </xf>
    <xf numFmtId="0" fontId="2" fillId="3" borderId="20" xfId="0" applyFont="1" applyFill="1" applyBorder="1"/>
    <xf numFmtId="0" fontId="0" fillId="3" borderId="21" xfId="0" applyFill="1" applyBorder="1" applyAlignment="1">
      <alignment horizontal="centerContinuous"/>
    </xf>
    <xf numFmtId="0" fontId="0" fillId="3" borderId="22" xfId="0" applyFill="1" applyBorder="1" applyAlignment="1">
      <alignment horizontal="centerContinuous"/>
    </xf>
    <xf numFmtId="0" fontId="0" fillId="3" borderId="23" xfId="0" applyFill="1" applyBorder="1" applyAlignment="1">
      <alignment horizontal="centerContinuous"/>
    </xf>
    <xf numFmtId="0" fontId="2" fillId="0" borderId="24" xfId="0" applyFont="1" applyBorder="1"/>
    <xf numFmtId="14" fontId="0" fillId="0" borderId="25" xfId="0" applyNumberFormat="1" applyBorder="1" applyAlignment="1">
      <alignment horizontal="centerContinuous"/>
    </xf>
    <xf numFmtId="0" fontId="0" fillId="0" borderId="26" xfId="0" applyBorder="1" applyAlignment="1">
      <alignment horizontal="centerContinuous"/>
    </xf>
    <xf numFmtId="0" fontId="0" fillId="0" borderId="27" xfId="0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2" fillId="0" borderId="20" xfId="0" applyFont="1" applyBorder="1"/>
    <xf numFmtId="0" fontId="0" fillId="0" borderId="21" xfId="0" applyBorder="1" applyAlignment="1">
      <alignment horizontal="centerContinuous"/>
    </xf>
    <xf numFmtId="0" fontId="0" fillId="0" borderId="22" xfId="0" applyBorder="1" applyAlignment="1">
      <alignment horizontal="centerContinuous"/>
    </xf>
    <xf numFmtId="0" fontId="0" fillId="0" borderId="23" xfId="0" applyBorder="1" applyAlignment="1">
      <alignment horizontal="centerContinuous"/>
    </xf>
    <xf numFmtId="0" fontId="2" fillId="3" borderId="24" xfId="0" applyFont="1" applyFill="1" applyBorder="1"/>
    <xf numFmtId="0" fontId="0" fillId="3" borderId="25" xfId="0" applyFill="1" applyBorder="1" applyAlignment="1">
      <alignment horizontal="centerContinuous"/>
    </xf>
    <xf numFmtId="0" fontId="0" fillId="3" borderId="26" xfId="0" applyFill="1" applyBorder="1" applyAlignment="1">
      <alignment horizontal="centerContinuous"/>
    </xf>
    <xf numFmtId="0" fontId="0" fillId="3" borderId="27" xfId="0" applyFill="1" applyBorder="1" applyAlignment="1">
      <alignment horizontal="centerContinuous"/>
    </xf>
    <xf numFmtId="0" fontId="1" fillId="2" borderId="28" xfId="0" applyFont="1" applyFill="1" applyBorder="1" applyAlignment="1">
      <alignment horizontal="centerContinuous"/>
    </xf>
    <xf numFmtId="0" fontId="9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Continuous"/>
    </xf>
    <xf numFmtId="3" fontId="0" fillId="0" borderId="0" xfId="0" applyNumberFormat="1" applyAlignment="1">
      <alignment horizontal="centerContinuous"/>
    </xf>
    <xf numFmtId="8" fontId="0" fillId="0" borderId="0" xfId="0" applyNumberFormat="1" applyAlignment="1">
      <alignment horizontal="centerContinuous"/>
    </xf>
    <xf numFmtId="165" fontId="0" fillId="0" borderId="0" xfId="0" applyNumberFormat="1" applyAlignment="1">
      <alignment horizontal="centerContinuous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3" borderId="22" xfId="0" applyFill="1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3" borderId="26" xfId="0" applyFill="1" applyBorder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7" xfId="0" applyBorder="1" applyAlignment="1">
      <alignment horizontal="right"/>
    </xf>
    <xf numFmtId="8" fontId="0" fillId="0" borderId="14" xfId="0" applyNumberFormat="1" applyBorder="1" applyAlignment="1">
      <alignment horizontal="centerContinuous"/>
    </xf>
    <xf numFmtId="165" fontId="0" fillId="0" borderId="14" xfId="0" applyNumberFormat="1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3" fillId="0" borderId="26" xfId="1" applyBorder="1" applyAlignment="1">
      <alignment horizontal="centerContinuous"/>
    </xf>
    <xf numFmtId="166" fontId="0" fillId="0" borderId="14" xfId="0" applyNumberFormat="1" applyBorder="1" applyAlignment="1">
      <alignment horizontal="centerContinuous"/>
    </xf>
    <xf numFmtId="167" fontId="0" fillId="3" borderId="21" xfId="0" applyNumberFormat="1" applyFill="1" applyBorder="1" applyAlignment="1">
      <alignment horizontal="centerContinuous"/>
    </xf>
    <xf numFmtId="44" fontId="0" fillId="0" borderId="14" xfId="0" applyNumberFormat="1" applyBorder="1" applyAlignment="1">
      <alignment horizontal="centerContinuous"/>
    </xf>
    <xf numFmtId="165" fontId="0" fillId="0" borderId="9" xfId="0" applyNumberFormat="1" applyBorder="1" applyAlignment="1">
      <alignment horizontal="centerContinuous"/>
    </xf>
    <xf numFmtId="168" fontId="0" fillId="0" borderId="14" xfId="0" applyNumberFormat="1" applyBorder="1" applyAlignment="1">
      <alignment horizontal="centerContinuous"/>
    </xf>
    <xf numFmtId="165" fontId="0" fillId="0" borderId="0" xfId="0" applyNumberFormat="1"/>
    <xf numFmtId="4" fontId="0" fillId="0" borderId="0" xfId="0" applyNumberFormat="1" applyAlignment="1">
      <alignment horizontal="centerContinuous"/>
    </xf>
    <xf numFmtId="0" fontId="10" fillId="0" borderId="14" xfId="0" applyFont="1" applyBorder="1" applyAlignment="1">
      <alignment horizontal="centerContinuous"/>
    </xf>
    <xf numFmtId="164" fontId="10" fillId="0" borderId="14" xfId="0" applyNumberFormat="1" applyFont="1" applyBorder="1" applyAlignment="1">
      <alignment horizontal="centerContinuous"/>
    </xf>
    <xf numFmtId="3" fontId="10" fillId="0" borderId="14" xfId="0" applyNumberFormat="1" applyFont="1" applyBorder="1" applyAlignment="1">
      <alignment horizontal="centerContinuous"/>
    </xf>
    <xf numFmtId="166" fontId="10" fillId="0" borderId="14" xfId="0" applyNumberFormat="1" applyFont="1" applyBorder="1" applyAlignment="1">
      <alignment horizontal="centerContinuous"/>
    </xf>
    <xf numFmtId="165" fontId="10" fillId="0" borderId="14" xfId="0" applyNumberFormat="1" applyFont="1" applyBorder="1" applyAlignment="1">
      <alignment horizontal="centerContinuous"/>
    </xf>
    <xf numFmtId="44" fontId="10" fillId="0" borderId="14" xfId="0" applyNumberFormat="1" applyFont="1" applyBorder="1" applyAlignment="1">
      <alignment horizontal="centerContinuous"/>
    </xf>
    <xf numFmtId="9" fontId="0" fillId="0" borderId="9" xfId="0" applyNumberFormat="1" applyBorder="1" applyAlignment="1">
      <alignment horizontal="centerContinuous"/>
    </xf>
    <xf numFmtId="0" fontId="0" fillId="0" borderId="9" xfId="0" quotePrefix="1" applyBorder="1" applyAlignment="1">
      <alignment horizontal="centerContinuous"/>
    </xf>
    <xf numFmtId="164" fontId="1" fillId="0" borderId="14" xfId="0" applyNumberFormat="1" applyFont="1" applyBorder="1" applyAlignment="1">
      <alignment horizontal="centerContinuous"/>
    </xf>
    <xf numFmtId="3" fontId="0" fillId="4" borderId="14" xfId="0" applyNumberFormat="1" applyFill="1" applyBorder="1" applyAlignment="1">
      <alignment horizontal="centerContinuous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F4F8"/>
      <color rgb="FFE6EBF2"/>
      <color rgb="FFADBDD4"/>
      <color rgb="FF101E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369092</xdr:colOff>
      <xdr:row>2</xdr:row>
      <xdr:rowOff>3240</xdr:rowOff>
    </xdr:from>
    <xdr:to>
      <xdr:col>26</xdr:col>
      <xdr:colOff>248435</xdr:colOff>
      <xdr:row>4</xdr:row>
      <xdr:rowOff>35568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F671AD-4417-B289-31FA-FE9BB11BE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tretch>
          <a:fillRect/>
        </a:stretch>
      </xdr:blipFill>
      <xdr:spPr>
        <a:xfrm>
          <a:off x="9109680" y="115299"/>
          <a:ext cx="1870179" cy="637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E8A6-9CEF-432C-A1E9-E6500CD13EDC}">
  <sheetPr>
    <pageSetUpPr fitToPage="1"/>
  </sheetPr>
  <dimension ref="B1:AC78"/>
  <sheetViews>
    <sheetView showGridLines="0" tabSelected="1" topLeftCell="A18" zoomScale="80" zoomScaleNormal="80" zoomScaleSheetLayoutView="85" workbookViewId="0">
      <selection activeCell="Z60" sqref="Z60"/>
    </sheetView>
  </sheetViews>
  <sheetFormatPr defaultRowHeight="15" x14ac:dyDescent="0.25"/>
  <cols>
    <col min="1" max="2" width="1.7109375" customWidth="1"/>
    <col min="3" max="3" width="3" bestFit="1" customWidth="1"/>
    <col min="4" max="4" width="3.7109375" customWidth="1"/>
    <col min="5" max="5" width="14.85546875" bestFit="1" customWidth="1"/>
    <col min="6" max="8" width="5.7109375" customWidth="1"/>
    <col min="9" max="13" width="7.5703125" customWidth="1"/>
    <col min="14" max="14" width="5.7109375" customWidth="1"/>
    <col min="15" max="16" width="12.5703125" customWidth="1"/>
    <col min="17" max="17" width="5.7109375" customWidth="1"/>
    <col min="18" max="18" width="7.7109375" customWidth="1"/>
    <col min="19" max="23" width="5.7109375" customWidth="1"/>
    <col min="24" max="24" width="6.140625" bestFit="1" customWidth="1"/>
    <col min="25" max="25" width="9.28515625" customWidth="1"/>
    <col min="26" max="26" width="8.7109375" style="57" customWidth="1"/>
    <col min="27" max="27" width="8.42578125" customWidth="1"/>
    <col min="28" max="28" width="6.42578125" customWidth="1"/>
    <col min="29" max="29" width="1.7109375" customWidth="1"/>
  </cols>
  <sheetData>
    <row r="1" spans="2:29" ht="5.0999999999999996" customHeight="1" x14ac:dyDescent="0.25"/>
    <row r="2" spans="2:29" ht="5.0999999999999996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58"/>
      <c r="AA2" s="3"/>
      <c r="AB2" s="3"/>
      <c r="AC2" s="4"/>
    </row>
    <row r="3" spans="2:29" ht="26.25" x14ac:dyDescent="0.4">
      <c r="B3" s="5"/>
      <c r="C3" s="51" t="s">
        <v>42</v>
      </c>
      <c r="D3" s="2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AA3" s="1"/>
      <c r="AB3" s="1"/>
      <c r="AC3" s="6"/>
    </row>
    <row r="4" spans="2:29" ht="21" x14ac:dyDescent="0.35">
      <c r="B4" s="5"/>
      <c r="C4" s="25"/>
      <c r="D4" s="2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AA4" s="1"/>
      <c r="AB4" s="1"/>
      <c r="AC4" s="6"/>
    </row>
    <row r="5" spans="2:29" x14ac:dyDescent="0.25">
      <c r="B5" s="5"/>
      <c r="C5" s="10" t="s">
        <v>0</v>
      </c>
      <c r="D5" s="10"/>
      <c r="E5" s="10" t="s">
        <v>17</v>
      </c>
      <c r="AC5" s="6"/>
    </row>
    <row r="6" spans="2:29" x14ac:dyDescent="0.25">
      <c r="B6" s="5"/>
      <c r="E6" s="29" t="s">
        <v>1</v>
      </c>
      <c r="F6" s="30" t="s">
        <v>49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59"/>
      <c r="AA6" s="31"/>
      <c r="AB6" s="32"/>
      <c r="AC6" s="6"/>
    </row>
    <row r="7" spans="2:29" x14ac:dyDescent="0.25">
      <c r="B7" s="5"/>
      <c r="E7" s="33" t="s">
        <v>4</v>
      </c>
      <c r="F7" s="72">
        <v>13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60"/>
      <c r="AA7" s="35"/>
      <c r="AB7" s="36"/>
      <c r="AC7" s="6"/>
    </row>
    <row r="8" spans="2:29" x14ac:dyDescent="0.25">
      <c r="B8" s="5"/>
      <c r="E8" s="37" t="s">
        <v>2</v>
      </c>
      <c r="F8" s="38">
        <v>46195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61"/>
      <c r="AA8" s="39"/>
      <c r="AB8" s="40"/>
      <c r="AC8" s="6"/>
    </row>
    <row r="9" spans="2:29" x14ac:dyDescent="0.25">
      <c r="B9" s="5"/>
      <c r="AC9" s="6"/>
    </row>
    <row r="10" spans="2:29" x14ac:dyDescent="0.25">
      <c r="B10" s="5"/>
      <c r="C10" s="10" t="s">
        <v>3</v>
      </c>
      <c r="D10" s="10"/>
      <c r="E10" s="10" t="s">
        <v>5</v>
      </c>
      <c r="AC10" s="6"/>
    </row>
    <row r="11" spans="2:29" x14ac:dyDescent="0.25">
      <c r="B11" s="5"/>
      <c r="E11" s="29" t="s">
        <v>6</v>
      </c>
      <c r="F11" s="30" t="s">
        <v>50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59"/>
      <c r="AA11" s="31"/>
      <c r="AB11" s="32"/>
      <c r="AC11" s="6"/>
    </row>
    <row r="12" spans="2:29" x14ac:dyDescent="0.25">
      <c r="B12" s="5"/>
      <c r="E12" s="33" t="s">
        <v>4</v>
      </c>
      <c r="F12" s="34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60"/>
      <c r="AA12" s="35"/>
      <c r="AB12" s="36"/>
      <c r="AC12" s="6"/>
    </row>
    <row r="13" spans="2:29" x14ac:dyDescent="0.25">
      <c r="B13" s="5"/>
      <c r="E13" s="37" t="s">
        <v>16</v>
      </c>
      <c r="F13" s="69" t="s">
        <v>40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61"/>
      <c r="AA13" s="39"/>
      <c r="AB13" s="40"/>
      <c r="AC13" s="6"/>
    </row>
    <row r="14" spans="2:29" x14ac:dyDescent="0.25">
      <c r="B14" s="5"/>
      <c r="AB14" s="15"/>
      <c r="AC14" s="6"/>
    </row>
    <row r="15" spans="2:29" x14ac:dyDescent="0.25">
      <c r="B15" s="5"/>
      <c r="E15" s="29" t="s">
        <v>8</v>
      </c>
      <c r="F15" s="41" t="s">
        <v>51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59"/>
      <c r="AA15" s="31"/>
      <c r="AB15" s="32"/>
      <c r="AC15" s="6"/>
    </row>
    <row r="16" spans="2:29" x14ac:dyDescent="0.25">
      <c r="B16" s="5"/>
      <c r="E16" s="33" t="s">
        <v>9</v>
      </c>
      <c r="F16" s="34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60"/>
      <c r="AA16" s="35"/>
      <c r="AB16" s="36"/>
      <c r="AC16" s="6"/>
    </row>
    <row r="17" spans="2:29" x14ac:dyDescent="0.25">
      <c r="B17" s="5"/>
      <c r="E17" s="37" t="s">
        <v>10</v>
      </c>
      <c r="F17" s="7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61"/>
      <c r="AA17" s="39"/>
      <c r="AB17" s="40"/>
      <c r="AC17" s="6"/>
    </row>
    <row r="18" spans="2:29" x14ac:dyDescent="0.25">
      <c r="B18" s="5"/>
      <c r="E18" s="27"/>
      <c r="F18" s="28"/>
      <c r="G18" s="1"/>
      <c r="H18" s="1"/>
      <c r="I18" s="1"/>
      <c r="J18" s="1"/>
      <c r="K18" s="1"/>
      <c r="L18" s="1"/>
      <c r="AC18" s="6"/>
    </row>
    <row r="19" spans="2:29" x14ac:dyDescent="0.25">
      <c r="B19" s="5"/>
      <c r="C19" s="10" t="s">
        <v>11</v>
      </c>
      <c r="D19" s="11"/>
      <c r="E19" s="10" t="s">
        <v>12</v>
      </c>
      <c r="AC19" s="6"/>
    </row>
    <row r="20" spans="2:29" x14ac:dyDescent="0.25">
      <c r="B20" s="5"/>
      <c r="E20" s="29" t="s">
        <v>13</v>
      </c>
      <c r="F20" s="30" t="s">
        <v>14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59"/>
      <c r="AA20" s="31"/>
      <c r="AB20" s="32"/>
      <c r="AC20" s="6"/>
    </row>
    <row r="21" spans="2:29" x14ac:dyDescent="0.25">
      <c r="B21" s="5"/>
      <c r="E21" s="33" t="s">
        <v>15</v>
      </c>
      <c r="F21" s="34" t="s">
        <v>31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60"/>
      <c r="AA21" s="35"/>
      <c r="AB21" s="36"/>
      <c r="AC21" s="6"/>
    </row>
    <row r="22" spans="2:29" x14ac:dyDescent="0.25">
      <c r="B22" s="5"/>
      <c r="E22" s="42" t="s">
        <v>16</v>
      </c>
      <c r="F22" s="43" t="s">
        <v>7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62"/>
      <c r="AA22" s="44"/>
      <c r="AB22" s="45"/>
      <c r="AC22" s="6"/>
    </row>
    <row r="23" spans="2:29" x14ac:dyDescent="0.25">
      <c r="B23" s="5"/>
      <c r="E23" s="46" t="s">
        <v>26</v>
      </c>
      <c r="F23" s="47" t="s">
        <v>41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63"/>
      <c r="AA23" s="48"/>
      <c r="AB23" s="49"/>
      <c r="AC23" s="6"/>
    </row>
    <row r="24" spans="2:29" x14ac:dyDescent="0.25">
      <c r="B24" s="5"/>
      <c r="AC24" s="6"/>
    </row>
    <row r="25" spans="2:29" x14ac:dyDescent="0.25">
      <c r="B25" s="5"/>
      <c r="C25" s="10" t="s">
        <v>18</v>
      </c>
      <c r="D25" s="10"/>
      <c r="E25" s="10" t="s">
        <v>19</v>
      </c>
      <c r="AC25" s="6"/>
    </row>
    <row r="26" spans="2:29" x14ac:dyDescent="0.25">
      <c r="B26" s="5"/>
      <c r="D26" s="26" t="s">
        <v>28</v>
      </c>
      <c r="E26" s="12" t="s">
        <v>20</v>
      </c>
      <c r="F26" s="18" t="s">
        <v>25</v>
      </c>
      <c r="G26" s="17"/>
      <c r="H26" s="17"/>
      <c r="I26" s="18" t="s">
        <v>21</v>
      </c>
      <c r="J26" s="17"/>
      <c r="K26" s="17"/>
      <c r="L26" s="17"/>
      <c r="M26" s="17"/>
      <c r="N26" s="17"/>
      <c r="O26" s="18" t="s">
        <v>133</v>
      </c>
      <c r="P26" s="19"/>
      <c r="Q26" s="18" t="s">
        <v>33</v>
      </c>
      <c r="R26" s="17"/>
      <c r="S26" s="17"/>
      <c r="T26" s="19"/>
      <c r="U26" s="17" t="s">
        <v>22</v>
      </c>
      <c r="V26" s="17"/>
      <c r="W26" s="17"/>
      <c r="X26" s="50" t="s">
        <v>30</v>
      </c>
      <c r="Y26" s="19"/>
      <c r="Z26" s="17" t="s">
        <v>24</v>
      </c>
      <c r="AA26" s="17"/>
      <c r="AB26" s="17"/>
      <c r="AC26" s="6"/>
    </row>
    <row r="27" spans="2:29" x14ac:dyDescent="0.25">
      <c r="B27" s="5"/>
      <c r="D27" s="20">
        <v>1</v>
      </c>
      <c r="E27" s="20" t="s">
        <v>55</v>
      </c>
      <c r="F27" s="21" t="s">
        <v>39</v>
      </c>
      <c r="G27" s="22"/>
      <c r="H27" s="22"/>
      <c r="I27" s="21" t="s">
        <v>86</v>
      </c>
      <c r="J27" s="22"/>
      <c r="K27" s="21"/>
      <c r="L27" s="22"/>
      <c r="M27" s="22"/>
      <c r="N27" s="22"/>
      <c r="O27" s="86" t="s">
        <v>132</v>
      </c>
      <c r="P27" s="22"/>
      <c r="Q27" s="22">
        <v>30</v>
      </c>
      <c r="R27" s="22"/>
      <c r="S27" s="22"/>
      <c r="T27" s="67"/>
      <c r="U27" s="67">
        <v>3</v>
      </c>
      <c r="V27" s="23"/>
      <c r="W27" s="23"/>
      <c r="X27" s="23">
        <v>3000</v>
      </c>
      <c r="Y27" s="23"/>
      <c r="Z27" s="68">
        <f>U27*X27</f>
        <v>9000</v>
      </c>
      <c r="AA27" s="68"/>
      <c r="AB27" s="67"/>
      <c r="AC27" s="6"/>
    </row>
    <row r="28" spans="2:29" x14ac:dyDescent="0.25">
      <c r="B28" s="5"/>
      <c r="D28" s="20">
        <v>2</v>
      </c>
      <c r="E28" s="20" t="s">
        <v>56</v>
      </c>
      <c r="F28" s="21" t="s">
        <v>39</v>
      </c>
      <c r="G28" s="22"/>
      <c r="H28" s="22"/>
      <c r="I28" s="21" t="s">
        <v>87</v>
      </c>
      <c r="J28" s="22"/>
      <c r="K28" s="21"/>
      <c r="L28" s="22"/>
      <c r="M28" s="22"/>
      <c r="N28" s="22"/>
      <c r="O28" s="86" t="s">
        <v>132</v>
      </c>
      <c r="P28" s="22"/>
      <c r="Q28" s="22">
        <v>30</v>
      </c>
      <c r="R28" s="22"/>
      <c r="S28" s="22"/>
      <c r="T28" s="67"/>
      <c r="U28" s="67">
        <v>3</v>
      </c>
      <c r="V28" s="23"/>
      <c r="W28" s="23"/>
      <c r="X28" s="23">
        <v>3000</v>
      </c>
      <c r="Y28" s="23"/>
      <c r="Z28" s="68">
        <f t="shared" ref="Z28:Z32" si="0">U28*X28</f>
        <v>9000</v>
      </c>
      <c r="AA28" s="68"/>
      <c r="AB28" s="67"/>
      <c r="AC28" s="6"/>
    </row>
    <row r="29" spans="2:29" x14ac:dyDescent="0.25">
      <c r="B29" s="5"/>
      <c r="D29" s="20">
        <v>3</v>
      </c>
      <c r="E29" s="20" t="s">
        <v>57</v>
      </c>
      <c r="F29" s="21" t="s">
        <v>39</v>
      </c>
      <c r="G29" s="22"/>
      <c r="H29" s="22"/>
      <c r="I29" s="21" t="s">
        <v>88</v>
      </c>
      <c r="J29" s="22"/>
      <c r="K29" s="21"/>
      <c r="L29" s="22"/>
      <c r="M29" s="22"/>
      <c r="N29" s="22"/>
      <c r="O29" s="86" t="s">
        <v>132</v>
      </c>
      <c r="P29" s="22"/>
      <c r="Q29" s="22">
        <v>30</v>
      </c>
      <c r="R29" s="22"/>
      <c r="S29" s="22"/>
      <c r="T29" s="67"/>
      <c r="U29" s="67">
        <v>3</v>
      </c>
      <c r="V29" s="23"/>
      <c r="W29" s="23"/>
      <c r="X29" s="23">
        <v>3000</v>
      </c>
      <c r="Y29" s="23"/>
      <c r="Z29" s="68">
        <f t="shared" si="0"/>
        <v>9000</v>
      </c>
      <c r="AA29" s="68"/>
      <c r="AB29" s="67"/>
      <c r="AC29" s="6"/>
    </row>
    <row r="30" spans="2:29" x14ac:dyDescent="0.25">
      <c r="B30" s="5"/>
      <c r="D30" s="20">
        <v>4</v>
      </c>
      <c r="E30" s="20" t="s">
        <v>58</v>
      </c>
      <c r="F30" s="21" t="s">
        <v>39</v>
      </c>
      <c r="G30" s="22"/>
      <c r="H30" s="22"/>
      <c r="I30" s="21" t="s">
        <v>89</v>
      </c>
      <c r="J30" s="22"/>
      <c r="K30" s="21"/>
      <c r="L30" s="22"/>
      <c r="M30" s="22"/>
      <c r="N30" s="22"/>
      <c r="O30" s="86" t="s">
        <v>132</v>
      </c>
      <c r="P30" s="22"/>
      <c r="Q30" s="22">
        <v>30</v>
      </c>
      <c r="R30" s="22"/>
      <c r="S30" s="22"/>
      <c r="T30" s="67"/>
      <c r="U30" s="67">
        <v>3</v>
      </c>
      <c r="V30" s="23"/>
      <c r="W30" s="23"/>
      <c r="X30" s="23">
        <v>3000</v>
      </c>
      <c r="Y30" s="23"/>
      <c r="Z30" s="68">
        <f t="shared" si="0"/>
        <v>9000</v>
      </c>
      <c r="AA30" s="68"/>
      <c r="AB30" s="67"/>
      <c r="AC30" s="6"/>
    </row>
    <row r="31" spans="2:29" x14ac:dyDescent="0.25">
      <c r="B31" s="5"/>
      <c r="D31" s="20">
        <f>D30+1</f>
        <v>5</v>
      </c>
      <c r="E31" s="20" t="s">
        <v>59</v>
      </c>
      <c r="F31" s="21" t="s">
        <v>39</v>
      </c>
      <c r="G31" s="22"/>
      <c r="H31" s="22"/>
      <c r="I31" s="21" t="s">
        <v>90</v>
      </c>
      <c r="J31" s="22"/>
      <c r="K31" s="21"/>
      <c r="L31" s="22"/>
      <c r="M31" s="22"/>
      <c r="N31" s="22"/>
      <c r="O31" s="86" t="s">
        <v>132</v>
      </c>
      <c r="P31" s="22"/>
      <c r="Q31" s="22">
        <v>30</v>
      </c>
      <c r="R31" s="22"/>
      <c r="S31" s="22"/>
      <c r="T31" s="67"/>
      <c r="U31" s="67">
        <v>3</v>
      </c>
      <c r="V31" s="23"/>
      <c r="W31" s="23"/>
      <c r="X31" s="23">
        <v>3000</v>
      </c>
      <c r="Y31" s="23"/>
      <c r="Z31" s="68">
        <f t="shared" si="0"/>
        <v>9000</v>
      </c>
      <c r="AA31" s="68"/>
      <c r="AB31" s="67"/>
      <c r="AC31" s="6"/>
    </row>
    <row r="32" spans="2:29" x14ac:dyDescent="0.25">
      <c r="B32" s="5"/>
      <c r="D32" s="20">
        <f t="shared" ref="D32:D35" si="1">D31+1</f>
        <v>6</v>
      </c>
      <c r="E32" s="20" t="s">
        <v>60</v>
      </c>
      <c r="F32" s="21" t="s">
        <v>39</v>
      </c>
      <c r="G32" s="22"/>
      <c r="H32" s="22"/>
      <c r="I32" s="21" t="s">
        <v>91</v>
      </c>
      <c r="J32" s="22"/>
      <c r="K32" s="21"/>
      <c r="L32" s="22"/>
      <c r="M32" s="22"/>
      <c r="N32" s="22"/>
      <c r="O32" s="86" t="s">
        <v>132</v>
      </c>
      <c r="P32" s="22"/>
      <c r="Q32" s="22">
        <v>30</v>
      </c>
      <c r="R32" s="22"/>
      <c r="S32" s="22"/>
      <c r="T32" s="67"/>
      <c r="U32" s="67">
        <v>3</v>
      </c>
      <c r="V32" s="23"/>
      <c r="W32" s="23"/>
      <c r="X32" s="23">
        <v>3000</v>
      </c>
      <c r="Y32" s="23"/>
      <c r="Z32" s="68">
        <f t="shared" si="0"/>
        <v>9000</v>
      </c>
      <c r="AA32" s="68"/>
      <c r="AB32" s="67"/>
      <c r="AC32" s="6"/>
    </row>
    <row r="33" spans="2:29" x14ac:dyDescent="0.25">
      <c r="B33" s="5"/>
      <c r="D33" s="20">
        <f t="shared" si="1"/>
        <v>7</v>
      </c>
      <c r="E33" s="20" t="s">
        <v>61</v>
      </c>
      <c r="F33" s="21" t="s">
        <v>39</v>
      </c>
      <c r="G33" s="22"/>
      <c r="H33" s="22"/>
      <c r="I33" s="21" t="s">
        <v>92</v>
      </c>
      <c r="J33" s="22"/>
      <c r="K33" s="21"/>
      <c r="L33" s="22"/>
      <c r="M33" s="22"/>
      <c r="N33" s="22"/>
      <c r="O33" s="86" t="s">
        <v>132</v>
      </c>
      <c r="P33" s="22"/>
      <c r="Q33" s="22">
        <v>30</v>
      </c>
      <c r="R33" s="22"/>
      <c r="S33" s="22"/>
      <c r="T33" s="67"/>
      <c r="U33" s="67">
        <v>3</v>
      </c>
      <c r="V33" s="23"/>
      <c r="W33" s="23"/>
      <c r="X33" s="23">
        <v>3000</v>
      </c>
      <c r="Y33" s="23"/>
      <c r="Z33" s="68">
        <f t="shared" ref="Z33:Z35" si="2">U33*X33</f>
        <v>9000</v>
      </c>
      <c r="AA33" s="68"/>
      <c r="AB33" s="67"/>
      <c r="AC33" s="6"/>
    </row>
    <row r="34" spans="2:29" x14ac:dyDescent="0.25">
      <c r="B34" s="5"/>
      <c r="D34" s="20">
        <f t="shared" si="1"/>
        <v>8</v>
      </c>
      <c r="E34" s="20" t="s">
        <v>62</v>
      </c>
      <c r="F34" s="21" t="s">
        <v>39</v>
      </c>
      <c r="G34" s="22"/>
      <c r="H34" s="22"/>
      <c r="I34" s="21" t="s">
        <v>93</v>
      </c>
      <c r="J34" s="22"/>
      <c r="K34" s="21"/>
      <c r="L34" s="22"/>
      <c r="M34" s="22"/>
      <c r="N34" s="22"/>
      <c r="O34" s="86" t="s">
        <v>132</v>
      </c>
      <c r="P34" s="22"/>
      <c r="Q34" s="22">
        <v>30</v>
      </c>
      <c r="R34" s="22"/>
      <c r="S34" s="22"/>
      <c r="T34" s="67"/>
      <c r="U34" s="67">
        <v>3</v>
      </c>
      <c r="V34" s="23"/>
      <c r="W34" s="23"/>
      <c r="X34" s="23">
        <v>3000</v>
      </c>
      <c r="Y34" s="23"/>
      <c r="Z34" s="68">
        <f t="shared" si="2"/>
        <v>9000</v>
      </c>
      <c r="AA34" s="68"/>
      <c r="AB34" s="67"/>
      <c r="AC34" s="6"/>
    </row>
    <row r="35" spans="2:29" x14ac:dyDescent="0.25">
      <c r="B35" s="5"/>
      <c r="D35" s="20">
        <f t="shared" si="1"/>
        <v>9</v>
      </c>
      <c r="E35" s="20" t="s">
        <v>63</v>
      </c>
      <c r="F35" s="21" t="s">
        <v>39</v>
      </c>
      <c r="G35" s="22"/>
      <c r="H35" s="22"/>
      <c r="I35" s="21" t="s">
        <v>94</v>
      </c>
      <c r="J35" s="22"/>
      <c r="K35" s="21"/>
      <c r="L35" s="22"/>
      <c r="M35" s="22"/>
      <c r="N35" s="22"/>
      <c r="O35" s="86" t="s">
        <v>132</v>
      </c>
      <c r="P35" s="22"/>
      <c r="Q35" s="22">
        <v>30</v>
      </c>
      <c r="R35" s="22"/>
      <c r="S35" s="22"/>
      <c r="T35" s="67"/>
      <c r="U35" s="67">
        <v>3</v>
      </c>
      <c r="V35" s="23"/>
      <c r="W35" s="23"/>
      <c r="X35" s="23">
        <v>3000</v>
      </c>
      <c r="Y35" s="23"/>
      <c r="Z35" s="68">
        <f t="shared" si="2"/>
        <v>9000</v>
      </c>
      <c r="AA35" s="68"/>
      <c r="AB35" s="67"/>
      <c r="AC35" s="6"/>
    </row>
    <row r="36" spans="2:29" x14ac:dyDescent="0.25">
      <c r="B36" s="5"/>
      <c r="D36" s="20">
        <f t="shared" ref="D36:D57" si="3">D35+1</f>
        <v>10</v>
      </c>
      <c r="E36" s="20" t="s">
        <v>64</v>
      </c>
      <c r="F36" s="21" t="s">
        <v>39</v>
      </c>
      <c r="G36" s="22"/>
      <c r="H36" s="22"/>
      <c r="I36" s="21" t="s">
        <v>95</v>
      </c>
      <c r="J36" s="22"/>
      <c r="K36" s="21"/>
      <c r="L36" s="22"/>
      <c r="M36" s="22"/>
      <c r="N36" s="22"/>
      <c r="O36" s="86" t="s">
        <v>132</v>
      </c>
      <c r="P36" s="22"/>
      <c r="Q36" s="22">
        <v>30</v>
      </c>
      <c r="R36" s="22"/>
      <c r="S36" s="22"/>
      <c r="T36" s="67"/>
      <c r="U36" s="67">
        <v>3</v>
      </c>
      <c r="V36" s="23"/>
      <c r="W36" s="23"/>
      <c r="X36" s="23">
        <v>3000</v>
      </c>
      <c r="Y36" s="23"/>
      <c r="Z36" s="68">
        <f t="shared" ref="Z36:Z57" si="4">U36*X36</f>
        <v>9000</v>
      </c>
      <c r="AA36" s="68"/>
      <c r="AB36" s="67"/>
      <c r="AC36" s="6"/>
    </row>
    <row r="37" spans="2:29" x14ac:dyDescent="0.25">
      <c r="B37" s="5"/>
      <c r="D37" s="20">
        <f t="shared" si="3"/>
        <v>11</v>
      </c>
      <c r="E37" s="20" t="s">
        <v>65</v>
      </c>
      <c r="F37" s="21" t="s">
        <v>39</v>
      </c>
      <c r="G37" s="22"/>
      <c r="H37" s="22"/>
      <c r="I37" s="21" t="s">
        <v>96</v>
      </c>
      <c r="J37" s="22"/>
      <c r="K37" s="21"/>
      <c r="L37" s="22"/>
      <c r="M37" s="22"/>
      <c r="N37" s="22"/>
      <c r="O37" s="86" t="s">
        <v>132</v>
      </c>
      <c r="P37" s="22"/>
      <c r="Q37" s="22">
        <v>30</v>
      </c>
      <c r="R37" s="22"/>
      <c r="S37" s="22"/>
      <c r="T37" s="67"/>
      <c r="U37" s="67">
        <v>3</v>
      </c>
      <c r="V37" s="23"/>
      <c r="W37" s="23"/>
      <c r="X37" s="23">
        <v>3000</v>
      </c>
      <c r="Y37" s="23"/>
      <c r="Z37" s="68">
        <f t="shared" si="4"/>
        <v>9000</v>
      </c>
      <c r="AA37" s="68"/>
      <c r="AB37" s="67"/>
      <c r="AC37" s="6"/>
    </row>
    <row r="38" spans="2:29" x14ac:dyDescent="0.25">
      <c r="B38" s="5"/>
      <c r="D38" s="20">
        <f t="shared" si="3"/>
        <v>12</v>
      </c>
      <c r="E38" s="20" t="s">
        <v>66</v>
      </c>
      <c r="F38" s="21" t="s">
        <v>39</v>
      </c>
      <c r="G38" s="22"/>
      <c r="H38" s="22"/>
      <c r="I38" s="21" t="s">
        <v>97</v>
      </c>
      <c r="J38" s="22"/>
      <c r="K38" s="21"/>
      <c r="L38" s="22"/>
      <c r="M38" s="22"/>
      <c r="N38" s="22"/>
      <c r="O38" s="86" t="s">
        <v>132</v>
      </c>
      <c r="P38" s="22"/>
      <c r="Q38" s="22">
        <v>30</v>
      </c>
      <c r="R38" s="22"/>
      <c r="S38" s="22"/>
      <c r="T38" s="67"/>
      <c r="U38" s="67">
        <v>3</v>
      </c>
      <c r="V38" s="23"/>
      <c r="W38" s="23"/>
      <c r="X38" s="23">
        <v>3000</v>
      </c>
      <c r="Y38" s="23"/>
      <c r="Z38" s="68">
        <f t="shared" si="4"/>
        <v>9000</v>
      </c>
      <c r="AA38" s="68"/>
      <c r="AB38" s="67"/>
      <c r="AC38" s="6"/>
    </row>
    <row r="39" spans="2:29" x14ac:dyDescent="0.25">
      <c r="B39" s="5"/>
      <c r="D39" s="20">
        <f t="shared" si="3"/>
        <v>13</v>
      </c>
      <c r="E39" s="20" t="s">
        <v>67</v>
      </c>
      <c r="F39" s="21" t="s">
        <v>39</v>
      </c>
      <c r="G39" s="22"/>
      <c r="H39" s="22"/>
      <c r="I39" s="21" t="s">
        <v>98</v>
      </c>
      <c r="J39" s="22"/>
      <c r="K39" s="21"/>
      <c r="L39" s="22"/>
      <c r="M39" s="22"/>
      <c r="N39" s="22"/>
      <c r="O39" s="86" t="s">
        <v>132</v>
      </c>
      <c r="P39" s="22"/>
      <c r="Q39" s="22">
        <v>30</v>
      </c>
      <c r="R39" s="22"/>
      <c r="S39" s="22"/>
      <c r="T39" s="67"/>
      <c r="U39" s="67">
        <v>3</v>
      </c>
      <c r="V39" s="23"/>
      <c r="W39" s="23"/>
      <c r="X39" s="23">
        <v>3000</v>
      </c>
      <c r="Y39" s="23"/>
      <c r="Z39" s="68">
        <f t="shared" si="4"/>
        <v>9000</v>
      </c>
      <c r="AA39" s="68"/>
      <c r="AB39" s="67"/>
      <c r="AC39" s="6"/>
    </row>
    <row r="40" spans="2:29" x14ac:dyDescent="0.25">
      <c r="B40" s="5"/>
      <c r="D40" s="20">
        <f t="shared" si="3"/>
        <v>14</v>
      </c>
      <c r="E40" s="20" t="s">
        <v>68</v>
      </c>
      <c r="F40" s="21" t="s">
        <v>39</v>
      </c>
      <c r="G40" s="22"/>
      <c r="H40" s="22"/>
      <c r="I40" s="21" t="s">
        <v>99</v>
      </c>
      <c r="J40" s="22"/>
      <c r="K40" s="21"/>
      <c r="L40" s="22"/>
      <c r="M40" s="22"/>
      <c r="N40" s="22"/>
      <c r="O40" s="86" t="s">
        <v>132</v>
      </c>
      <c r="P40" s="22"/>
      <c r="Q40" s="22">
        <v>30</v>
      </c>
      <c r="R40" s="22"/>
      <c r="S40" s="22"/>
      <c r="T40" s="67"/>
      <c r="U40" s="67">
        <v>3</v>
      </c>
      <c r="V40" s="23"/>
      <c r="W40" s="23"/>
      <c r="X40" s="23">
        <v>3000</v>
      </c>
      <c r="Y40" s="23"/>
      <c r="Z40" s="68">
        <f t="shared" si="4"/>
        <v>9000</v>
      </c>
      <c r="AA40" s="68"/>
      <c r="AB40" s="67"/>
      <c r="AC40" s="6"/>
    </row>
    <row r="41" spans="2:29" x14ac:dyDescent="0.25">
      <c r="B41" s="5"/>
      <c r="D41" s="20">
        <f t="shared" si="3"/>
        <v>15</v>
      </c>
      <c r="E41" s="20" t="s">
        <v>69</v>
      </c>
      <c r="F41" s="21" t="s">
        <v>39</v>
      </c>
      <c r="G41" s="22"/>
      <c r="H41" s="22"/>
      <c r="I41" s="21" t="s">
        <v>100</v>
      </c>
      <c r="J41" s="22"/>
      <c r="K41" s="21"/>
      <c r="L41" s="22"/>
      <c r="M41" s="22"/>
      <c r="N41" s="22"/>
      <c r="O41" s="86" t="s">
        <v>132</v>
      </c>
      <c r="P41" s="22"/>
      <c r="Q41" s="22">
        <v>30</v>
      </c>
      <c r="R41" s="22"/>
      <c r="S41" s="22"/>
      <c r="T41" s="67"/>
      <c r="U41" s="67">
        <v>3</v>
      </c>
      <c r="V41" s="23"/>
      <c r="W41" s="23"/>
      <c r="X41" s="23">
        <v>3000</v>
      </c>
      <c r="Y41" s="23"/>
      <c r="Z41" s="68">
        <f t="shared" si="4"/>
        <v>9000</v>
      </c>
      <c r="AA41" s="68"/>
      <c r="AB41" s="67"/>
      <c r="AC41" s="6"/>
    </row>
    <row r="42" spans="2:29" x14ac:dyDescent="0.25">
      <c r="B42" s="5"/>
      <c r="D42" s="20">
        <f t="shared" si="3"/>
        <v>16</v>
      </c>
      <c r="E42" s="20" t="s">
        <v>70</v>
      </c>
      <c r="F42" s="21" t="s">
        <v>39</v>
      </c>
      <c r="G42" s="22"/>
      <c r="H42" s="22"/>
      <c r="I42" s="21" t="s">
        <v>101</v>
      </c>
      <c r="J42" s="22"/>
      <c r="K42" s="21"/>
      <c r="L42" s="22"/>
      <c r="M42" s="22"/>
      <c r="N42" s="22"/>
      <c r="O42" s="86" t="s">
        <v>132</v>
      </c>
      <c r="P42" s="22"/>
      <c r="Q42" s="22">
        <v>30</v>
      </c>
      <c r="R42" s="22"/>
      <c r="S42" s="22"/>
      <c r="T42" s="67"/>
      <c r="U42" s="67">
        <v>3</v>
      </c>
      <c r="V42" s="23"/>
      <c r="W42" s="23"/>
      <c r="X42" s="23">
        <v>3000</v>
      </c>
      <c r="Y42" s="23"/>
      <c r="Z42" s="68">
        <f t="shared" si="4"/>
        <v>9000</v>
      </c>
      <c r="AA42" s="68"/>
      <c r="AB42" s="67"/>
      <c r="AC42" s="6"/>
    </row>
    <row r="43" spans="2:29" x14ac:dyDescent="0.25">
      <c r="B43" s="5"/>
      <c r="D43" s="20">
        <f t="shared" si="3"/>
        <v>17</v>
      </c>
      <c r="E43" s="20" t="s">
        <v>71</v>
      </c>
      <c r="F43" s="21" t="s">
        <v>39</v>
      </c>
      <c r="G43" s="22"/>
      <c r="H43" s="22"/>
      <c r="I43" s="21" t="s">
        <v>102</v>
      </c>
      <c r="J43" s="22"/>
      <c r="K43" s="21"/>
      <c r="L43" s="22"/>
      <c r="M43" s="22"/>
      <c r="N43" s="22"/>
      <c r="O43" s="86" t="s">
        <v>132</v>
      </c>
      <c r="P43" s="22"/>
      <c r="Q43" s="22">
        <v>30</v>
      </c>
      <c r="R43" s="22"/>
      <c r="S43" s="22"/>
      <c r="T43" s="67"/>
      <c r="U43" s="67">
        <v>3</v>
      </c>
      <c r="V43" s="23"/>
      <c r="W43" s="23"/>
      <c r="X43" s="23">
        <v>3000</v>
      </c>
      <c r="Y43" s="23"/>
      <c r="Z43" s="68">
        <f t="shared" si="4"/>
        <v>9000</v>
      </c>
      <c r="AA43" s="68"/>
      <c r="AB43" s="67"/>
      <c r="AC43" s="6"/>
    </row>
    <row r="44" spans="2:29" x14ac:dyDescent="0.25">
      <c r="B44" s="5"/>
      <c r="D44" s="20">
        <f t="shared" si="3"/>
        <v>18</v>
      </c>
      <c r="E44" s="20" t="s">
        <v>72</v>
      </c>
      <c r="F44" s="21" t="s">
        <v>39</v>
      </c>
      <c r="G44" s="22"/>
      <c r="H44" s="22"/>
      <c r="I44" s="21" t="s">
        <v>103</v>
      </c>
      <c r="J44" s="22"/>
      <c r="K44" s="21"/>
      <c r="L44" s="22"/>
      <c r="M44" s="22"/>
      <c r="N44" s="22"/>
      <c r="O44" s="86" t="s">
        <v>132</v>
      </c>
      <c r="P44" s="22"/>
      <c r="Q44" s="22">
        <v>30</v>
      </c>
      <c r="R44" s="22"/>
      <c r="S44" s="22"/>
      <c r="T44" s="67"/>
      <c r="U44" s="67">
        <v>3</v>
      </c>
      <c r="V44" s="23"/>
      <c r="W44" s="23"/>
      <c r="X44" s="23">
        <v>3000</v>
      </c>
      <c r="Y44" s="23"/>
      <c r="Z44" s="68">
        <f t="shared" si="4"/>
        <v>9000</v>
      </c>
      <c r="AA44" s="68"/>
      <c r="AB44" s="67"/>
      <c r="AC44" s="6"/>
    </row>
    <row r="45" spans="2:29" x14ac:dyDescent="0.25">
      <c r="B45" s="5"/>
      <c r="D45" s="20">
        <f t="shared" si="3"/>
        <v>19</v>
      </c>
      <c r="E45" s="20" t="s">
        <v>73</v>
      </c>
      <c r="F45" s="21" t="s">
        <v>39</v>
      </c>
      <c r="G45" s="22"/>
      <c r="H45" s="22"/>
      <c r="I45" s="21" t="s">
        <v>104</v>
      </c>
      <c r="J45" s="22"/>
      <c r="K45" s="21"/>
      <c r="L45" s="22"/>
      <c r="M45" s="22"/>
      <c r="N45" s="22"/>
      <c r="O45" s="86" t="s">
        <v>132</v>
      </c>
      <c r="P45" s="22"/>
      <c r="Q45" s="22">
        <v>30</v>
      </c>
      <c r="R45" s="22"/>
      <c r="S45" s="22"/>
      <c r="T45" s="67"/>
      <c r="U45" s="67">
        <v>3</v>
      </c>
      <c r="V45" s="23"/>
      <c r="W45" s="23"/>
      <c r="X45" s="23">
        <v>3000</v>
      </c>
      <c r="Y45" s="23"/>
      <c r="Z45" s="68">
        <f t="shared" si="4"/>
        <v>9000</v>
      </c>
      <c r="AA45" s="68"/>
      <c r="AB45" s="67"/>
      <c r="AC45" s="6"/>
    </row>
    <row r="46" spans="2:29" x14ac:dyDescent="0.25">
      <c r="B46" s="5"/>
      <c r="D46" s="20">
        <f t="shared" si="3"/>
        <v>20</v>
      </c>
      <c r="E46" s="20" t="s">
        <v>74</v>
      </c>
      <c r="F46" s="21" t="s">
        <v>39</v>
      </c>
      <c r="G46" s="22"/>
      <c r="H46" s="22"/>
      <c r="I46" s="21" t="s">
        <v>105</v>
      </c>
      <c r="J46" s="22"/>
      <c r="K46" s="21"/>
      <c r="L46" s="22"/>
      <c r="M46" s="22"/>
      <c r="N46" s="22"/>
      <c r="O46" s="86" t="s">
        <v>132</v>
      </c>
      <c r="P46" s="22"/>
      <c r="Q46" s="22">
        <v>30</v>
      </c>
      <c r="R46" s="22"/>
      <c r="S46" s="22"/>
      <c r="T46" s="67"/>
      <c r="U46" s="67">
        <v>3</v>
      </c>
      <c r="V46" s="23"/>
      <c r="W46" s="23"/>
      <c r="X46" s="23">
        <v>3000</v>
      </c>
      <c r="Y46" s="23"/>
      <c r="Z46" s="68">
        <f t="shared" si="4"/>
        <v>9000</v>
      </c>
      <c r="AA46" s="68"/>
      <c r="AB46" s="67"/>
      <c r="AC46" s="6"/>
    </row>
    <row r="47" spans="2:29" x14ac:dyDescent="0.25">
      <c r="B47" s="5"/>
      <c r="D47" s="20">
        <f t="shared" si="3"/>
        <v>21</v>
      </c>
      <c r="E47" s="20" t="s">
        <v>75</v>
      </c>
      <c r="F47" s="21" t="s">
        <v>39</v>
      </c>
      <c r="G47" s="22"/>
      <c r="H47" s="22"/>
      <c r="I47" s="21" t="s">
        <v>106</v>
      </c>
      <c r="J47" s="22"/>
      <c r="K47" s="21"/>
      <c r="L47" s="22"/>
      <c r="M47" s="22"/>
      <c r="N47" s="22"/>
      <c r="O47" s="86" t="s">
        <v>132</v>
      </c>
      <c r="P47" s="22"/>
      <c r="Q47" s="22">
        <v>30</v>
      </c>
      <c r="R47" s="22"/>
      <c r="S47" s="22"/>
      <c r="T47" s="67"/>
      <c r="U47" s="67">
        <v>3</v>
      </c>
      <c r="V47" s="23"/>
      <c r="W47" s="23"/>
      <c r="X47" s="23">
        <v>3000</v>
      </c>
      <c r="Y47" s="23"/>
      <c r="Z47" s="68">
        <f t="shared" si="4"/>
        <v>9000</v>
      </c>
      <c r="AA47" s="68"/>
      <c r="AB47" s="67"/>
      <c r="AC47" s="6"/>
    </row>
    <row r="48" spans="2:29" x14ac:dyDescent="0.25">
      <c r="B48" s="5"/>
      <c r="D48" s="20">
        <f t="shared" si="3"/>
        <v>22</v>
      </c>
      <c r="E48" s="20" t="s">
        <v>76</v>
      </c>
      <c r="F48" s="21" t="s">
        <v>39</v>
      </c>
      <c r="G48" s="22"/>
      <c r="H48" s="22"/>
      <c r="I48" s="21" t="s">
        <v>107</v>
      </c>
      <c r="J48" s="22"/>
      <c r="K48" s="21"/>
      <c r="L48" s="22"/>
      <c r="M48" s="22"/>
      <c r="N48" s="22"/>
      <c r="O48" s="86" t="s">
        <v>132</v>
      </c>
      <c r="P48" s="22"/>
      <c r="Q48" s="22">
        <v>30</v>
      </c>
      <c r="R48" s="22"/>
      <c r="S48" s="22"/>
      <c r="T48" s="67"/>
      <c r="U48" s="67">
        <v>3</v>
      </c>
      <c r="V48" s="23"/>
      <c r="W48" s="23"/>
      <c r="X48" s="23">
        <v>3000</v>
      </c>
      <c r="Y48" s="23"/>
      <c r="Z48" s="68">
        <f t="shared" si="4"/>
        <v>9000</v>
      </c>
      <c r="AA48" s="68"/>
      <c r="AB48" s="67"/>
      <c r="AC48" s="6"/>
    </row>
    <row r="49" spans="2:29" x14ac:dyDescent="0.25">
      <c r="B49" s="5"/>
      <c r="D49" s="20">
        <f t="shared" si="3"/>
        <v>23</v>
      </c>
      <c r="E49" s="20" t="s">
        <v>77</v>
      </c>
      <c r="F49" s="21" t="s">
        <v>39</v>
      </c>
      <c r="G49" s="22"/>
      <c r="H49" s="22"/>
      <c r="I49" s="21" t="s">
        <v>108</v>
      </c>
      <c r="J49" s="22"/>
      <c r="K49" s="21"/>
      <c r="L49" s="22"/>
      <c r="M49" s="22"/>
      <c r="N49" s="22"/>
      <c r="O49" s="86" t="s">
        <v>132</v>
      </c>
      <c r="P49" s="22"/>
      <c r="Q49" s="22">
        <v>30</v>
      </c>
      <c r="R49" s="22"/>
      <c r="S49" s="22"/>
      <c r="T49" s="67"/>
      <c r="U49" s="67">
        <v>3</v>
      </c>
      <c r="V49" s="23"/>
      <c r="W49" s="23"/>
      <c r="X49" s="23">
        <v>3000</v>
      </c>
      <c r="Y49" s="23"/>
      <c r="Z49" s="68">
        <f t="shared" si="4"/>
        <v>9000</v>
      </c>
      <c r="AA49" s="68"/>
      <c r="AB49" s="67"/>
      <c r="AC49" s="6"/>
    </row>
    <row r="50" spans="2:29" x14ac:dyDescent="0.25">
      <c r="B50" s="5"/>
      <c r="D50" s="20">
        <f t="shared" si="3"/>
        <v>24</v>
      </c>
      <c r="E50" s="20" t="s">
        <v>78</v>
      </c>
      <c r="F50" s="21" t="s">
        <v>39</v>
      </c>
      <c r="G50" s="22"/>
      <c r="H50" s="22"/>
      <c r="I50" s="21" t="s">
        <v>109</v>
      </c>
      <c r="J50" s="22"/>
      <c r="K50" s="21"/>
      <c r="L50" s="22"/>
      <c r="M50" s="22"/>
      <c r="N50" s="22"/>
      <c r="O50" s="86" t="s">
        <v>132</v>
      </c>
      <c r="P50" s="22"/>
      <c r="Q50" s="22">
        <v>30</v>
      </c>
      <c r="R50" s="22"/>
      <c r="S50" s="22"/>
      <c r="T50" s="67"/>
      <c r="U50" s="67">
        <v>3</v>
      </c>
      <c r="V50" s="23"/>
      <c r="W50" s="23"/>
      <c r="X50" s="23">
        <v>3000</v>
      </c>
      <c r="Y50" s="23"/>
      <c r="Z50" s="68">
        <f t="shared" si="4"/>
        <v>9000</v>
      </c>
      <c r="AA50" s="68"/>
      <c r="AB50" s="67"/>
      <c r="AC50" s="6"/>
    </row>
    <row r="51" spans="2:29" x14ac:dyDescent="0.25">
      <c r="B51" s="5"/>
      <c r="D51" s="20">
        <f t="shared" si="3"/>
        <v>25</v>
      </c>
      <c r="E51" s="20" t="s">
        <v>79</v>
      </c>
      <c r="F51" s="21" t="s">
        <v>39</v>
      </c>
      <c r="G51" s="22"/>
      <c r="H51" s="22"/>
      <c r="I51" s="21" t="s">
        <v>110</v>
      </c>
      <c r="J51" s="22"/>
      <c r="K51" s="21"/>
      <c r="L51" s="22"/>
      <c r="M51" s="22"/>
      <c r="N51" s="22"/>
      <c r="O51" s="86" t="s">
        <v>132</v>
      </c>
      <c r="P51" s="22"/>
      <c r="Q51" s="22">
        <v>30</v>
      </c>
      <c r="R51" s="22"/>
      <c r="S51" s="22"/>
      <c r="T51" s="67"/>
      <c r="U51" s="67">
        <v>3</v>
      </c>
      <c r="V51" s="23"/>
      <c r="W51" s="23"/>
      <c r="X51" s="23">
        <v>3000</v>
      </c>
      <c r="Y51" s="23"/>
      <c r="Z51" s="68">
        <f t="shared" si="4"/>
        <v>9000</v>
      </c>
      <c r="AA51" s="68"/>
      <c r="AB51" s="67"/>
      <c r="AC51" s="6"/>
    </row>
    <row r="52" spans="2:29" x14ac:dyDescent="0.25">
      <c r="B52" s="5"/>
      <c r="D52" s="20">
        <f t="shared" si="3"/>
        <v>26</v>
      </c>
      <c r="E52" s="20" t="s">
        <v>80</v>
      </c>
      <c r="F52" s="21" t="s">
        <v>39</v>
      </c>
      <c r="G52" s="22"/>
      <c r="H52" s="22"/>
      <c r="I52" s="21" t="s">
        <v>111</v>
      </c>
      <c r="J52" s="22"/>
      <c r="K52" s="21"/>
      <c r="L52" s="22"/>
      <c r="M52" s="22"/>
      <c r="N52" s="22"/>
      <c r="O52" s="86" t="s">
        <v>132</v>
      </c>
      <c r="P52" s="22"/>
      <c r="Q52" s="22">
        <v>30</v>
      </c>
      <c r="R52" s="22"/>
      <c r="S52" s="22"/>
      <c r="T52" s="67"/>
      <c r="U52" s="67">
        <v>3</v>
      </c>
      <c r="V52" s="23"/>
      <c r="W52" s="23"/>
      <c r="X52" s="23">
        <v>3000</v>
      </c>
      <c r="Y52" s="23"/>
      <c r="Z52" s="68">
        <f t="shared" si="4"/>
        <v>9000</v>
      </c>
      <c r="AA52" s="68"/>
      <c r="AB52" s="67"/>
      <c r="AC52" s="6"/>
    </row>
    <row r="53" spans="2:29" x14ac:dyDescent="0.25">
      <c r="B53" s="5"/>
      <c r="D53" s="20">
        <f t="shared" si="3"/>
        <v>27</v>
      </c>
      <c r="E53" s="20" t="s">
        <v>81</v>
      </c>
      <c r="F53" s="21" t="s">
        <v>39</v>
      </c>
      <c r="G53" s="22"/>
      <c r="H53" s="22"/>
      <c r="I53" s="21" t="s">
        <v>112</v>
      </c>
      <c r="J53" s="22"/>
      <c r="K53" s="21"/>
      <c r="L53" s="22"/>
      <c r="M53" s="22"/>
      <c r="N53" s="22"/>
      <c r="O53" s="86" t="s">
        <v>132</v>
      </c>
      <c r="P53" s="22"/>
      <c r="Q53" s="22">
        <v>30</v>
      </c>
      <c r="R53" s="22"/>
      <c r="S53" s="22"/>
      <c r="T53" s="67"/>
      <c r="U53" s="67">
        <v>3</v>
      </c>
      <c r="V53" s="23"/>
      <c r="W53" s="23"/>
      <c r="X53" s="87">
        <v>2000</v>
      </c>
      <c r="Y53" s="23"/>
      <c r="Z53" s="68">
        <f t="shared" si="4"/>
        <v>6000</v>
      </c>
      <c r="AA53" s="68"/>
      <c r="AB53" s="67"/>
      <c r="AC53" s="6"/>
    </row>
    <row r="54" spans="2:29" x14ac:dyDescent="0.25">
      <c r="B54" s="5"/>
      <c r="D54" s="20">
        <f t="shared" si="3"/>
        <v>28</v>
      </c>
      <c r="E54" s="20" t="s">
        <v>82</v>
      </c>
      <c r="F54" s="21" t="s">
        <v>39</v>
      </c>
      <c r="G54" s="22"/>
      <c r="H54" s="22"/>
      <c r="I54" s="21" t="s">
        <v>113</v>
      </c>
      <c r="J54" s="22"/>
      <c r="K54" s="21"/>
      <c r="L54" s="22"/>
      <c r="M54" s="22"/>
      <c r="N54" s="22"/>
      <c r="O54" s="86" t="s">
        <v>132</v>
      </c>
      <c r="P54" s="22"/>
      <c r="Q54" s="22">
        <v>30</v>
      </c>
      <c r="R54" s="22"/>
      <c r="S54" s="22"/>
      <c r="T54" s="67"/>
      <c r="U54" s="67">
        <v>3</v>
      </c>
      <c r="V54" s="23"/>
      <c r="W54" s="23"/>
      <c r="X54" s="23">
        <v>3000</v>
      </c>
      <c r="Y54" s="23"/>
      <c r="Z54" s="68">
        <f t="shared" si="4"/>
        <v>9000</v>
      </c>
      <c r="AA54" s="68"/>
      <c r="AB54" s="67"/>
      <c r="AC54" s="6"/>
    </row>
    <row r="55" spans="2:29" x14ac:dyDescent="0.25">
      <c r="B55" s="5"/>
      <c r="D55" s="20">
        <f t="shared" si="3"/>
        <v>29</v>
      </c>
      <c r="E55" s="20" t="s">
        <v>83</v>
      </c>
      <c r="F55" s="21" t="s">
        <v>39</v>
      </c>
      <c r="G55" s="22"/>
      <c r="H55" s="22"/>
      <c r="I55" s="21" t="s">
        <v>114</v>
      </c>
      <c r="J55" s="22"/>
      <c r="K55" s="21"/>
      <c r="L55" s="22"/>
      <c r="M55" s="22"/>
      <c r="N55" s="22"/>
      <c r="O55" s="86" t="s">
        <v>132</v>
      </c>
      <c r="P55" s="22"/>
      <c r="Q55" s="22">
        <v>30</v>
      </c>
      <c r="R55" s="22"/>
      <c r="S55" s="22"/>
      <c r="T55" s="67"/>
      <c r="U55" s="67">
        <v>3</v>
      </c>
      <c r="V55" s="23"/>
      <c r="W55" s="23"/>
      <c r="X55" s="23">
        <v>3000</v>
      </c>
      <c r="Y55" s="23"/>
      <c r="Z55" s="68">
        <f t="shared" si="4"/>
        <v>9000</v>
      </c>
      <c r="AA55" s="68"/>
      <c r="AB55" s="67"/>
      <c r="AC55" s="6"/>
    </row>
    <row r="56" spans="2:29" x14ac:dyDescent="0.25">
      <c r="B56" s="5"/>
      <c r="D56" s="20">
        <f t="shared" si="3"/>
        <v>30</v>
      </c>
      <c r="E56" s="20" t="s">
        <v>84</v>
      </c>
      <c r="F56" s="21" t="s">
        <v>39</v>
      </c>
      <c r="G56" s="22"/>
      <c r="H56" s="22"/>
      <c r="I56" s="21" t="s">
        <v>115</v>
      </c>
      <c r="J56" s="22"/>
      <c r="K56" s="21"/>
      <c r="L56" s="22"/>
      <c r="M56" s="22"/>
      <c r="N56" s="22"/>
      <c r="O56" s="86" t="s">
        <v>132</v>
      </c>
      <c r="P56" s="22"/>
      <c r="Q56" s="22">
        <v>30</v>
      </c>
      <c r="R56" s="22"/>
      <c r="S56" s="22"/>
      <c r="T56" s="67"/>
      <c r="U56" s="67">
        <v>3</v>
      </c>
      <c r="V56" s="23"/>
      <c r="W56" s="23"/>
      <c r="X56" s="23">
        <v>3000</v>
      </c>
      <c r="Y56" s="23"/>
      <c r="Z56" s="68">
        <f t="shared" si="4"/>
        <v>9000</v>
      </c>
      <c r="AA56" s="68"/>
      <c r="AB56" s="67"/>
      <c r="AC56" s="6"/>
    </row>
    <row r="57" spans="2:29" x14ac:dyDescent="0.25">
      <c r="B57" s="5"/>
      <c r="D57" s="20">
        <f t="shared" si="3"/>
        <v>31</v>
      </c>
      <c r="E57" s="20" t="s">
        <v>85</v>
      </c>
      <c r="F57" s="21" t="s">
        <v>39</v>
      </c>
      <c r="G57" s="22"/>
      <c r="H57" s="22"/>
      <c r="I57" s="21" t="s">
        <v>116</v>
      </c>
      <c r="J57" s="22"/>
      <c r="K57" s="21"/>
      <c r="L57" s="22"/>
      <c r="M57" s="22"/>
      <c r="N57" s="22"/>
      <c r="O57" s="86" t="s">
        <v>132</v>
      </c>
      <c r="P57" s="22"/>
      <c r="Q57" s="22">
        <v>30</v>
      </c>
      <c r="R57" s="22"/>
      <c r="S57" s="22"/>
      <c r="T57" s="67"/>
      <c r="U57" s="67">
        <v>3</v>
      </c>
      <c r="V57" s="23"/>
      <c r="W57" s="23"/>
      <c r="X57" s="23">
        <v>3000</v>
      </c>
      <c r="Y57" s="23"/>
      <c r="Z57" s="68">
        <f t="shared" si="4"/>
        <v>9000</v>
      </c>
      <c r="AA57" s="68"/>
      <c r="AB57" s="67"/>
      <c r="AC57" s="6"/>
    </row>
    <row r="58" spans="2:29" x14ac:dyDescent="0.25">
      <c r="B58" s="5"/>
      <c r="D58" s="52"/>
      <c r="E58" s="52"/>
      <c r="F58" s="1"/>
      <c r="G58" s="53"/>
      <c r="H58" s="53"/>
      <c r="I58" s="1"/>
      <c r="J58" s="53"/>
      <c r="K58" s="1"/>
      <c r="L58" s="53"/>
      <c r="M58" s="53"/>
      <c r="N58" s="53"/>
      <c r="O58" s="53"/>
      <c r="P58" s="53"/>
      <c r="Q58" s="53"/>
      <c r="R58" s="53"/>
      <c r="S58" s="53"/>
      <c r="T58" s="55"/>
      <c r="U58" s="55"/>
      <c r="V58" s="77"/>
      <c r="W58" s="54"/>
      <c r="X58" s="54"/>
      <c r="Y58" s="54"/>
      <c r="Z58" s="64"/>
      <c r="AA58" s="56"/>
      <c r="AB58" s="55"/>
      <c r="AC58" s="6"/>
    </row>
    <row r="59" spans="2:29" ht="5.0999999999999996" customHeight="1" x14ac:dyDescent="0.25">
      <c r="B59" s="5"/>
      <c r="AC59" s="6"/>
    </row>
    <row r="60" spans="2:29" x14ac:dyDescent="0.25">
      <c r="B60" s="5"/>
      <c r="E60" s="16" t="s">
        <v>48</v>
      </c>
      <c r="F60" s="15"/>
      <c r="G60" s="85" t="s">
        <v>128</v>
      </c>
      <c r="H60" s="74"/>
      <c r="I60" s="13"/>
      <c r="J60" s="84"/>
      <c r="K60" s="13"/>
      <c r="L60" s="14"/>
      <c r="W60" s="16" t="s">
        <v>27</v>
      </c>
      <c r="X60" s="15"/>
      <c r="Y60" s="15"/>
      <c r="Z60" s="74">
        <f>SUM(Z27:Z57)</f>
        <v>276000</v>
      </c>
      <c r="AA60" s="13"/>
      <c r="AB60" s="14"/>
      <c r="AC60" s="6"/>
    </row>
    <row r="61" spans="2:29" x14ac:dyDescent="0.25">
      <c r="B61" s="5"/>
      <c r="Z61" s="64"/>
      <c r="AC61" s="6"/>
    </row>
    <row r="62" spans="2:29" x14ac:dyDescent="0.25">
      <c r="B62" s="5"/>
      <c r="C62" s="10" t="s">
        <v>29</v>
      </c>
      <c r="D62" s="10"/>
      <c r="E62" s="10" t="s">
        <v>47</v>
      </c>
      <c r="AC62" s="6"/>
    </row>
    <row r="63" spans="2:29" x14ac:dyDescent="0.25">
      <c r="B63" s="5"/>
      <c r="D63" s="26" t="s">
        <v>28</v>
      </c>
      <c r="E63" s="17" t="s">
        <v>21</v>
      </c>
      <c r="F63" s="17"/>
      <c r="G63" s="17"/>
      <c r="H63" s="17"/>
      <c r="I63" s="18"/>
      <c r="J63" s="17"/>
      <c r="K63" s="50" t="s">
        <v>32</v>
      </c>
      <c r="L63" s="17"/>
      <c r="M63" s="17"/>
      <c r="N63" s="17"/>
      <c r="O63" s="17"/>
      <c r="P63" s="18"/>
      <c r="Q63" s="18"/>
      <c r="R63" s="17"/>
      <c r="S63" s="17"/>
      <c r="T63" s="17"/>
      <c r="U63" s="17"/>
      <c r="V63" s="18" t="s">
        <v>23</v>
      </c>
      <c r="W63" s="18"/>
      <c r="X63" s="18" t="s">
        <v>43</v>
      </c>
      <c r="Y63" s="19"/>
      <c r="Z63" s="18" t="s">
        <v>46</v>
      </c>
      <c r="AA63" s="18"/>
      <c r="AB63" s="18"/>
      <c r="AC63" s="6"/>
    </row>
    <row r="64" spans="2:29" x14ac:dyDescent="0.25">
      <c r="B64" s="5"/>
      <c r="D64" s="20">
        <v>1</v>
      </c>
      <c r="E64" s="21" t="s">
        <v>117</v>
      </c>
      <c r="F64" s="21"/>
      <c r="G64" s="22"/>
      <c r="H64" s="22"/>
      <c r="I64" s="23"/>
      <c r="J64" s="22"/>
      <c r="K64" s="22" t="s">
        <v>118</v>
      </c>
      <c r="L64" s="22"/>
      <c r="M64" s="22"/>
      <c r="N64" s="22"/>
      <c r="O64" s="22"/>
      <c r="P64" s="23"/>
      <c r="Q64" s="23"/>
      <c r="R64" s="22"/>
      <c r="S64" s="22"/>
      <c r="T64" s="22"/>
      <c r="U64" s="22"/>
      <c r="V64" s="71">
        <f>SUM(X27:X57)</f>
        <v>92000</v>
      </c>
      <c r="W64" s="23"/>
      <c r="X64" s="68" t="s">
        <v>39</v>
      </c>
      <c r="Y64" s="73"/>
      <c r="Z64" s="71" t="s">
        <v>124</v>
      </c>
      <c r="AA64" s="23"/>
      <c r="AB64" s="23"/>
      <c r="AC64" s="6"/>
    </row>
    <row r="65" spans="2:29" x14ac:dyDescent="0.25">
      <c r="B65" s="5"/>
      <c r="D65" s="20">
        <f>D64+1</f>
        <v>2</v>
      </c>
      <c r="E65" s="21" t="s">
        <v>52</v>
      </c>
      <c r="F65" s="21"/>
      <c r="G65" s="22"/>
      <c r="H65" s="22"/>
      <c r="I65" s="23"/>
      <c r="J65" s="22"/>
      <c r="K65" s="22" t="s">
        <v>121</v>
      </c>
      <c r="L65" s="22"/>
      <c r="M65" s="22"/>
      <c r="N65" s="22"/>
      <c r="O65" s="22"/>
      <c r="P65" s="23"/>
      <c r="Q65" s="23"/>
      <c r="R65" s="22"/>
      <c r="S65" s="22"/>
      <c r="T65" s="22"/>
      <c r="U65" s="22"/>
      <c r="V65" s="71">
        <f>V64</f>
        <v>92000</v>
      </c>
      <c r="W65" s="23"/>
      <c r="X65" s="68" t="s">
        <v>39</v>
      </c>
      <c r="Y65" s="73"/>
      <c r="Z65" s="71" t="s">
        <v>39</v>
      </c>
      <c r="AA65" s="23"/>
      <c r="AB65" s="23"/>
      <c r="AC65" s="6"/>
    </row>
    <row r="66" spans="2:29" x14ac:dyDescent="0.25">
      <c r="B66" s="5"/>
      <c r="D66" s="20" t="s">
        <v>119</v>
      </c>
      <c r="E66" s="78" t="s">
        <v>52</v>
      </c>
      <c r="F66" s="78"/>
      <c r="G66" s="79"/>
      <c r="H66" s="79"/>
      <c r="I66" s="80"/>
      <c r="J66" s="79"/>
      <c r="K66" s="22" t="s">
        <v>122</v>
      </c>
      <c r="L66" s="79"/>
      <c r="M66" s="79"/>
      <c r="N66" s="79"/>
      <c r="O66" s="79"/>
      <c r="P66" s="80"/>
      <c r="Q66" s="80"/>
      <c r="R66" s="79"/>
      <c r="S66" s="79"/>
      <c r="T66" s="79"/>
      <c r="U66" s="79"/>
      <c r="V66" s="81" t="s">
        <v>39</v>
      </c>
      <c r="W66" s="80"/>
      <c r="X66" s="82" t="s">
        <v>39</v>
      </c>
      <c r="Y66" s="83"/>
      <c r="Z66" s="71" t="s">
        <v>124</v>
      </c>
      <c r="AA66" s="80"/>
      <c r="AB66" s="80"/>
      <c r="AC66" s="6"/>
    </row>
    <row r="67" spans="2:29" x14ac:dyDescent="0.25">
      <c r="B67" s="5"/>
      <c r="D67" s="20" t="s">
        <v>120</v>
      </c>
      <c r="E67" s="78" t="s">
        <v>52</v>
      </c>
      <c r="F67" s="78"/>
      <c r="G67" s="79"/>
      <c r="H67" s="79"/>
      <c r="I67" s="80"/>
      <c r="J67" s="79"/>
      <c r="K67" s="22" t="s">
        <v>123</v>
      </c>
      <c r="L67" s="79"/>
      <c r="M67" s="79"/>
      <c r="N67" s="79"/>
      <c r="O67" s="79"/>
      <c r="P67" s="80"/>
      <c r="Q67" s="80"/>
      <c r="R67" s="79"/>
      <c r="S67" s="79"/>
      <c r="T67" s="79"/>
      <c r="U67" s="79"/>
      <c r="V67" s="81" t="s">
        <v>39</v>
      </c>
      <c r="W67" s="80"/>
      <c r="X67" s="82" t="s">
        <v>39</v>
      </c>
      <c r="Y67" s="83"/>
      <c r="Z67" s="71" t="s">
        <v>124</v>
      </c>
      <c r="AA67" s="80"/>
      <c r="AB67" s="80"/>
      <c r="AC67" s="6"/>
    </row>
    <row r="68" spans="2:29" x14ac:dyDescent="0.25">
      <c r="B68" s="5"/>
      <c r="D68" s="20">
        <v>3</v>
      </c>
      <c r="E68" s="21" t="s">
        <v>129</v>
      </c>
      <c r="F68" s="21"/>
      <c r="G68" s="22"/>
      <c r="H68" s="22"/>
      <c r="I68" s="23"/>
      <c r="J68" s="22"/>
      <c r="K68" s="22" t="s">
        <v>130</v>
      </c>
      <c r="L68" s="22"/>
      <c r="M68" s="22"/>
      <c r="N68" s="22"/>
      <c r="O68" s="22"/>
      <c r="P68" s="23"/>
      <c r="Q68" s="23"/>
      <c r="R68" s="22"/>
      <c r="S68" s="22"/>
      <c r="T68" s="22"/>
      <c r="U68" s="22"/>
      <c r="V68" s="71">
        <f>V69</f>
        <v>92000</v>
      </c>
      <c r="W68" s="23"/>
      <c r="X68" s="68" t="s">
        <v>39</v>
      </c>
      <c r="Y68" s="73"/>
      <c r="Z68" s="71" t="s">
        <v>124</v>
      </c>
      <c r="AA68" s="23"/>
      <c r="AB68" s="23"/>
      <c r="AC68" s="6"/>
    </row>
    <row r="69" spans="2:29" x14ac:dyDescent="0.25">
      <c r="B69" s="5"/>
      <c r="D69" s="20">
        <f>D68+1</f>
        <v>4</v>
      </c>
      <c r="E69" s="21" t="s">
        <v>38</v>
      </c>
      <c r="F69" s="21"/>
      <c r="G69" s="22"/>
      <c r="H69" s="22"/>
      <c r="I69" s="23"/>
      <c r="J69" s="22"/>
      <c r="K69" s="22" t="s">
        <v>125</v>
      </c>
      <c r="L69" s="22"/>
      <c r="M69" s="22"/>
      <c r="N69" s="22"/>
      <c r="O69" s="22"/>
      <c r="P69" s="23"/>
      <c r="Q69" s="23"/>
      <c r="R69" s="22"/>
      <c r="S69" s="22"/>
      <c r="T69" s="22"/>
      <c r="U69" s="22"/>
      <c r="V69" s="71">
        <f>V65</f>
        <v>92000</v>
      </c>
      <c r="W69" s="23"/>
      <c r="X69" s="68" t="s">
        <v>39</v>
      </c>
      <c r="Y69" s="73"/>
      <c r="Z69" s="71" t="s">
        <v>124</v>
      </c>
      <c r="AA69" s="23"/>
      <c r="AB69" s="23"/>
      <c r="AC69" s="6"/>
    </row>
    <row r="70" spans="2:29" x14ac:dyDescent="0.25">
      <c r="B70" s="5"/>
      <c r="D70" s="20">
        <f t="shared" ref="D70:D73" si="5">D69+1</f>
        <v>5</v>
      </c>
      <c r="E70" s="21" t="s">
        <v>53</v>
      </c>
      <c r="F70" s="21"/>
      <c r="G70" s="22"/>
      <c r="H70" s="22"/>
      <c r="I70" s="23"/>
      <c r="J70" s="22"/>
      <c r="K70" s="22" t="s">
        <v>54</v>
      </c>
      <c r="L70" s="22"/>
      <c r="M70" s="22"/>
      <c r="N70" s="22"/>
      <c r="O70" s="22"/>
      <c r="P70" s="23"/>
      <c r="Q70" s="23"/>
      <c r="R70" s="22"/>
      <c r="S70" s="22"/>
      <c r="T70" s="22"/>
      <c r="U70" s="22"/>
      <c r="V70" s="71">
        <f>V64</f>
        <v>92000</v>
      </c>
      <c r="W70" s="23"/>
      <c r="X70" s="68" t="s">
        <v>39</v>
      </c>
      <c r="Y70" s="73"/>
      <c r="Z70" s="71" t="s">
        <v>124</v>
      </c>
      <c r="AA70" s="23"/>
      <c r="AB70" s="23"/>
      <c r="AC70" s="6"/>
    </row>
    <row r="71" spans="2:29" x14ac:dyDescent="0.25">
      <c r="B71" s="5"/>
      <c r="D71" s="20">
        <f t="shared" si="5"/>
        <v>6</v>
      </c>
      <c r="E71" s="21" t="s">
        <v>126</v>
      </c>
      <c r="F71" s="21"/>
      <c r="G71" s="22"/>
      <c r="H71" s="22"/>
      <c r="I71" s="23"/>
      <c r="J71" s="22"/>
      <c r="K71" s="22" t="s">
        <v>127</v>
      </c>
      <c r="L71" s="22"/>
      <c r="M71" s="22"/>
      <c r="N71" s="22"/>
      <c r="O71" s="22"/>
      <c r="P71" s="23"/>
      <c r="Q71" s="23"/>
      <c r="R71" s="22"/>
      <c r="S71" s="22"/>
      <c r="T71" s="22"/>
      <c r="U71" s="22"/>
      <c r="V71" s="71">
        <f t="shared" ref="V71" si="6">V65</f>
        <v>92000</v>
      </c>
      <c r="W71" s="23"/>
      <c r="X71" s="68" t="s">
        <v>39</v>
      </c>
      <c r="Y71" s="73"/>
      <c r="Z71" s="71" t="s">
        <v>124</v>
      </c>
      <c r="AA71" s="23"/>
      <c r="AB71" s="23"/>
      <c r="AC71" s="6"/>
    </row>
    <row r="72" spans="2:29" x14ac:dyDescent="0.25">
      <c r="B72" s="5"/>
      <c r="D72" s="20">
        <f t="shared" si="5"/>
        <v>7</v>
      </c>
      <c r="E72" s="21" t="s">
        <v>37</v>
      </c>
      <c r="F72" s="21"/>
      <c r="G72" s="22"/>
      <c r="H72" s="22"/>
      <c r="I72" s="23"/>
      <c r="J72" s="22"/>
      <c r="K72" s="22" t="s">
        <v>131</v>
      </c>
      <c r="L72" s="22"/>
      <c r="M72" s="22"/>
      <c r="N72" s="22"/>
      <c r="O72" s="22"/>
      <c r="P72" s="23"/>
      <c r="Q72" s="22"/>
      <c r="R72" s="22"/>
      <c r="S72" s="22"/>
      <c r="T72" s="75"/>
      <c r="U72" s="22"/>
      <c r="V72" s="71">
        <f>V71/12</f>
        <v>7666.666666666667</v>
      </c>
      <c r="W72" s="23"/>
      <c r="X72" s="68" t="s">
        <v>39</v>
      </c>
      <c r="Y72" s="73"/>
      <c r="Z72" s="71" t="s">
        <v>124</v>
      </c>
      <c r="AA72" s="23"/>
      <c r="AB72" s="23"/>
      <c r="AC72" s="6"/>
    </row>
    <row r="73" spans="2:29" x14ac:dyDescent="0.25">
      <c r="B73" s="5"/>
      <c r="D73" s="20">
        <f t="shared" si="5"/>
        <v>8</v>
      </c>
      <c r="E73" s="21" t="s">
        <v>45</v>
      </c>
      <c r="F73" s="21"/>
      <c r="G73" s="22"/>
      <c r="H73" s="22"/>
      <c r="I73" s="23"/>
      <c r="J73" s="22"/>
      <c r="K73" s="22" t="s">
        <v>39</v>
      </c>
      <c r="L73" s="22"/>
      <c r="M73" s="22"/>
      <c r="N73" s="22"/>
      <c r="O73" s="22"/>
      <c r="P73" s="23"/>
      <c r="Q73" s="23"/>
      <c r="R73" s="22"/>
      <c r="S73" s="22"/>
      <c r="T73" s="22"/>
      <c r="U73" s="22"/>
      <c r="V73" s="71">
        <f>V65</f>
        <v>92000</v>
      </c>
      <c r="W73" s="23"/>
      <c r="X73" s="68" t="s">
        <v>39</v>
      </c>
      <c r="Y73" s="73"/>
      <c r="Z73" s="71" t="s">
        <v>44</v>
      </c>
      <c r="AA73" s="23"/>
      <c r="AB73" s="23"/>
      <c r="AC73" s="6"/>
    </row>
    <row r="74" spans="2:29" x14ac:dyDescent="0.25">
      <c r="B74" s="5"/>
      <c r="D74" s="52"/>
      <c r="E74" s="1"/>
      <c r="F74" s="1"/>
      <c r="G74" s="53"/>
      <c r="H74" s="53"/>
      <c r="I74" s="54"/>
      <c r="J74" s="53"/>
      <c r="K74" s="54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4"/>
      <c r="X74" s="54"/>
      <c r="Y74" s="53"/>
      <c r="Z74" s="65"/>
      <c r="AA74" s="54"/>
      <c r="AB74" s="54"/>
      <c r="AC74" s="6"/>
    </row>
    <row r="75" spans="2:29" x14ac:dyDescent="0.25">
      <c r="B75" s="5"/>
      <c r="C75" s="24" t="s">
        <v>35</v>
      </c>
      <c r="Y75" s="76"/>
      <c r="AC75" s="6"/>
    </row>
    <row r="76" spans="2:29" x14ac:dyDescent="0.25">
      <c r="B76" s="5"/>
      <c r="C76" s="24" t="s">
        <v>34</v>
      </c>
      <c r="D76" s="24"/>
      <c r="AC76" s="6"/>
    </row>
    <row r="77" spans="2:29" x14ac:dyDescent="0.25">
      <c r="B77" s="5"/>
      <c r="C77" s="24" t="s">
        <v>36</v>
      </c>
      <c r="D77" s="24"/>
      <c r="AC77" s="6"/>
    </row>
    <row r="78" spans="2:29" ht="5.0999999999999996" customHeight="1" x14ac:dyDescent="0.25">
      <c r="B78" s="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66"/>
      <c r="AA78" s="8"/>
      <c r="AB78" s="8"/>
      <c r="AC78" s="9"/>
    </row>
  </sheetData>
  <printOptions horizontalCentered="1" verticalCentered="1"/>
  <pageMargins left="0.25" right="0.25" top="0.75" bottom="0.75" header="0.3" footer="0.3"/>
  <pageSetup scale="6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447714D3A6D845B2C488CFF31F7610" ma:contentTypeVersion="12" ma:contentTypeDescription="Crie um novo documento." ma:contentTypeScope="" ma:versionID="6fa32a5c988deab99a0b1251f5483cb4">
  <xsd:schema xmlns:xsd="http://www.w3.org/2001/XMLSchema" xmlns:xs="http://www.w3.org/2001/XMLSchema" xmlns:p="http://schemas.microsoft.com/office/2006/metadata/properties" xmlns:ns2="c8808e04-a48d-44ec-aaa2-84ab3c4a9789" xmlns:ns3="c5b6ebd3-f450-4e70-b671-65da7a07c917" targetNamespace="http://schemas.microsoft.com/office/2006/metadata/properties" ma:root="true" ma:fieldsID="55497553e391f965470c51cd26d4f446" ns2:_="" ns3:_="">
    <xsd:import namespace="c8808e04-a48d-44ec-aaa2-84ab3c4a9789"/>
    <xsd:import namespace="c5b6ebd3-f450-4e70-b671-65da7a07c9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08e04-a48d-44ec-aaa2-84ab3c4a9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7a8b96-04af-4aae-8640-b2dc0a4a61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6ebd3-f450-4e70-b671-65da7a07c9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013b66-1a75-4ca6-8753-51d1ed2a48c5}" ma:internalName="TaxCatchAll" ma:showField="CatchAllData" ma:web="c5b6ebd3-f450-4e70-b671-65da7a07c9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808e04-a48d-44ec-aaa2-84ab3c4a9789">
      <Terms xmlns="http://schemas.microsoft.com/office/infopath/2007/PartnerControls"/>
    </lcf76f155ced4ddcb4097134ff3c332f>
    <TaxCatchAll xmlns="c5b6ebd3-f450-4e70-b671-65da7a07c9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1E0CD5-34A4-422B-B3A4-1CD594FCBA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808e04-a48d-44ec-aaa2-84ab3c4a9789"/>
    <ds:schemaRef ds:uri="c5b6ebd3-f450-4e70-b671-65da7a07c9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373EC8-AA32-43EB-9EBA-B90B62BB0D76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c8808e04-a48d-44ec-aaa2-84ab3c4a9789"/>
    <ds:schemaRef ds:uri="http://schemas.microsoft.com/office/2006/metadata/properties"/>
    <ds:schemaRef ds:uri="http://schemas.openxmlformats.org/package/2006/metadata/core-properties"/>
    <ds:schemaRef ds:uri="c5b6ebd3-f450-4e70-b671-65da7a07c917"/>
  </ds:schemaRefs>
</ds:datastoreItem>
</file>

<file path=customXml/itemProps3.xml><?xml version="1.0" encoding="utf-8"?>
<ds:datastoreItem xmlns:ds="http://schemas.openxmlformats.org/officeDocument/2006/customXml" ds:itemID="{4E7C8642-DEF6-4F25-AF98-14EE0F7491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Callegaro</dc:creator>
  <cp:lastModifiedBy>Gustavo Callegaro</cp:lastModifiedBy>
  <cp:lastPrinted>2026-06-30T18:10:59Z</cp:lastPrinted>
  <dcterms:created xsi:type="dcterms:W3CDTF">2025-06-18T15:48:42Z</dcterms:created>
  <dcterms:modified xsi:type="dcterms:W3CDTF">2026-07-07T17:20:42Z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0x01010079447714D3A6D845B2C488CFF31F7610</vt:lpwstr>
  </property>
  <property fmtid="{D5CDD505-2E9C-101B-9397-08002B2CF9AE}" pid="3" name="MediaServiceImageTags">
    <vt:lpwstr/>
  </property>
</Properties>
</file>